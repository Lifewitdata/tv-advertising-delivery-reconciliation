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8f4a0f079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ling review" sheetId="1" r:id="R6202152bfabd402f"/>
    <x:sheet xmlns:r="http://schemas.openxmlformats.org/officeDocument/2006/relationships" name="Source" sheetId="2" r:id="R9145d039aab949b5"/>
    <x:sheet xmlns:r="http://schemas.openxmlformats.org/officeDocument/2006/relationships" name="Advertisers" sheetId="3" r:id="Rc9c0573e8d48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#,##0"/>
    <x:numFmt numFmtId="202" formatCode="$#,##0.00;($#,##0.00)"/>
  </x:numFmts>
  <x:fonts count="4">
    <x:font>
      <x:sz val="11"/>
      <x:name val="Carlito"/>
    </x:font>
    <x:font>
      <x:sz val="10"/>
      <x:color rgb="FF1D2939"/>
      <x:name val="Arial"/>
    </x:font>
    <x:font>
      <x:b/>
      <x:sz val="15"/>
      <x:color rgb="FF1D293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0dc90ecd24723" /><Relationship Type="http://schemas.openxmlformats.org/officeDocument/2006/relationships/theme" Target="/xl/theme/theme1.xml" Id="R38c14fc3a4ab4dc3" /><Relationship Type="http://schemas.openxmlformats.org/officeDocument/2006/relationships/sharedStrings" Target="/xl/sharedStrings.xml" Id="R84427aff9bf748c9" /><Relationship Type="http://schemas.openxmlformats.org/officeDocument/2006/relationships/worksheet" Target="/xl/worksheets/sheet1.xml" Id="R6202152bfabd402f" /><Relationship Type="http://schemas.openxmlformats.org/officeDocument/2006/relationships/worksheet" Target="/xl/worksheets/sheet2.xml" Id="R9145d039aab949b5" /><Relationship Type="http://schemas.openxmlformats.org/officeDocument/2006/relationships/worksheet" Target="/xl/worksheets/sheet3.xml" Id="Rc9c0573e8d484572" /></Relationships>
</file>

<file path=xl/tables/table1.xml><?xml version="1.0" encoding="utf-8"?>
<x:table xmlns:x="http://schemas.openxmlformats.org/spreadsheetml/2006/main" id="1" name="BillingInvestigation" displayName="BillingInvestigation" ref="A10:L3158" headerRowCount="1" totalsRowCount="0" totalsRowShown="0">
  <x:tableColumns count="12">
    <x:tableColumn id="1" name="Commitment"/>
    <x:tableColumn id="2" name="Advertiser"/>
    <x:tableColumn id="3" name="Campaign"/>
    <x:tableColumn id="4" name="Expected USD"/>
    <x:tableColumn id="5" name="Gross USD"/>
    <x:tableColumn id="6" name="Credits USD"/>
    <x:tableColumn id="7" name="Net USD"/>
    <x:tableColumn id="8" name="Difference USD"/>
    <x:tableColumn id="9" name="Direction"/>
    <x:tableColumn id="10" name="Owner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llingSource" displayName="BillingSource" ref="A4:H3152" headerRowCount="1" totalsRowCount="0" totalsRowShown="0">
  <x:tableColumns count="8">
    <x:tableColumn id="1" name="Commitment"/>
    <x:tableColumn id="2" name="Advertiser ID"/>
    <x:tableColumn id="3" name="Campaign ID"/>
    <x:tableColumn id="4" name="Expected cents"/>
    <x:tableColumn id="5" name="Gross cents"/>
    <x:tableColumn id="6" name="Credit cents"/>
    <x:tableColumn id="7" name="Net cents"/>
    <x:tableColumn id="8" name="Difference c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17d396513a46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16df7be0ca47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16" hidden="0" customWidth="1"/>
    <x:col min="11" max="11" width="16" hidden="0" customWidth="1"/>
    <x:col min="12" max="12" width="38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1" customHeight="1">
      <x:c r="A2" s="2" t="str">
        <x:v>TV advertising billing investigation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1" t="str">
        <x:v>Synthetic snapshot. Cutoff 2026-07-15T00:00:00Z. Amounts in USD.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customHeight="1">
      <x:c r="A5" s="1" t="str">
        <x:v>Open overbilling (USD)</x:v>
      </x:c>
      <x:c r="B5" s="1"/>
      <x:c r="C5" s="1"/>
      <x:c r="D5" s="1" t="str">
        <x:v>Open shortfall (USD)</x:v>
      </x:c>
      <x:c r="E5" s="1"/>
      <x:c r="F5" s="1"/>
      <x:c r="G5" s="1" t="str">
        <x:v>Open commitments</x:v>
      </x:c>
      <x:c r="H5" s="1"/>
      <x:c r="I5" s="1"/>
      <x:c r="J5" s="1"/>
      <x:c r="K5" s="1"/>
      <x:c r="L5" s="1"/>
    </x:row>
    <x:row r="6" ht="21" customHeight="1">
      <x:c r="A6" s="3" t="n">
        <x:f>SUMIFS(H11:H3158,I11:I3158,"Overbilled",K11:K3158,"Open")</x:f>
        <x:v>252402.58999999962</x:v>
      </x:c>
      <x:c r="B6" s="1"/>
      <x:c r="C6" s="1"/>
      <x:c r="D6" s="3" t="n">
        <x:f>-SUMIFS(H11:H3158,I11:I3158,"Shortfall",K11:K3158,"Open")</x:f>
        <x:v>171974.5399999997</x:v>
      </x:c>
      <x:c r="E6" s="1"/>
      <x:c r="F6" s="1"/>
      <x:c r="G6" s="1" t="n">
        <x:f>COUNTIFS(K11:K3158,"Open")</x:f>
        <x:v>3148</x:v>
      </x:c>
      <x:c r="H6" s="1"/>
      <x:c r="I6" s="1"/>
      <x:c r="J6" s="1"/>
      <x:c r="K6" s="1"/>
      <x:c r="L6" s="1"/>
    </x:row>
    <x:row r="7" ht="21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1" customHeight="1">
      <x:c r="A8" s="1" t="str">
        <x:v>Update yellow review fields. Source amounts remain the original snapshot.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5" customHeight="1">
      <x:c r="A10" s="5" t="str">
        <x:v>Commitment</x:v>
      </x:c>
      <x:c r="B10" s="5" t="str">
        <x:v>Advertiser</x:v>
      </x:c>
      <x:c r="C10" s="5" t="str">
        <x:v>Campaign</x:v>
      </x:c>
      <x:c r="D10" s="5" t="str">
        <x:v>Expected USD</x:v>
      </x:c>
      <x:c r="E10" s="5" t="str">
        <x:v>Gross USD</x:v>
      </x:c>
      <x:c r="F10" s="5" t="str">
        <x:v>Credits USD</x:v>
      </x:c>
      <x:c r="G10" s="5" t="str">
        <x:v>Net USD</x:v>
      </x:c>
      <x:c r="H10" s="5" t="str">
        <x:v>Difference USD</x:v>
      </x:c>
      <x:c r="I10" s="5" t="str">
        <x:v>Direction</x:v>
      </x:c>
      <x:c r="J10" s="5" t="str">
        <x:v>Owner</x:v>
      </x:c>
      <x:c r="K10" s="5" t="str">
        <x:v>Status</x:v>
      </x:c>
      <x:c r="L10" s="5" t="str">
        <x:v>Notes</x:v>
      </x:c>
    </x:row>
    <x:row r="11" ht="21" customHeight="1">
      <x:c r="A11" s="1" t="str">
        <x:f>Source!A5</x:f>
        <x:v>C0016282</x:v>
      </x:c>
      <x:c r="B11" s="1" t="str">
        <x:f>_xlfn.IFNA(VLOOKUP(Source!B5,Advertisers!$A$5:$B$34,2,FALSE),"Missing advertiser")</x:f>
        <x:v>Synthetic advertiser 4</x:v>
      </x:c>
      <x:c r="C11" s="1" t="n">
        <x:f>Source!C5</x:f>
        <x:v>64</x:v>
      </x:c>
      <x:c r="D11" s="8" t="n">
        <x:f>Source!D5/100</x:f>
        <x:v>496.14</x:v>
      </x:c>
      <x:c r="E11" s="8" t="n">
        <x:f>Source!E5/100</x:f>
        <x:v>0</x:v>
      </x:c>
      <x:c r="F11" s="8" t="n">
        <x:f>Source!F5/100</x:f>
        <x:v>0</x:v>
      </x:c>
      <x:c r="G11" s="8" t="n">
        <x:f>Source!G5/100</x:f>
        <x:v>0</x:v>
      </x:c>
      <x:c r="H11" s="8" t="n">
        <x:f>G11-D11</x:f>
        <x:v>-496.14</x:v>
      </x:c>
      <x:c r="I11" s="1" t="str">
        <x:f>IF(H11&gt;0,"Overbilled","Shortfall")</x:f>
        <x:v>Shortfall</x:v>
      </x:c>
      <x:c r="J11" s="7"/>
      <x:c r="K11" s="7" t="str">
        <x:v>Open</x:v>
      </x:c>
      <x:c r="L11" s="7"/>
    </x:row>
    <x:row r="12" ht="21" customHeight="1">
      <x:c r="A12" s="1" t="str">
        <x:f>Source!A6</x:f>
        <x:v>C0013661</x:v>
      </x:c>
      <x:c r="B12" s="1" t="str">
        <x:f>_xlfn.IFNA(VLOOKUP(Source!B6,Advertisers!$A$5:$B$34,2,FALSE),"Missing advertiser")</x:f>
        <x:v>Synthetic advertiser 4</x:v>
      </x:c>
      <x:c r="C12" s="1" t="n">
        <x:f>Source!C6</x:f>
        <x:v>64</x:v>
      </x:c>
      <x:c r="D12" s="8" t="n">
        <x:f>Source!D6/100</x:f>
        <x:v>496.14</x:v>
      </x:c>
      <x:c r="E12" s="8" t="n">
        <x:f>Source!E6/100</x:f>
        <x:v>0</x:v>
      </x:c>
      <x:c r="F12" s="8" t="n">
        <x:f>Source!F6/100</x:f>
        <x:v>0</x:v>
      </x:c>
      <x:c r="G12" s="8" t="n">
        <x:f>Source!G6/100</x:f>
        <x:v>0</x:v>
      </x:c>
      <x:c r="H12" s="8" t="n">
        <x:f>G12-D12</x:f>
        <x:v>-496.14</x:v>
      </x:c>
      <x:c r="I12" s="1" t="str">
        <x:f>IF(H12&gt;0,"Overbilled","Shortfall")</x:f>
        <x:v>Shortfall</x:v>
      </x:c>
      <x:c r="J12" s="7"/>
      <x:c r="K12" s="7" t="str">
        <x:v>Open</x:v>
      </x:c>
      <x:c r="L12" s="7"/>
    </x:row>
    <x:row r="13" ht="21" customHeight="1">
      <x:c r="A13" s="1" t="str">
        <x:f>Source!A7</x:f>
        <x:v>C0012548</x:v>
      </x:c>
      <x:c r="B13" s="1" t="str">
        <x:f>_xlfn.IFNA(VLOOKUP(Source!B7,Advertisers!$A$5:$B$34,2,FALSE),"Missing advertiser")</x:f>
        <x:v>Synthetic advertiser 4</x:v>
      </x:c>
      <x:c r="C13" s="1" t="n">
        <x:f>Source!C7</x:f>
        <x:v>64</x:v>
      </x:c>
      <x:c r="D13" s="8" t="n">
        <x:f>Source!D7/100</x:f>
        <x:v>496.14</x:v>
      </x:c>
      <x:c r="E13" s="8" t="n">
        <x:f>Source!E7/100</x:f>
        <x:v>0</x:v>
      </x:c>
      <x:c r="F13" s="8" t="n">
        <x:f>Source!F7/100</x:f>
        <x:v>0</x:v>
      </x:c>
      <x:c r="G13" s="8" t="n">
        <x:f>Source!G7/100</x:f>
        <x:v>0</x:v>
      </x:c>
      <x:c r="H13" s="8" t="n">
        <x:f>G13-D13</x:f>
        <x:v>-496.14</x:v>
      </x:c>
      <x:c r="I13" s="1" t="str">
        <x:f>IF(H13&gt;0,"Overbilled","Shortfall")</x:f>
        <x:v>Shortfall</x:v>
      </x:c>
      <x:c r="J13" s="7"/>
      <x:c r="K13" s="7" t="str">
        <x:v>Open</x:v>
      </x:c>
      <x:c r="L13" s="7"/>
    </x:row>
    <x:row r="14" ht="21" customHeight="1">
      <x:c r="A14" s="1" t="str">
        <x:f>Source!A8</x:f>
        <x:v>C0003724</x:v>
      </x:c>
      <x:c r="B14" s="1" t="str">
        <x:f>_xlfn.IFNA(VLOOKUP(Source!B8,Advertisers!$A$5:$B$34,2,FALSE),"Missing advertiser")</x:f>
        <x:v>Synthetic advertiser 4</x:v>
      </x:c>
      <x:c r="C14" s="1" t="n">
        <x:f>Source!C8</x:f>
        <x:v>64</x:v>
      </x:c>
      <x:c r="D14" s="8" t="n">
        <x:f>Source!D8/100</x:f>
        <x:v>496.14</x:v>
      </x:c>
      <x:c r="E14" s="8" t="n">
        <x:f>Source!E8/100</x:f>
        <x:v>992.28</x:v>
      </x:c>
      <x:c r="F14" s="8" t="n">
        <x:f>Source!F8/100</x:f>
        <x:v>0</x:v>
      </x:c>
      <x:c r="G14" s="8" t="n">
        <x:f>Source!G8/100</x:f>
        <x:v>992.28</x:v>
      </x:c>
      <x:c r="H14" s="8" t="n">
        <x:f>G14-D14</x:f>
        <x:v>496.14</x:v>
      </x:c>
      <x:c r="I14" s="1" t="str">
        <x:f>IF(H14&gt;0,"Overbilled","Shortfall")</x:f>
        <x:v>Overbilled</x:v>
      </x:c>
      <x:c r="J14" s="7"/>
      <x:c r="K14" s="7" t="str">
        <x:v>Open</x:v>
      </x:c>
      <x:c r="L14" s="7"/>
    </x:row>
    <x:row r="15" ht="21" customHeight="1">
      <x:c r="A15" s="1" t="str">
        <x:f>Source!A9</x:f>
        <x:v>C0011736</x:v>
      </x:c>
      <x:c r="B15" s="1" t="str">
        <x:f>_xlfn.IFNA(VLOOKUP(Source!B9,Advertisers!$A$5:$B$34,2,FALSE),"Missing advertiser")</x:f>
        <x:v>Synthetic advertiser 4</x:v>
      </x:c>
      <x:c r="C15" s="1" t="n">
        <x:f>Source!C9</x:f>
        <x:v>64</x:v>
      </x:c>
      <x:c r="D15" s="8" t="n">
        <x:f>Source!D9/100</x:f>
        <x:v>496.14</x:v>
      </x:c>
      <x:c r="E15" s="8" t="n">
        <x:f>Source!E9/100</x:f>
        <x:v>992.28</x:v>
      </x:c>
      <x:c r="F15" s="8" t="n">
        <x:f>Source!F9/100</x:f>
        <x:v>0</x:v>
      </x:c>
      <x:c r="G15" s="8" t="n">
        <x:f>Source!G9/100</x:f>
        <x:v>992.28</x:v>
      </x:c>
      <x:c r="H15" s="8" t="n">
        <x:f>G15-D15</x:f>
        <x:v>496.14</x:v>
      </x:c>
      <x:c r="I15" s="1" t="str">
        <x:f>IF(H15&gt;0,"Overbilled","Shortfall")</x:f>
        <x:v>Overbilled</x:v>
      </x:c>
      <x:c r="J15" s="7"/>
      <x:c r="K15" s="7" t="str">
        <x:v>Open</x:v>
      </x:c>
      <x:c r="L15" s="7"/>
    </x:row>
    <x:row r="16" ht="21" customHeight="1">
      <x:c r="A16" s="1" t="str">
        <x:f>Source!A10</x:f>
        <x:v>C0009556</x:v>
      </x:c>
      <x:c r="B16" s="1" t="str">
        <x:f>_xlfn.IFNA(VLOOKUP(Source!B10,Advertisers!$A$5:$B$34,2,FALSE),"Missing advertiser")</x:f>
        <x:v>Synthetic advertiser 11</x:v>
      </x:c>
      <x:c r="C16" s="1" t="n">
        <x:f>Source!C10</x:f>
        <x:v>101</x:v>
      </x:c>
      <x:c r="D16" s="8" t="n">
        <x:f>Source!D10/100</x:f>
        <x:v>493.42</x:v>
      </x:c>
      <x:c r="E16" s="8" t="n">
        <x:f>Source!E10/100</x:f>
        <x:v>986.84</x:v>
      </x:c>
      <x:c r="F16" s="8" t="n">
        <x:f>Source!F10/100</x:f>
        <x:v>0</x:v>
      </x:c>
      <x:c r="G16" s="8" t="n">
        <x:f>Source!G10/100</x:f>
        <x:v>986.84</x:v>
      </x:c>
      <x:c r="H16" s="8" t="n">
        <x:f>G16-D16</x:f>
        <x:v>493.42</x:v>
      </x:c>
      <x:c r="I16" s="1" t="str">
        <x:f>IF(H16&gt;0,"Overbilled","Shortfall")</x:f>
        <x:v>Overbilled</x:v>
      </x:c>
      <x:c r="J16" s="7"/>
      <x:c r="K16" s="7" t="str">
        <x:v>Open</x:v>
      </x:c>
      <x:c r="L16" s="7"/>
    </x:row>
    <x:row r="17" ht="21" customHeight="1">
      <x:c r="A17" s="1" t="str">
        <x:f>Source!A11</x:f>
        <x:v>C0008612</x:v>
      </x:c>
      <x:c r="B17" s="1" t="str">
        <x:f>_xlfn.IFNA(VLOOKUP(Source!B11,Advertisers!$A$5:$B$34,2,FALSE),"Missing advertiser")</x:f>
        <x:v>Synthetic advertiser 11</x:v>
      </x:c>
      <x:c r="C17" s="1" t="n">
        <x:f>Source!C11</x:f>
        <x:v>101</x:v>
      </x:c>
      <x:c r="D17" s="8" t="n">
        <x:f>Source!D11/100</x:f>
        <x:v>493.42</x:v>
      </x:c>
      <x:c r="E17" s="8" t="n">
        <x:f>Source!E11/100</x:f>
        <x:v>0</x:v>
      </x:c>
      <x:c r="F17" s="8" t="n">
        <x:f>Source!F11/100</x:f>
        <x:v>0</x:v>
      </x:c>
      <x:c r="G17" s="8" t="n">
        <x:f>Source!G11/100</x:f>
        <x:v>0</x:v>
      </x:c>
      <x:c r="H17" s="8" t="n">
        <x:f>G17-D17</x:f>
        <x:v>-493.42</x:v>
      </x:c>
      <x:c r="I17" s="1" t="str">
        <x:f>IF(H17&gt;0,"Overbilled","Shortfall")</x:f>
        <x:v>Shortfall</x:v>
      </x:c>
      <x:c r="J17" s="7"/>
      <x:c r="K17" s="7" t="str">
        <x:v>Open</x:v>
      </x:c>
      <x:c r="L17" s="7"/>
    </x:row>
    <x:row r="18" ht="21" customHeight="1">
      <x:c r="A18" s="1" t="str">
        <x:f>Source!A12</x:f>
        <x:v>C0004051</x:v>
      </x:c>
      <x:c r="B18" s="1" t="str">
        <x:f>_xlfn.IFNA(VLOOKUP(Source!B12,Advertisers!$A$5:$B$34,2,FALSE),"Missing advertiser")</x:f>
        <x:v>Synthetic advertiser 11</x:v>
      </x:c>
      <x:c r="C18" s="1" t="n">
        <x:f>Source!C12</x:f>
        <x:v>101</x:v>
      </x:c>
      <x:c r="D18" s="8" t="n">
        <x:f>Source!D12/100</x:f>
        <x:v>493.42</x:v>
      </x:c>
      <x:c r="E18" s="8" t="n">
        <x:f>Source!E12/100</x:f>
        <x:v>986.84</x:v>
      </x:c>
      <x:c r="F18" s="8" t="n">
        <x:f>Source!F12/100</x:f>
        <x:v>0</x:v>
      </x:c>
      <x:c r="G18" s="8" t="n">
        <x:f>Source!G12/100</x:f>
        <x:v>986.84</x:v>
      </x:c>
      <x:c r="H18" s="8" t="n">
        <x:f>G18-D18</x:f>
        <x:v>493.42</x:v>
      </x:c>
      <x:c r="I18" s="1" t="str">
        <x:f>IF(H18&gt;0,"Overbilled","Shortfall")</x:f>
        <x:v>Overbilled</x:v>
      </x:c>
      <x:c r="J18" s="7"/>
      <x:c r="K18" s="7" t="str">
        <x:v>Open</x:v>
      </x:c>
      <x:c r="L18" s="7"/>
    </x:row>
    <x:row r="19" ht="21" customHeight="1">
      <x:c r="A19" s="1" t="str">
        <x:f>Source!A13</x:f>
        <x:v>C0016440</x:v>
      </x:c>
      <x:c r="B19" s="1" t="str">
        <x:f>_xlfn.IFNA(VLOOKUP(Source!B13,Advertisers!$A$5:$B$34,2,FALSE),"Missing advertiser")</x:f>
        <x:v>Synthetic advertiser 11</x:v>
      </x:c>
      <x:c r="C19" s="1" t="n">
        <x:f>Source!C13</x:f>
        <x:v>101</x:v>
      </x:c>
      <x:c r="D19" s="8" t="n">
        <x:f>Source!D13/100</x:f>
        <x:v>493.42</x:v>
      </x:c>
      <x:c r="E19" s="8" t="n">
        <x:f>Source!E13/100</x:f>
        <x:v>986.84</x:v>
      </x:c>
      <x:c r="F19" s="8" t="n">
        <x:f>Source!F13/100</x:f>
        <x:v>0</x:v>
      </x:c>
      <x:c r="G19" s="8" t="n">
        <x:f>Source!G13/100</x:f>
        <x:v>986.84</x:v>
      </x:c>
      <x:c r="H19" s="8" t="n">
        <x:f>G19-D19</x:f>
        <x:v>493.42</x:v>
      </x:c>
      <x:c r="I19" s="1" t="str">
        <x:f>IF(H19&gt;0,"Overbilled","Shortfall")</x:f>
        <x:v>Overbilled</x:v>
      </x:c>
      <x:c r="J19" s="7"/>
      <x:c r="K19" s="7" t="str">
        <x:v>Open</x:v>
      </x:c>
      <x:c r="L19" s="7"/>
    </x:row>
    <x:row r="20" ht="21" customHeight="1">
      <x:c r="A20" s="1" t="str">
        <x:f>Source!A14</x:f>
        <x:v>C0014661</x:v>
      </x:c>
      <x:c r="B20" s="1" t="str">
        <x:f>_xlfn.IFNA(VLOOKUP(Source!B14,Advertisers!$A$5:$B$34,2,FALSE),"Missing advertiser")</x:f>
        <x:v>Synthetic advertiser 11</x:v>
      </x:c>
      <x:c r="C20" s="1" t="n">
        <x:f>Source!C14</x:f>
        <x:v>101</x:v>
      </x:c>
      <x:c r="D20" s="8" t="n">
        <x:f>Source!D14/100</x:f>
        <x:v>493.42</x:v>
      </x:c>
      <x:c r="E20" s="8" t="n">
        <x:f>Source!E14/100</x:f>
        <x:v>986.84</x:v>
      </x:c>
      <x:c r="F20" s="8" t="n">
        <x:f>Source!F14/100</x:f>
        <x:v>0</x:v>
      </x:c>
      <x:c r="G20" s="8" t="n">
        <x:f>Source!G14/100</x:f>
        <x:v>986.84</x:v>
      </x:c>
      <x:c r="H20" s="8" t="n">
        <x:f>G20-D20</x:f>
        <x:v>493.42</x:v>
      </x:c>
      <x:c r="I20" s="1" t="str">
        <x:f>IF(H20&gt;0,"Overbilled","Shortfall")</x:f>
        <x:v>Overbilled</x:v>
      </x:c>
      <x:c r="J20" s="7"/>
      <x:c r="K20" s="7" t="str">
        <x:v>Open</x:v>
      </x:c>
      <x:c r="L20" s="7"/>
    </x:row>
    <x:row r="21" ht="21" customHeight="1">
      <x:c r="A21" s="1" t="str">
        <x:f>Source!A15</x:f>
        <x:v>C0005124</x:v>
      </x:c>
      <x:c r="B21" s="1" t="str">
        <x:f>_xlfn.IFNA(VLOOKUP(Source!B15,Advertisers!$A$5:$B$34,2,FALSE),"Missing advertiser")</x:f>
        <x:v>Synthetic advertiser 11</x:v>
      </x:c>
      <x:c r="C21" s="1" t="n">
        <x:f>Source!C15</x:f>
        <x:v>101</x:v>
      </x:c>
      <x:c r="D21" s="8" t="n">
        <x:f>Source!D15/100</x:f>
        <x:v>493.42</x:v>
      </x:c>
      <x:c r="E21" s="8" t="n">
        <x:f>Source!E15/100</x:f>
        <x:v>986.84</x:v>
      </x:c>
      <x:c r="F21" s="8" t="n">
        <x:f>Source!F15/100</x:f>
        <x:v>0</x:v>
      </x:c>
      <x:c r="G21" s="8" t="n">
        <x:f>Source!G15/100</x:f>
        <x:v>986.84</x:v>
      </x:c>
      <x:c r="H21" s="8" t="n">
        <x:f>G21-D21</x:f>
        <x:v>493.42</x:v>
      </x:c>
      <x:c r="I21" s="1" t="str">
        <x:f>IF(H21&gt;0,"Overbilled","Shortfall")</x:f>
        <x:v>Overbilled</x:v>
      </x:c>
      <x:c r="J21" s="7"/>
      <x:c r="K21" s="7" t="str">
        <x:v>Open</x:v>
      </x:c>
      <x:c r="L21" s="7"/>
    </x:row>
    <x:row r="22" ht="21" customHeight="1">
      <x:c r="A22" s="1" t="str">
        <x:f>Source!A16</x:f>
        <x:v>C0008849</x:v>
      </x:c>
      <x:c r="B22" s="1" t="str">
        <x:f>_xlfn.IFNA(VLOOKUP(Source!B16,Advertisers!$A$5:$B$34,2,FALSE),"Missing advertiser")</x:f>
        <x:v>Synthetic advertiser 11</x:v>
      </x:c>
      <x:c r="C22" s="1" t="n">
        <x:f>Source!C16</x:f>
        <x:v>101</x:v>
      </x:c>
      <x:c r="D22" s="8" t="n">
        <x:f>Source!D16/100</x:f>
        <x:v>493.42</x:v>
      </x:c>
      <x:c r="E22" s="8" t="n">
        <x:f>Source!E16/100</x:f>
        <x:v>0</x:v>
      </x:c>
      <x:c r="F22" s="8" t="n">
        <x:f>Source!F16/100</x:f>
        <x:v>0</x:v>
      </x:c>
      <x:c r="G22" s="8" t="n">
        <x:f>Source!G16/100</x:f>
        <x:v>0</x:v>
      </x:c>
      <x:c r="H22" s="8" t="n">
        <x:f>G22-D22</x:f>
        <x:v>-493.42</x:v>
      </x:c>
      <x:c r="I22" s="1" t="str">
        <x:f>IF(H22&gt;0,"Overbilled","Shortfall")</x:f>
        <x:v>Shortfall</x:v>
      </x:c>
      <x:c r="J22" s="7"/>
      <x:c r="K22" s="7" t="str">
        <x:v>Open</x:v>
      </x:c>
      <x:c r="L22" s="7"/>
    </x:row>
    <x:row r="23" ht="21" customHeight="1">
      <x:c r="A23" s="1" t="str">
        <x:f>Source!A17</x:f>
        <x:v>C0013055</x:v>
      </x:c>
      <x:c r="B23" s="1" t="str">
        <x:f>_xlfn.IFNA(VLOOKUP(Source!B17,Advertisers!$A$5:$B$34,2,FALSE),"Missing advertiser")</x:f>
        <x:v>Synthetic advertiser 11</x:v>
      </x:c>
      <x:c r="C23" s="1" t="n">
        <x:f>Source!C17</x:f>
        <x:v>101</x:v>
      </x:c>
      <x:c r="D23" s="8" t="n">
        <x:f>Source!D17/100</x:f>
        <x:v>493.42</x:v>
      </x:c>
      <x:c r="E23" s="8" t="n">
        <x:f>Source!E17/100</x:f>
        <x:v>0</x:v>
      </x:c>
      <x:c r="F23" s="8" t="n">
        <x:f>Source!F17/100</x:f>
        <x:v>0</x:v>
      </x:c>
      <x:c r="G23" s="8" t="n">
        <x:f>Source!G17/100</x:f>
        <x:v>0</x:v>
      </x:c>
      <x:c r="H23" s="8" t="n">
        <x:f>G23-D23</x:f>
        <x:v>-493.42</x:v>
      </x:c>
      <x:c r="I23" s="1" t="str">
        <x:f>IF(H23&gt;0,"Overbilled","Shortfall")</x:f>
        <x:v>Shortfall</x:v>
      </x:c>
      <x:c r="J23" s="7"/>
      <x:c r="K23" s="7" t="str">
        <x:v>Open</x:v>
      </x:c>
      <x:c r="L23" s="7"/>
    </x:row>
    <x:row r="24" ht="21" customHeight="1">
      <x:c r="A24" s="1" t="str">
        <x:f>Source!A18</x:f>
        <x:v>C0003016</x:v>
      </x:c>
      <x:c r="B24" s="1" t="str">
        <x:f>_xlfn.IFNA(VLOOKUP(Source!B18,Advertisers!$A$5:$B$34,2,FALSE),"Missing advertiser")</x:f>
        <x:v>Synthetic advertiser 11</x:v>
      </x:c>
      <x:c r="C24" s="1" t="n">
        <x:f>Source!C18</x:f>
        <x:v>101</x:v>
      </x:c>
      <x:c r="D24" s="8" t="n">
        <x:f>Source!D18/100</x:f>
        <x:v>493.42</x:v>
      </x:c>
      <x:c r="E24" s="8" t="n">
        <x:f>Source!E18/100</x:f>
        <x:v>0</x:v>
      </x:c>
      <x:c r="F24" s="8" t="n">
        <x:f>Source!F18/100</x:f>
        <x:v>0</x:v>
      </x:c>
      <x:c r="G24" s="8" t="n">
        <x:f>Source!G18/100</x:f>
        <x:v>0</x:v>
      </x:c>
      <x:c r="H24" s="8" t="n">
        <x:f>G24-D24</x:f>
        <x:v>-493.42</x:v>
      </x:c>
      <x:c r="I24" s="1" t="str">
        <x:f>IF(H24&gt;0,"Overbilled","Shortfall")</x:f>
        <x:v>Shortfall</x:v>
      </x:c>
      <x:c r="J24" s="7"/>
      <x:c r="K24" s="7" t="str">
        <x:v>Open</x:v>
      </x:c>
      <x:c r="L24" s="7"/>
    </x:row>
    <x:row r="25" ht="21" customHeight="1">
      <x:c r="A25" s="1" t="str">
        <x:f>Source!A19</x:f>
        <x:v>C0017903</x:v>
      </x:c>
      <x:c r="B25" s="1" t="str">
        <x:f>_xlfn.IFNA(VLOOKUP(Source!B19,Advertisers!$A$5:$B$34,2,FALSE),"Missing advertiser")</x:f>
        <x:v>Synthetic advertiser 11</x:v>
      </x:c>
      <x:c r="C25" s="1" t="n">
        <x:f>Source!C19</x:f>
        <x:v>101</x:v>
      </x:c>
      <x:c r="D25" s="8" t="n">
        <x:f>Source!D19/100</x:f>
        <x:v>493.42</x:v>
      </x:c>
      <x:c r="E25" s="8" t="n">
        <x:f>Source!E19/100</x:f>
        <x:v>0</x:v>
      </x:c>
      <x:c r="F25" s="8" t="n">
        <x:f>Source!F19/100</x:f>
        <x:v>0</x:v>
      </x:c>
      <x:c r="G25" s="8" t="n">
        <x:f>Source!G19/100</x:f>
        <x:v>0</x:v>
      </x:c>
      <x:c r="H25" s="8" t="n">
        <x:f>G25-D25</x:f>
        <x:v>-493.42</x:v>
      </x:c>
      <x:c r="I25" s="1" t="str">
        <x:f>IF(H25&gt;0,"Overbilled","Shortfall")</x:f>
        <x:v>Shortfall</x:v>
      </x:c>
      <x:c r="J25" s="7"/>
      <x:c r="K25" s="7" t="str">
        <x:v>Open</x:v>
      </x:c>
      <x:c r="L25" s="7"/>
    </x:row>
    <x:row r="26" ht="21" customHeight="1">
      <x:c r="A26" s="1" t="str">
        <x:f>Source!A20</x:f>
        <x:v>C0006506</x:v>
      </x:c>
      <x:c r="B26" s="1" t="str">
        <x:f>_xlfn.IFNA(VLOOKUP(Source!B20,Advertisers!$A$5:$B$34,2,FALSE),"Missing advertiser")</x:f>
        <x:v>Synthetic advertiser 11</x:v>
      </x:c>
      <x:c r="C26" s="1" t="n">
        <x:f>Source!C20</x:f>
        <x:v>101</x:v>
      </x:c>
      <x:c r="D26" s="8" t="n">
        <x:f>Source!D20/100</x:f>
        <x:v>493.42</x:v>
      </x:c>
      <x:c r="E26" s="8" t="n">
        <x:f>Source!E20/100</x:f>
        <x:v>986.84</x:v>
      </x:c>
      <x:c r="F26" s="8" t="n">
        <x:f>Source!F20/100</x:f>
        <x:v>0</x:v>
      </x:c>
      <x:c r="G26" s="8" t="n">
        <x:f>Source!G20/100</x:f>
        <x:v>986.84</x:v>
      </x:c>
      <x:c r="H26" s="8" t="n">
        <x:f>G26-D26</x:f>
        <x:v>493.42</x:v>
      </x:c>
      <x:c r="I26" s="1" t="str">
        <x:f>IF(H26&gt;0,"Overbilled","Shortfall")</x:f>
        <x:v>Overbilled</x:v>
      </x:c>
      <x:c r="J26" s="7"/>
      <x:c r="K26" s="7" t="str">
        <x:v>Open</x:v>
      </x:c>
      <x:c r="L26" s="7"/>
    </x:row>
    <x:row r="27" ht="21" customHeight="1">
      <x:c r="A27" s="1" t="str">
        <x:f>Source!A21</x:f>
        <x:v>C0006708</x:v>
      </x:c>
      <x:c r="B27" s="1" t="str">
        <x:f>_xlfn.IFNA(VLOOKUP(Source!B21,Advertisers!$A$5:$B$34,2,FALSE),"Missing advertiser")</x:f>
        <x:v>Synthetic advertiser 11</x:v>
      </x:c>
      <x:c r="C27" s="1" t="n">
        <x:f>Source!C21</x:f>
        <x:v>101</x:v>
      </x:c>
      <x:c r="D27" s="8" t="n">
        <x:f>Source!D21/100</x:f>
        <x:v>493.42</x:v>
      </x:c>
      <x:c r="E27" s="8" t="n">
        <x:f>Source!E21/100</x:f>
        <x:v>986.84</x:v>
      </x:c>
      <x:c r="F27" s="8" t="n">
        <x:f>Source!F21/100</x:f>
        <x:v>0</x:v>
      </x:c>
      <x:c r="G27" s="8" t="n">
        <x:f>Source!G21/100</x:f>
        <x:v>986.84</x:v>
      </x:c>
      <x:c r="H27" s="8" t="n">
        <x:f>G27-D27</x:f>
        <x:v>493.42</x:v>
      </x:c>
      <x:c r="I27" s="1" t="str">
        <x:f>IF(H27&gt;0,"Overbilled","Shortfall")</x:f>
        <x:v>Overbilled</x:v>
      </x:c>
      <x:c r="J27" s="7"/>
      <x:c r="K27" s="7" t="str">
        <x:v>Open</x:v>
      </x:c>
      <x:c r="L27" s="7"/>
    </x:row>
    <x:row r="28" ht="21" customHeight="1">
      <x:c r="A28" s="1" t="str">
        <x:f>Source!A22</x:f>
        <x:v>C0007477</x:v>
      </x:c>
      <x:c r="B28" s="1" t="str">
        <x:f>_xlfn.IFNA(VLOOKUP(Source!B22,Advertisers!$A$5:$B$34,2,FALSE),"Missing advertiser")</x:f>
        <x:v>Synthetic advertiser 11</x:v>
      </x:c>
      <x:c r="C28" s="1" t="n">
        <x:f>Source!C22</x:f>
        <x:v>101</x:v>
      </x:c>
      <x:c r="D28" s="8" t="n">
        <x:f>Source!D22/100</x:f>
        <x:v>493.42</x:v>
      </x:c>
      <x:c r="E28" s="8" t="n">
        <x:f>Source!E22/100</x:f>
        <x:v>0</x:v>
      </x:c>
      <x:c r="F28" s="8" t="n">
        <x:f>Source!F22/100</x:f>
        <x:v>0</x:v>
      </x:c>
      <x:c r="G28" s="8" t="n">
        <x:f>Source!G22/100</x:f>
        <x:v>0</x:v>
      </x:c>
      <x:c r="H28" s="8" t="n">
        <x:f>G28-D28</x:f>
        <x:v>-493.42</x:v>
      </x:c>
      <x:c r="I28" s="1" t="str">
        <x:f>IF(H28&gt;0,"Overbilled","Shortfall")</x:f>
        <x:v>Shortfall</x:v>
      </x:c>
      <x:c r="J28" s="7"/>
      <x:c r="K28" s="7" t="str">
        <x:v>Open</x:v>
      </x:c>
      <x:c r="L28" s="7"/>
    </x:row>
    <x:row r="29" ht="21" customHeight="1">
      <x:c r="A29" s="1" t="str">
        <x:f>Source!A23</x:f>
        <x:v>C0004148</x:v>
      </x:c>
      <x:c r="B29" s="1" t="str">
        <x:f>_xlfn.IFNA(VLOOKUP(Source!B23,Advertisers!$A$5:$B$34,2,FALSE),"Missing advertiser")</x:f>
        <x:v>Synthetic advertiser 21</x:v>
      </x:c>
      <x:c r="C29" s="1" t="n">
        <x:f>Source!C23</x:f>
        <x:v>81</x:v>
      </x:c>
      <x:c r="D29" s="8" t="n">
        <x:f>Source!D23/100</x:f>
        <x:v>484.94</x:v>
      </x:c>
      <x:c r="E29" s="8" t="n">
        <x:f>Source!E23/100</x:f>
        <x:v>969.88</x:v>
      </x:c>
      <x:c r="F29" s="8" t="n">
        <x:f>Source!F23/100</x:f>
        <x:v>0</x:v>
      </x:c>
      <x:c r="G29" s="8" t="n">
        <x:f>Source!G23/100</x:f>
        <x:v>969.88</x:v>
      </x:c>
      <x:c r="H29" s="8" t="n">
        <x:f>G29-D29</x:f>
        <x:v>484.94</x:v>
      </x:c>
      <x:c r="I29" s="1" t="str">
        <x:f>IF(H29&gt;0,"Overbilled","Shortfall")</x:f>
        <x:v>Overbilled</x:v>
      </x:c>
      <x:c r="J29" s="7"/>
      <x:c r="K29" s="7" t="str">
        <x:v>Open</x:v>
      </x:c>
      <x:c r="L29" s="7"/>
    </x:row>
    <x:row r="30" ht="21" customHeight="1">
      <x:c r="A30" s="1" t="str">
        <x:f>Source!A24</x:f>
        <x:v>C0013696</x:v>
      </x:c>
      <x:c r="B30" s="1" t="str">
        <x:f>_xlfn.IFNA(VLOOKUP(Source!B24,Advertisers!$A$5:$B$34,2,FALSE),"Missing advertiser")</x:f>
        <x:v>Synthetic advertiser 21</x:v>
      </x:c>
      <x:c r="C30" s="1" t="n">
        <x:f>Source!C24</x:f>
        <x:v>81</x:v>
      </x:c>
      <x:c r="D30" s="8" t="n">
        <x:f>Source!D24/100</x:f>
        <x:v>484.94</x:v>
      </x:c>
      <x:c r="E30" s="8" t="n">
        <x:f>Source!E24/100</x:f>
        <x:v>0</x:v>
      </x:c>
      <x:c r="F30" s="8" t="n">
        <x:f>Source!F24/100</x:f>
        <x:v>0</x:v>
      </x:c>
      <x:c r="G30" s="8" t="n">
        <x:f>Source!G24/100</x:f>
        <x:v>0</x:v>
      </x:c>
      <x:c r="H30" s="8" t="n">
        <x:f>G30-D30</x:f>
        <x:v>-484.94</x:v>
      </x:c>
      <x:c r="I30" s="1" t="str">
        <x:f>IF(H30&gt;0,"Overbilled","Shortfall")</x:f>
        <x:v>Shortfall</x:v>
      </x:c>
      <x:c r="J30" s="7"/>
      <x:c r="K30" s="7" t="str">
        <x:v>Open</x:v>
      </x:c>
      <x:c r="L30" s="7"/>
    </x:row>
    <x:row r="31" ht="21" customHeight="1">
      <x:c r="A31" s="1" t="str">
        <x:f>Source!A25</x:f>
        <x:v>C0002133</x:v>
      </x:c>
      <x:c r="B31" s="1" t="str">
        <x:f>_xlfn.IFNA(VLOOKUP(Source!B25,Advertisers!$A$5:$B$34,2,FALSE),"Missing advertiser")</x:f>
        <x:v>Synthetic advertiser 21</x:v>
      </x:c>
      <x:c r="C31" s="1" t="n">
        <x:f>Source!C25</x:f>
        <x:v>81</x:v>
      </x:c>
      <x:c r="D31" s="8" t="n">
        <x:f>Source!D25/100</x:f>
        <x:v>484.94</x:v>
      </x:c>
      <x:c r="E31" s="8" t="n">
        <x:f>Source!E25/100</x:f>
        <x:v>0</x:v>
      </x:c>
      <x:c r="F31" s="8" t="n">
        <x:f>Source!F25/100</x:f>
        <x:v>0</x:v>
      </x:c>
      <x:c r="G31" s="8" t="n">
        <x:f>Source!G25/100</x:f>
        <x:v>0</x:v>
      </x:c>
      <x:c r="H31" s="8" t="n">
        <x:f>G31-D31</x:f>
        <x:v>-484.94</x:v>
      </x:c>
      <x:c r="I31" s="1" t="str">
        <x:f>IF(H31&gt;0,"Overbilled","Shortfall")</x:f>
        <x:v>Shortfall</x:v>
      </x:c>
      <x:c r="J31" s="7"/>
      <x:c r="K31" s="7" t="str">
        <x:v>Open</x:v>
      </x:c>
      <x:c r="L31" s="7"/>
    </x:row>
    <x:row r="32" ht="21" customHeight="1">
      <x:c r="A32" s="1" t="str">
        <x:f>Source!A26</x:f>
        <x:v>C0011075</x:v>
      </x:c>
      <x:c r="B32" s="1" t="str">
        <x:f>_xlfn.IFNA(VLOOKUP(Source!B26,Advertisers!$A$5:$B$34,2,FALSE),"Missing advertiser")</x:f>
        <x:v>Synthetic advertiser 21</x:v>
      </x:c>
      <x:c r="C32" s="1" t="n">
        <x:f>Source!C26</x:f>
        <x:v>81</x:v>
      </x:c>
      <x:c r="D32" s="8" t="n">
        <x:f>Source!D26/100</x:f>
        <x:v>484.94</x:v>
      </x:c>
      <x:c r="E32" s="8" t="n">
        <x:f>Source!E26/100</x:f>
        <x:v>0</x:v>
      </x:c>
      <x:c r="F32" s="8" t="n">
        <x:f>Source!F26/100</x:f>
        <x:v>0</x:v>
      </x:c>
      <x:c r="G32" s="8" t="n">
        <x:f>Source!G26/100</x:f>
        <x:v>0</x:v>
      </x:c>
      <x:c r="H32" s="8" t="n">
        <x:f>G32-D32</x:f>
        <x:v>-484.94</x:v>
      </x:c>
      <x:c r="I32" s="1" t="str">
        <x:f>IF(H32&gt;0,"Overbilled","Shortfall")</x:f>
        <x:v>Shortfall</x:v>
      </x:c>
      <x:c r="J32" s="7"/>
      <x:c r="K32" s="7" t="str">
        <x:v>Open</x:v>
      </x:c>
      <x:c r="L32" s="7"/>
    </x:row>
    <x:row r="33" ht="21" customHeight="1">
      <x:c r="A33" s="1" t="str">
        <x:f>Source!A27</x:f>
        <x:v>C0004749</x:v>
      </x:c>
      <x:c r="B33" s="1" t="str">
        <x:f>_xlfn.IFNA(VLOOKUP(Source!B27,Advertisers!$A$5:$B$34,2,FALSE),"Missing advertiser")</x:f>
        <x:v>Synthetic advertiser 21</x:v>
      </x:c>
      <x:c r="C33" s="1" t="n">
        <x:f>Source!C27</x:f>
        <x:v>81</x:v>
      </x:c>
      <x:c r="D33" s="8" t="n">
        <x:f>Source!D27/100</x:f>
        <x:v>484.94</x:v>
      </x:c>
      <x:c r="E33" s="8" t="n">
        <x:f>Source!E27/100</x:f>
        <x:v>969.88</x:v>
      </x:c>
      <x:c r="F33" s="8" t="n">
        <x:f>Source!F27/100</x:f>
        <x:v>0</x:v>
      </x:c>
      <x:c r="G33" s="8" t="n">
        <x:f>Source!G27/100</x:f>
        <x:v>969.88</x:v>
      </x:c>
      <x:c r="H33" s="8" t="n">
        <x:f>G33-D33</x:f>
        <x:v>484.94</x:v>
      </x:c>
      <x:c r="I33" s="1" t="str">
        <x:f>IF(H33&gt;0,"Overbilled","Shortfall")</x:f>
        <x:v>Overbilled</x:v>
      </x:c>
      <x:c r="J33" s="7"/>
      <x:c r="K33" s="7" t="str">
        <x:v>Open</x:v>
      </x:c>
      <x:c r="L33" s="7"/>
    </x:row>
    <x:row r="34" ht="21" customHeight="1">
      <x:c r="A34" s="1" t="str">
        <x:f>Source!A28</x:f>
        <x:v>C0017628</x:v>
      </x:c>
      <x:c r="B34" s="1" t="str">
        <x:f>_xlfn.IFNA(VLOOKUP(Source!B28,Advertisers!$A$5:$B$34,2,FALSE),"Missing advertiser")</x:f>
        <x:v>Synthetic advertiser 21</x:v>
      </x:c>
      <x:c r="C34" s="1" t="n">
        <x:f>Source!C28</x:f>
        <x:v>81</x:v>
      </x:c>
      <x:c r="D34" s="8" t="n">
        <x:f>Source!D28/100</x:f>
        <x:v>484.94</x:v>
      </x:c>
      <x:c r="E34" s="8" t="n">
        <x:f>Source!E28/100</x:f>
        <x:v>0</x:v>
      </x:c>
      <x:c r="F34" s="8" t="n">
        <x:f>Source!F28/100</x:f>
        <x:v>0</x:v>
      </x:c>
      <x:c r="G34" s="8" t="n">
        <x:f>Source!G28/100</x:f>
        <x:v>0</x:v>
      </x:c>
      <x:c r="H34" s="8" t="n">
        <x:f>G34-D34</x:f>
        <x:v>-484.94</x:v>
      </x:c>
      <x:c r="I34" s="1" t="str">
        <x:f>IF(H34&gt;0,"Overbilled","Shortfall")</x:f>
        <x:v>Shortfall</x:v>
      </x:c>
      <x:c r="J34" s="7"/>
      <x:c r="K34" s="7" t="str">
        <x:v>Open</x:v>
      </x:c>
      <x:c r="L34" s="7"/>
    </x:row>
    <x:row r="35" ht="21" customHeight="1">
      <x:c r="A35" s="1" t="str">
        <x:f>Source!A29</x:f>
        <x:v>C0006604</x:v>
      </x:c>
      <x:c r="B35" s="1" t="str">
        <x:f>_xlfn.IFNA(VLOOKUP(Source!B29,Advertisers!$A$5:$B$34,2,FALSE),"Missing advertiser")</x:f>
        <x:v>Synthetic advertiser 4</x:v>
      </x:c>
      <x:c r="C35" s="1" t="n">
        <x:f>Source!C29</x:f>
        <x:v>64</x:v>
      </x:c>
      <x:c r="D35" s="8" t="n">
        <x:f>Source!D29/100</x:f>
        <x:v>483.22</x:v>
      </x:c>
      <x:c r="E35" s="8" t="n">
        <x:f>Source!E29/100</x:f>
        <x:v>0</x:v>
      </x:c>
      <x:c r="F35" s="8" t="n">
        <x:f>Source!F29/100</x:f>
        <x:v>0</x:v>
      </x:c>
      <x:c r="G35" s="8" t="n">
        <x:f>Source!G29/100</x:f>
        <x:v>0</x:v>
      </x:c>
      <x:c r="H35" s="8" t="n">
        <x:f>G35-D35</x:f>
        <x:v>-483.22</x:v>
      </x:c>
      <x:c r="I35" s="1" t="str">
        <x:f>IF(H35&gt;0,"Overbilled","Shortfall")</x:f>
        <x:v>Shortfall</x:v>
      </x:c>
      <x:c r="J35" s="7"/>
      <x:c r="K35" s="7" t="str">
        <x:v>Open</x:v>
      </x:c>
      <x:c r="L35" s="7"/>
    </x:row>
    <x:row r="36" ht="21" customHeight="1">
      <x:c r="A36" s="1" t="str">
        <x:f>Source!A30</x:f>
        <x:v>C0013672</x:v>
      </x:c>
      <x:c r="B36" s="1" t="str">
        <x:f>_xlfn.IFNA(VLOOKUP(Source!B30,Advertisers!$A$5:$B$34,2,FALSE),"Missing advertiser")</x:f>
        <x:v>Synthetic advertiser 4</x:v>
      </x:c>
      <x:c r="C36" s="1" t="n">
        <x:f>Source!C30</x:f>
        <x:v>64</x:v>
      </x:c>
      <x:c r="D36" s="8" t="n">
        <x:f>Source!D30/100</x:f>
        <x:v>483.22</x:v>
      </x:c>
      <x:c r="E36" s="8" t="n">
        <x:f>Source!E30/100</x:f>
        <x:v>966.44</x:v>
      </x:c>
      <x:c r="F36" s="8" t="n">
        <x:f>Source!F30/100</x:f>
        <x:v>0</x:v>
      </x:c>
      <x:c r="G36" s="8" t="n">
        <x:f>Source!G30/100</x:f>
        <x:v>966.44</x:v>
      </x:c>
      <x:c r="H36" s="8" t="n">
        <x:f>G36-D36</x:f>
        <x:v>483.22</x:v>
      </x:c>
      <x:c r="I36" s="1" t="str">
        <x:f>IF(H36&gt;0,"Overbilled","Shortfall")</x:f>
        <x:v>Overbilled</x:v>
      </x:c>
      <x:c r="J36" s="7"/>
      <x:c r="K36" s="7" t="str">
        <x:v>Open</x:v>
      </x:c>
      <x:c r="L36" s="7"/>
    </x:row>
    <x:row r="37" ht="21" customHeight="1">
      <x:c r="A37" s="1" t="str">
        <x:f>Source!A31</x:f>
        <x:v>C0009646</x:v>
      </x:c>
      <x:c r="B37" s="1" t="str">
        <x:f>_xlfn.IFNA(VLOOKUP(Source!B31,Advertisers!$A$5:$B$34,2,FALSE),"Missing advertiser")</x:f>
        <x:v>Synthetic advertiser 4</x:v>
      </x:c>
      <x:c r="C37" s="1" t="n">
        <x:f>Source!C31</x:f>
        <x:v>64</x:v>
      </x:c>
      <x:c r="D37" s="8" t="n">
        <x:f>Source!D31/100</x:f>
        <x:v>483.22</x:v>
      </x:c>
      <x:c r="E37" s="8" t="n">
        <x:f>Source!E31/100</x:f>
        <x:v>966.44</x:v>
      </x:c>
      <x:c r="F37" s="8" t="n">
        <x:f>Source!F31/100</x:f>
        <x:v>0</x:v>
      </x:c>
      <x:c r="G37" s="8" t="n">
        <x:f>Source!G31/100</x:f>
        <x:v>966.44</x:v>
      </x:c>
      <x:c r="H37" s="8" t="n">
        <x:f>G37-D37</x:f>
        <x:v>483.22</x:v>
      </x:c>
      <x:c r="I37" s="1" t="str">
        <x:f>IF(H37&gt;0,"Overbilled","Shortfall")</x:f>
        <x:v>Overbilled</x:v>
      </x:c>
      <x:c r="J37" s="7"/>
      <x:c r="K37" s="7" t="str">
        <x:v>Open</x:v>
      </x:c>
      <x:c r="L37" s="7"/>
    </x:row>
    <x:row r="38" ht="21" customHeight="1">
      <x:c r="A38" s="1" t="str">
        <x:f>Source!A32</x:f>
        <x:v>C0007824</x:v>
      </x:c>
      <x:c r="B38" s="1" t="str">
        <x:f>_xlfn.IFNA(VLOOKUP(Source!B32,Advertisers!$A$5:$B$34,2,FALSE),"Missing advertiser")</x:f>
        <x:v>Synthetic advertiser 4</x:v>
      </x:c>
      <x:c r="C38" s="1" t="n">
        <x:f>Source!C32</x:f>
        <x:v>64</x:v>
      </x:c>
      <x:c r="D38" s="8" t="n">
        <x:f>Source!D32/100</x:f>
        <x:v>483.22</x:v>
      </x:c>
      <x:c r="E38" s="8" t="n">
        <x:f>Source!E32/100</x:f>
        <x:v>966.44</x:v>
      </x:c>
      <x:c r="F38" s="8" t="n">
        <x:f>Source!F32/100</x:f>
        <x:v>0</x:v>
      </x:c>
      <x:c r="G38" s="8" t="n">
        <x:f>Source!G32/100</x:f>
        <x:v>966.44</x:v>
      </x:c>
      <x:c r="H38" s="8" t="n">
        <x:f>G38-D38</x:f>
        <x:v>483.22</x:v>
      </x:c>
      <x:c r="I38" s="1" t="str">
        <x:f>IF(H38&gt;0,"Overbilled","Shortfall")</x:f>
        <x:v>Overbilled</x:v>
      </x:c>
      <x:c r="J38" s="7"/>
      <x:c r="K38" s="7" t="str">
        <x:v>Open</x:v>
      </x:c>
      <x:c r="L38" s="7"/>
    </x:row>
    <x:row r="39" ht="21" customHeight="1">
      <x:c r="A39" s="1" t="str">
        <x:f>Source!A33</x:f>
        <x:v>C0015344</x:v>
      </x:c>
      <x:c r="B39" s="1" t="str">
        <x:f>_xlfn.IFNA(VLOOKUP(Source!B33,Advertisers!$A$5:$B$34,2,FALSE),"Missing advertiser")</x:f>
        <x:v>Synthetic advertiser 4</x:v>
      </x:c>
      <x:c r="C39" s="1" t="n">
        <x:f>Source!C33</x:f>
        <x:v>64</x:v>
      </x:c>
      <x:c r="D39" s="8" t="n">
        <x:f>Source!D33/100</x:f>
        <x:v>483.22</x:v>
      </x:c>
      <x:c r="E39" s="8" t="n">
        <x:f>Source!E33/100</x:f>
        <x:v>966.44</x:v>
      </x:c>
      <x:c r="F39" s="8" t="n">
        <x:f>Source!F33/100</x:f>
        <x:v>0</x:v>
      </x:c>
      <x:c r="G39" s="8" t="n">
        <x:f>Source!G33/100</x:f>
        <x:v>966.44</x:v>
      </x:c>
      <x:c r="H39" s="8" t="n">
        <x:f>G39-D39</x:f>
        <x:v>483.22</x:v>
      </x:c>
      <x:c r="I39" s="1" t="str">
        <x:f>IF(H39&gt;0,"Overbilled","Shortfall")</x:f>
        <x:v>Overbilled</x:v>
      </x:c>
      <x:c r="J39" s="7"/>
      <x:c r="K39" s="7" t="str">
        <x:v>Open</x:v>
      </x:c>
      <x:c r="L39" s="7"/>
    </x:row>
    <x:row r="40" ht="21" customHeight="1">
      <x:c r="A40" s="1" t="str">
        <x:f>Source!A34</x:f>
        <x:v>C0006466</x:v>
      </x:c>
      <x:c r="B40" s="1" t="str">
        <x:f>_xlfn.IFNA(VLOOKUP(Source!B34,Advertisers!$A$5:$B$34,2,FALSE),"Missing advertiser")</x:f>
        <x:v>Synthetic advertiser 21</x:v>
      </x:c>
      <x:c r="C40" s="1" t="n">
        <x:f>Source!C34</x:f>
        <x:v>51</x:v>
      </x:c>
      <x:c r="D40" s="8" t="n">
        <x:f>Source!D34/100</x:f>
        <x:v>471.12</x:v>
      </x:c>
      <x:c r="E40" s="8" t="n">
        <x:f>Source!E34/100</x:f>
        <x:v>942.24</x:v>
      </x:c>
      <x:c r="F40" s="8" t="n">
        <x:f>Source!F34/100</x:f>
        <x:v>0</x:v>
      </x:c>
      <x:c r="G40" s="8" t="n">
        <x:f>Source!G34/100</x:f>
        <x:v>942.24</x:v>
      </x:c>
      <x:c r="H40" s="8" t="n">
        <x:f>G40-D40</x:f>
        <x:v>471.12</x:v>
      </x:c>
      <x:c r="I40" s="1" t="str">
        <x:f>IF(H40&gt;0,"Overbilled","Shortfall")</x:f>
        <x:v>Overbilled</x:v>
      </x:c>
      <x:c r="J40" s="7"/>
      <x:c r="K40" s="7" t="str">
        <x:v>Open</x:v>
      </x:c>
      <x:c r="L40" s="7"/>
    </x:row>
    <x:row r="41" ht="21" customHeight="1">
      <x:c r="A41" s="1" t="str">
        <x:f>Source!A35</x:f>
        <x:v>C0009690</x:v>
      </x:c>
      <x:c r="B41" s="1" t="str">
        <x:f>_xlfn.IFNA(VLOOKUP(Source!B35,Advertisers!$A$5:$B$34,2,FALSE),"Missing advertiser")</x:f>
        <x:v>Synthetic advertiser 21</x:v>
      </x:c>
      <x:c r="C41" s="1" t="n">
        <x:f>Source!C35</x:f>
        <x:v>51</x:v>
      </x:c>
      <x:c r="D41" s="8" t="n">
        <x:f>Source!D35/100</x:f>
        <x:v>0</x:v>
      </x:c>
      <x:c r="E41" s="8" t="n">
        <x:f>Source!E35/100</x:f>
        <x:v>471.12</x:v>
      </x:c>
      <x:c r="F41" s="8" t="n">
        <x:f>Source!F35/100</x:f>
        <x:v>0</x:v>
      </x:c>
      <x:c r="G41" s="8" t="n">
        <x:f>Source!G35/100</x:f>
        <x:v>471.12</x:v>
      </x:c>
      <x:c r="H41" s="8" t="n">
        <x:f>G41-D41</x:f>
        <x:v>471.12</x:v>
      </x:c>
      <x:c r="I41" s="1" t="str">
        <x:f>IF(H41&gt;0,"Overbilled","Shortfall")</x:f>
        <x:v>Overbilled</x:v>
      </x:c>
      <x:c r="J41" s="7"/>
      <x:c r="K41" s="7" t="str">
        <x:v>Open</x:v>
      </x:c>
      <x:c r="L41" s="7"/>
    </x:row>
    <x:row r="42" ht="21" customHeight="1">
      <x:c r="A42" s="1" t="str">
        <x:f>Source!A36</x:f>
        <x:v>C0005652</x:v>
      </x:c>
      <x:c r="B42" s="1" t="str">
        <x:f>_xlfn.IFNA(VLOOKUP(Source!B36,Advertisers!$A$5:$B$34,2,FALSE),"Missing advertiser")</x:f>
        <x:v>Synthetic advertiser 21</x:v>
      </x:c>
      <x:c r="C42" s="1" t="n">
        <x:f>Source!C36</x:f>
        <x:v>51</x:v>
      </x:c>
      <x:c r="D42" s="8" t="n">
        <x:f>Source!D36/100</x:f>
        <x:v>471.12</x:v>
      </x:c>
      <x:c r="E42" s="8" t="n">
        <x:f>Source!E36/100</x:f>
        <x:v>942.24</x:v>
      </x:c>
      <x:c r="F42" s="8" t="n">
        <x:f>Source!F36/100</x:f>
        <x:v>0</x:v>
      </x:c>
      <x:c r="G42" s="8" t="n">
        <x:f>Source!G36/100</x:f>
        <x:v>942.24</x:v>
      </x:c>
      <x:c r="H42" s="8" t="n">
        <x:f>G42-D42</x:f>
        <x:v>471.12</x:v>
      </x:c>
      <x:c r="I42" s="1" t="str">
        <x:f>IF(H42&gt;0,"Overbilled","Shortfall")</x:f>
        <x:v>Overbilled</x:v>
      </x:c>
      <x:c r="J42" s="7"/>
      <x:c r="K42" s="7" t="str">
        <x:v>Open</x:v>
      </x:c>
      <x:c r="L42" s="7"/>
    </x:row>
    <x:row r="43" ht="21" customHeight="1">
      <x:c r="A43" s="1" t="str">
        <x:f>Source!A37</x:f>
        <x:v>C0015194</x:v>
      </x:c>
      <x:c r="B43" s="1" t="str">
        <x:f>_xlfn.IFNA(VLOOKUP(Source!B37,Advertisers!$A$5:$B$34,2,FALSE),"Missing advertiser")</x:f>
        <x:v>Synthetic advertiser 21</x:v>
      </x:c>
      <x:c r="C43" s="1" t="n">
        <x:f>Source!C37</x:f>
        <x:v>51</x:v>
      </x:c>
      <x:c r="D43" s="8" t="n">
        <x:f>Source!D37/100</x:f>
        <x:v>471.12</x:v>
      </x:c>
      <x:c r="E43" s="8" t="n">
        <x:f>Source!E37/100</x:f>
        <x:v>0</x:v>
      </x:c>
      <x:c r="F43" s="8" t="n">
        <x:f>Source!F37/100</x:f>
        <x:v>0</x:v>
      </x:c>
      <x:c r="G43" s="8" t="n">
        <x:f>Source!G37/100</x:f>
        <x:v>0</x:v>
      </x:c>
      <x:c r="H43" s="8" t="n">
        <x:f>G43-D43</x:f>
        <x:v>-471.12</x:v>
      </x:c>
      <x:c r="I43" s="1" t="str">
        <x:f>IF(H43&gt;0,"Overbilled","Shortfall")</x:f>
        <x:v>Shortfall</x:v>
      </x:c>
      <x:c r="J43" s="7"/>
      <x:c r="K43" s="7" t="str">
        <x:v>Open</x:v>
      </x:c>
      <x:c r="L43" s="7"/>
    </x:row>
    <x:row r="44" ht="21" customHeight="1">
      <x:c r="A44" s="1" t="str">
        <x:f>Source!A38</x:f>
        <x:v>C0013625</x:v>
      </x:c>
      <x:c r="B44" s="1" t="str">
        <x:f>_xlfn.IFNA(VLOOKUP(Source!B38,Advertisers!$A$5:$B$34,2,FALSE),"Missing advertiser")</x:f>
        <x:v>Synthetic advertiser 21</x:v>
      </x:c>
      <x:c r="C44" s="1" t="n">
        <x:f>Source!C38</x:f>
        <x:v>51</x:v>
      </x:c>
      <x:c r="D44" s="8" t="n">
        <x:f>Source!D38/100</x:f>
        <x:v>471.12</x:v>
      </x:c>
      <x:c r="E44" s="8" t="n">
        <x:f>Source!E38/100</x:f>
        <x:v>942.24</x:v>
      </x:c>
      <x:c r="F44" s="8" t="n">
        <x:f>Source!F38/100</x:f>
        <x:v>0</x:v>
      </x:c>
      <x:c r="G44" s="8" t="n">
        <x:f>Source!G38/100</x:f>
        <x:v>942.24</x:v>
      </x:c>
      <x:c r="H44" s="8" t="n">
        <x:f>G44-D44</x:f>
        <x:v>471.12</x:v>
      </x:c>
      <x:c r="I44" s="1" t="str">
        <x:f>IF(H44&gt;0,"Overbilled","Shortfall")</x:f>
        <x:v>Overbilled</x:v>
      </x:c>
      <x:c r="J44" s="7"/>
      <x:c r="K44" s="7" t="str">
        <x:v>Open</x:v>
      </x:c>
      <x:c r="L44" s="7"/>
    </x:row>
    <x:row r="45" ht="21" customHeight="1">
      <x:c r="A45" s="1" t="str">
        <x:f>Source!A39</x:f>
        <x:v>C0001282</x:v>
      </x:c>
      <x:c r="B45" s="1" t="str">
        <x:f>_xlfn.IFNA(VLOOKUP(Source!B39,Advertisers!$A$5:$B$34,2,FALSE),"Missing advertiser")</x:f>
        <x:v>Synthetic advertiser 21</x:v>
      </x:c>
      <x:c r="C45" s="1" t="n">
        <x:f>Source!C39</x:f>
        <x:v>51</x:v>
      </x:c>
      <x:c r="D45" s="8" t="n">
        <x:f>Source!D39/100</x:f>
        <x:v>471.12</x:v>
      </x:c>
      <x:c r="E45" s="8" t="n">
        <x:f>Source!E39/100</x:f>
        <x:v>0</x:v>
      </x:c>
      <x:c r="F45" s="8" t="n">
        <x:f>Source!F39/100</x:f>
        <x:v>0</x:v>
      </x:c>
      <x:c r="G45" s="8" t="n">
        <x:f>Source!G39/100</x:f>
        <x:v>0</x:v>
      </x:c>
      <x:c r="H45" s="8" t="n">
        <x:f>G45-D45</x:f>
        <x:v>-471.12</x:v>
      </x:c>
      <x:c r="I45" s="1" t="str">
        <x:f>IF(H45&gt;0,"Overbilled","Shortfall")</x:f>
        <x:v>Shortfall</x:v>
      </x:c>
      <x:c r="J45" s="7"/>
      <x:c r="K45" s="7" t="str">
        <x:v>Open</x:v>
      </x:c>
      <x:c r="L45" s="7"/>
    </x:row>
    <x:row r="46" ht="21" customHeight="1">
      <x:c r="A46" s="1" t="str">
        <x:f>Source!A40</x:f>
        <x:v>C0013049</x:v>
      </x:c>
      <x:c r="B46" s="1" t="str">
        <x:f>_xlfn.IFNA(VLOOKUP(Source!B40,Advertisers!$A$5:$B$34,2,FALSE),"Missing advertiser")</x:f>
        <x:v>Synthetic advertiser 21</x:v>
      </x:c>
      <x:c r="C46" s="1" t="n">
        <x:f>Source!C40</x:f>
        <x:v>51</x:v>
      </x:c>
      <x:c r="D46" s="8" t="n">
        <x:f>Source!D40/100</x:f>
        <x:v>471.12</x:v>
      </x:c>
      <x:c r="E46" s="8" t="n">
        <x:f>Source!E40/100</x:f>
        <x:v>942.24</x:v>
      </x:c>
      <x:c r="F46" s="8" t="n">
        <x:f>Source!F40/100</x:f>
        <x:v>0</x:v>
      </x:c>
      <x:c r="G46" s="8" t="n">
        <x:f>Source!G40/100</x:f>
        <x:v>942.24</x:v>
      </x:c>
      <x:c r="H46" s="8" t="n">
        <x:f>G46-D46</x:f>
        <x:v>471.12</x:v>
      </x:c>
      <x:c r="I46" s="1" t="str">
        <x:f>IF(H46&gt;0,"Overbilled","Shortfall")</x:f>
        <x:v>Overbilled</x:v>
      </x:c>
      <x:c r="J46" s="7"/>
      <x:c r="K46" s="7" t="str">
        <x:v>Open</x:v>
      </x:c>
      <x:c r="L46" s="7"/>
    </x:row>
    <x:row r="47" ht="21" customHeight="1">
      <x:c r="A47" s="1" t="str">
        <x:f>Source!A41</x:f>
        <x:v>C0007037</x:v>
      </x:c>
      <x:c r="B47" s="1" t="str">
        <x:f>_xlfn.IFNA(VLOOKUP(Source!B41,Advertisers!$A$5:$B$34,2,FALSE),"Missing advertiser")</x:f>
        <x:v>Synthetic advertiser 24</x:v>
      </x:c>
      <x:c r="C47" s="1" t="n">
        <x:f>Source!C41</x:f>
        <x:v>84</x:v>
      </x:c>
      <x:c r="D47" s="8" t="n">
        <x:f>Source!D41/100</x:f>
        <x:v>461.02</x:v>
      </x:c>
      <x:c r="E47" s="8" t="n">
        <x:f>Source!E41/100</x:f>
        <x:v>922.04</x:v>
      </x:c>
      <x:c r="F47" s="8" t="n">
        <x:f>Source!F41/100</x:f>
        <x:v>0</x:v>
      </x:c>
      <x:c r="G47" s="8" t="n">
        <x:f>Source!G41/100</x:f>
        <x:v>922.04</x:v>
      </x:c>
      <x:c r="H47" s="8" t="n">
        <x:f>G47-D47</x:f>
        <x:v>461.02</x:v>
      </x:c>
      <x:c r="I47" s="1" t="str">
        <x:f>IF(H47&gt;0,"Overbilled","Shortfall")</x:f>
        <x:v>Overbilled</x:v>
      </x:c>
      <x:c r="J47" s="7"/>
      <x:c r="K47" s="7" t="str">
        <x:v>Open</x:v>
      </x:c>
      <x:c r="L47" s="7"/>
    </x:row>
    <x:row r="48" ht="21" customHeight="1">
      <x:c r="A48" s="1" t="str">
        <x:f>Source!A42</x:f>
        <x:v>C0000501</x:v>
      </x:c>
      <x:c r="B48" s="1" t="str">
        <x:f>_xlfn.IFNA(VLOOKUP(Source!B42,Advertisers!$A$5:$B$34,2,FALSE),"Missing advertiser")</x:f>
        <x:v>Synthetic advertiser 24</x:v>
      </x:c>
      <x:c r="C48" s="1" t="n">
        <x:f>Source!C42</x:f>
        <x:v>84</x:v>
      </x:c>
      <x:c r="D48" s="8" t="n">
        <x:f>Source!D42/100</x:f>
        <x:v>0</x:v>
      </x:c>
      <x:c r="E48" s="8" t="n">
        <x:f>Source!E42/100</x:f>
        <x:v>461.02</x:v>
      </x:c>
      <x:c r="F48" s="8" t="n">
        <x:f>Source!F42/100</x:f>
        <x:v>0</x:v>
      </x:c>
      <x:c r="G48" s="8" t="n">
        <x:f>Source!G42/100</x:f>
        <x:v>461.02</x:v>
      </x:c>
      <x:c r="H48" s="8" t="n">
        <x:f>G48-D48</x:f>
        <x:v>461.02</x:v>
      </x:c>
      <x:c r="I48" s="1" t="str">
        <x:f>IF(H48&gt;0,"Overbilled","Shortfall")</x:f>
        <x:v>Overbilled</x:v>
      </x:c>
      <x:c r="J48" s="7"/>
      <x:c r="K48" s="7" t="str">
        <x:v>Open</x:v>
      </x:c>
      <x:c r="L48" s="7"/>
    </x:row>
    <x:row r="49" ht="21" customHeight="1">
      <x:c r="A49" s="1" t="str">
        <x:f>Source!A43</x:f>
        <x:v>C0011462</x:v>
      </x:c>
      <x:c r="B49" s="1" t="str">
        <x:f>_xlfn.IFNA(VLOOKUP(Source!B43,Advertisers!$A$5:$B$34,2,FALSE),"Missing advertiser")</x:f>
        <x:v>Synthetic advertiser 24</x:v>
      </x:c>
      <x:c r="C49" s="1" t="n">
        <x:f>Source!C43</x:f>
        <x:v>84</x:v>
      </x:c>
      <x:c r="D49" s="8" t="n">
        <x:f>Source!D43/100</x:f>
        <x:v>461.02</x:v>
      </x:c>
      <x:c r="E49" s="8" t="n">
        <x:f>Source!E43/100</x:f>
        <x:v>922.04</x:v>
      </x:c>
      <x:c r="F49" s="8" t="n">
        <x:f>Source!F43/100</x:f>
        <x:v>0</x:v>
      </x:c>
      <x:c r="G49" s="8" t="n">
        <x:f>Source!G43/100</x:f>
        <x:v>922.04</x:v>
      </x:c>
      <x:c r="H49" s="8" t="n">
        <x:f>G49-D49</x:f>
        <x:v>461.02</x:v>
      </x:c>
      <x:c r="I49" s="1" t="str">
        <x:f>IF(H49&gt;0,"Overbilled","Shortfall")</x:f>
        <x:v>Overbilled</x:v>
      </x:c>
      <x:c r="J49" s="7"/>
      <x:c r="K49" s="7" t="str">
        <x:v>Open</x:v>
      </x:c>
      <x:c r="L49" s="7"/>
    </x:row>
    <x:row r="50" ht="21" customHeight="1">
      <x:c r="A50" s="1" t="str">
        <x:f>Source!A44</x:f>
        <x:v>C0010660</x:v>
      </x:c>
      <x:c r="B50" s="1" t="str">
        <x:f>_xlfn.IFNA(VLOOKUP(Source!B44,Advertisers!$A$5:$B$34,2,FALSE),"Missing advertiser")</x:f>
        <x:v>Synthetic advertiser 24</x:v>
      </x:c>
      <x:c r="C50" s="1" t="n">
        <x:f>Source!C44</x:f>
        <x:v>84</x:v>
      </x:c>
      <x:c r="D50" s="8" t="n">
        <x:f>Source!D44/100</x:f>
        <x:v>461.02</x:v>
      </x:c>
      <x:c r="E50" s="8" t="n">
        <x:f>Source!E44/100</x:f>
        <x:v>0</x:v>
      </x:c>
      <x:c r="F50" s="8" t="n">
        <x:f>Source!F44/100</x:f>
        <x:v>0</x:v>
      </x:c>
      <x:c r="G50" s="8" t="n">
        <x:f>Source!G44/100</x:f>
        <x:v>0</x:v>
      </x:c>
      <x:c r="H50" s="8" t="n">
        <x:f>G50-D50</x:f>
        <x:v>-461.02</x:v>
      </x:c>
      <x:c r="I50" s="1" t="str">
        <x:f>IF(H50&gt;0,"Overbilled","Shortfall")</x:f>
        <x:v>Shortfall</x:v>
      </x:c>
      <x:c r="J50" s="7"/>
      <x:c r="K50" s="7" t="str">
        <x:v>Open</x:v>
      </x:c>
      <x:c r="L50" s="7"/>
    </x:row>
    <x:row r="51" ht="21" customHeight="1">
      <x:c r="A51" s="1" t="str">
        <x:f>Source!A45</x:f>
        <x:v>C0008819</x:v>
      </x:c>
      <x:c r="B51" s="1" t="str">
        <x:f>_xlfn.IFNA(VLOOKUP(Source!B45,Advertisers!$A$5:$B$34,2,FALSE),"Missing advertiser")</x:f>
        <x:v>Synthetic advertiser 24</x:v>
      </x:c>
      <x:c r="C51" s="1" t="n">
        <x:f>Source!C45</x:f>
        <x:v>84</x:v>
      </x:c>
      <x:c r="D51" s="8" t="n">
        <x:f>Source!D45/100</x:f>
        <x:v>461.02</x:v>
      </x:c>
      <x:c r="E51" s="8" t="n">
        <x:f>Source!E45/100</x:f>
        <x:v>922.04</x:v>
      </x:c>
      <x:c r="F51" s="8" t="n">
        <x:f>Source!F45/100</x:f>
        <x:v>0</x:v>
      </x:c>
      <x:c r="G51" s="8" t="n">
        <x:f>Source!G45/100</x:f>
        <x:v>922.04</x:v>
      </x:c>
      <x:c r="H51" s="8" t="n">
        <x:f>G51-D51</x:f>
        <x:v>461.02</x:v>
      </x:c>
      <x:c r="I51" s="1" t="str">
        <x:f>IF(H51&gt;0,"Overbilled","Shortfall")</x:f>
        <x:v>Overbilled</x:v>
      </x:c>
      <x:c r="J51" s="7"/>
      <x:c r="K51" s="7" t="str">
        <x:v>Open</x:v>
      </x:c>
      <x:c r="L51" s="7"/>
    </x:row>
    <x:row r="52" ht="21" customHeight="1">
      <x:c r="A52" s="1" t="str">
        <x:f>Source!A46</x:f>
        <x:v>C0000252</x:v>
      </x:c>
      <x:c r="B52" s="1" t="str">
        <x:f>_xlfn.IFNA(VLOOKUP(Source!B46,Advertisers!$A$5:$B$34,2,FALSE),"Missing advertiser")</x:f>
        <x:v>Synthetic advertiser 24</x:v>
      </x:c>
      <x:c r="C52" s="1" t="n">
        <x:f>Source!C46</x:f>
        <x:v>84</x:v>
      </x:c>
      <x:c r="D52" s="8" t="n">
        <x:f>Source!D46/100</x:f>
        <x:v>0</x:v>
      </x:c>
      <x:c r="E52" s="8" t="n">
        <x:f>Source!E46/100</x:f>
        <x:v>461.02</x:v>
      </x:c>
      <x:c r="F52" s="8" t="n">
        <x:f>Source!F46/100</x:f>
        <x:v>0</x:v>
      </x:c>
      <x:c r="G52" s="8" t="n">
        <x:f>Source!G46/100</x:f>
        <x:v>461.02</x:v>
      </x:c>
      <x:c r="H52" s="8" t="n">
        <x:f>G52-D52</x:f>
        <x:v>461.02</x:v>
      </x:c>
      <x:c r="I52" s="1" t="str">
        <x:f>IF(H52&gt;0,"Overbilled","Shortfall")</x:f>
        <x:v>Overbilled</x:v>
      </x:c>
      <x:c r="J52" s="7"/>
      <x:c r="K52" s="7" t="str">
        <x:v>Open</x:v>
      </x:c>
      <x:c r="L52" s="7"/>
    </x:row>
    <x:row r="53" ht="21" customHeight="1">
      <x:c r="A53" s="1" t="str">
        <x:f>Source!A47</x:f>
        <x:v>C0000322</x:v>
      </x:c>
      <x:c r="B53" s="1" t="str">
        <x:f>_xlfn.IFNA(VLOOKUP(Source!B47,Advertisers!$A$5:$B$34,2,FALSE),"Missing advertiser")</x:f>
        <x:v>Synthetic advertiser 18</x:v>
      </x:c>
      <x:c r="C53" s="1" t="n">
        <x:f>Source!C47</x:f>
        <x:v>108</x:v>
      </x:c>
      <x:c r="D53" s="8" t="n">
        <x:f>Source!D47/100</x:f>
        <x:v>460.66</x:v>
      </x:c>
      <x:c r="E53" s="8" t="n">
        <x:f>Source!E47/100</x:f>
        <x:v>921.32</x:v>
      </x:c>
      <x:c r="F53" s="8" t="n">
        <x:f>Source!F47/100</x:f>
        <x:v>0</x:v>
      </x:c>
      <x:c r="G53" s="8" t="n">
        <x:f>Source!G47/100</x:f>
        <x:v>921.32</x:v>
      </x:c>
      <x:c r="H53" s="8" t="n">
        <x:f>G53-D53</x:f>
        <x:v>460.66</x:v>
      </x:c>
      <x:c r="I53" s="1" t="str">
        <x:f>IF(H53&gt;0,"Overbilled","Shortfall")</x:f>
        <x:v>Overbilled</x:v>
      </x:c>
      <x:c r="J53" s="7"/>
      <x:c r="K53" s="7" t="str">
        <x:v>Open</x:v>
      </x:c>
      <x:c r="L53" s="7"/>
    </x:row>
    <x:row r="54" ht="21" customHeight="1">
      <x:c r="A54" s="1" t="str">
        <x:f>Source!A48</x:f>
        <x:v>C0000791</x:v>
      </x:c>
      <x:c r="B54" s="1" t="str">
        <x:f>_xlfn.IFNA(VLOOKUP(Source!B48,Advertisers!$A$5:$B$34,2,FALSE),"Missing advertiser")</x:f>
        <x:v>Synthetic advertiser 18</x:v>
      </x:c>
      <x:c r="C54" s="1" t="n">
        <x:f>Source!C48</x:f>
        <x:v>108</x:v>
      </x:c>
      <x:c r="D54" s="8" t="n">
        <x:f>Source!D48/100</x:f>
        <x:v>0</x:v>
      </x:c>
      <x:c r="E54" s="8" t="n">
        <x:f>Source!E48/100</x:f>
        <x:v>460.66</x:v>
      </x:c>
      <x:c r="F54" s="8" t="n">
        <x:f>Source!F48/100</x:f>
        <x:v>0</x:v>
      </x:c>
      <x:c r="G54" s="8" t="n">
        <x:f>Source!G48/100</x:f>
        <x:v>460.66</x:v>
      </x:c>
      <x:c r="H54" s="8" t="n">
        <x:f>G54-D54</x:f>
        <x:v>460.66</x:v>
      </x:c>
      <x:c r="I54" s="1" t="str">
        <x:f>IF(H54&gt;0,"Overbilled","Shortfall")</x:f>
        <x:v>Overbilled</x:v>
      </x:c>
      <x:c r="J54" s="7"/>
      <x:c r="K54" s="7" t="str">
        <x:v>Open</x:v>
      </x:c>
      <x:c r="L54" s="7"/>
    </x:row>
    <x:row r="55" ht="21" customHeight="1">
      <x:c r="A55" s="1" t="str">
        <x:f>Source!A49</x:f>
        <x:v>C0014790</x:v>
      </x:c>
      <x:c r="B55" s="1" t="str">
        <x:f>_xlfn.IFNA(VLOOKUP(Source!B49,Advertisers!$A$5:$B$34,2,FALSE),"Missing advertiser")</x:f>
        <x:v>Synthetic advertiser 18</x:v>
      </x:c>
      <x:c r="C55" s="1" t="n">
        <x:f>Source!C49</x:f>
        <x:v>108</x:v>
      </x:c>
      <x:c r="D55" s="8" t="n">
        <x:f>Source!D49/100</x:f>
        <x:v>0</x:v>
      </x:c>
      <x:c r="E55" s="8" t="n">
        <x:f>Source!E49/100</x:f>
        <x:v>460.66</x:v>
      </x:c>
      <x:c r="F55" s="8" t="n">
        <x:f>Source!F49/100</x:f>
        <x:v>0</x:v>
      </x:c>
      <x:c r="G55" s="8" t="n">
        <x:f>Source!G49/100</x:f>
        <x:v>460.66</x:v>
      </x:c>
      <x:c r="H55" s="8" t="n">
        <x:f>G55-D55</x:f>
        <x:v>460.66</x:v>
      </x:c>
      <x:c r="I55" s="1" t="str">
        <x:f>IF(H55&gt;0,"Overbilled","Shortfall")</x:f>
        <x:v>Overbilled</x:v>
      </x:c>
      <x:c r="J55" s="7"/>
      <x:c r="K55" s="7" t="str">
        <x:v>Open</x:v>
      </x:c>
      <x:c r="L55" s="7"/>
    </x:row>
    <x:row r="56" ht="21" customHeight="1">
      <x:c r="A56" s="1" t="str">
        <x:f>Source!A50</x:f>
        <x:v>C0005062</x:v>
      </x:c>
      <x:c r="B56" s="1" t="str">
        <x:f>_xlfn.IFNA(VLOOKUP(Source!B50,Advertisers!$A$5:$B$34,2,FALSE),"Missing advertiser")</x:f>
        <x:v>Synthetic advertiser 18</x:v>
      </x:c>
      <x:c r="C56" s="1" t="n">
        <x:f>Source!C50</x:f>
        <x:v>108</x:v>
      </x:c>
      <x:c r="D56" s="8" t="n">
        <x:f>Source!D50/100</x:f>
        <x:v>460.66</x:v>
      </x:c>
      <x:c r="E56" s="8" t="n">
        <x:f>Source!E50/100</x:f>
        <x:v>921.32</x:v>
      </x:c>
      <x:c r="F56" s="8" t="n">
        <x:f>Source!F50/100</x:f>
        <x:v>0</x:v>
      </x:c>
      <x:c r="G56" s="8" t="n">
        <x:f>Source!G50/100</x:f>
        <x:v>921.32</x:v>
      </x:c>
      <x:c r="H56" s="8" t="n">
        <x:f>G56-D56</x:f>
        <x:v>460.66</x:v>
      </x:c>
      <x:c r="I56" s="1" t="str">
        <x:f>IF(H56&gt;0,"Overbilled","Shortfall")</x:f>
        <x:v>Overbilled</x:v>
      </x:c>
      <x:c r="J56" s="7"/>
      <x:c r="K56" s="7" t="str">
        <x:v>Open</x:v>
      </x:c>
      <x:c r="L56" s="7"/>
    </x:row>
    <x:row r="57" ht="21" customHeight="1">
      <x:c r="A57" s="1" t="str">
        <x:f>Source!A51</x:f>
        <x:v>C0013440</x:v>
      </x:c>
      <x:c r="B57" s="1" t="str">
        <x:f>_xlfn.IFNA(VLOOKUP(Source!B51,Advertisers!$A$5:$B$34,2,FALSE),"Missing advertiser")</x:f>
        <x:v>Synthetic advertiser 18</x:v>
      </x:c>
      <x:c r="C57" s="1" t="n">
        <x:f>Source!C51</x:f>
        <x:v>108</x:v>
      </x:c>
      <x:c r="D57" s="8" t="n">
        <x:f>Source!D51/100</x:f>
        <x:v>460.66</x:v>
      </x:c>
      <x:c r="E57" s="8" t="n">
        <x:f>Source!E51/100</x:f>
        <x:v>0</x:v>
      </x:c>
      <x:c r="F57" s="8" t="n">
        <x:f>Source!F51/100</x:f>
        <x:v>0</x:v>
      </x:c>
      <x:c r="G57" s="8" t="n">
        <x:f>Source!G51/100</x:f>
        <x:v>0</x:v>
      </x:c>
      <x:c r="H57" s="8" t="n">
        <x:f>G57-D57</x:f>
        <x:v>-460.66</x:v>
      </x:c>
      <x:c r="I57" s="1" t="str">
        <x:f>IF(H57&gt;0,"Overbilled","Shortfall")</x:f>
        <x:v>Shortfall</x:v>
      </x:c>
      <x:c r="J57" s="7"/>
      <x:c r="K57" s="7" t="str">
        <x:v>Open</x:v>
      </x:c>
      <x:c r="L57" s="7"/>
    </x:row>
    <x:row r="58" ht="21" customHeight="1">
      <x:c r="A58" s="1" t="str">
        <x:f>Source!A52</x:f>
        <x:v>C0010364</x:v>
      </x:c>
      <x:c r="B58" s="1" t="str">
        <x:f>_xlfn.IFNA(VLOOKUP(Source!B52,Advertisers!$A$5:$B$34,2,FALSE),"Missing advertiser")</x:f>
        <x:v>Synthetic advertiser 18</x:v>
      </x:c>
      <x:c r="C58" s="1" t="n">
        <x:f>Source!C52</x:f>
        <x:v>108</x:v>
      </x:c>
      <x:c r="D58" s="8" t="n">
        <x:f>Source!D52/100</x:f>
        <x:v>460.66</x:v>
      </x:c>
      <x:c r="E58" s="8" t="n">
        <x:f>Source!E52/100</x:f>
        <x:v>921.32</x:v>
      </x:c>
      <x:c r="F58" s="8" t="n">
        <x:f>Source!F52/100</x:f>
        <x:v>0</x:v>
      </x:c>
      <x:c r="G58" s="8" t="n">
        <x:f>Source!G52/100</x:f>
        <x:v>921.32</x:v>
      </x:c>
      <x:c r="H58" s="8" t="n">
        <x:f>G58-D58</x:f>
        <x:v>460.66</x:v>
      </x:c>
      <x:c r="I58" s="1" t="str">
        <x:f>IF(H58&gt;0,"Overbilled","Shortfall")</x:f>
        <x:v>Overbilled</x:v>
      </x:c>
      <x:c r="J58" s="7"/>
      <x:c r="K58" s="7" t="str">
        <x:v>Open</x:v>
      </x:c>
      <x:c r="L58" s="7"/>
    </x:row>
    <x:row r="59" ht="21" customHeight="1">
      <x:c r="A59" s="1" t="str">
        <x:f>Source!A53</x:f>
        <x:v>C0016019</x:v>
      </x:c>
      <x:c r="B59" s="1" t="str">
        <x:f>_xlfn.IFNA(VLOOKUP(Source!B53,Advertisers!$A$5:$B$34,2,FALSE),"Missing advertiser")</x:f>
        <x:v>Synthetic advertiser 22</x:v>
      </x:c>
      <x:c r="C59" s="1" t="n">
        <x:f>Source!C53</x:f>
        <x:v>22</x:v>
      </x:c>
      <x:c r="D59" s="8" t="n">
        <x:f>Source!D53/100</x:f>
        <x:v>457.38</x:v>
      </x:c>
      <x:c r="E59" s="8" t="n">
        <x:f>Source!E53/100</x:f>
        <x:v>914.76</x:v>
      </x:c>
      <x:c r="F59" s="8" t="n">
        <x:f>Source!F53/100</x:f>
        <x:v>0</x:v>
      </x:c>
      <x:c r="G59" s="8" t="n">
        <x:f>Source!G53/100</x:f>
        <x:v>914.76</x:v>
      </x:c>
      <x:c r="H59" s="8" t="n">
        <x:f>G59-D59</x:f>
        <x:v>457.38</x:v>
      </x:c>
      <x:c r="I59" s="1" t="str">
        <x:f>IF(H59&gt;0,"Overbilled","Shortfall")</x:f>
        <x:v>Overbilled</x:v>
      </x:c>
      <x:c r="J59" s="7"/>
      <x:c r="K59" s="7" t="str">
        <x:v>Open</x:v>
      </x:c>
      <x:c r="L59" s="7"/>
    </x:row>
    <x:row r="60" ht="21" customHeight="1">
      <x:c r="A60" s="1" t="str">
        <x:f>Source!A54</x:f>
        <x:v>C0017350</x:v>
      </x:c>
      <x:c r="B60" s="1" t="str">
        <x:f>_xlfn.IFNA(VLOOKUP(Source!B54,Advertisers!$A$5:$B$34,2,FALSE),"Missing advertiser")</x:f>
        <x:v>Synthetic advertiser 22</x:v>
      </x:c>
      <x:c r="C60" s="1" t="n">
        <x:f>Source!C54</x:f>
        <x:v>22</x:v>
      </x:c>
      <x:c r="D60" s="8" t="n">
        <x:f>Source!D54/100</x:f>
        <x:v>457.38</x:v>
      </x:c>
      <x:c r="E60" s="8" t="n">
        <x:f>Source!E54/100</x:f>
        <x:v>0</x:v>
      </x:c>
      <x:c r="F60" s="8" t="n">
        <x:f>Source!F54/100</x:f>
        <x:v>0</x:v>
      </x:c>
      <x:c r="G60" s="8" t="n">
        <x:f>Source!G54/100</x:f>
        <x:v>0</x:v>
      </x:c>
      <x:c r="H60" s="8" t="n">
        <x:f>G60-D60</x:f>
        <x:v>-457.38</x:v>
      </x:c>
      <x:c r="I60" s="1" t="str">
        <x:f>IF(H60&gt;0,"Overbilled","Shortfall")</x:f>
        <x:v>Shortfall</x:v>
      </x:c>
      <x:c r="J60" s="7"/>
      <x:c r="K60" s="7" t="str">
        <x:v>Open</x:v>
      </x:c>
      <x:c r="L60" s="7"/>
    </x:row>
    <x:row r="61" ht="21" customHeight="1">
      <x:c r="A61" s="1" t="str">
        <x:f>Source!A55</x:f>
        <x:v>C0015922</x:v>
      </x:c>
      <x:c r="B61" s="1" t="str">
        <x:f>_xlfn.IFNA(VLOOKUP(Source!B55,Advertisers!$A$5:$B$34,2,FALSE),"Missing advertiser")</x:f>
        <x:v>Synthetic advertiser 22</x:v>
      </x:c>
      <x:c r="C61" s="1" t="n">
        <x:f>Source!C55</x:f>
        <x:v>22</x:v>
      </x:c>
      <x:c r="D61" s="8" t="n">
        <x:f>Source!D55/100</x:f>
        <x:v>457.38</x:v>
      </x:c>
      <x:c r="E61" s="8" t="n">
        <x:f>Source!E55/100</x:f>
        <x:v>0</x:v>
      </x:c>
      <x:c r="F61" s="8" t="n">
        <x:f>Source!F55/100</x:f>
        <x:v>0</x:v>
      </x:c>
      <x:c r="G61" s="8" t="n">
        <x:f>Source!G55/100</x:f>
        <x:v>0</x:v>
      </x:c>
      <x:c r="H61" s="8" t="n">
        <x:f>G61-D61</x:f>
        <x:v>-457.38</x:v>
      </x:c>
      <x:c r="I61" s="1" t="str">
        <x:f>IF(H61&gt;0,"Overbilled","Shortfall")</x:f>
        <x:v>Shortfall</x:v>
      </x:c>
      <x:c r="J61" s="7"/>
      <x:c r="K61" s="7" t="str">
        <x:v>Open</x:v>
      </x:c>
      <x:c r="L61" s="7"/>
    </x:row>
    <x:row r="62" ht="21" customHeight="1">
      <x:c r="A62" s="1" t="str">
        <x:f>Source!A56</x:f>
        <x:v>C0009428</x:v>
      </x:c>
      <x:c r="B62" s="1" t="str">
        <x:f>_xlfn.IFNA(VLOOKUP(Source!B56,Advertisers!$A$5:$B$34,2,FALSE),"Missing advertiser")</x:f>
        <x:v>Synthetic advertiser 22</x:v>
      </x:c>
      <x:c r="C62" s="1" t="n">
        <x:f>Source!C56</x:f>
        <x:v>22</x:v>
      </x:c>
      <x:c r="D62" s="8" t="n">
        <x:f>Source!D56/100</x:f>
        <x:v>457.38</x:v>
      </x:c>
      <x:c r="E62" s="8" t="n">
        <x:f>Source!E56/100</x:f>
        <x:v>914.76</x:v>
      </x:c>
      <x:c r="F62" s="8" t="n">
        <x:f>Source!F56/100</x:f>
        <x:v>0</x:v>
      </x:c>
      <x:c r="G62" s="8" t="n">
        <x:f>Source!G56/100</x:f>
        <x:v>914.76</x:v>
      </x:c>
      <x:c r="H62" s="8" t="n">
        <x:f>G62-D62</x:f>
        <x:v>457.38</x:v>
      </x:c>
      <x:c r="I62" s="1" t="str">
        <x:f>IF(H62&gt;0,"Overbilled","Shortfall")</x:f>
        <x:v>Overbilled</x:v>
      </x:c>
      <x:c r="J62" s="7"/>
      <x:c r="K62" s="7" t="str">
        <x:v>Open</x:v>
      </x:c>
      <x:c r="L62" s="7"/>
    </x:row>
    <x:row r="63" ht="21" customHeight="1">
      <x:c r="A63" s="1" t="str">
        <x:f>Source!A57</x:f>
        <x:v>C0016120</x:v>
      </x:c>
      <x:c r="B63" s="1" t="str">
        <x:f>_xlfn.IFNA(VLOOKUP(Source!B57,Advertisers!$A$5:$B$34,2,FALSE),"Missing advertiser")</x:f>
        <x:v>Synthetic advertiser 22</x:v>
      </x:c>
      <x:c r="C63" s="1" t="n">
        <x:f>Source!C57</x:f>
        <x:v>22</x:v>
      </x:c>
      <x:c r="D63" s="8" t="n">
        <x:f>Source!D57/100</x:f>
        <x:v>457.38</x:v>
      </x:c>
      <x:c r="E63" s="8" t="n">
        <x:f>Source!E57/100</x:f>
        <x:v>914.76</x:v>
      </x:c>
      <x:c r="F63" s="8" t="n">
        <x:f>Source!F57/100</x:f>
        <x:v>0</x:v>
      </x:c>
      <x:c r="G63" s="8" t="n">
        <x:f>Source!G57/100</x:f>
        <x:v>914.76</x:v>
      </x:c>
      <x:c r="H63" s="8" t="n">
        <x:f>G63-D63</x:f>
        <x:v>457.38</x:v>
      </x:c>
      <x:c r="I63" s="1" t="str">
        <x:f>IF(H63&gt;0,"Overbilled","Shortfall")</x:f>
        <x:v>Overbilled</x:v>
      </x:c>
      <x:c r="J63" s="7"/>
      <x:c r="K63" s="7" t="str">
        <x:v>Open</x:v>
      </x:c>
      <x:c r="L63" s="7"/>
    </x:row>
    <x:row r="64" ht="21" customHeight="1">
      <x:c r="A64" s="1" t="str">
        <x:f>Source!A58</x:f>
        <x:v>C0009009</x:v>
      </x:c>
      <x:c r="B64" s="1" t="str">
        <x:f>_xlfn.IFNA(VLOOKUP(Source!B58,Advertisers!$A$5:$B$34,2,FALSE),"Missing advertiser")</x:f>
        <x:v>Synthetic advertiser 12</x:v>
      </x:c>
      <x:c r="C64" s="1" t="n">
        <x:f>Source!C58</x:f>
        <x:v>102</x:v>
      </x:c>
      <x:c r="D64" s="8" t="n">
        <x:f>Source!D58/100</x:f>
        <x:v>446.24</x:v>
      </x:c>
      <x:c r="E64" s="8" t="n">
        <x:f>Source!E58/100</x:f>
        <x:v>892.48</x:v>
      </x:c>
      <x:c r="F64" s="8" t="n">
        <x:f>Source!F58/100</x:f>
        <x:v>0</x:v>
      </x:c>
      <x:c r="G64" s="8" t="n">
        <x:f>Source!G58/100</x:f>
        <x:v>892.48</x:v>
      </x:c>
      <x:c r="H64" s="8" t="n">
        <x:f>G64-D64</x:f>
        <x:v>446.24</x:v>
      </x:c>
      <x:c r="I64" s="1" t="str">
        <x:f>IF(H64&gt;0,"Overbilled","Shortfall")</x:f>
        <x:v>Overbilled</x:v>
      </x:c>
      <x:c r="J64" s="7"/>
      <x:c r="K64" s="7" t="str">
        <x:v>Open</x:v>
      </x:c>
      <x:c r="L64" s="7"/>
    </x:row>
    <x:row r="65" ht="21" customHeight="1">
      <x:c r="A65" s="1" t="str">
        <x:f>Source!A59</x:f>
        <x:v>C0008173</x:v>
      </x:c>
      <x:c r="B65" s="1" t="str">
        <x:f>_xlfn.IFNA(VLOOKUP(Source!B59,Advertisers!$A$5:$B$34,2,FALSE),"Missing advertiser")</x:f>
        <x:v>Synthetic advertiser 12</x:v>
      </x:c>
      <x:c r="C65" s="1" t="n">
        <x:f>Source!C59</x:f>
        <x:v>102</x:v>
      </x:c>
      <x:c r="D65" s="8" t="n">
        <x:f>Source!D59/100</x:f>
        <x:v>446.24</x:v>
      </x:c>
      <x:c r="E65" s="8" t="n">
        <x:f>Source!E59/100</x:f>
        <x:v>0</x:v>
      </x:c>
      <x:c r="F65" s="8" t="n">
        <x:f>Source!F59/100</x:f>
        <x:v>0</x:v>
      </x:c>
      <x:c r="G65" s="8" t="n">
        <x:f>Source!G59/100</x:f>
        <x:v>0</x:v>
      </x:c>
      <x:c r="H65" s="8" t="n">
        <x:f>G65-D65</x:f>
        <x:v>-446.24</x:v>
      </x:c>
      <x:c r="I65" s="1" t="str">
        <x:f>IF(H65&gt;0,"Overbilled","Shortfall")</x:f>
        <x:v>Shortfall</x:v>
      </x:c>
      <x:c r="J65" s="7"/>
      <x:c r="K65" s="7" t="str">
        <x:v>Open</x:v>
      </x:c>
      <x:c r="L65" s="7"/>
    </x:row>
    <x:row r="66" ht="21" customHeight="1">
      <x:c r="A66" s="1" t="str">
        <x:f>Source!A60</x:f>
        <x:v>C0014873</x:v>
      </x:c>
      <x:c r="B66" s="1" t="str">
        <x:f>_xlfn.IFNA(VLOOKUP(Source!B60,Advertisers!$A$5:$B$34,2,FALSE),"Missing advertiser")</x:f>
        <x:v>Synthetic advertiser 12</x:v>
      </x:c>
      <x:c r="C66" s="1" t="n">
        <x:f>Source!C60</x:f>
        <x:v>102</x:v>
      </x:c>
      <x:c r="D66" s="8" t="n">
        <x:f>Source!D60/100</x:f>
        <x:v>446.24</x:v>
      </x:c>
      <x:c r="E66" s="8" t="n">
        <x:f>Source!E60/100</x:f>
        <x:v>892.48</x:v>
      </x:c>
      <x:c r="F66" s="8" t="n">
        <x:f>Source!F60/100</x:f>
        <x:v>0</x:v>
      </x:c>
      <x:c r="G66" s="8" t="n">
        <x:f>Source!G60/100</x:f>
        <x:v>892.48</x:v>
      </x:c>
      <x:c r="H66" s="8" t="n">
        <x:f>G66-D66</x:f>
        <x:v>446.24</x:v>
      </x:c>
      <x:c r="I66" s="1" t="str">
        <x:f>IF(H66&gt;0,"Overbilled","Shortfall")</x:f>
        <x:v>Overbilled</x:v>
      </x:c>
      <x:c r="J66" s="7"/>
      <x:c r="K66" s="7" t="str">
        <x:v>Open</x:v>
      </x:c>
      <x:c r="L66" s="7"/>
    </x:row>
    <x:row r="67" ht="21" customHeight="1">
      <x:c r="A67" s="1" t="str">
        <x:f>Source!A61</x:f>
        <x:v>C0006725</x:v>
      </x:c>
      <x:c r="B67" s="1" t="str">
        <x:f>_xlfn.IFNA(VLOOKUP(Source!B61,Advertisers!$A$5:$B$34,2,FALSE),"Missing advertiser")</x:f>
        <x:v>Synthetic advertiser 12</x:v>
      </x:c>
      <x:c r="C67" s="1" t="n">
        <x:f>Source!C61</x:f>
        <x:v>102</x:v>
      </x:c>
      <x:c r="D67" s="8" t="n">
        <x:f>Source!D61/100</x:f>
        <x:v>446.24</x:v>
      </x:c>
      <x:c r="E67" s="8" t="n">
        <x:f>Source!E61/100</x:f>
        <x:v>892.48</x:v>
      </x:c>
      <x:c r="F67" s="8" t="n">
        <x:f>Source!F61/100</x:f>
        <x:v>0</x:v>
      </x:c>
      <x:c r="G67" s="8" t="n">
        <x:f>Source!G61/100</x:f>
        <x:v>892.48</x:v>
      </x:c>
      <x:c r="H67" s="8" t="n">
        <x:f>G67-D67</x:f>
        <x:v>446.24</x:v>
      </x:c>
      <x:c r="I67" s="1" t="str">
        <x:f>IF(H67&gt;0,"Overbilled","Shortfall")</x:f>
        <x:v>Overbilled</x:v>
      </x:c>
      <x:c r="J67" s="7"/>
      <x:c r="K67" s="7" t="str">
        <x:v>Open</x:v>
      </x:c>
      <x:c r="L67" s="7"/>
    </x:row>
    <x:row r="68" ht="21" customHeight="1">
      <x:c r="A68" s="1" t="str">
        <x:f>Source!A62</x:f>
        <x:v>C0010103</x:v>
      </x:c>
      <x:c r="B68" s="1" t="str">
        <x:f>_xlfn.IFNA(VLOOKUP(Source!B62,Advertisers!$A$5:$B$34,2,FALSE),"Missing advertiser")</x:f>
        <x:v>Synthetic advertiser 12</x:v>
      </x:c>
      <x:c r="C68" s="1" t="n">
        <x:f>Source!C62</x:f>
        <x:v>102</x:v>
      </x:c>
      <x:c r="D68" s="8" t="n">
        <x:f>Source!D62/100</x:f>
        <x:v>446.24</x:v>
      </x:c>
      <x:c r="E68" s="8" t="n">
        <x:f>Source!E62/100</x:f>
        <x:v>892.48</x:v>
      </x:c>
      <x:c r="F68" s="8" t="n">
        <x:f>Source!F62/100</x:f>
        <x:v>0</x:v>
      </x:c>
      <x:c r="G68" s="8" t="n">
        <x:f>Source!G62/100</x:f>
        <x:v>892.48</x:v>
      </x:c>
      <x:c r="H68" s="8" t="n">
        <x:f>G68-D68</x:f>
        <x:v>446.24</x:v>
      </x:c>
      <x:c r="I68" s="1" t="str">
        <x:f>IF(H68&gt;0,"Overbilled","Shortfall")</x:f>
        <x:v>Overbilled</x:v>
      </x:c>
      <x:c r="J68" s="7"/>
      <x:c r="K68" s="7" t="str">
        <x:v>Open</x:v>
      </x:c>
      <x:c r="L68" s="7"/>
    </x:row>
    <x:row r="69" ht="21" customHeight="1">
      <x:c r="A69" s="1" t="str">
        <x:f>Source!A63</x:f>
        <x:v>C0007486</x:v>
      </x:c>
      <x:c r="B69" s="1" t="str">
        <x:f>_xlfn.IFNA(VLOOKUP(Source!B63,Advertisers!$A$5:$B$34,2,FALSE),"Missing advertiser")</x:f>
        <x:v>Synthetic advertiser 12</x:v>
      </x:c>
      <x:c r="C69" s="1" t="n">
        <x:f>Source!C63</x:f>
        <x:v>102</x:v>
      </x:c>
      <x:c r="D69" s="8" t="n">
        <x:f>Source!D63/100</x:f>
        <x:v>446.24</x:v>
      </x:c>
      <x:c r="E69" s="8" t="n">
        <x:f>Source!E63/100</x:f>
        <x:v>892.48</x:v>
      </x:c>
      <x:c r="F69" s="8" t="n">
        <x:f>Source!F63/100</x:f>
        <x:v>0</x:v>
      </x:c>
      <x:c r="G69" s="8" t="n">
        <x:f>Source!G63/100</x:f>
        <x:v>892.48</x:v>
      </x:c>
      <x:c r="H69" s="8" t="n">
        <x:f>G69-D69</x:f>
        <x:v>446.24</x:v>
      </x:c>
      <x:c r="I69" s="1" t="str">
        <x:f>IF(H69&gt;0,"Overbilled","Shortfall")</x:f>
        <x:v>Overbilled</x:v>
      </x:c>
      <x:c r="J69" s="7"/>
      <x:c r="K69" s="7" t="str">
        <x:v>Open</x:v>
      </x:c>
      <x:c r="L69" s="7"/>
    </x:row>
    <x:row r="70" ht="21" customHeight="1">
      <x:c r="A70" s="1" t="str">
        <x:f>Source!A64</x:f>
        <x:v>C0004375</x:v>
      </x:c>
      <x:c r="B70" s="1" t="str">
        <x:f>_xlfn.IFNA(VLOOKUP(Source!B64,Advertisers!$A$5:$B$34,2,FALSE),"Missing advertiser")</x:f>
        <x:v>Synthetic advertiser 12</x:v>
      </x:c>
      <x:c r="C70" s="1" t="n">
        <x:f>Source!C64</x:f>
        <x:v>102</x:v>
      </x:c>
      <x:c r="D70" s="8" t="n">
        <x:f>Source!D64/100</x:f>
        <x:v>446.24</x:v>
      </x:c>
      <x:c r="E70" s="8" t="n">
        <x:f>Source!E64/100</x:f>
        <x:v>892.48</x:v>
      </x:c>
      <x:c r="F70" s="8" t="n">
        <x:f>Source!F64/100</x:f>
        <x:v>0</x:v>
      </x:c>
      <x:c r="G70" s="8" t="n">
        <x:f>Source!G64/100</x:f>
        <x:v>892.48</x:v>
      </x:c>
      <x:c r="H70" s="8" t="n">
        <x:f>G70-D70</x:f>
        <x:v>446.24</x:v>
      </x:c>
      <x:c r="I70" s="1" t="str">
        <x:f>IF(H70&gt;0,"Overbilled","Shortfall")</x:f>
        <x:v>Overbilled</x:v>
      </x:c>
      <x:c r="J70" s="7"/>
      <x:c r="K70" s="7" t="str">
        <x:v>Open</x:v>
      </x:c>
      <x:c r="L70" s="7"/>
    </x:row>
    <x:row r="71" ht="21" customHeight="1">
      <x:c r="A71" s="1" t="str">
        <x:f>Source!A65</x:f>
        <x:v>C0007574</x:v>
      </x:c>
      <x:c r="B71" s="1" t="str">
        <x:f>_xlfn.IFNA(VLOOKUP(Source!B65,Advertisers!$A$5:$B$34,2,FALSE),"Missing advertiser")</x:f>
        <x:v>Synthetic advertiser 12</x:v>
      </x:c>
      <x:c r="C71" s="1" t="n">
        <x:f>Source!C65</x:f>
        <x:v>102</x:v>
      </x:c>
      <x:c r="D71" s="8" t="n">
        <x:f>Source!D65/100</x:f>
        <x:v>446.24</x:v>
      </x:c>
      <x:c r="E71" s="8" t="n">
        <x:f>Source!E65/100</x:f>
        <x:v>892.48</x:v>
      </x:c>
      <x:c r="F71" s="8" t="n">
        <x:f>Source!F65/100</x:f>
        <x:v>0</x:v>
      </x:c>
      <x:c r="G71" s="8" t="n">
        <x:f>Source!G65/100</x:f>
        <x:v>892.48</x:v>
      </x:c>
      <x:c r="H71" s="8" t="n">
        <x:f>G71-D71</x:f>
        <x:v>446.24</x:v>
      </x:c>
      <x:c r="I71" s="1" t="str">
        <x:f>IF(H71&gt;0,"Overbilled","Shortfall")</x:f>
        <x:v>Overbilled</x:v>
      </x:c>
      <x:c r="J71" s="7"/>
      <x:c r="K71" s="7" t="str">
        <x:v>Open</x:v>
      </x:c>
      <x:c r="L71" s="7"/>
    </x:row>
    <x:row r="72" ht="21" customHeight="1">
      <x:c r="A72" s="1" t="str">
        <x:f>Source!A66</x:f>
        <x:v>C0003101</x:v>
      </x:c>
      <x:c r="B72" s="1" t="str">
        <x:f>_xlfn.IFNA(VLOOKUP(Source!B66,Advertisers!$A$5:$B$34,2,FALSE),"Missing advertiser")</x:f>
        <x:v>Synthetic advertiser 12</x:v>
      </x:c>
      <x:c r="C72" s="1" t="n">
        <x:f>Source!C66</x:f>
        <x:v>102</x:v>
      </x:c>
      <x:c r="D72" s="8" t="n">
        <x:f>Source!D66/100</x:f>
        <x:v>446.24</x:v>
      </x:c>
      <x:c r="E72" s="8" t="n">
        <x:f>Source!E66/100</x:f>
        <x:v>0</x:v>
      </x:c>
      <x:c r="F72" s="8" t="n">
        <x:f>Source!F66/100</x:f>
        <x:v>0</x:v>
      </x:c>
      <x:c r="G72" s="8" t="n">
        <x:f>Source!G66/100</x:f>
        <x:v>0</x:v>
      </x:c>
      <x:c r="H72" s="8" t="n">
        <x:f>G72-D72</x:f>
        <x:v>-446.24</x:v>
      </x:c>
      <x:c r="I72" s="1" t="str">
        <x:f>IF(H72&gt;0,"Overbilled","Shortfall")</x:f>
        <x:v>Shortfall</x:v>
      </x:c>
      <x:c r="J72" s="7"/>
      <x:c r="K72" s="7" t="str">
        <x:v>Open</x:v>
      </x:c>
      <x:c r="L72" s="7"/>
    </x:row>
    <x:row r="73" ht="21" customHeight="1">
      <x:c r="A73" s="1" t="str">
        <x:f>Source!A67</x:f>
        <x:v>C0015989</x:v>
      </x:c>
      <x:c r="B73" s="1" t="str">
        <x:f>_xlfn.IFNA(VLOOKUP(Source!B67,Advertisers!$A$5:$B$34,2,FALSE),"Missing advertiser")</x:f>
        <x:v>Synthetic advertiser 12</x:v>
      </x:c>
      <x:c r="C73" s="1" t="n">
        <x:f>Source!C67</x:f>
        <x:v>102</x:v>
      </x:c>
      <x:c r="D73" s="8" t="n">
        <x:f>Source!D67/100</x:f>
        <x:v>446.24</x:v>
      </x:c>
      <x:c r="E73" s="8" t="n">
        <x:f>Source!E67/100</x:f>
        <x:v>892.48</x:v>
      </x:c>
      <x:c r="F73" s="8" t="n">
        <x:f>Source!F67/100</x:f>
        <x:v>0</x:v>
      </x:c>
      <x:c r="G73" s="8" t="n">
        <x:f>Source!G67/100</x:f>
        <x:v>892.48</x:v>
      </x:c>
      <x:c r="H73" s="8" t="n">
        <x:f>G73-D73</x:f>
        <x:v>446.24</x:v>
      </x:c>
      <x:c r="I73" s="1" t="str">
        <x:f>IF(H73&gt;0,"Overbilled","Shortfall")</x:f>
        <x:v>Overbilled</x:v>
      </x:c>
      <x:c r="J73" s="7"/>
      <x:c r="K73" s="7" t="str">
        <x:v>Open</x:v>
      </x:c>
      <x:c r="L73" s="7"/>
    </x:row>
    <x:row r="74" ht="21" customHeight="1">
      <x:c r="A74" s="1" t="str">
        <x:f>Source!A68</x:f>
        <x:v>C0006399</x:v>
      </x:c>
      <x:c r="B74" s="1" t="str">
        <x:f>_xlfn.IFNA(VLOOKUP(Source!B68,Advertisers!$A$5:$B$34,2,FALSE),"Missing advertiser")</x:f>
        <x:v>Synthetic advertiser 6</x:v>
      </x:c>
      <x:c r="C74" s="1" t="n">
        <x:f>Source!C68</x:f>
        <x:v>6</x:v>
      </x:c>
      <x:c r="D74" s="8" t="n">
        <x:f>Source!D68/100</x:f>
        <x:v>421.92</x:v>
      </x:c>
      <x:c r="E74" s="8" t="n">
        <x:f>Source!E68/100</x:f>
        <x:v>843.84</x:v>
      </x:c>
      <x:c r="F74" s="8" t="n">
        <x:f>Source!F68/100</x:f>
        <x:v>0</x:v>
      </x:c>
      <x:c r="G74" s="8" t="n">
        <x:f>Source!G68/100</x:f>
        <x:v>843.84</x:v>
      </x:c>
      <x:c r="H74" s="8" t="n">
        <x:f>G74-D74</x:f>
        <x:v>421.92</x:v>
      </x:c>
      <x:c r="I74" s="1" t="str">
        <x:f>IF(H74&gt;0,"Overbilled","Shortfall")</x:f>
        <x:v>Overbilled</x:v>
      </x:c>
      <x:c r="J74" s="7"/>
      <x:c r="K74" s="7" t="str">
        <x:v>Open</x:v>
      </x:c>
      <x:c r="L74" s="7"/>
    </x:row>
    <x:row r="75" ht="21" customHeight="1">
      <x:c r="A75" s="1" t="str">
        <x:f>Source!A69</x:f>
        <x:v>C0000016</x:v>
      </x:c>
      <x:c r="B75" s="1" t="str">
        <x:f>_xlfn.IFNA(VLOOKUP(Source!B69,Advertisers!$A$5:$B$34,2,FALSE),"Missing advertiser")</x:f>
        <x:v>Synthetic advertiser 6</x:v>
      </x:c>
      <x:c r="C75" s="1" t="n">
        <x:f>Source!C69</x:f>
        <x:v>6</x:v>
      </x:c>
      <x:c r="D75" s="8" t="n">
        <x:f>Source!D69/100</x:f>
        <x:v>421.92</x:v>
      </x:c>
      <x:c r="E75" s="8" t="n">
        <x:f>Source!E69/100</x:f>
        <x:v>0</x:v>
      </x:c>
      <x:c r="F75" s="8" t="n">
        <x:f>Source!F69/100</x:f>
        <x:v>0</x:v>
      </x:c>
      <x:c r="G75" s="8" t="n">
        <x:f>Source!G69/100</x:f>
        <x:v>0</x:v>
      </x:c>
      <x:c r="H75" s="8" t="n">
        <x:f>G75-D75</x:f>
        <x:v>-421.92</x:v>
      </x:c>
      <x:c r="I75" s="1" t="str">
        <x:f>IF(H75&gt;0,"Overbilled","Shortfall")</x:f>
        <x:v>Shortfall</x:v>
      </x:c>
      <x:c r="J75" s="7"/>
      <x:c r="K75" s="7" t="str">
        <x:v>Open</x:v>
      </x:c>
      <x:c r="L75" s="7"/>
    </x:row>
    <x:row r="76" ht="21" customHeight="1">
      <x:c r="A76" s="1" t="str">
        <x:f>Source!A70</x:f>
        <x:v>C0014260</x:v>
      </x:c>
      <x:c r="B76" s="1" t="str">
        <x:f>_xlfn.IFNA(VLOOKUP(Source!B70,Advertisers!$A$5:$B$34,2,FALSE),"Missing advertiser")</x:f>
        <x:v>Synthetic advertiser 6</x:v>
      </x:c>
      <x:c r="C76" s="1" t="n">
        <x:f>Source!C70</x:f>
        <x:v>6</x:v>
      </x:c>
      <x:c r="D76" s="8" t="n">
        <x:f>Source!D70/100</x:f>
        <x:v>421.92</x:v>
      </x:c>
      <x:c r="E76" s="8" t="n">
        <x:f>Source!E70/100</x:f>
        <x:v>0</x:v>
      </x:c>
      <x:c r="F76" s="8" t="n">
        <x:f>Source!F70/100</x:f>
        <x:v>0</x:v>
      </x:c>
      <x:c r="G76" s="8" t="n">
        <x:f>Source!G70/100</x:f>
        <x:v>0</x:v>
      </x:c>
      <x:c r="H76" s="8" t="n">
        <x:f>G76-D76</x:f>
        <x:v>-421.92</x:v>
      </x:c>
      <x:c r="I76" s="1" t="str">
        <x:f>IF(H76&gt;0,"Overbilled","Shortfall")</x:f>
        <x:v>Shortfall</x:v>
      </x:c>
      <x:c r="J76" s="7"/>
      <x:c r="K76" s="7" t="str">
        <x:v>Open</x:v>
      </x:c>
      <x:c r="L76" s="7"/>
    </x:row>
    <x:row r="77" ht="21" customHeight="1">
      <x:c r="A77" s="1" t="str">
        <x:f>Source!A71</x:f>
        <x:v>C0009057</x:v>
      </x:c>
      <x:c r="B77" s="1" t="str">
        <x:f>_xlfn.IFNA(VLOOKUP(Source!B71,Advertisers!$A$5:$B$34,2,FALSE),"Missing advertiser")</x:f>
        <x:v>Synthetic advertiser 6</x:v>
      </x:c>
      <x:c r="C77" s="1" t="n">
        <x:f>Source!C71</x:f>
        <x:v>6</x:v>
      </x:c>
      <x:c r="D77" s="8" t="n">
        <x:f>Source!D71/100</x:f>
        <x:v>421.92</x:v>
      </x:c>
      <x:c r="E77" s="8" t="n">
        <x:f>Source!E71/100</x:f>
        <x:v>0</x:v>
      </x:c>
      <x:c r="F77" s="8" t="n">
        <x:f>Source!F71/100</x:f>
        <x:v>0</x:v>
      </x:c>
      <x:c r="G77" s="8" t="n">
        <x:f>Source!G71/100</x:f>
        <x:v>0</x:v>
      </x:c>
      <x:c r="H77" s="8" t="n">
        <x:f>G77-D77</x:f>
        <x:v>-421.92</x:v>
      </x:c>
      <x:c r="I77" s="1" t="str">
        <x:f>IF(H77&gt;0,"Overbilled","Shortfall")</x:f>
        <x:v>Shortfall</x:v>
      </x:c>
      <x:c r="J77" s="7"/>
      <x:c r="K77" s="7" t="str">
        <x:v>Open</x:v>
      </x:c>
      <x:c r="L77" s="7"/>
    </x:row>
    <x:row r="78" ht="21" customHeight="1">
      <x:c r="A78" s="1" t="str">
        <x:f>Source!A72</x:f>
        <x:v>C0004588</x:v>
      </x:c>
      <x:c r="B78" s="1" t="str">
        <x:f>_xlfn.IFNA(VLOOKUP(Source!B72,Advertisers!$A$5:$B$34,2,FALSE),"Missing advertiser")</x:f>
        <x:v>Synthetic advertiser 6</x:v>
      </x:c>
      <x:c r="C78" s="1" t="n">
        <x:f>Source!C72</x:f>
        <x:v>6</x:v>
      </x:c>
      <x:c r="D78" s="8" t="n">
        <x:f>Source!D72/100</x:f>
        <x:v>421.92</x:v>
      </x:c>
      <x:c r="E78" s="8" t="n">
        <x:f>Source!E72/100</x:f>
        <x:v>0</x:v>
      </x:c>
      <x:c r="F78" s="8" t="n">
        <x:f>Source!F72/100</x:f>
        <x:v>0</x:v>
      </x:c>
      <x:c r="G78" s="8" t="n">
        <x:f>Source!G72/100</x:f>
        <x:v>0</x:v>
      </x:c>
      <x:c r="H78" s="8" t="n">
        <x:f>G78-D78</x:f>
        <x:v>-421.92</x:v>
      </x:c>
      <x:c r="I78" s="1" t="str">
        <x:f>IF(H78&gt;0,"Overbilled","Shortfall")</x:f>
        <x:v>Shortfall</x:v>
      </x:c>
      <x:c r="J78" s="7"/>
      <x:c r="K78" s="7" t="str">
        <x:v>Open</x:v>
      </x:c>
      <x:c r="L78" s="7"/>
    </x:row>
    <x:row r="79" ht="21" customHeight="1">
      <x:c r="A79" s="1" t="str">
        <x:f>Source!A73</x:f>
        <x:v>C0010710</x:v>
      </x:c>
      <x:c r="B79" s="1" t="str">
        <x:f>_xlfn.IFNA(VLOOKUP(Source!B73,Advertisers!$A$5:$B$34,2,FALSE),"Missing advertiser")</x:f>
        <x:v>Synthetic advertiser 6</x:v>
      </x:c>
      <x:c r="C79" s="1" t="n">
        <x:f>Source!C73</x:f>
        <x:v>6</x:v>
      </x:c>
      <x:c r="D79" s="8" t="n">
        <x:f>Source!D73/100</x:f>
        <x:v>421.92</x:v>
      </x:c>
      <x:c r="E79" s="8" t="n">
        <x:f>Source!E73/100</x:f>
        <x:v>0</x:v>
      </x:c>
      <x:c r="F79" s="8" t="n">
        <x:f>Source!F73/100</x:f>
        <x:v>0</x:v>
      </x:c>
      <x:c r="G79" s="8" t="n">
        <x:f>Source!G73/100</x:f>
        <x:v>0</x:v>
      </x:c>
      <x:c r="H79" s="8" t="n">
        <x:f>G79-D79</x:f>
        <x:v>-421.92</x:v>
      </x:c>
      <x:c r="I79" s="1" t="str">
        <x:f>IF(H79&gt;0,"Overbilled","Shortfall")</x:f>
        <x:v>Shortfall</x:v>
      </x:c>
      <x:c r="J79" s="7"/>
      <x:c r="K79" s="7" t="str">
        <x:v>Open</x:v>
      </x:c>
      <x:c r="L79" s="7"/>
    </x:row>
    <x:row r="80" ht="21" customHeight="1">
      <x:c r="A80" s="1" t="str">
        <x:f>Source!A74</x:f>
        <x:v>C0010030</x:v>
      </x:c>
      <x:c r="B80" s="1" t="str">
        <x:f>_xlfn.IFNA(VLOOKUP(Source!B74,Advertisers!$A$5:$B$34,2,FALSE),"Missing advertiser")</x:f>
        <x:v>Synthetic advertiser 6</x:v>
      </x:c>
      <x:c r="C80" s="1" t="n">
        <x:f>Source!C74</x:f>
        <x:v>6</x:v>
      </x:c>
      <x:c r="D80" s="8" t="n">
        <x:f>Source!D74/100</x:f>
        <x:v>0</x:v>
      </x:c>
      <x:c r="E80" s="8" t="n">
        <x:f>Source!E74/100</x:f>
        <x:v>421.92</x:v>
      </x:c>
      <x:c r="F80" s="8" t="n">
        <x:f>Source!F74/100</x:f>
        <x:v>0</x:v>
      </x:c>
      <x:c r="G80" s="8" t="n">
        <x:f>Source!G74/100</x:f>
        <x:v>421.92</x:v>
      </x:c>
      <x:c r="H80" s="8" t="n">
        <x:f>G80-D80</x:f>
        <x:v>421.92</x:v>
      </x:c>
      <x:c r="I80" s="1" t="str">
        <x:f>IF(H80&gt;0,"Overbilled","Shortfall")</x:f>
        <x:v>Overbilled</x:v>
      </x:c>
      <x:c r="J80" s="7"/>
      <x:c r="K80" s="7" t="str">
        <x:v>Open</x:v>
      </x:c>
      <x:c r="L80" s="7"/>
    </x:row>
    <x:row r="81" ht="21" customHeight="1">
      <x:c r="A81" s="1" t="str">
        <x:f>Source!A75</x:f>
        <x:v>C0005318</x:v>
      </x:c>
      <x:c r="B81" s="1" t="str">
        <x:f>_xlfn.IFNA(VLOOKUP(Source!B75,Advertisers!$A$5:$B$34,2,FALSE),"Missing advertiser")</x:f>
        <x:v>Synthetic advertiser 18</x:v>
      </x:c>
      <x:c r="C81" s="1" t="n">
        <x:f>Source!C75</x:f>
        <x:v>48</x:v>
      </x:c>
      <x:c r="D81" s="8" t="n">
        <x:f>Source!D75/100</x:f>
        <x:v>412.52</x:v>
      </x:c>
      <x:c r="E81" s="8" t="n">
        <x:f>Source!E75/100</x:f>
        <x:v>825.04</x:v>
      </x:c>
      <x:c r="F81" s="8" t="n">
        <x:f>Source!F75/100</x:f>
        <x:v>0</x:v>
      </x:c>
      <x:c r="G81" s="8" t="n">
        <x:f>Source!G75/100</x:f>
        <x:v>825.04</x:v>
      </x:c>
      <x:c r="H81" s="8" t="n">
        <x:f>G81-D81</x:f>
        <x:v>412.52</x:v>
      </x:c>
      <x:c r="I81" s="1" t="str">
        <x:f>IF(H81&gt;0,"Overbilled","Shortfall")</x:f>
        <x:v>Overbilled</x:v>
      </x:c>
      <x:c r="J81" s="7"/>
      <x:c r="K81" s="7" t="str">
        <x:v>Open</x:v>
      </x:c>
      <x:c r="L81" s="7"/>
    </x:row>
    <x:row r="82" ht="21" customHeight="1">
      <x:c r="A82" s="1" t="str">
        <x:f>Source!A76</x:f>
        <x:v>C0015929</x:v>
      </x:c>
      <x:c r="B82" s="1" t="str">
        <x:f>_xlfn.IFNA(VLOOKUP(Source!B76,Advertisers!$A$5:$B$34,2,FALSE),"Missing advertiser")</x:f>
        <x:v>Synthetic advertiser 18</x:v>
      </x:c>
      <x:c r="C82" s="1" t="n">
        <x:f>Source!C76</x:f>
        <x:v>48</x:v>
      </x:c>
      <x:c r="D82" s="8" t="n">
        <x:f>Source!D76/100</x:f>
        <x:v>412.52</x:v>
      </x:c>
      <x:c r="E82" s="8" t="n">
        <x:f>Source!E76/100</x:f>
        <x:v>825.04</x:v>
      </x:c>
      <x:c r="F82" s="8" t="n">
        <x:f>Source!F76/100</x:f>
        <x:v>0</x:v>
      </x:c>
      <x:c r="G82" s="8" t="n">
        <x:f>Source!G76/100</x:f>
        <x:v>825.04</x:v>
      </x:c>
      <x:c r="H82" s="8" t="n">
        <x:f>G82-D82</x:f>
        <x:v>412.52</x:v>
      </x:c>
      <x:c r="I82" s="1" t="str">
        <x:f>IF(H82&gt;0,"Overbilled","Shortfall")</x:f>
        <x:v>Overbilled</x:v>
      </x:c>
      <x:c r="J82" s="7"/>
      <x:c r="K82" s="7" t="str">
        <x:v>Open</x:v>
      </x:c>
      <x:c r="L82" s="7"/>
    </x:row>
    <x:row r="83" ht="21" customHeight="1">
      <x:c r="A83" s="1" t="str">
        <x:f>Source!A77</x:f>
        <x:v>C0015350</x:v>
      </x:c>
      <x:c r="B83" s="1" t="str">
        <x:f>_xlfn.IFNA(VLOOKUP(Source!B77,Advertisers!$A$5:$B$34,2,FALSE),"Missing advertiser")</x:f>
        <x:v>Synthetic advertiser 18</x:v>
      </x:c>
      <x:c r="C83" s="1" t="n">
        <x:f>Source!C77</x:f>
        <x:v>48</x:v>
      </x:c>
      <x:c r="D83" s="8" t="n">
        <x:f>Source!D77/100</x:f>
        <x:v>412.52</x:v>
      </x:c>
      <x:c r="E83" s="8" t="n">
        <x:f>Source!E77/100</x:f>
        <x:v>0</x:v>
      </x:c>
      <x:c r="F83" s="8" t="n">
        <x:f>Source!F77/100</x:f>
        <x:v>0</x:v>
      </x:c>
      <x:c r="G83" s="8" t="n">
        <x:f>Source!G77/100</x:f>
        <x:v>0</x:v>
      </x:c>
      <x:c r="H83" s="8" t="n">
        <x:f>G83-D83</x:f>
        <x:v>-412.52</x:v>
      </x:c>
      <x:c r="I83" s="1" t="str">
        <x:f>IF(H83&gt;0,"Overbilled","Shortfall")</x:f>
        <x:v>Shortfall</x:v>
      </x:c>
      <x:c r="J83" s="7"/>
      <x:c r="K83" s="7" t="str">
        <x:v>Open</x:v>
      </x:c>
      <x:c r="L83" s="7"/>
    </x:row>
    <x:row r="84" ht="21" customHeight="1">
      <x:c r="A84" s="1" t="str">
        <x:f>Source!A78</x:f>
        <x:v>C0002646</x:v>
      </x:c>
      <x:c r="B84" s="1" t="str">
        <x:f>_xlfn.IFNA(VLOOKUP(Source!B78,Advertisers!$A$5:$B$34,2,FALSE),"Missing advertiser")</x:f>
        <x:v>Synthetic advertiser 18</x:v>
      </x:c>
      <x:c r="C84" s="1" t="n">
        <x:f>Source!C78</x:f>
        <x:v>48</x:v>
      </x:c>
      <x:c r="D84" s="8" t="n">
        <x:f>Source!D78/100</x:f>
        <x:v>412.52</x:v>
      </x:c>
      <x:c r="E84" s="8" t="n">
        <x:f>Source!E78/100</x:f>
        <x:v>825.04</x:v>
      </x:c>
      <x:c r="F84" s="8" t="n">
        <x:f>Source!F78/100</x:f>
        <x:v>0</x:v>
      </x:c>
      <x:c r="G84" s="8" t="n">
        <x:f>Source!G78/100</x:f>
        <x:v>825.04</x:v>
      </x:c>
      <x:c r="H84" s="8" t="n">
        <x:f>G84-D84</x:f>
        <x:v>412.52</x:v>
      </x:c>
      <x:c r="I84" s="1" t="str">
        <x:f>IF(H84&gt;0,"Overbilled","Shortfall")</x:f>
        <x:v>Overbilled</x:v>
      </x:c>
      <x:c r="J84" s="7"/>
      <x:c r="K84" s="7" t="str">
        <x:v>Open</x:v>
      </x:c>
      <x:c r="L84" s="7"/>
    </x:row>
    <x:row r="85" ht="21" customHeight="1">
      <x:c r="A85" s="1" t="str">
        <x:f>Source!A79</x:f>
        <x:v>C0016849</x:v>
      </x:c>
      <x:c r="B85" s="1" t="str">
        <x:f>_xlfn.IFNA(VLOOKUP(Source!B79,Advertisers!$A$5:$B$34,2,FALSE),"Missing advertiser")</x:f>
        <x:v>Synthetic advertiser 18</x:v>
      </x:c>
      <x:c r="C85" s="1" t="n">
        <x:f>Source!C79</x:f>
        <x:v>48</x:v>
      </x:c>
      <x:c r="D85" s="8" t="n">
        <x:f>Source!D79/100</x:f>
        <x:v>412.52</x:v>
      </x:c>
      <x:c r="E85" s="8" t="n">
        <x:f>Source!E79/100</x:f>
        <x:v>825.04</x:v>
      </x:c>
      <x:c r="F85" s="8" t="n">
        <x:f>Source!F79/100</x:f>
        <x:v>0</x:v>
      </x:c>
      <x:c r="G85" s="8" t="n">
        <x:f>Source!G79/100</x:f>
        <x:v>825.04</x:v>
      </x:c>
      <x:c r="H85" s="8" t="n">
        <x:f>G85-D85</x:f>
        <x:v>412.52</x:v>
      </x:c>
      <x:c r="I85" s="1" t="str">
        <x:f>IF(H85&gt;0,"Overbilled","Shortfall")</x:f>
        <x:v>Overbilled</x:v>
      </x:c>
      <x:c r="J85" s="7"/>
      <x:c r="K85" s="7" t="str">
        <x:v>Open</x:v>
      </x:c>
      <x:c r="L85" s="7"/>
    </x:row>
    <x:row r="86" ht="21" customHeight="1">
      <x:c r="A86" s="1" t="str">
        <x:f>Source!A80</x:f>
        <x:v>C0012485</x:v>
      </x:c>
      <x:c r="B86" s="1" t="str">
        <x:f>_xlfn.IFNA(VLOOKUP(Source!B80,Advertisers!$A$5:$B$34,2,FALSE),"Missing advertiser")</x:f>
        <x:v>Synthetic advertiser 18</x:v>
      </x:c>
      <x:c r="C86" s="1" t="n">
        <x:f>Source!C80</x:f>
        <x:v>48</x:v>
      </x:c>
      <x:c r="D86" s="8" t="n">
        <x:f>Source!D80/100</x:f>
        <x:v>412.52</x:v>
      </x:c>
      <x:c r="E86" s="8" t="n">
        <x:f>Source!E80/100</x:f>
        <x:v>0</x:v>
      </x:c>
      <x:c r="F86" s="8" t="n">
        <x:f>Source!F80/100</x:f>
        <x:v>0</x:v>
      </x:c>
      <x:c r="G86" s="8" t="n">
        <x:f>Source!G80/100</x:f>
        <x:v>0</x:v>
      </x:c>
      <x:c r="H86" s="8" t="n">
        <x:f>G86-D86</x:f>
        <x:v>-412.52</x:v>
      </x:c>
      <x:c r="I86" s="1" t="str">
        <x:f>IF(H86&gt;0,"Overbilled","Shortfall")</x:f>
        <x:v>Shortfall</x:v>
      </x:c>
      <x:c r="J86" s="7"/>
      <x:c r="K86" s="7" t="str">
        <x:v>Open</x:v>
      </x:c>
      <x:c r="L86" s="7"/>
    </x:row>
    <x:row r="87" ht="21" customHeight="1">
      <x:c r="A87" s="1" t="str">
        <x:f>Source!A81</x:f>
        <x:v>C0011765</x:v>
      </x:c>
      <x:c r="B87" s="1" t="str">
        <x:f>_xlfn.IFNA(VLOOKUP(Source!B81,Advertisers!$A$5:$B$34,2,FALSE),"Missing advertiser")</x:f>
        <x:v>Synthetic advertiser 18</x:v>
      </x:c>
      <x:c r="C87" s="1" t="n">
        <x:f>Source!C81</x:f>
        <x:v>48</x:v>
      </x:c>
      <x:c r="D87" s="8" t="n">
        <x:f>Source!D81/100</x:f>
        <x:v>412.52</x:v>
      </x:c>
      <x:c r="E87" s="8" t="n">
        <x:f>Source!E81/100</x:f>
        <x:v>0</x:v>
      </x:c>
      <x:c r="F87" s="8" t="n">
        <x:f>Source!F81/100</x:f>
        <x:v>0</x:v>
      </x:c>
      <x:c r="G87" s="8" t="n">
        <x:f>Source!G81/100</x:f>
        <x:v>0</x:v>
      </x:c>
      <x:c r="H87" s="8" t="n">
        <x:f>G87-D87</x:f>
        <x:v>-412.52</x:v>
      </x:c>
      <x:c r="I87" s="1" t="str">
        <x:f>IF(H87&gt;0,"Overbilled","Shortfall")</x:f>
        <x:v>Shortfall</x:v>
      </x:c>
      <x:c r="J87" s="7"/>
      <x:c r="K87" s="7" t="str">
        <x:v>Open</x:v>
      </x:c>
      <x:c r="L87" s="7"/>
    </x:row>
    <x:row r="88" ht="21" customHeight="1">
      <x:c r="A88" s="1" t="str">
        <x:f>Source!A82</x:f>
        <x:v>C0017029</x:v>
      </x:c>
      <x:c r="B88" s="1" t="str">
        <x:f>_xlfn.IFNA(VLOOKUP(Source!B82,Advertisers!$A$5:$B$34,2,FALSE),"Missing advertiser")</x:f>
        <x:v>Synthetic advertiser 29</x:v>
      </x:c>
      <x:c r="C88" s="1" t="n">
        <x:f>Source!C82</x:f>
        <x:v>29</x:v>
      </x:c>
      <x:c r="D88" s="8" t="n">
        <x:f>Source!D82/100</x:f>
        <x:v>401.34</x:v>
      </x:c>
      <x:c r="E88" s="8" t="n">
        <x:f>Source!E82/100</x:f>
        <x:v>0</x:v>
      </x:c>
      <x:c r="F88" s="8" t="n">
        <x:f>Source!F82/100</x:f>
        <x:v>0</x:v>
      </x:c>
      <x:c r="G88" s="8" t="n">
        <x:f>Source!G82/100</x:f>
        <x:v>0</x:v>
      </x:c>
      <x:c r="H88" s="8" t="n">
        <x:f>G88-D88</x:f>
        <x:v>-401.34</x:v>
      </x:c>
      <x:c r="I88" s="1" t="str">
        <x:f>IF(H88&gt;0,"Overbilled","Shortfall")</x:f>
        <x:v>Shortfall</x:v>
      </x:c>
      <x:c r="J88" s="7"/>
      <x:c r="K88" s="7" t="str">
        <x:v>Open</x:v>
      </x:c>
      <x:c r="L88" s="7"/>
    </x:row>
    <x:row r="89" ht="21" customHeight="1">
      <x:c r="A89" s="1" t="str">
        <x:f>Source!A83</x:f>
        <x:v>C0006328</x:v>
      </x:c>
      <x:c r="B89" s="1" t="str">
        <x:f>_xlfn.IFNA(VLOOKUP(Source!B83,Advertisers!$A$5:$B$34,2,FALSE),"Missing advertiser")</x:f>
        <x:v>Synthetic advertiser 29</x:v>
      </x:c>
      <x:c r="C89" s="1" t="n">
        <x:f>Source!C83</x:f>
        <x:v>29</x:v>
      </x:c>
      <x:c r="D89" s="8" t="n">
        <x:f>Source!D83/100</x:f>
        <x:v>401.34</x:v>
      </x:c>
      <x:c r="E89" s="8" t="n">
        <x:f>Source!E83/100</x:f>
        <x:v>0</x:v>
      </x:c>
      <x:c r="F89" s="8" t="n">
        <x:f>Source!F83/100</x:f>
        <x:v>0</x:v>
      </x:c>
      <x:c r="G89" s="8" t="n">
        <x:f>Source!G83/100</x:f>
        <x:v>0</x:v>
      </x:c>
      <x:c r="H89" s="8" t="n">
        <x:f>G89-D89</x:f>
        <x:v>-401.34</x:v>
      </x:c>
      <x:c r="I89" s="1" t="str">
        <x:f>IF(H89&gt;0,"Overbilled","Shortfall")</x:f>
        <x:v>Shortfall</x:v>
      </x:c>
      <x:c r="J89" s="7"/>
      <x:c r="K89" s="7" t="str">
        <x:v>Open</x:v>
      </x:c>
      <x:c r="L89" s="7"/>
    </x:row>
    <x:row r="90" ht="21" customHeight="1">
      <x:c r="A90" s="1" t="str">
        <x:f>Source!A84</x:f>
        <x:v>C0012182</x:v>
      </x:c>
      <x:c r="B90" s="1" t="str">
        <x:f>_xlfn.IFNA(VLOOKUP(Source!B84,Advertisers!$A$5:$B$34,2,FALSE),"Missing advertiser")</x:f>
        <x:v>Synthetic advertiser 29</x:v>
      </x:c>
      <x:c r="C90" s="1" t="n">
        <x:f>Source!C84</x:f>
        <x:v>29</x:v>
      </x:c>
      <x:c r="D90" s="8" t="n">
        <x:f>Source!D84/100</x:f>
        <x:v>401.34</x:v>
      </x:c>
      <x:c r="E90" s="8" t="n">
        <x:f>Source!E84/100</x:f>
        <x:v>0</x:v>
      </x:c>
      <x:c r="F90" s="8" t="n">
        <x:f>Source!F84/100</x:f>
        <x:v>0</x:v>
      </x:c>
      <x:c r="G90" s="8" t="n">
        <x:f>Source!G84/100</x:f>
        <x:v>0</x:v>
      </x:c>
      <x:c r="H90" s="8" t="n">
        <x:f>G90-D90</x:f>
        <x:v>-401.34</x:v>
      </x:c>
      <x:c r="I90" s="1" t="str">
        <x:f>IF(H90&gt;0,"Overbilled","Shortfall")</x:f>
        <x:v>Shortfall</x:v>
      </x:c>
      <x:c r="J90" s="7"/>
      <x:c r="K90" s="7" t="str">
        <x:v>Open</x:v>
      </x:c>
      <x:c r="L90" s="7"/>
    </x:row>
    <x:row r="91" ht="21" customHeight="1">
      <x:c r="A91" s="1" t="str">
        <x:f>Source!A85</x:f>
        <x:v>C0014352</x:v>
      </x:c>
      <x:c r="B91" s="1" t="str">
        <x:f>_xlfn.IFNA(VLOOKUP(Source!B85,Advertisers!$A$5:$B$34,2,FALSE),"Missing advertiser")</x:f>
        <x:v>Synthetic advertiser 29</x:v>
      </x:c>
      <x:c r="C91" s="1" t="n">
        <x:f>Source!C85</x:f>
        <x:v>29</x:v>
      </x:c>
      <x:c r="D91" s="8" t="n">
        <x:f>Source!D85/100</x:f>
        <x:v>401.34</x:v>
      </x:c>
      <x:c r="E91" s="8" t="n">
        <x:f>Source!E85/100</x:f>
        <x:v>802.68</x:v>
      </x:c>
      <x:c r="F91" s="8" t="n">
        <x:f>Source!F85/100</x:f>
        <x:v>0</x:v>
      </x:c>
      <x:c r="G91" s="8" t="n">
        <x:f>Source!G85/100</x:f>
        <x:v>802.68</x:v>
      </x:c>
      <x:c r="H91" s="8" t="n">
        <x:f>G91-D91</x:f>
        <x:v>401.34</x:v>
      </x:c>
      <x:c r="I91" s="1" t="str">
        <x:f>IF(H91&gt;0,"Overbilled","Shortfall")</x:f>
        <x:v>Overbilled</x:v>
      </x:c>
      <x:c r="J91" s="7"/>
      <x:c r="K91" s="7" t="str">
        <x:v>Open</x:v>
      </x:c>
      <x:c r="L91" s="7"/>
    </x:row>
    <x:row r="92" ht="21" customHeight="1">
      <x:c r="A92" s="1" t="str">
        <x:f>Source!A86</x:f>
        <x:v>C0001963</x:v>
      </x:c>
      <x:c r="B92" s="1" t="str">
        <x:f>_xlfn.IFNA(VLOOKUP(Source!B86,Advertisers!$A$5:$B$34,2,FALSE),"Missing advertiser")</x:f>
        <x:v>Synthetic advertiser 22</x:v>
      </x:c>
      <x:c r="C92" s="1" t="n">
        <x:f>Source!C86</x:f>
        <x:v>112</x:v>
      </x:c>
      <x:c r="D92" s="8" t="n">
        <x:f>Source!D86/100</x:f>
        <x:v>398.84</x:v>
      </x:c>
      <x:c r="E92" s="8" t="n">
        <x:f>Source!E86/100</x:f>
        <x:v>797.68</x:v>
      </x:c>
      <x:c r="F92" s="8" t="n">
        <x:f>Source!F86/100</x:f>
        <x:v>0</x:v>
      </x:c>
      <x:c r="G92" s="8" t="n">
        <x:f>Source!G86/100</x:f>
        <x:v>797.68</x:v>
      </x:c>
      <x:c r="H92" s="8" t="n">
        <x:f>G92-D92</x:f>
        <x:v>398.84</x:v>
      </x:c>
      <x:c r="I92" s="1" t="str">
        <x:f>IF(H92&gt;0,"Overbilled","Shortfall")</x:f>
        <x:v>Overbilled</x:v>
      </x:c>
      <x:c r="J92" s="7"/>
      <x:c r="K92" s="7" t="str">
        <x:v>Open</x:v>
      </x:c>
      <x:c r="L92" s="7"/>
    </x:row>
    <x:row r="93" ht="21" customHeight="1">
      <x:c r="A93" s="1" t="str">
        <x:f>Source!A87</x:f>
        <x:v>C0002700</x:v>
      </x:c>
      <x:c r="B93" s="1" t="str">
        <x:f>_xlfn.IFNA(VLOOKUP(Source!B87,Advertisers!$A$5:$B$34,2,FALSE),"Missing advertiser")</x:f>
        <x:v>Synthetic advertiser 22</x:v>
      </x:c>
      <x:c r="C93" s="1" t="n">
        <x:f>Source!C87</x:f>
        <x:v>112</x:v>
      </x:c>
      <x:c r="D93" s="8" t="n">
        <x:f>Source!D87/100</x:f>
        <x:v>398.84</x:v>
      </x:c>
      <x:c r="E93" s="8" t="n">
        <x:f>Source!E87/100</x:f>
        <x:v>797.68</x:v>
      </x:c>
      <x:c r="F93" s="8" t="n">
        <x:f>Source!F87/100</x:f>
        <x:v>0</x:v>
      </x:c>
      <x:c r="G93" s="8" t="n">
        <x:f>Source!G87/100</x:f>
        <x:v>797.68</x:v>
      </x:c>
      <x:c r="H93" s="8" t="n">
        <x:f>G93-D93</x:f>
        <x:v>398.84</x:v>
      </x:c>
      <x:c r="I93" s="1" t="str">
        <x:f>IF(H93&gt;0,"Overbilled","Shortfall")</x:f>
        <x:v>Overbilled</x:v>
      </x:c>
      <x:c r="J93" s="7"/>
      <x:c r="K93" s="7" t="str">
        <x:v>Open</x:v>
      </x:c>
      <x:c r="L93" s="7"/>
    </x:row>
    <x:row r="94" ht="21" customHeight="1">
      <x:c r="A94" s="1" t="str">
        <x:f>Source!A88</x:f>
        <x:v>C0002588</x:v>
      </x:c>
      <x:c r="B94" s="1" t="str">
        <x:f>_xlfn.IFNA(VLOOKUP(Source!B88,Advertisers!$A$5:$B$34,2,FALSE),"Missing advertiser")</x:f>
        <x:v>Synthetic advertiser 22</x:v>
      </x:c>
      <x:c r="C94" s="1" t="n">
        <x:f>Source!C88</x:f>
        <x:v>112</x:v>
      </x:c>
      <x:c r="D94" s="8" t="n">
        <x:f>Source!D88/100</x:f>
        <x:v>398.84</x:v>
      </x:c>
      <x:c r="E94" s="8" t="n">
        <x:f>Source!E88/100</x:f>
        <x:v>0</x:v>
      </x:c>
      <x:c r="F94" s="8" t="n">
        <x:f>Source!F88/100</x:f>
        <x:v>0</x:v>
      </x:c>
      <x:c r="G94" s="8" t="n">
        <x:f>Source!G88/100</x:f>
        <x:v>0</x:v>
      </x:c>
      <x:c r="H94" s="8" t="n">
        <x:f>G94-D94</x:f>
        <x:v>-398.84</x:v>
      </x:c>
      <x:c r="I94" s="1" t="str">
        <x:f>IF(H94&gt;0,"Overbilled","Shortfall")</x:f>
        <x:v>Shortfall</x:v>
      </x:c>
      <x:c r="J94" s="7"/>
      <x:c r="K94" s="7" t="str">
        <x:v>Open</x:v>
      </x:c>
      <x:c r="L94" s="7"/>
    </x:row>
    <x:row r="95" ht="21" customHeight="1">
      <x:c r="A95" s="1" t="str">
        <x:f>Source!A89</x:f>
        <x:v>C0002452</x:v>
      </x:c>
      <x:c r="B95" s="1" t="str">
        <x:f>_xlfn.IFNA(VLOOKUP(Source!B89,Advertisers!$A$5:$B$34,2,FALSE),"Missing advertiser")</x:f>
        <x:v>Synthetic advertiser 22</x:v>
      </x:c>
      <x:c r="C95" s="1" t="n">
        <x:f>Source!C89</x:f>
        <x:v>112</x:v>
      </x:c>
      <x:c r="D95" s="8" t="n">
        <x:f>Source!D89/100</x:f>
        <x:v>398.84</x:v>
      </x:c>
      <x:c r="E95" s="8" t="n">
        <x:f>Source!E89/100</x:f>
        <x:v>0</x:v>
      </x:c>
      <x:c r="F95" s="8" t="n">
        <x:f>Source!F89/100</x:f>
        <x:v>0</x:v>
      </x:c>
      <x:c r="G95" s="8" t="n">
        <x:f>Source!G89/100</x:f>
        <x:v>0</x:v>
      </x:c>
      <x:c r="H95" s="8" t="n">
        <x:f>G95-D95</x:f>
        <x:v>-398.84</x:v>
      </x:c>
      <x:c r="I95" s="1" t="str">
        <x:f>IF(H95&gt;0,"Overbilled","Shortfall")</x:f>
        <x:v>Shortfall</x:v>
      </x:c>
      <x:c r="J95" s="7"/>
      <x:c r="K95" s="7" t="str">
        <x:v>Open</x:v>
      </x:c>
      <x:c r="L95" s="7"/>
    </x:row>
    <x:row r="96" ht="21" customHeight="1">
      <x:c r="A96" s="1" t="str">
        <x:f>Source!A90</x:f>
        <x:v>C0014692</x:v>
      </x:c>
      <x:c r="B96" s="1" t="str">
        <x:f>_xlfn.IFNA(VLOOKUP(Source!B90,Advertisers!$A$5:$B$34,2,FALSE),"Missing advertiser")</x:f>
        <x:v>Synthetic advertiser 22</x:v>
      </x:c>
      <x:c r="C96" s="1" t="n">
        <x:f>Source!C90</x:f>
        <x:v>112</x:v>
      </x:c>
      <x:c r="D96" s="8" t="n">
        <x:f>Source!D90/100</x:f>
        <x:v>398.84</x:v>
      </x:c>
      <x:c r="E96" s="8" t="n">
        <x:f>Source!E90/100</x:f>
        <x:v>0</x:v>
      </x:c>
      <x:c r="F96" s="8" t="n">
        <x:f>Source!F90/100</x:f>
        <x:v>0</x:v>
      </x:c>
      <x:c r="G96" s="8" t="n">
        <x:f>Source!G90/100</x:f>
        <x:v>0</x:v>
      </x:c>
      <x:c r="H96" s="8" t="n">
        <x:f>G96-D96</x:f>
        <x:v>-398.84</x:v>
      </x:c>
      <x:c r="I96" s="1" t="str">
        <x:f>IF(H96&gt;0,"Overbilled","Shortfall")</x:f>
        <x:v>Shortfall</x:v>
      </x:c>
      <x:c r="J96" s="7"/>
      <x:c r="K96" s="7" t="str">
        <x:v>Open</x:v>
      </x:c>
      <x:c r="L96" s="7"/>
    </x:row>
    <x:row r="97" ht="21" customHeight="1">
      <x:c r="A97" s="1" t="str">
        <x:f>Source!A91</x:f>
        <x:v>C0002408</x:v>
      </x:c>
      <x:c r="B97" s="1" t="str">
        <x:f>_xlfn.IFNA(VLOOKUP(Source!B91,Advertisers!$A$5:$B$34,2,FALSE),"Missing advertiser")</x:f>
        <x:v>Synthetic advertiser 22</x:v>
      </x:c>
      <x:c r="C97" s="1" t="n">
        <x:f>Source!C91</x:f>
        <x:v>112</x:v>
      </x:c>
      <x:c r="D97" s="8" t="n">
        <x:f>Source!D91/100</x:f>
        <x:v>398.84</x:v>
      </x:c>
      <x:c r="E97" s="8" t="n">
        <x:f>Source!E91/100</x:f>
        <x:v>797.68</x:v>
      </x:c>
      <x:c r="F97" s="8" t="n">
        <x:f>Source!F91/100</x:f>
        <x:v>0</x:v>
      </x:c>
      <x:c r="G97" s="8" t="n">
        <x:f>Source!G91/100</x:f>
        <x:v>797.68</x:v>
      </x:c>
      <x:c r="H97" s="8" t="n">
        <x:f>G97-D97</x:f>
        <x:v>398.84</x:v>
      </x:c>
      <x:c r="I97" s="1" t="str">
        <x:f>IF(H97&gt;0,"Overbilled","Shortfall")</x:f>
        <x:v>Overbilled</x:v>
      </x:c>
      <x:c r="J97" s="7"/>
      <x:c r="K97" s="7" t="str">
        <x:v>Open</x:v>
      </x:c>
      <x:c r="L97" s="7"/>
    </x:row>
    <x:row r="98" ht="21" customHeight="1">
      <x:c r="A98" s="1" t="str">
        <x:f>Source!A92</x:f>
        <x:v>C0009550</x:v>
      </x:c>
      <x:c r="B98" s="1" t="str">
        <x:f>_xlfn.IFNA(VLOOKUP(Source!B92,Advertisers!$A$5:$B$34,2,FALSE),"Missing advertiser")</x:f>
        <x:v>Synthetic advertiser 16</x:v>
      </x:c>
      <x:c r="C98" s="1" t="n">
        <x:f>Source!C92</x:f>
        <x:v>76</x:v>
      </x:c>
      <x:c r="D98" s="8" t="n">
        <x:f>Source!D92/100</x:f>
        <x:v>395.78</x:v>
      </x:c>
      <x:c r="E98" s="8" t="n">
        <x:f>Source!E92/100</x:f>
        <x:v>0</x:v>
      </x:c>
      <x:c r="F98" s="8" t="n">
        <x:f>Source!F92/100</x:f>
        <x:v>0</x:v>
      </x:c>
      <x:c r="G98" s="8" t="n">
        <x:f>Source!G92/100</x:f>
        <x:v>0</x:v>
      </x:c>
      <x:c r="H98" s="8" t="n">
        <x:f>G98-D98</x:f>
        <x:v>-395.78</x:v>
      </x:c>
      <x:c r="I98" s="1" t="str">
        <x:f>IF(H98&gt;0,"Overbilled","Shortfall")</x:f>
        <x:v>Shortfall</x:v>
      </x:c>
      <x:c r="J98" s="7"/>
      <x:c r="K98" s="7" t="str">
        <x:v>Open</x:v>
      </x:c>
      <x:c r="L98" s="7"/>
    </x:row>
    <x:row r="99" ht="21" customHeight="1">
      <x:c r="A99" s="1" t="str">
        <x:f>Source!A93</x:f>
        <x:v>C0003323</x:v>
      </x:c>
      <x:c r="B99" s="1" t="str">
        <x:f>_xlfn.IFNA(VLOOKUP(Source!B93,Advertisers!$A$5:$B$34,2,FALSE),"Missing advertiser")</x:f>
        <x:v>Synthetic advertiser 16</x:v>
      </x:c>
      <x:c r="C99" s="1" t="n">
        <x:f>Source!C93</x:f>
        <x:v>76</x:v>
      </x:c>
      <x:c r="D99" s="8" t="n">
        <x:f>Source!D93/100</x:f>
        <x:v>395.78</x:v>
      </x:c>
      <x:c r="E99" s="8" t="n">
        <x:f>Source!E93/100</x:f>
        <x:v>791.56</x:v>
      </x:c>
      <x:c r="F99" s="8" t="n">
        <x:f>Source!F93/100</x:f>
        <x:v>0</x:v>
      </x:c>
      <x:c r="G99" s="8" t="n">
        <x:f>Source!G93/100</x:f>
        <x:v>791.56</x:v>
      </x:c>
      <x:c r="H99" s="8" t="n">
        <x:f>G99-D99</x:f>
        <x:v>395.78</x:v>
      </x:c>
      <x:c r="I99" s="1" t="str">
        <x:f>IF(H99&gt;0,"Overbilled","Shortfall")</x:f>
        <x:v>Overbilled</x:v>
      </x:c>
      <x:c r="J99" s="7"/>
      <x:c r="K99" s="7" t="str">
        <x:v>Open</x:v>
      </x:c>
      <x:c r="L99" s="7"/>
    </x:row>
    <x:row r="100" ht="21" customHeight="1">
      <x:c r="A100" s="1" t="str">
        <x:f>Source!A94</x:f>
        <x:v>C0006940</x:v>
      </x:c>
      <x:c r="B100" s="1" t="str">
        <x:f>_xlfn.IFNA(VLOOKUP(Source!B94,Advertisers!$A$5:$B$34,2,FALSE),"Missing advertiser")</x:f>
        <x:v>Synthetic advertiser 16</x:v>
      </x:c>
      <x:c r="C100" s="1" t="n">
        <x:f>Source!C94</x:f>
        <x:v>76</x:v>
      </x:c>
      <x:c r="D100" s="8" t="n">
        <x:f>Source!D94/100</x:f>
        <x:v>395.78</x:v>
      </x:c>
      <x:c r="E100" s="8" t="n">
        <x:f>Source!E94/100</x:f>
        <x:v>791.56</x:v>
      </x:c>
      <x:c r="F100" s="8" t="n">
        <x:f>Source!F94/100</x:f>
        <x:v>0</x:v>
      </x:c>
      <x:c r="G100" s="8" t="n">
        <x:f>Source!G94/100</x:f>
        <x:v>791.56</x:v>
      </x:c>
      <x:c r="H100" s="8" t="n">
        <x:f>G100-D100</x:f>
        <x:v>395.78</x:v>
      </x:c>
      <x:c r="I100" s="1" t="str">
        <x:f>IF(H100&gt;0,"Overbilled","Shortfall")</x:f>
        <x:v>Overbilled</x:v>
      </x:c>
      <x:c r="J100" s="7"/>
      <x:c r="K100" s="7" t="str">
        <x:v>Open</x:v>
      </x:c>
      <x:c r="L100" s="7"/>
    </x:row>
    <x:row r="101" ht="21" customHeight="1">
      <x:c r="A101" s="1" t="str">
        <x:f>Source!A95</x:f>
        <x:v>C0011753</x:v>
      </x:c>
      <x:c r="B101" s="1" t="str">
        <x:f>_xlfn.IFNA(VLOOKUP(Source!B95,Advertisers!$A$5:$B$34,2,FALSE),"Missing advertiser")</x:f>
        <x:v>Synthetic advertiser 16</x:v>
      </x:c>
      <x:c r="C101" s="1" t="n">
        <x:f>Source!C95</x:f>
        <x:v>76</x:v>
      </x:c>
      <x:c r="D101" s="8" t="n">
        <x:f>Source!D95/100</x:f>
        <x:v>395.78</x:v>
      </x:c>
      <x:c r="E101" s="8" t="n">
        <x:f>Source!E95/100</x:f>
        <x:v>0</x:v>
      </x:c>
      <x:c r="F101" s="8" t="n">
        <x:f>Source!F95/100</x:f>
        <x:v>0</x:v>
      </x:c>
      <x:c r="G101" s="8" t="n">
        <x:f>Source!G95/100</x:f>
        <x:v>0</x:v>
      </x:c>
      <x:c r="H101" s="8" t="n">
        <x:f>G101-D101</x:f>
        <x:v>-395.78</x:v>
      </x:c>
      <x:c r="I101" s="1" t="str">
        <x:f>IF(H101&gt;0,"Overbilled","Shortfall")</x:f>
        <x:v>Shortfall</x:v>
      </x:c>
      <x:c r="J101" s="7"/>
      <x:c r="K101" s="7" t="str">
        <x:v>Open</x:v>
      </x:c>
      <x:c r="L101" s="7"/>
    </x:row>
    <x:row r="102" ht="21" customHeight="1">
      <x:c r="A102" s="1" t="str">
        <x:f>Source!A96</x:f>
        <x:v>C0008262</x:v>
      </x:c>
      <x:c r="B102" s="1" t="str">
        <x:f>_xlfn.IFNA(VLOOKUP(Source!B96,Advertisers!$A$5:$B$34,2,FALSE),"Missing advertiser")</x:f>
        <x:v>Synthetic advertiser 16</x:v>
      </x:c>
      <x:c r="C102" s="1" t="n">
        <x:f>Source!C96</x:f>
        <x:v>76</x:v>
      </x:c>
      <x:c r="D102" s="8" t="n">
        <x:f>Source!D96/100</x:f>
        <x:v>0</x:v>
      </x:c>
      <x:c r="E102" s="8" t="n">
        <x:f>Source!E96/100</x:f>
        <x:v>395.78</x:v>
      </x:c>
      <x:c r="F102" s="8" t="n">
        <x:f>Source!F96/100</x:f>
        <x:v>0</x:v>
      </x:c>
      <x:c r="G102" s="8" t="n">
        <x:f>Source!G96/100</x:f>
        <x:v>395.78</x:v>
      </x:c>
      <x:c r="H102" s="8" t="n">
        <x:f>G102-D102</x:f>
        <x:v>395.78</x:v>
      </x:c>
      <x:c r="I102" s="1" t="str">
        <x:f>IF(H102&gt;0,"Overbilled","Shortfall")</x:f>
        <x:v>Overbilled</x:v>
      </x:c>
      <x:c r="J102" s="7"/>
      <x:c r="K102" s="7" t="str">
        <x:v>Open</x:v>
      </x:c>
      <x:c r="L102" s="7"/>
    </x:row>
    <x:row r="103" ht="21" customHeight="1">
      <x:c r="A103" s="1" t="str">
        <x:f>Source!A97</x:f>
        <x:v>C0007149</x:v>
      </x:c>
      <x:c r="B103" s="1" t="str">
        <x:f>_xlfn.IFNA(VLOOKUP(Source!B97,Advertisers!$A$5:$B$34,2,FALSE),"Missing advertiser")</x:f>
        <x:v>Synthetic advertiser 16</x:v>
      </x:c>
      <x:c r="C103" s="1" t="n">
        <x:f>Source!C97</x:f>
        <x:v>76</x:v>
      </x:c>
      <x:c r="D103" s="8" t="n">
        <x:f>Source!D97/100</x:f>
        <x:v>395.78</x:v>
      </x:c>
      <x:c r="E103" s="8" t="n">
        <x:f>Source!E97/100</x:f>
        <x:v>791.56</x:v>
      </x:c>
      <x:c r="F103" s="8" t="n">
        <x:f>Source!F97/100</x:f>
        <x:v>0</x:v>
      </x:c>
      <x:c r="G103" s="8" t="n">
        <x:f>Source!G97/100</x:f>
        <x:v>791.56</x:v>
      </x:c>
      <x:c r="H103" s="8" t="n">
        <x:f>G103-D103</x:f>
        <x:v>395.78</x:v>
      </x:c>
      <x:c r="I103" s="1" t="str">
        <x:f>IF(H103&gt;0,"Overbilled","Shortfall")</x:f>
        <x:v>Overbilled</x:v>
      </x:c>
      <x:c r="J103" s="7"/>
      <x:c r="K103" s="7" t="str">
        <x:v>Open</x:v>
      </x:c>
      <x:c r="L103" s="7"/>
    </x:row>
    <x:row r="104" ht="21" customHeight="1">
      <x:c r="A104" s="1" t="str">
        <x:f>Source!A98</x:f>
        <x:v>C0013107</x:v>
      </x:c>
      <x:c r="B104" s="1" t="str">
        <x:f>_xlfn.IFNA(VLOOKUP(Source!B98,Advertisers!$A$5:$B$34,2,FALSE),"Missing advertiser")</x:f>
        <x:v>Synthetic advertiser 28</x:v>
      </x:c>
      <x:c r="C104" s="1" t="n">
        <x:f>Source!C98</x:f>
        <x:v>28</x:v>
      </x:c>
      <x:c r="D104" s="8" t="n">
        <x:f>Source!D98/100</x:f>
        <x:v>395.34</x:v>
      </x:c>
      <x:c r="E104" s="8" t="n">
        <x:f>Source!E98/100</x:f>
        <x:v>790.68</x:v>
      </x:c>
      <x:c r="F104" s="8" t="n">
        <x:f>Source!F98/100</x:f>
        <x:v>0</x:v>
      </x:c>
      <x:c r="G104" s="8" t="n">
        <x:f>Source!G98/100</x:f>
        <x:v>790.68</x:v>
      </x:c>
      <x:c r="H104" s="8" t="n">
        <x:f>G104-D104</x:f>
        <x:v>395.34</x:v>
      </x:c>
      <x:c r="I104" s="1" t="str">
        <x:f>IF(H104&gt;0,"Overbilled","Shortfall")</x:f>
        <x:v>Overbilled</x:v>
      </x:c>
      <x:c r="J104" s="7"/>
      <x:c r="K104" s="7" t="str">
        <x:v>Open</x:v>
      </x:c>
      <x:c r="L104" s="7"/>
    </x:row>
    <x:row r="105" ht="21" customHeight="1">
      <x:c r="A105" s="1" t="str">
        <x:f>Source!A99</x:f>
        <x:v>C0008414</x:v>
      </x:c>
      <x:c r="B105" s="1" t="str">
        <x:f>_xlfn.IFNA(VLOOKUP(Source!B99,Advertisers!$A$5:$B$34,2,FALSE),"Missing advertiser")</x:f>
        <x:v>Synthetic advertiser 28</x:v>
      </x:c>
      <x:c r="C105" s="1" t="n">
        <x:f>Source!C99</x:f>
        <x:v>28</x:v>
      </x:c>
      <x:c r="D105" s="8" t="n">
        <x:f>Source!D99/100</x:f>
        <x:v>395.34</x:v>
      </x:c>
      <x:c r="E105" s="8" t="n">
        <x:f>Source!E99/100</x:f>
        <x:v>0</x:v>
      </x:c>
      <x:c r="F105" s="8" t="n">
        <x:f>Source!F99/100</x:f>
        <x:v>0</x:v>
      </x:c>
      <x:c r="G105" s="8" t="n">
        <x:f>Source!G99/100</x:f>
        <x:v>0</x:v>
      </x:c>
      <x:c r="H105" s="8" t="n">
        <x:f>G105-D105</x:f>
        <x:v>-395.34</x:v>
      </x:c>
      <x:c r="I105" s="1" t="str">
        <x:f>IF(H105&gt;0,"Overbilled","Shortfall")</x:f>
        <x:v>Shortfall</x:v>
      </x:c>
      <x:c r="J105" s="7"/>
      <x:c r="K105" s="7" t="str">
        <x:v>Open</x:v>
      </x:c>
      <x:c r="L105" s="7"/>
    </x:row>
    <x:row r="106" ht="21" customHeight="1">
      <x:c r="A106" s="1" t="str">
        <x:f>Source!A100</x:f>
        <x:v>C0006979</x:v>
      </x:c>
      <x:c r="B106" s="1" t="str">
        <x:f>_xlfn.IFNA(VLOOKUP(Source!B100,Advertisers!$A$5:$B$34,2,FALSE),"Missing advertiser")</x:f>
        <x:v>Synthetic advertiser 28</x:v>
      </x:c>
      <x:c r="C106" s="1" t="n">
        <x:f>Source!C100</x:f>
        <x:v>28</x:v>
      </x:c>
      <x:c r="D106" s="8" t="n">
        <x:f>Source!D100/100</x:f>
        <x:v>395.34</x:v>
      </x:c>
      <x:c r="E106" s="8" t="n">
        <x:f>Source!E100/100</x:f>
        <x:v>0</x:v>
      </x:c>
      <x:c r="F106" s="8" t="n">
        <x:f>Source!F100/100</x:f>
        <x:v>0</x:v>
      </x:c>
      <x:c r="G106" s="8" t="n">
        <x:f>Source!G100/100</x:f>
        <x:v>0</x:v>
      </x:c>
      <x:c r="H106" s="8" t="n">
        <x:f>G106-D106</x:f>
        <x:v>-395.34</x:v>
      </x:c>
      <x:c r="I106" s="1" t="str">
        <x:f>IF(H106&gt;0,"Overbilled","Shortfall")</x:f>
        <x:v>Shortfall</x:v>
      </x:c>
      <x:c r="J106" s="7"/>
      <x:c r="K106" s="7" t="str">
        <x:v>Open</x:v>
      </x:c>
      <x:c r="L106" s="7"/>
    </x:row>
    <x:row r="107" ht="21" customHeight="1">
      <x:c r="A107" s="1" t="str">
        <x:f>Source!A101</x:f>
        <x:v>C0013372</x:v>
      </x:c>
      <x:c r="B107" s="1" t="str">
        <x:f>_xlfn.IFNA(VLOOKUP(Source!B101,Advertisers!$A$5:$B$34,2,FALSE),"Missing advertiser")</x:f>
        <x:v>Synthetic advertiser 28</x:v>
      </x:c>
      <x:c r="C107" s="1" t="n">
        <x:f>Source!C101</x:f>
        <x:v>28</x:v>
      </x:c>
      <x:c r="D107" s="8" t="n">
        <x:f>Source!D101/100</x:f>
        <x:v>395.34</x:v>
      </x:c>
      <x:c r="E107" s="8" t="n">
        <x:f>Source!E101/100</x:f>
        <x:v>790.68</x:v>
      </x:c>
      <x:c r="F107" s="8" t="n">
        <x:f>Source!F101/100</x:f>
        <x:v>0</x:v>
      </x:c>
      <x:c r="G107" s="8" t="n">
        <x:f>Source!G101/100</x:f>
        <x:v>790.68</x:v>
      </x:c>
      <x:c r="H107" s="8" t="n">
        <x:f>G107-D107</x:f>
        <x:v>395.34</x:v>
      </x:c>
      <x:c r="I107" s="1" t="str">
        <x:f>IF(H107&gt;0,"Overbilled","Shortfall")</x:f>
        <x:v>Overbilled</x:v>
      </x:c>
      <x:c r="J107" s="7"/>
      <x:c r="K107" s="7" t="str">
        <x:v>Open</x:v>
      </x:c>
      <x:c r="L107" s="7"/>
    </x:row>
    <x:row r="108" ht="21" customHeight="1">
      <x:c r="A108" s="1" t="str">
        <x:f>Source!A102</x:f>
        <x:v>C0007680</x:v>
      </x:c>
      <x:c r="B108" s="1" t="str">
        <x:f>_xlfn.IFNA(VLOOKUP(Source!B102,Advertisers!$A$5:$B$34,2,FALSE),"Missing advertiser")</x:f>
        <x:v>Synthetic advertiser 15</x:v>
      </x:c>
      <x:c r="C108" s="1" t="n">
        <x:f>Source!C102</x:f>
        <x:v>105</x:v>
      </x:c>
      <x:c r="D108" s="8" t="n">
        <x:f>Source!D102/100</x:f>
        <x:v>390.9</x:v>
      </x:c>
      <x:c r="E108" s="8" t="n">
        <x:f>Source!E102/100</x:f>
        <x:v>781.8</x:v>
      </x:c>
      <x:c r="F108" s="8" t="n">
        <x:f>Source!F102/100</x:f>
        <x:v>0</x:v>
      </x:c>
      <x:c r="G108" s="8" t="n">
        <x:f>Source!G102/100</x:f>
        <x:v>781.8</x:v>
      </x:c>
      <x:c r="H108" s="8" t="n">
        <x:f>G108-D108</x:f>
        <x:v>390.9</x:v>
      </x:c>
      <x:c r="I108" s="1" t="str">
        <x:f>IF(H108&gt;0,"Overbilled","Shortfall")</x:f>
        <x:v>Overbilled</x:v>
      </x:c>
      <x:c r="J108" s="7"/>
      <x:c r="K108" s="7" t="str">
        <x:v>Open</x:v>
      </x:c>
      <x:c r="L108" s="7"/>
    </x:row>
    <x:row r="109" ht="21" customHeight="1">
      <x:c r="A109" s="1" t="str">
        <x:f>Source!A103</x:f>
        <x:v>C0002225</x:v>
      </x:c>
      <x:c r="B109" s="1" t="str">
        <x:f>_xlfn.IFNA(VLOOKUP(Source!B103,Advertisers!$A$5:$B$34,2,FALSE),"Missing advertiser")</x:f>
        <x:v>Synthetic advertiser 15</x:v>
      </x:c>
      <x:c r="C109" s="1" t="n">
        <x:f>Source!C103</x:f>
        <x:v>105</x:v>
      </x:c>
      <x:c r="D109" s="8" t="n">
        <x:f>Source!D103/100</x:f>
        <x:v>390.9</x:v>
      </x:c>
      <x:c r="E109" s="8" t="n">
        <x:f>Source!E103/100</x:f>
        <x:v>781.8</x:v>
      </x:c>
      <x:c r="F109" s="8" t="n">
        <x:f>Source!F103/100</x:f>
        <x:v>0</x:v>
      </x:c>
      <x:c r="G109" s="8" t="n">
        <x:f>Source!G103/100</x:f>
        <x:v>781.8</x:v>
      </x:c>
      <x:c r="H109" s="8" t="n">
        <x:f>G109-D109</x:f>
        <x:v>390.9</x:v>
      </x:c>
      <x:c r="I109" s="1" t="str">
        <x:f>IF(H109&gt;0,"Overbilled","Shortfall")</x:f>
        <x:v>Overbilled</x:v>
      </x:c>
      <x:c r="J109" s="7"/>
      <x:c r="K109" s="7" t="str">
        <x:v>Open</x:v>
      </x:c>
      <x:c r="L109" s="7"/>
    </x:row>
    <x:row r="110" ht="21" customHeight="1">
      <x:c r="A110" s="1" t="str">
        <x:f>Source!A104</x:f>
        <x:v>C0004502</x:v>
      </x:c>
      <x:c r="B110" s="1" t="str">
        <x:f>_xlfn.IFNA(VLOOKUP(Source!B104,Advertisers!$A$5:$B$34,2,FALSE),"Missing advertiser")</x:f>
        <x:v>Synthetic advertiser 15</x:v>
      </x:c>
      <x:c r="C110" s="1" t="n">
        <x:f>Source!C104</x:f>
        <x:v>105</x:v>
      </x:c>
      <x:c r="D110" s="8" t="n">
        <x:f>Source!D104/100</x:f>
        <x:v>0</x:v>
      </x:c>
      <x:c r="E110" s="8" t="n">
        <x:f>Source!E104/100</x:f>
        <x:v>390.9</x:v>
      </x:c>
      <x:c r="F110" s="8" t="n">
        <x:f>Source!F104/100</x:f>
        <x:v>0</x:v>
      </x:c>
      <x:c r="G110" s="8" t="n">
        <x:f>Source!G104/100</x:f>
        <x:v>390.9</x:v>
      </x:c>
      <x:c r="H110" s="8" t="n">
        <x:f>G110-D110</x:f>
        <x:v>390.9</x:v>
      </x:c>
      <x:c r="I110" s="1" t="str">
        <x:f>IF(H110&gt;0,"Overbilled","Shortfall")</x:f>
        <x:v>Overbilled</x:v>
      </x:c>
      <x:c r="J110" s="7"/>
      <x:c r="K110" s="7" t="str">
        <x:v>Open</x:v>
      </x:c>
      <x:c r="L110" s="7"/>
    </x:row>
    <x:row r="111" ht="21" customHeight="1">
      <x:c r="A111" s="1" t="str">
        <x:f>Source!A105</x:f>
        <x:v>C0015435</x:v>
      </x:c>
      <x:c r="B111" s="1" t="str">
        <x:f>_xlfn.IFNA(VLOOKUP(Source!B105,Advertisers!$A$5:$B$34,2,FALSE),"Missing advertiser")</x:f>
        <x:v>Synthetic advertiser 15</x:v>
      </x:c>
      <x:c r="C111" s="1" t="n">
        <x:f>Source!C105</x:f>
        <x:v>105</x:v>
      </x:c>
      <x:c r="D111" s="8" t="n">
        <x:f>Source!D105/100</x:f>
        <x:v>390.9</x:v>
      </x:c>
      <x:c r="E111" s="8" t="n">
        <x:f>Source!E105/100</x:f>
        <x:v>0</x:v>
      </x:c>
      <x:c r="F111" s="8" t="n">
        <x:f>Source!F105/100</x:f>
        <x:v>0</x:v>
      </x:c>
      <x:c r="G111" s="8" t="n">
        <x:f>Source!G105/100</x:f>
        <x:v>0</x:v>
      </x:c>
      <x:c r="H111" s="8" t="n">
        <x:f>G111-D111</x:f>
        <x:v>-390.9</x:v>
      </x:c>
      <x:c r="I111" s="1" t="str">
        <x:f>IF(H111&gt;0,"Overbilled","Shortfall")</x:f>
        <x:v>Shortfall</x:v>
      </x:c>
      <x:c r="J111" s="7"/>
      <x:c r="K111" s="7" t="str">
        <x:v>Open</x:v>
      </x:c>
      <x:c r="L111" s="7"/>
    </x:row>
    <x:row r="112" ht="21" customHeight="1">
      <x:c r="A112" s="1" t="str">
        <x:f>Source!A106</x:f>
        <x:v>C0011002</x:v>
      </x:c>
      <x:c r="B112" s="1" t="str">
        <x:f>_xlfn.IFNA(VLOOKUP(Source!B106,Advertisers!$A$5:$B$34,2,FALSE),"Missing advertiser")</x:f>
        <x:v>Synthetic advertiser 15</x:v>
      </x:c>
      <x:c r="C112" s="1" t="n">
        <x:f>Source!C106</x:f>
        <x:v>105</x:v>
      </x:c>
      <x:c r="D112" s="8" t="n">
        <x:f>Source!D106/100</x:f>
        <x:v>390.9</x:v>
      </x:c>
      <x:c r="E112" s="8" t="n">
        <x:f>Source!E106/100</x:f>
        <x:v>781.8</x:v>
      </x:c>
      <x:c r="F112" s="8" t="n">
        <x:f>Source!F106/100</x:f>
        <x:v>0</x:v>
      </x:c>
      <x:c r="G112" s="8" t="n">
        <x:f>Source!G106/100</x:f>
        <x:v>781.8</x:v>
      </x:c>
      <x:c r="H112" s="8" t="n">
        <x:f>G112-D112</x:f>
        <x:v>390.9</x:v>
      </x:c>
      <x:c r="I112" s="1" t="str">
        <x:f>IF(H112&gt;0,"Overbilled","Shortfall")</x:f>
        <x:v>Overbilled</x:v>
      </x:c>
      <x:c r="J112" s="7"/>
      <x:c r="K112" s="7" t="str">
        <x:v>Open</x:v>
      </x:c>
      <x:c r="L112" s="7"/>
    </x:row>
    <x:row r="113" ht="21" customHeight="1">
      <x:c r="A113" s="1" t="str">
        <x:f>Source!A107</x:f>
        <x:v>C0008847</x:v>
      </x:c>
      <x:c r="B113" s="1" t="str">
        <x:f>_xlfn.IFNA(VLOOKUP(Source!B107,Advertisers!$A$5:$B$34,2,FALSE),"Missing advertiser")</x:f>
        <x:v>Synthetic advertiser 15</x:v>
      </x:c>
      <x:c r="C113" s="1" t="n">
        <x:f>Source!C107</x:f>
        <x:v>105</x:v>
      </x:c>
      <x:c r="D113" s="8" t="n">
        <x:f>Source!D107/100</x:f>
        <x:v>390.9</x:v>
      </x:c>
      <x:c r="E113" s="8" t="n">
        <x:f>Source!E107/100</x:f>
        <x:v>781.8</x:v>
      </x:c>
      <x:c r="F113" s="8" t="n">
        <x:f>Source!F107/100</x:f>
        <x:v>0</x:v>
      </x:c>
      <x:c r="G113" s="8" t="n">
        <x:f>Source!G107/100</x:f>
        <x:v>781.8</x:v>
      </x:c>
      <x:c r="H113" s="8" t="n">
        <x:f>G113-D113</x:f>
        <x:v>390.9</x:v>
      </x:c>
      <x:c r="I113" s="1" t="str">
        <x:f>IF(H113&gt;0,"Overbilled","Shortfall")</x:f>
        <x:v>Overbilled</x:v>
      </x:c>
      <x:c r="J113" s="7"/>
      <x:c r="K113" s="7" t="str">
        <x:v>Open</x:v>
      </x:c>
      <x:c r="L113" s="7"/>
    </x:row>
    <x:row r="114" ht="21" customHeight="1">
      <x:c r="A114" s="1" t="str">
        <x:f>Source!A108</x:f>
        <x:v>C0017403</x:v>
      </x:c>
      <x:c r="B114" s="1" t="str">
        <x:f>_xlfn.IFNA(VLOOKUP(Source!B108,Advertisers!$A$5:$B$34,2,FALSE),"Missing advertiser")</x:f>
        <x:v>Synthetic advertiser 15</x:v>
      </x:c>
      <x:c r="C114" s="1" t="n">
        <x:f>Source!C108</x:f>
        <x:v>105</x:v>
      </x:c>
      <x:c r="D114" s="8" t="n">
        <x:f>Source!D108/100</x:f>
        <x:v>0</x:v>
      </x:c>
      <x:c r="E114" s="8" t="n">
        <x:f>Source!E108/100</x:f>
        <x:v>390.9</x:v>
      </x:c>
      <x:c r="F114" s="8" t="n">
        <x:f>Source!F108/100</x:f>
        <x:v>0</x:v>
      </x:c>
      <x:c r="G114" s="8" t="n">
        <x:f>Source!G108/100</x:f>
        <x:v>390.9</x:v>
      </x:c>
      <x:c r="H114" s="8" t="n">
        <x:f>G114-D114</x:f>
        <x:v>390.9</x:v>
      </x:c>
      <x:c r="I114" s="1" t="str">
        <x:f>IF(H114&gt;0,"Overbilled","Shortfall")</x:f>
        <x:v>Overbilled</x:v>
      </x:c>
      <x:c r="J114" s="7"/>
      <x:c r="K114" s="7" t="str">
        <x:v>Open</x:v>
      </x:c>
      <x:c r="L114" s="7"/>
    </x:row>
    <x:row r="115" ht="21" customHeight="1">
      <x:c r="A115" s="1" t="str">
        <x:f>Source!A109</x:f>
        <x:v>C0011612</x:v>
      </x:c>
      <x:c r="B115" s="1" t="str">
        <x:f>_xlfn.IFNA(VLOOKUP(Source!B109,Advertisers!$A$5:$B$34,2,FALSE),"Missing advertiser")</x:f>
        <x:v>Synthetic advertiser 12</x:v>
      </x:c>
      <x:c r="C115" s="1" t="n">
        <x:f>Source!C109</x:f>
        <x:v>12</x:v>
      </x:c>
      <x:c r="D115" s="8" t="n">
        <x:f>Source!D109/100</x:f>
        <x:v>379.88</x:v>
      </x:c>
      <x:c r="E115" s="8" t="n">
        <x:f>Source!E109/100</x:f>
        <x:v>759.76</x:v>
      </x:c>
      <x:c r="F115" s="8" t="n">
        <x:f>Source!F109/100</x:f>
        <x:v>0</x:v>
      </x:c>
      <x:c r="G115" s="8" t="n">
        <x:f>Source!G109/100</x:f>
        <x:v>759.76</x:v>
      </x:c>
      <x:c r="H115" s="8" t="n">
        <x:f>G115-D115</x:f>
        <x:v>379.88</x:v>
      </x:c>
      <x:c r="I115" s="1" t="str">
        <x:f>IF(H115&gt;0,"Overbilled","Shortfall")</x:f>
        <x:v>Overbilled</x:v>
      </x:c>
      <x:c r="J115" s="7"/>
      <x:c r="K115" s="7" t="str">
        <x:v>Open</x:v>
      </x:c>
      <x:c r="L115" s="7"/>
    </x:row>
    <x:row r="116" ht="21" customHeight="1">
      <x:c r="A116" s="1" t="str">
        <x:f>Source!A110</x:f>
        <x:v>C0002634</x:v>
      </x:c>
      <x:c r="B116" s="1" t="str">
        <x:f>_xlfn.IFNA(VLOOKUP(Source!B110,Advertisers!$A$5:$B$34,2,FALSE),"Missing advertiser")</x:f>
        <x:v>Synthetic advertiser 12</x:v>
      </x:c>
      <x:c r="C116" s="1" t="n">
        <x:f>Source!C110</x:f>
        <x:v>12</x:v>
      </x:c>
      <x:c r="D116" s="8" t="n">
        <x:f>Source!D110/100</x:f>
        <x:v>379.88</x:v>
      </x:c>
      <x:c r="E116" s="8" t="n">
        <x:f>Source!E110/100</x:f>
        <x:v>0</x:v>
      </x:c>
      <x:c r="F116" s="8" t="n">
        <x:f>Source!F110/100</x:f>
        <x:v>0</x:v>
      </x:c>
      <x:c r="G116" s="8" t="n">
        <x:f>Source!G110/100</x:f>
        <x:v>0</x:v>
      </x:c>
      <x:c r="H116" s="8" t="n">
        <x:f>G116-D116</x:f>
        <x:v>-379.88</x:v>
      </x:c>
      <x:c r="I116" s="1" t="str">
        <x:f>IF(H116&gt;0,"Overbilled","Shortfall")</x:f>
        <x:v>Shortfall</x:v>
      </x:c>
      <x:c r="J116" s="7"/>
      <x:c r="K116" s="7" t="str">
        <x:v>Open</x:v>
      </x:c>
      <x:c r="L116" s="7"/>
    </x:row>
    <x:row r="117" ht="21" customHeight="1">
      <x:c r="A117" s="1" t="str">
        <x:f>Source!A111</x:f>
        <x:v>C0007449</x:v>
      </x:c>
      <x:c r="B117" s="1" t="str">
        <x:f>_xlfn.IFNA(VLOOKUP(Source!B111,Advertisers!$A$5:$B$34,2,FALSE),"Missing advertiser")</x:f>
        <x:v>Synthetic advertiser 12</x:v>
      </x:c>
      <x:c r="C117" s="1" t="n">
        <x:f>Source!C111</x:f>
        <x:v>12</x:v>
      </x:c>
      <x:c r="D117" s="8" t="n">
        <x:f>Source!D111/100</x:f>
        <x:v>379.88</x:v>
      </x:c>
      <x:c r="E117" s="8" t="n">
        <x:f>Source!E111/100</x:f>
        <x:v>0</x:v>
      </x:c>
      <x:c r="F117" s="8" t="n">
        <x:f>Source!F111/100</x:f>
        <x:v>0</x:v>
      </x:c>
      <x:c r="G117" s="8" t="n">
        <x:f>Source!G111/100</x:f>
        <x:v>0</x:v>
      </x:c>
      <x:c r="H117" s="8" t="n">
        <x:f>G117-D117</x:f>
        <x:v>-379.88</x:v>
      </x:c>
      <x:c r="I117" s="1" t="str">
        <x:f>IF(H117&gt;0,"Overbilled","Shortfall")</x:f>
        <x:v>Shortfall</x:v>
      </x:c>
      <x:c r="J117" s="7"/>
      <x:c r="K117" s="7" t="str">
        <x:v>Open</x:v>
      </x:c>
      <x:c r="L117" s="7"/>
    </x:row>
    <x:row r="118" ht="21" customHeight="1">
      <x:c r="A118" s="1" t="str">
        <x:f>Source!A112</x:f>
        <x:v>C0001277</x:v>
      </x:c>
      <x:c r="B118" s="1" t="str">
        <x:f>_xlfn.IFNA(VLOOKUP(Source!B112,Advertisers!$A$5:$B$34,2,FALSE),"Missing advertiser")</x:f>
        <x:v>Synthetic advertiser 12</x:v>
      </x:c>
      <x:c r="C118" s="1" t="n">
        <x:f>Source!C112</x:f>
        <x:v>12</x:v>
      </x:c>
      <x:c r="D118" s="8" t="n">
        <x:f>Source!D112/100</x:f>
        <x:v>379.88</x:v>
      </x:c>
      <x:c r="E118" s="8" t="n">
        <x:f>Source!E112/100</x:f>
        <x:v>0</x:v>
      </x:c>
      <x:c r="F118" s="8" t="n">
        <x:f>Source!F112/100</x:f>
        <x:v>0</x:v>
      </x:c>
      <x:c r="G118" s="8" t="n">
        <x:f>Source!G112/100</x:f>
        <x:v>0</x:v>
      </x:c>
      <x:c r="H118" s="8" t="n">
        <x:f>G118-D118</x:f>
        <x:v>-379.88</x:v>
      </x:c>
      <x:c r="I118" s="1" t="str">
        <x:f>IF(H118&gt;0,"Overbilled","Shortfall")</x:f>
        <x:v>Shortfall</x:v>
      </x:c>
      <x:c r="J118" s="7"/>
      <x:c r="K118" s="7" t="str">
        <x:v>Open</x:v>
      </x:c>
      <x:c r="L118" s="7"/>
    </x:row>
    <x:row r="119" ht="21" customHeight="1">
      <x:c r="A119" s="1" t="str">
        <x:f>Source!A113</x:f>
        <x:v>C0001604</x:v>
      </x:c>
      <x:c r="B119" s="1" t="str">
        <x:f>_xlfn.IFNA(VLOOKUP(Source!B113,Advertisers!$A$5:$B$34,2,FALSE),"Missing advertiser")</x:f>
        <x:v>Synthetic advertiser 12</x:v>
      </x:c>
      <x:c r="C119" s="1" t="n">
        <x:f>Source!C113</x:f>
        <x:v>12</x:v>
      </x:c>
      <x:c r="D119" s="8" t="n">
        <x:f>Source!D113/100</x:f>
        <x:v>379.88</x:v>
      </x:c>
      <x:c r="E119" s="8" t="n">
        <x:f>Source!E113/100</x:f>
        <x:v>0</x:v>
      </x:c>
      <x:c r="F119" s="8" t="n">
        <x:f>Source!F113/100</x:f>
        <x:v>0</x:v>
      </x:c>
      <x:c r="G119" s="8" t="n">
        <x:f>Source!G113/100</x:f>
        <x:v>0</x:v>
      </x:c>
      <x:c r="H119" s="8" t="n">
        <x:f>G119-D119</x:f>
        <x:v>-379.88</x:v>
      </x:c>
      <x:c r="I119" s="1" t="str">
        <x:f>IF(H119&gt;0,"Overbilled","Shortfall")</x:f>
        <x:v>Shortfall</x:v>
      </x:c>
      <x:c r="J119" s="7"/>
      <x:c r="K119" s="7" t="str">
        <x:v>Open</x:v>
      </x:c>
      <x:c r="L119" s="7"/>
    </x:row>
    <x:row r="120" ht="21" customHeight="1">
      <x:c r="A120" s="1" t="str">
        <x:f>Source!A114</x:f>
        <x:v>C0001355</x:v>
      </x:c>
      <x:c r="B120" s="1" t="str">
        <x:f>_xlfn.IFNA(VLOOKUP(Source!B114,Advertisers!$A$5:$B$34,2,FALSE),"Missing advertiser")</x:f>
        <x:v>Synthetic advertiser 12</x:v>
      </x:c>
      <x:c r="C120" s="1" t="n">
        <x:f>Source!C114</x:f>
        <x:v>12</x:v>
      </x:c>
      <x:c r="D120" s="8" t="n">
        <x:f>Source!D114/100</x:f>
        <x:v>379.88</x:v>
      </x:c>
      <x:c r="E120" s="8" t="n">
        <x:f>Source!E114/100</x:f>
        <x:v>759.76</x:v>
      </x:c>
      <x:c r="F120" s="8" t="n">
        <x:f>Source!F114/100</x:f>
        <x:v>0</x:v>
      </x:c>
      <x:c r="G120" s="8" t="n">
        <x:f>Source!G114/100</x:f>
        <x:v>759.76</x:v>
      </x:c>
      <x:c r="H120" s="8" t="n">
        <x:f>G120-D120</x:f>
        <x:v>379.88</x:v>
      </x:c>
      <x:c r="I120" s="1" t="str">
        <x:f>IF(H120&gt;0,"Overbilled","Shortfall")</x:f>
        <x:v>Overbilled</x:v>
      </x:c>
      <x:c r="J120" s="7"/>
      <x:c r="K120" s="7" t="str">
        <x:v>Open</x:v>
      </x:c>
      <x:c r="L120" s="7"/>
    </x:row>
    <x:row r="121" ht="21" customHeight="1">
      <x:c r="A121" s="1" t="str">
        <x:f>Source!A115</x:f>
        <x:v>C0001418</x:v>
      </x:c>
      <x:c r="B121" s="1" t="str">
        <x:f>_xlfn.IFNA(VLOOKUP(Source!B115,Advertisers!$A$5:$B$34,2,FALSE),"Missing advertiser")</x:f>
        <x:v>Synthetic advertiser 8</x:v>
      </x:c>
      <x:c r="C121" s="1" t="n">
        <x:f>Source!C115</x:f>
        <x:v>38</x:v>
      </x:c>
      <x:c r="D121" s="8" t="n">
        <x:f>Source!D115/100</x:f>
        <x:v>368.34</x:v>
      </x:c>
      <x:c r="E121" s="8" t="n">
        <x:f>Source!E115/100</x:f>
        <x:v>736.68</x:v>
      </x:c>
      <x:c r="F121" s="8" t="n">
        <x:f>Source!F115/100</x:f>
        <x:v>0</x:v>
      </x:c>
      <x:c r="G121" s="8" t="n">
        <x:f>Source!G115/100</x:f>
        <x:v>736.68</x:v>
      </x:c>
      <x:c r="H121" s="8" t="n">
        <x:f>G121-D121</x:f>
        <x:v>368.34</x:v>
      </x:c>
      <x:c r="I121" s="1" t="str">
        <x:f>IF(H121&gt;0,"Overbilled","Shortfall")</x:f>
        <x:v>Overbilled</x:v>
      </x:c>
      <x:c r="J121" s="7"/>
      <x:c r="K121" s="7" t="str">
        <x:v>Open</x:v>
      </x:c>
      <x:c r="L121" s="7"/>
    </x:row>
    <x:row r="122" ht="21" customHeight="1">
      <x:c r="A122" s="1" t="str">
        <x:f>Source!A116</x:f>
        <x:v>C0011620</x:v>
      </x:c>
      <x:c r="B122" s="1" t="str">
        <x:f>_xlfn.IFNA(VLOOKUP(Source!B116,Advertisers!$A$5:$B$34,2,FALSE),"Missing advertiser")</x:f>
        <x:v>Synthetic advertiser 8</x:v>
      </x:c>
      <x:c r="C122" s="1" t="n">
        <x:f>Source!C116</x:f>
        <x:v>38</x:v>
      </x:c>
      <x:c r="D122" s="8" t="n">
        <x:f>Source!D116/100</x:f>
        <x:v>368.34</x:v>
      </x:c>
      <x:c r="E122" s="8" t="n">
        <x:f>Source!E116/100</x:f>
        <x:v>736.68</x:v>
      </x:c>
      <x:c r="F122" s="8" t="n">
        <x:f>Source!F116/100</x:f>
        <x:v>0</x:v>
      </x:c>
      <x:c r="G122" s="8" t="n">
        <x:f>Source!G116/100</x:f>
        <x:v>736.68</x:v>
      </x:c>
      <x:c r="H122" s="8" t="n">
        <x:f>G122-D122</x:f>
        <x:v>368.34</x:v>
      </x:c>
      <x:c r="I122" s="1" t="str">
        <x:f>IF(H122&gt;0,"Overbilled","Shortfall")</x:f>
        <x:v>Overbilled</x:v>
      </x:c>
      <x:c r="J122" s="7"/>
      <x:c r="K122" s="7" t="str">
        <x:v>Open</x:v>
      </x:c>
      <x:c r="L122" s="7"/>
    </x:row>
    <x:row r="123" ht="21" customHeight="1">
      <x:c r="A123" s="1" t="str">
        <x:f>Source!A117</x:f>
        <x:v>C0000113</x:v>
      </x:c>
      <x:c r="B123" s="1" t="str">
        <x:f>_xlfn.IFNA(VLOOKUP(Source!B117,Advertisers!$A$5:$B$34,2,FALSE),"Missing advertiser")</x:f>
        <x:v>Synthetic advertiser 8</x:v>
      </x:c>
      <x:c r="C123" s="1" t="n">
        <x:f>Source!C117</x:f>
        <x:v>38</x:v>
      </x:c>
      <x:c r="D123" s="8" t="n">
        <x:f>Source!D117/100</x:f>
        <x:v>368.34</x:v>
      </x:c>
      <x:c r="E123" s="8" t="n">
        <x:f>Source!E117/100</x:f>
        <x:v>0</x:v>
      </x:c>
      <x:c r="F123" s="8" t="n">
        <x:f>Source!F117/100</x:f>
        <x:v>0</x:v>
      </x:c>
      <x:c r="G123" s="8" t="n">
        <x:f>Source!G117/100</x:f>
        <x:v>0</x:v>
      </x:c>
      <x:c r="H123" s="8" t="n">
        <x:f>G123-D123</x:f>
        <x:v>-368.34</x:v>
      </x:c>
      <x:c r="I123" s="1" t="str">
        <x:f>IF(H123&gt;0,"Overbilled","Shortfall")</x:f>
        <x:v>Shortfall</x:v>
      </x:c>
      <x:c r="J123" s="7"/>
      <x:c r="K123" s="7" t="str">
        <x:v>Open</x:v>
      </x:c>
      <x:c r="L123" s="7"/>
    </x:row>
    <x:row r="124" ht="21" customHeight="1">
      <x:c r="A124" s="1" t="str">
        <x:f>Source!A118</x:f>
        <x:v>C0010585</x:v>
      </x:c>
      <x:c r="B124" s="1" t="str">
        <x:f>_xlfn.IFNA(VLOOKUP(Source!B118,Advertisers!$A$5:$B$34,2,FALSE),"Missing advertiser")</x:f>
        <x:v>Synthetic advertiser 8</x:v>
      </x:c>
      <x:c r="C124" s="1" t="n">
        <x:f>Source!C118</x:f>
        <x:v>38</x:v>
      </x:c>
      <x:c r="D124" s="8" t="n">
        <x:f>Source!D118/100</x:f>
        <x:v>368.34</x:v>
      </x:c>
      <x:c r="E124" s="8" t="n">
        <x:f>Source!E118/100</x:f>
        <x:v>0</x:v>
      </x:c>
      <x:c r="F124" s="8" t="n">
        <x:f>Source!F118/100</x:f>
        <x:v>0</x:v>
      </x:c>
      <x:c r="G124" s="8" t="n">
        <x:f>Source!G118/100</x:f>
        <x:v>0</x:v>
      </x:c>
      <x:c r="H124" s="8" t="n">
        <x:f>G124-D124</x:f>
        <x:v>-368.34</x:v>
      </x:c>
      <x:c r="I124" s="1" t="str">
        <x:f>IF(H124&gt;0,"Overbilled","Shortfall")</x:f>
        <x:v>Shortfall</x:v>
      </x:c>
      <x:c r="J124" s="7"/>
      <x:c r="K124" s="7" t="str">
        <x:v>Open</x:v>
      </x:c>
      <x:c r="L124" s="7"/>
    </x:row>
    <x:row r="125" ht="21" customHeight="1">
      <x:c r="A125" s="1" t="str">
        <x:f>Source!A119</x:f>
        <x:v>C0007036</x:v>
      </x:c>
      <x:c r="B125" s="1" t="str">
        <x:f>_xlfn.IFNA(VLOOKUP(Source!B119,Advertisers!$A$5:$B$34,2,FALSE),"Missing advertiser")</x:f>
        <x:v>Synthetic advertiser 8</x:v>
      </x:c>
      <x:c r="C125" s="1" t="n">
        <x:f>Source!C119</x:f>
        <x:v>38</x:v>
      </x:c>
      <x:c r="D125" s="8" t="n">
        <x:f>Source!D119/100</x:f>
        <x:v>368.34</x:v>
      </x:c>
      <x:c r="E125" s="8" t="n">
        <x:f>Source!E119/100</x:f>
        <x:v>736.68</x:v>
      </x:c>
      <x:c r="F125" s="8" t="n">
        <x:f>Source!F119/100</x:f>
        <x:v>0</x:v>
      </x:c>
      <x:c r="G125" s="8" t="n">
        <x:f>Source!G119/100</x:f>
        <x:v>736.68</x:v>
      </x:c>
      <x:c r="H125" s="8" t="n">
        <x:f>G125-D125</x:f>
        <x:v>368.34</x:v>
      </x:c>
      <x:c r="I125" s="1" t="str">
        <x:f>IF(H125&gt;0,"Overbilled","Shortfall")</x:f>
        <x:v>Overbilled</x:v>
      </x:c>
      <x:c r="J125" s="7"/>
      <x:c r="K125" s="7" t="str">
        <x:v>Open</x:v>
      </x:c>
      <x:c r="L125" s="7"/>
    </x:row>
    <x:row r="126" ht="21" customHeight="1">
      <x:c r="A126" s="1" t="str">
        <x:f>Source!A120</x:f>
        <x:v>C0011761</x:v>
      </x:c>
      <x:c r="B126" s="1" t="str">
        <x:f>_xlfn.IFNA(VLOOKUP(Source!B120,Advertisers!$A$5:$B$34,2,FALSE),"Missing advertiser")</x:f>
        <x:v>Synthetic advertiser 11</x:v>
      </x:c>
      <x:c r="C126" s="1" t="n">
        <x:f>Source!C120</x:f>
        <x:v>101</x:v>
      </x:c>
      <x:c r="D126" s="8" t="n">
        <x:f>Source!D120/100</x:f>
        <x:v>358.36</x:v>
      </x:c>
      <x:c r="E126" s="8" t="n">
        <x:f>Source!E120/100</x:f>
        <x:v>716.72</x:v>
      </x:c>
      <x:c r="F126" s="8" t="n">
        <x:f>Source!F120/100</x:f>
        <x:v>0</x:v>
      </x:c>
      <x:c r="G126" s="8" t="n">
        <x:f>Source!G120/100</x:f>
        <x:v>716.72</x:v>
      </x:c>
      <x:c r="H126" s="8" t="n">
        <x:f>G126-D126</x:f>
        <x:v>358.36</x:v>
      </x:c>
      <x:c r="I126" s="1" t="str">
        <x:f>IF(H126&gt;0,"Overbilled","Shortfall")</x:f>
        <x:v>Overbilled</x:v>
      </x:c>
      <x:c r="J126" s="7"/>
      <x:c r="K126" s="7" t="str">
        <x:v>Open</x:v>
      </x:c>
      <x:c r="L126" s="7"/>
    </x:row>
    <x:row r="127" ht="21" customHeight="1">
      <x:c r="A127" s="1" t="str">
        <x:f>Source!A121</x:f>
        <x:v>C0012627</x:v>
      </x:c>
      <x:c r="B127" s="1" t="str">
        <x:f>_xlfn.IFNA(VLOOKUP(Source!B121,Advertisers!$A$5:$B$34,2,FALSE),"Missing advertiser")</x:f>
        <x:v>Synthetic advertiser 11</x:v>
      </x:c>
      <x:c r="C127" s="1" t="n">
        <x:f>Source!C121</x:f>
        <x:v>101</x:v>
      </x:c>
      <x:c r="D127" s="8" t="n">
        <x:f>Source!D121/100</x:f>
        <x:v>358.36</x:v>
      </x:c>
      <x:c r="E127" s="8" t="n">
        <x:f>Source!E121/100</x:f>
        <x:v>0</x:v>
      </x:c>
      <x:c r="F127" s="8" t="n">
        <x:f>Source!F121/100</x:f>
        <x:v>0</x:v>
      </x:c>
      <x:c r="G127" s="8" t="n">
        <x:f>Source!G121/100</x:f>
        <x:v>0</x:v>
      </x:c>
      <x:c r="H127" s="8" t="n">
        <x:f>G127-D127</x:f>
        <x:v>-358.36</x:v>
      </x:c>
      <x:c r="I127" s="1" t="str">
        <x:f>IF(H127&gt;0,"Overbilled","Shortfall")</x:f>
        <x:v>Shortfall</x:v>
      </x:c>
      <x:c r="J127" s="7"/>
      <x:c r="K127" s="7" t="str">
        <x:v>Open</x:v>
      </x:c>
      <x:c r="L127" s="7"/>
    </x:row>
    <x:row r="128" ht="21" customHeight="1">
      <x:c r="A128" s="1" t="str">
        <x:f>Source!A122</x:f>
        <x:v>C0012484</x:v>
      </x:c>
      <x:c r="B128" s="1" t="str">
        <x:f>_xlfn.IFNA(VLOOKUP(Source!B122,Advertisers!$A$5:$B$34,2,FALSE),"Missing advertiser")</x:f>
        <x:v>Synthetic advertiser 11</x:v>
      </x:c>
      <x:c r="C128" s="1" t="n">
        <x:f>Source!C122</x:f>
        <x:v>101</x:v>
      </x:c>
      <x:c r="D128" s="8" t="n">
        <x:f>Source!D122/100</x:f>
        <x:v>358.36</x:v>
      </x:c>
      <x:c r="E128" s="8" t="n">
        <x:f>Source!E122/100</x:f>
        <x:v>716.72</x:v>
      </x:c>
      <x:c r="F128" s="8" t="n">
        <x:f>Source!F122/100</x:f>
        <x:v>0</x:v>
      </x:c>
      <x:c r="G128" s="8" t="n">
        <x:f>Source!G122/100</x:f>
        <x:v>716.72</x:v>
      </x:c>
      <x:c r="H128" s="8" t="n">
        <x:f>G128-D128</x:f>
        <x:v>358.36</x:v>
      </x:c>
      <x:c r="I128" s="1" t="str">
        <x:f>IF(H128&gt;0,"Overbilled","Shortfall")</x:f>
        <x:v>Overbilled</x:v>
      </x:c>
      <x:c r="J128" s="7"/>
      <x:c r="K128" s="7" t="str">
        <x:v>Open</x:v>
      </x:c>
      <x:c r="L128" s="7"/>
    </x:row>
    <x:row r="129" ht="21" customHeight="1">
      <x:c r="A129" s="1" t="str">
        <x:f>Source!A123</x:f>
        <x:v>C0009736</x:v>
      </x:c>
      <x:c r="B129" s="1" t="str">
        <x:f>_xlfn.IFNA(VLOOKUP(Source!B123,Advertisers!$A$5:$B$34,2,FALSE),"Missing advertiser")</x:f>
        <x:v>Synthetic advertiser 11</x:v>
      </x:c>
      <x:c r="C129" s="1" t="n">
        <x:f>Source!C123</x:f>
        <x:v>101</x:v>
      </x:c>
      <x:c r="D129" s="8" t="n">
        <x:f>Source!D123/100</x:f>
        <x:v>358.36</x:v>
      </x:c>
      <x:c r="E129" s="8" t="n">
        <x:f>Source!E123/100</x:f>
        <x:v>716.72</x:v>
      </x:c>
      <x:c r="F129" s="8" t="n">
        <x:f>Source!F123/100</x:f>
        <x:v>0</x:v>
      </x:c>
      <x:c r="G129" s="8" t="n">
        <x:f>Source!G123/100</x:f>
        <x:v>716.72</x:v>
      </x:c>
      <x:c r="H129" s="8" t="n">
        <x:f>G129-D129</x:f>
        <x:v>358.36</x:v>
      </x:c>
      <x:c r="I129" s="1" t="str">
        <x:f>IF(H129&gt;0,"Overbilled","Shortfall")</x:f>
        <x:v>Overbilled</x:v>
      </x:c>
      <x:c r="J129" s="7"/>
      <x:c r="K129" s="7" t="str">
        <x:v>Open</x:v>
      </x:c>
      <x:c r="L129" s="7"/>
    </x:row>
    <x:row r="130" ht="21" customHeight="1">
      <x:c r="A130" s="1" t="str">
        <x:f>Source!A124</x:f>
        <x:v>C0011426</x:v>
      </x:c>
      <x:c r="B130" s="1" t="str">
        <x:f>_xlfn.IFNA(VLOOKUP(Source!B124,Advertisers!$A$5:$B$34,2,FALSE),"Missing advertiser")</x:f>
        <x:v>Synthetic advertiser 11</x:v>
      </x:c>
      <x:c r="C130" s="1" t="n">
        <x:f>Source!C124</x:f>
        <x:v>101</x:v>
      </x:c>
      <x:c r="D130" s="8" t="n">
        <x:f>Source!D124/100</x:f>
        <x:v>358.36</x:v>
      </x:c>
      <x:c r="E130" s="8" t="n">
        <x:f>Source!E124/100</x:f>
        <x:v>716.72</x:v>
      </x:c>
      <x:c r="F130" s="8" t="n">
        <x:f>Source!F124/100</x:f>
        <x:v>0</x:v>
      </x:c>
      <x:c r="G130" s="8" t="n">
        <x:f>Source!G124/100</x:f>
        <x:v>716.72</x:v>
      </x:c>
      <x:c r="H130" s="8" t="n">
        <x:f>G130-D130</x:f>
        <x:v>358.36</x:v>
      </x:c>
      <x:c r="I130" s="1" t="str">
        <x:f>IF(H130&gt;0,"Overbilled","Shortfall")</x:f>
        <x:v>Overbilled</x:v>
      </x:c>
      <x:c r="J130" s="7"/>
      <x:c r="K130" s="7" t="str">
        <x:v>Open</x:v>
      </x:c>
      <x:c r="L130" s="7"/>
    </x:row>
    <x:row r="131" ht="21" customHeight="1">
      <x:c r="A131" s="1" t="str">
        <x:f>Source!A125</x:f>
        <x:v>C0015683</x:v>
      </x:c>
      <x:c r="B131" s="1" t="str">
        <x:f>_xlfn.IFNA(VLOOKUP(Source!B125,Advertisers!$A$5:$B$34,2,FALSE),"Missing advertiser")</x:f>
        <x:v>Synthetic advertiser 16</x:v>
      </x:c>
      <x:c r="C131" s="1" t="n">
        <x:f>Source!C125</x:f>
        <x:v>46</x:v>
      </x:c>
      <x:c r="D131" s="8" t="n">
        <x:f>Source!D125/100</x:f>
        <x:v>354.84</x:v>
      </x:c>
      <x:c r="E131" s="8" t="n">
        <x:f>Source!E125/100</x:f>
        <x:v>709.68</x:v>
      </x:c>
      <x:c r="F131" s="8" t="n">
        <x:f>Source!F125/100</x:f>
        <x:v>0</x:v>
      </x:c>
      <x:c r="G131" s="8" t="n">
        <x:f>Source!G125/100</x:f>
        <x:v>709.68</x:v>
      </x:c>
      <x:c r="H131" s="8" t="n">
        <x:f>G131-D131</x:f>
        <x:v>354.84</x:v>
      </x:c>
      <x:c r="I131" s="1" t="str">
        <x:f>IF(H131&gt;0,"Overbilled","Shortfall")</x:f>
        <x:v>Overbilled</x:v>
      </x:c>
      <x:c r="J131" s="7"/>
      <x:c r="K131" s="7" t="str">
        <x:v>Open</x:v>
      </x:c>
      <x:c r="L131" s="7"/>
    </x:row>
    <x:row r="132" ht="21" customHeight="1">
      <x:c r="A132" s="1" t="str">
        <x:f>Source!A126</x:f>
        <x:v>C0013378</x:v>
      </x:c>
      <x:c r="B132" s="1" t="str">
        <x:f>_xlfn.IFNA(VLOOKUP(Source!B126,Advertisers!$A$5:$B$34,2,FALSE),"Missing advertiser")</x:f>
        <x:v>Synthetic advertiser 16</x:v>
      </x:c>
      <x:c r="C132" s="1" t="n">
        <x:f>Source!C126</x:f>
        <x:v>46</x:v>
      </x:c>
      <x:c r="D132" s="8" t="n">
        <x:f>Source!D126/100</x:f>
        <x:v>0</x:v>
      </x:c>
      <x:c r="E132" s="8" t="n">
        <x:f>Source!E126/100</x:f>
        <x:v>354.84</x:v>
      </x:c>
      <x:c r="F132" s="8" t="n">
        <x:f>Source!F126/100</x:f>
        <x:v>0</x:v>
      </x:c>
      <x:c r="G132" s="8" t="n">
        <x:f>Source!G126/100</x:f>
        <x:v>354.84</x:v>
      </x:c>
      <x:c r="H132" s="8" t="n">
        <x:f>G132-D132</x:f>
        <x:v>354.84</x:v>
      </x:c>
      <x:c r="I132" s="1" t="str">
        <x:f>IF(H132&gt;0,"Overbilled","Shortfall")</x:f>
        <x:v>Overbilled</x:v>
      </x:c>
      <x:c r="J132" s="7"/>
      <x:c r="K132" s="7" t="str">
        <x:v>Open</x:v>
      </x:c>
      <x:c r="L132" s="7"/>
    </x:row>
    <x:row r="133" ht="21" customHeight="1">
      <x:c r="A133" s="1" t="str">
        <x:f>Source!A127</x:f>
        <x:v>C0017239</x:v>
      </x:c>
      <x:c r="B133" s="1" t="str">
        <x:f>_xlfn.IFNA(VLOOKUP(Source!B127,Advertisers!$A$5:$B$34,2,FALSE),"Missing advertiser")</x:f>
        <x:v>Synthetic advertiser 16</x:v>
      </x:c>
      <x:c r="C133" s="1" t="n">
        <x:f>Source!C127</x:f>
        <x:v>46</x:v>
      </x:c>
      <x:c r="D133" s="8" t="n">
        <x:f>Source!D127/100</x:f>
        <x:v>354.84</x:v>
      </x:c>
      <x:c r="E133" s="8" t="n">
        <x:f>Source!E127/100</x:f>
        <x:v>709.68</x:v>
      </x:c>
      <x:c r="F133" s="8" t="n">
        <x:f>Source!F127/100</x:f>
        <x:v>0</x:v>
      </x:c>
      <x:c r="G133" s="8" t="n">
        <x:f>Source!G127/100</x:f>
        <x:v>709.68</x:v>
      </x:c>
      <x:c r="H133" s="8" t="n">
        <x:f>G133-D133</x:f>
        <x:v>354.84</x:v>
      </x:c>
      <x:c r="I133" s="1" t="str">
        <x:f>IF(H133&gt;0,"Overbilled","Shortfall")</x:f>
        <x:v>Overbilled</x:v>
      </x:c>
      <x:c r="J133" s="7"/>
      <x:c r="K133" s="7" t="str">
        <x:v>Open</x:v>
      </x:c>
      <x:c r="L133" s="7"/>
    </x:row>
    <x:row r="134" ht="21" customHeight="1">
      <x:c r="A134" s="1" t="str">
        <x:f>Source!A128</x:f>
        <x:v>C0011882</x:v>
      </x:c>
      <x:c r="B134" s="1" t="str">
        <x:f>_xlfn.IFNA(VLOOKUP(Source!B128,Advertisers!$A$5:$B$34,2,FALSE),"Missing advertiser")</x:f>
        <x:v>Synthetic advertiser 16</x:v>
      </x:c>
      <x:c r="C134" s="1" t="n">
        <x:f>Source!C128</x:f>
        <x:v>46</x:v>
      </x:c>
      <x:c r="D134" s="8" t="n">
        <x:f>Source!D128/100</x:f>
        <x:v>354.84</x:v>
      </x:c>
      <x:c r="E134" s="8" t="n">
        <x:f>Source!E128/100</x:f>
        <x:v>0</x:v>
      </x:c>
      <x:c r="F134" s="8" t="n">
        <x:f>Source!F128/100</x:f>
        <x:v>0</x:v>
      </x:c>
      <x:c r="G134" s="8" t="n">
        <x:f>Source!G128/100</x:f>
        <x:v>0</x:v>
      </x:c>
      <x:c r="H134" s="8" t="n">
        <x:f>G134-D134</x:f>
        <x:v>-354.84</x:v>
      </x:c>
      <x:c r="I134" s="1" t="str">
        <x:f>IF(H134&gt;0,"Overbilled","Shortfall")</x:f>
        <x:v>Shortfall</x:v>
      </x:c>
      <x:c r="J134" s="7"/>
      <x:c r="K134" s="7" t="str">
        <x:v>Open</x:v>
      </x:c>
      <x:c r="L134" s="7"/>
    </x:row>
    <x:row r="135" ht="21" customHeight="1">
      <x:c r="A135" s="1" t="str">
        <x:f>Source!A129</x:f>
        <x:v>C0010746</x:v>
      </x:c>
      <x:c r="B135" s="1" t="str">
        <x:f>_xlfn.IFNA(VLOOKUP(Source!B129,Advertisers!$A$5:$B$34,2,FALSE),"Missing advertiser")</x:f>
        <x:v>Synthetic advertiser 16</x:v>
      </x:c>
      <x:c r="C135" s="1" t="n">
        <x:f>Source!C129</x:f>
        <x:v>46</x:v>
      </x:c>
      <x:c r="D135" s="8" t="n">
        <x:f>Source!D129/100</x:f>
        <x:v>354.84</x:v>
      </x:c>
      <x:c r="E135" s="8" t="n">
        <x:f>Source!E129/100</x:f>
        <x:v>709.68</x:v>
      </x:c>
      <x:c r="F135" s="8" t="n">
        <x:f>Source!F129/100</x:f>
        <x:v>0</x:v>
      </x:c>
      <x:c r="G135" s="8" t="n">
        <x:f>Source!G129/100</x:f>
        <x:v>709.68</x:v>
      </x:c>
      <x:c r="H135" s="8" t="n">
        <x:f>G135-D135</x:f>
        <x:v>354.84</x:v>
      </x:c>
      <x:c r="I135" s="1" t="str">
        <x:f>IF(H135&gt;0,"Overbilled","Shortfall")</x:f>
        <x:v>Overbilled</x:v>
      </x:c>
      <x:c r="J135" s="7"/>
      <x:c r="K135" s="7" t="str">
        <x:v>Open</x:v>
      </x:c>
      <x:c r="L135" s="7"/>
    </x:row>
    <x:row r="136" ht="21" customHeight="1">
      <x:c r="A136" s="1" t="str">
        <x:f>Source!A130</x:f>
        <x:v>C0010519</x:v>
      </x:c>
      <x:c r="B136" s="1" t="str">
        <x:f>_xlfn.IFNA(VLOOKUP(Source!B130,Advertisers!$A$5:$B$34,2,FALSE),"Missing advertiser")</x:f>
        <x:v>Synthetic advertiser 16</x:v>
      </x:c>
      <x:c r="C136" s="1" t="n">
        <x:f>Source!C130</x:f>
        <x:v>46</x:v>
      </x:c>
      <x:c r="D136" s="8" t="n">
        <x:f>Source!D130/100</x:f>
        <x:v>354.84</x:v>
      </x:c>
      <x:c r="E136" s="8" t="n">
        <x:f>Source!E130/100</x:f>
        <x:v>0</x:v>
      </x:c>
      <x:c r="F136" s="8" t="n">
        <x:f>Source!F130/100</x:f>
        <x:v>0</x:v>
      </x:c>
      <x:c r="G136" s="8" t="n">
        <x:f>Source!G130/100</x:f>
        <x:v>0</x:v>
      </x:c>
      <x:c r="H136" s="8" t="n">
        <x:f>G136-D136</x:f>
        <x:v>-354.84</x:v>
      </x:c>
      <x:c r="I136" s="1" t="str">
        <x:f>IF(H136&gt;0,"Overbilled","Shortfall")</x:f>
        <x:v>Shortfall</x:v>
      </x:c>
      <x:c r="J136" s="7"/>
      <x:c r="K136" s="7" t="str">
        <x:v>Open</x:v>
      </x:c>
      <x:c r="L136" s="7"/>
    </x:row>
    <x:row r="137" ht="21" customHeight="1">
      <x:c r="A137" s="1" t="str">
        <x:f>Source!A131</x:f>
        <x:v>C0011687</x:v>
      </x:c>
      <x:c r="B137" s="1" t="str">
        <x:f>_xlfn.IFNA(VLOOKUP(Source!B131,Advertisers!$A$5:$B$34,2,FALSE),"Missing advertiser")</x:f>
        <x:v>Synthetic advertiser 5</x:v>
      </x:c>
      <x:c r="C137" s="1" t="n">
        <x:f>Source!C131</x:f>
        <x:v>5</x:v>
      </x:c>
      <x:c r="D137" s="8" t="n">
        <x:f>Source!D131/100</x:f>
        <x:v>351.9</x:v>
      </x:c>
      <x:c r="E137" s="8" t="n">
        <x:f>Source!E131/100</x:f>
        <x:v>703.8</x:v>
      </x:c>
      <x:c r="F137" s="8" t="n">
        <x:f>Source!F131/100</x:f>
        <x:v>0</x:v>
      </x:c>
      <x:c r="G137" s="8" t="n">
        <x:f>Source!G131/100</x:f>
        <x:v>703.8</x:v>
      </x:c>
      <x:c r="H137" s="8" t="n">
        <x:f>G137-D137</x:f>
        <x:v>351.9</x:v>
      </x:c>
      <x:c r="I137" s="1" t="str">
        <x:f>IF(H137&gt;0,"Overbilled","Shortfall")</x:f>
        <x:v>Overbilled</x:v>
      </x:c>
      <x:c r="J137" s="7"/>
      <x:c r="K137" s="7" t="str">
        <x:v>Open</x:v>
      </x:c>
      <x:c r="L137" s="7"/>
    </x:row>
    <x:row r="138" ht="21" customHeight="1">
      <x:c r="A138" s="1" t="str">
        <x:f>Source!A132</x:f>
        <x:v>C0001092</x:v>
      </x:c>
      <x:c r="B138" s="1" t="str">
        <x:f>_xlfn.IFNA(VLOOKUP(Source!B132,Advertisers!$A$5:$B$34,2,FALSE),"Missing advertiser")</x:f>
        <x:v>Synthetic advertiser 5</x:v>
      </x:c>
      <x:c r="C138" s="1" t="n">
        <x:f>Source!C132</x:f>
        <x:v>5</x:v>
      </x:c>
      <x:c r="D138" s="8" t="n">
        <x:f>Source!D132/100</x:f>
        <x:v>351.9</x:v>
      </x:c>
      <x:c r="E138" s="8" t="n">
        <x:f>Source!E132/100</x:f>
        <x:v>0</x:v>
      </x:c>
      <x:c r="F138" s="8" t="n">
        <x:f>Source!F132/100</x:f>
        <x:v>0</x:v>
      </x:c>
      <x:c r="G138" s="8" t="n">
        <x:f>Source!G132/100</x:f>
        <x:v>0</x:v>
      </x:c>
      <x:c r="H138" s="8" t="n">
        <x:f>G138-D138</x:f>
        <x:v>-351.9</x:v>
      </x:c>
      <x:c r="I138" s="1" t="str">
        <x:f>IF(H138&gt;0,"Overbilled","Shortfall")</x:f>
        <x:v>Shortfall</x:v>
      </x:c>
      <x:c r="J138" s="7"/>
      <x:c r="K138" s="7" t="str">
        <x:v>Open</x:v>
      </x:c>
      <x:c r="L138" s="7"/>
    </x:row>
    <x:row r="139" ht="21" customHeight="1">
      <x:c r="A139" s="1" t="str">
        <x:f>Source!A133</x:f>
        <x:v>C0005431</x:v>
      </x:c>
      <x:c r="B139" s="1" t="str">
        <x:f>_xlfn.IFNA(VLOOKUP(Source!B133,Advertisers!$A$5:$B$34,2,FALSE),"Missing advertiser")</x:f>
        <x:v>Synthetic advertiser 5</x:v>
      </x:c>
      <x:c r="C139" s="1" t="n">
        <x:f>Source!C133</x:f>
        <x:v>5</x:v>
      </x:c>
      <x:c r="D139" s="8" t="n">
        <x:f>Source!D133/100</x:f>
        <x:v>351.9</x:v>
      </x:c>
      <x:c r="E139" s="8" t="n">
        <x:f>Source!E133/100</x:f>
        <x:v>0</x:v>
      </x:c>
      <x:c r="F139" s="8" t="n">
        <x:f>Source!F133/100</x:f>
        <x:v>0</x:v>
      </x:c>
      <x:c r="G139" s="8" t="n">
        <x:f>Source!G133/100</x:f>
        <x:v>0</x:v>
      </x:c>
      <x:c r="H139" s="8" t="n">
        <x:f>G139-D139</x:f>
        <x:v>-351.9</x:v>
      </x:c>
      <x:c r="I139" s="1" t="str">
        <x:f>IF(H139&gt;0,"Overbilled","Shortfall")</x:f>
        <x:v>Shortfall</x:v>
      </x:c>
      <x:c r="J139" s="7"/>
      <x:c r="K139" s="7" t="str">
        <x:v>Open</x:v>
      </x:c>
      <x:c r="L139" s="7"/>
    </x:row>
    <x:row r="140" ht="21" customHeight="1">
      <x:c r="A140" s="1" t="str">
        <x:f>Source!A134</x:f>
        <x:v>C0011861</x:v>
      </x:c>
      <x:c r="B140" s="1" t="str">
        <x:f>_xlfn.IFNA(VLOOKUP(Source!B134,Advertisers!$A$5:$B$34,2,FALSE),"Missing advertiser")</x:f>
        <x:v>Synthetic advertiser 5</x:v>
      </x:c>
      <x:c r="C140" s="1" t="n">
        <x:f>Source!C134</x:f>
        <x:v>5</x:v>
      </x:c>
      <x:c r="D140" s="8" t="n">
        <x:f>Source!D134/100</x:f>
        <x:v>351.9</x:v>
      </x:c>
      <x:c r="E140" s="8" t="n">
        <x:f>Source!E134/100</x:f>
        <x:v>703.8</x:v>
      </x:c>
      <x:c r="F140" s="8" t="n">
        <x:f>Source!F134/100</x:f>
        <x:v>0</x:v>
      </x:c>
      <x:c r="G140" s="8" t="n">
        <x:f>Source!G134/100</x:f>
        <x:v>703.8</x:v>
      </x:c>
      <x:c r="H140" s="8" t="n">
        <x:f>G140-D140</x:f>
        <x:v>351.9</x:v>
      </x:c>
      <x:c r="I140" s="1" t="str">
        <x:f>IF(H140&gt;0,"Overbilled","Shortfall")</x:f>
        <x:v>Overbilled</x:v>
      </x:c>
      <x:c r="J140" s="7"/>
      <x:c r="K140" s="7" t="str">
        <x:v>Open</x:v>
      </x:c>
      <x:c r="L140" s="7"/>
    </x:row>
    <x:row r="141" ht="21" customHeight="1">
      <x:c r="A141" s="1" t="str">
        <x:f>Source!A135</x:f>
        <x:v>C0016309</x:v>
      </x:c>
      <x:c r="B141" s="1" t="str">
        <x:f>_xlfn.IFNA(VLOOKUP(Source!B135,Advertisers!$A$5:$B$34,2,FALSE),"Missing advertiser")</x:f>
        <x:v>Synthetic advertiser 5</x:v>
      </x:c>
      <x:c r="C141" s="1" t="n">
        <x:f>Source!C135</x:f>
        <x:v>5</x:v>
      </x:c>
      <x:c r="D141" s="8" t="n">
        <x:f>Source!D135/100</x:f>
        <x:v>351.9</x:v>
      </x:c>
      <x:c r="E141" s="8" t="n">
        <x:f>Source!E135/100</x:f>
        <x:v>0</x:v>
      </x:c>
      <x:c r="F141" s="8" t="n">
        <x:f>Source!F135/100</x:f>
        <x:v>0</x:v>
      </x:c>
      <x:c r="G141" s="8" t="n">
        <x:f>Source!G135/100</x:f>
        <x:v>0</x:v>
      </x:c>
      <x:c r="H141" s="8" t="n">
        <x:f>G141-D141</x:f>
        <x:v>-351.9</x:v>
      </x:c>
      <x:c r="I141" s="1" t="str">
        <x:f>IF(H141&gt;0,"Overbilled","Shortfall")</x:f>
        <x:v>Shortfall</x:v>
      </x:c>
      <x:c r="J141" s="7"/>
      <x:c r="K141" s="7" t="str">
        <x:v>Open</x:v>
      </x:c>
      <x:c r="L141" s="7"/>
    </x:row>
    <x:row r="142" ht="21" customHeight="1">
      <x:c r="A142" s="1" t="str">
        <x:f>Source!A136</x:f>
        <x:v>C0008827</x:v>
      </x:c>
      <x:c r="B142" s="1" t="str">
        <x:f>_xlfn.IFNA(VLOOKUP(Source!B136,Advertisers!$A$5:$B$34,2,FALSE),"Missing advertiser")</x:f>
        <x:v>Synthetic advertiser 5</x:v>
      </x:c>
      <x:c r="C142" s="1" t="n">
        <x:f>Source!C136</x:f>
        <x:v>5</x:v>
      </x:c>
      <x:c r="D142" s="8" t="n">
        <x:f>Source!D136/100</x:f>
        <x:v>351.9</x:v>
      </x:c>
      <x:c r="E142" s="8" t="n">
        <x:f>Source!E136/100</x:f>
        <x:v>703.8</x:v>
      </x:c>
      <x:c r="F142" s="8" t="n">
        <x:f>Source!F136/100</x:f>
        <x:v>0</x:v>
      </x:c>
      <x:c r="G142" s="8" t="n">
        <x:f>Source!G136/100</x:f>
        <x:v>703.8</x:v>
      </x:c>
      <x:c r="H142" s="8" t="n">
        <x:f>G142-D142</x:f>
        <x:v>351.9</x:v>
      </x:c>
      <x:c r="I142" s="1" t="str">
        <x:f>IF(H142&gt;0,"Overbilled","Shortfall")</x:f>
        <x:v>Overbilled</x:v>
      </x:c>
      <x:c r="J142" s="7"/>
      <x:c r="K142" s="7" t="str">
        <x:v>Open</x:v>
      </x:c>
      <x:c r="L142" s="7"/>
    </x:row>
    <x:row r="143" ht="21" customHeight="1">
      <x:c r="A143" s="1" t="str">
        <x:f>Source!A137</x:f>
        <x:v>C0006125</x:v>
      </x:c>
      <x:c r="B143" s="1" t="str">
        <x:f>_xlfn.IFNA(VLOOKUP(Source!B137,Advertisers!$A$5:$B$34,2,FALSE),"Missing advertiser")</x:f>
        <x:v>Synthetic advertiser 2</x:v>
      </x:c>
      <x:c r="C143" s="1" t="n">
        <x:f>Source!C137</x:f>
        <x:v>92</x:v>
      </x:c>
      <x:c r="D143" s="8" t="n">
        <x:f>Source!D137/100</x:f>
        <x:v>0</x:v>
      </x:c>
      <x:c r="E143" s="8" t="n">
        <x:f>Source!E137/100</x:f>
        <x:v>347.66</x:v>
      </x:c>
      <x:c r="F143" s="8" t="n">
        <x:f>Source!F137/100</x:f>
        <x:v>0</x:v>
      </x:c>
      <x:c r="G143" s="8" t="n">
        <x:f>Source!G137/100</x:f>
        <x:v>347.66</x:v>
      </x:c>
      <x:c r="H143" s="8" t="n">
        <x:f>G143-D143</x:f>
        <x:v>347.66</x:v>
      </x:c>
      <x:c r="I143" s="1" t="str">
        <x:f>IF(H143&gt;0,"Overbilled","Shortfall")</x:f>
        <x:v>Overbilled</x:v>
      </x:c>
      <x:c r="J143" s="7"/>
      <x:c r="K143" s="7" t="str">
        <x:v>Open</x:v>
      </x:c>
      <x:c r="L143" s="7"/>
    </x:row>
    <x:row r="144" ht="21" customHeight="1">
      <x:c r="A144" s="1" t="str">
        <x:f>Source!A138</x:f>
        <x:v>C0011144</x:v>
      </x:c>
      <x:c r="B144" s="1" t="str">
        <x:f>_xlfn.IFNA(VLOOKUP(Source!B138,Advertisers!$A$5:$B$34,2,FALSE),"Missing advertiser")</x:f>
        <x:v>Synthetic advertiser 2</x:v>
      </x:c>
      <x:c r="C144" s="1" t="n">
        <x:f>Source!C138</x:f>
        <x:v>92</x:v>
      </x:c>
      <x:c r="D144" s="8" t="n">
        <x:f>Source!D138/100</x:f>
        <x:v>347.66</x:v>
      </x:c>
      <x:c r="E144" s="8" t="n">
        <x:f>Source!E138/100</x:f>
        <x:v>0</x:v>
      </x:c>
      <x:c r="F144" s="8" t="n">
        <x:f>Source!F138/100</x:f>
        <x:v>0</x:v>
      </x:c>
      <x:c r="G144" s="8" t="n">
        <x:f>Source!G138/100</x:f>
        <x:v>0</x:v>
      </x:c>
      <x:c r="H144" s="8" t="n">
        <x:f>G144-D144</x:f>
        <x:v>-347.66</x:v>
      </x:c>
      <x:c r="I144" s="1" t="str">
        <x:f>IF(H144&gt;0,"Overbilled","Shortfall")</x:f>
        <x:v>Shortfall</x:v>
      </x:c>
      <x:c r="J144" s="7"/>
      <x:c r="K144" s="7" t="str">
        <x:v>Open</x:v>
      </x:c>
      <x:c r="L144" s="7"/>
    </x:row>
    <x:row r="145" ht="21" customHeight="1">
      <x:c r="A145" s="1" t="str">
        <x:f>Source!A139</x:f>
        <x:v>C0001666</x:v>
      </x:c>
      <x:c r="B145" s="1" t="str">
        <x:f>_xlfn.IFNA(VLOOKUP(Source!B139,Advertisers!$A$5:$B$34,2,FALSE),"Missing advertiser")</x:f>
        <x:v>Synthetic advertiser 2</x:v>
      </x:c>
      <x:c r="C145" s="1" t="n">
        <x:f>Source!C139</x:f>
        <x:v>92</x:v>
      </x:c>
      <x:c r="D145" s="8" t="n">
        <x:f>Source!D139/100</x:f>
        <x:v>347.66</x:v>
      </x:c>
      <x:c r="E145" s="8" t="n">
        <x:f>Source!E139/100</x:f>
        <x:v>0</x:v>
      </x:c>
      <x:c r="F145" s="8" t="n">
        <x:f>Source!F139/100</x:f>
        <x:v>0</x:v>
      </x:c>
      <x:c r="G145" s="8" t="n">
        <x:f>Source!G139/100</x:f>
        <x:v>0</x:v>
      </x:c>
      <x:c r="H145" s="8" t="n">
        <x:f>G145-D145</x:f>
        <x:v>-347.66</x:v>
      </x:c>
      <x:c r="I145" s="1" t="str">
        <x:f>IF(H145&gt;0,"Overbilled","Shortfall")</x:f>
        <x:v>Shortfall</x:v>
      </x:c>
      <x:c r="J145" s="7"/>
      <x:c r="K145" s="7" t="str">
        <x:v>Open</x:v>
      </x:c>
      <x:c r="L145" s="7"/>
    </x:row>
    <x:row r="146" ht="21" customHeight="1">
      <x:c r="A146" s="1" t="str">
        <x:f>Source!A140</x:f>
        <x:v>C0011341</x:v>
      </x:c>
      <x:c r="B146" s="1" t="str">
        <x:f>_xlfn.IFNA(VLOOKUP(Source!B140,Advertisers!$A$5:$B$34,2,FALSE),"Missing advertiser")</x:f>
        <x:v>Synthetic advertiser 2</x:v>
      </x:c>
      <x:c r="C146" s="1" t="n">
        <x:f>Source!C140</x:f>
        <x:v>92</x:v>
      </x:c>
      <x:c r="D146" s="8" t="n">
        <x:f>Source!D140/100</x:f>
        <x:v>347.66</x:v>
      </x:c>
      <x:c r="E146" s="8" t="n">
        <x:f>Source!E140/100</x:f>
        <x:v>0</x:v>
      </x:c>
      <x:c r="F146" s="8" t="n">
        <x:f>Source!F140/100</x:f>
        <x:v>0</x:v>
      </x:c>
      <x:c r="G146" s="8" t="n">
        <x:f>Source!G140/100</x:f>
        <x:v>0</x:v>
      </x:c>
      <x:c r="H146" s="8" t="n">
        <x:f>G146-D146</x:f>
        <x:v>-347.66</x:v>
      </x:c>
      <x:c r="I146" s="1" t="str">
        <x:f>IF(H146&gt;0,"Overbilled","Shortfall")</x:f>
        <x:v>Shortfall</x:v>
      </x:c>
      <x:c r="J146" s="7"/>
      <x:c r="K146" s="7" t="str">
        <x:v>Open</x:v>
      </x:c>
      <x:c r="L146" s="7"/>
    </x:row>
    <x:row r="147" ht="21" customHeight="1">
      <x:c r="A147" s="1" t="str">
        <x:f>Source!A141</x:f>
        <x:v>C0017644</x:v>
      </x:c>
      <x:c r="B147" s="1" t="str">
        <x:f>_xlfn.IFNA(VLOOKUP(Source!B141,Advertisers!$A$5:$B$34,2,FALSE),"Missing advertiser")</x:f>
        <x:v>Synthetic advertiser 2</x:v>
      </x:c>
      <x:c r="C147" s="1" t="n">
        <x:f>Source!C141</x:f>
        <x:v>92</x:v>
      </x:c>
      <x:c r="D147" s="8" t="n">
        <x:f>Source!D141/100</x:f>
        <x:v>347.66</x:v>
      </x:c>
      <x:c r="E147" s="8" t="n">
        <x:f>Source!E141/100</x:f>
        <x:v>695.32</x:v>
      </x:c>
      <x:c r="F147" s="8" t="n">
        <x:f>Source!F141/100</x:f>
        <x:v>0</x:v>
      </x:c>
      <x:c r="G147" s="8" t="n">
        <x:f>Source!G141/100</x:f>
        <x:v>695.32</x:v>
      </x:c>
      <x:c r="H147" s="8" t="n">
        <x:f>G147-D147</x:f>
        <x:v>347.66</x:v>
      </x:c>
      <x:c r="I147" s="1" t="str">
        <x:f>IF(H147&gt;0,"Overbilled","Shortfall")</x:f>
        <x:v>Overbilled</x:v>
      </x:c>
      <x:c r="J147" s="7"/>
      <x:c r="K147" s="7" t="str">
        <x:v>Open</x:v>
      </x:c>
      <x:c r="L147" s="7"/>
    </x:row>
    <x:row r="148" ht="21" customHeight="1">
      <x:c r="A148" s="1" t="str">
        <x:f>Source!A142</x:f>
        <x:v>C0005691</x:v>
      </x:c>
      <x:c r="B148" s="1" t="str">
        <x:f>_xlfn.IFNA(VLOOKUP(Source!B142,Advertisers!$A$5:$B$34,2,FALSE),"Missing advertiser")</x:f>
        <x:v>Synthetic advertiser 2</x:v>
      </x:c>
      <x:c r="C148" s="1" t="n">
        <x:f>Source!C142</x:f>
        <x:v>92</x:v>
      </x:c>
      <x:c r="D148" s="8" t="n">
        <x:f>Source!D142/100</x:f>
        <x:v>0</x:v>
      </x:c>
      <x:c r="E148" s="8" t="n">
        <x:f>Source!E142/100</x:f>
        <x:v>347.66</x:v>
      </x:c>
      <x:c r="F148" s="8" t="n">
        <x:f>Source!F142/100</x:f>
        <x:v>0</x:v>
      </x:c>
      <x:c r="G148" s="8" t="n">
        <x:f>Source!G142/100</x:f>
        <x:v>347.66</x:v>
      </x:c>
      <x:c r="H148" s="8" t="n">
        <x:f>G148-D148</x:f>
        <x:v>347.66</x:v>
      </x:c>
      <x:c r="I148" s="1" t="str">
        <x:f>IF(H148&gt;0,"Overbilled","Shortfall")</x:f>
        <x:v>Overbilled</x:v>
      </x:c>
      <x:c r="J148" s="7"/>
      <x:c r="K148" s="7" t="str">
        <x:v>Open</x:v>
      </x:c>
      <x:c r="L148" s="7"/>
    </x:row>
    <x:row r="149" ht="21" customHeight="1">
      <x:c r="A149" s="1" t="str">
        <x:f>Source!A143</x:f>
        <x:v>C0001236</x:v>
      </x:c>
      <x:c r="B149" s="1" t="str">
        <x:f>_xlfn.IFNA(VLOOKUP(Source!B143,Advertisers!$A$5:$B$34,2,FALSE),"Missing advertiser")</x:f>
        <x:v>Synthetic advertiser 23</x:v>
      </x:c>
      <x:c r="C149" s="1" t="n">
        <x:f>Source!C143</x:f>
        <x:v>53</x:v>
      </x:c>
      <x:c r="D149" s="8" t="n">
        <x:f>Source!D143/100</x:f>
        <x:v>344.62</x:v>
      </x:c>
      <x:c r="E149" s="8" t="n">
        <x:f>Source!E143/100</x:f>
        <x:v>689.24</x:v>
      </x:c>
      <x:c r="F149" s="8" t="n">
        <x:f>Source!F143/100</x:f>
        <x:v>0</x:v>
      </x:c>
      <x:c r="G149" s="8" t="n">
        <x:f>Source!G143/100</x:f>
        <x:v>689.24</x:v>
      </x:c>
      <x:c r="H149" s="8" t="n">
        <x:f>G149-D149</x:f>
        <x:v>344.62</x:v>
      </x:c>
      <x:c r="I149" s="1" t="str">
        <x:f>IF(H149&gt;0,"Overbilled","Shortfall")</x:f>
        <x:v>Overbilled</x:v>
      </x:c>
      <x:c r="J149" s="7"/>
      <x:c r="K149" s="7" t="str">
        <x:v>Open</x:v>
      </x:c>
      <x:c r="L149" s="7"/>
    </x:row>
    <x:row r="150" ht="21" customHeight="1">
      <x:c r="A150" s="1" t="str">
        <x:f>Source!A144</x:f>
        <x:v>C0008360</x:v>
      </x:c>
      <x:c r="B150" s="1" t="str">
        <x:f>_xlfn.IFNA(VLOOKUP(Source!B144,Advertisers!$A$5:$B$34,2,FALSE),"Missing advertiser")</x:f>
        <x:v>Synthetic advertiser 23</x:v>
      </x:c>
      <x:c r="C150" s="1" t="n">
        <x:f>Source!C144</x:f>
        <x:v>53</x:v>
      </x:c>
      <x:c r="D150" s="8" t="n">
        <x:f>Source!D144/100</x:f>
        <x:v>344.62</x:v>
      </x:c>
      <x:c r="E150" s="8" t="n">
        <x:f>Source!E144/100</x:f>
        <x:v>689.24</x:v>
      </x:c>
      <x:c r="F150" s="8" t="n">
        <x:f>Source!F144/100</x:f>
        <x:v>0</x:v>
      </x:c>
      <x:c r="G150" s="8" t="n">
        <x:f>Source!G144/100</x:f>
        <x:v>689.24</x:v>
      </x:c>
      <x:c r="H150" s="8" t="n">
        <x:f>G150-D150</x:f>
        <x:v>344.62</x:v>
      </x:c>
      <x:c r="I150" s="1" t="str">
        <x:f>IF(H150&gt;0,"Overbilled","Shortfall")</x:f>
        <x:v>Overbilled</x:v>
      </x:c>
      <x:c r="J150" s="7"/>
      <x:c r="K150" s="7" t="str">
        <x:v>Open</x:v>
      </x:c>
      <x:c r="L150" s="7"/>
    </x:row>
    <x:row r="151" ht="21" customHeight="1">
      <x:c r="A151" s="1" t="str">
        <x:f>Source!A145</x:f>
        <x:v>C0012141</x:v>
      </x:c>
      <x:c r="B151" s="1" t="str">
        <x:f>_xlfn.IFNA(VLOOKUP(Source!B145,Advertisers!$A$5:$B$34,2,FALSE),"Missing advertiser")</x:f>
        <x:v>Synthetic advertiser 23</x:v>
      </x:c>
      <x:c r="C151" s="1" t="n">
        <x:f>Source!C145</x:f>
        <x:v>53</x:v>
      </x:c>
      <x:c r="D151" s="8" t="n">
        <x:f>Source!D145/100</x:f>
        <x:v>344.62</x:v>
      </x:c>
      <x:c r="E151" s="8" t="n">
        <x:f>Source!E145/100</x:f>
        <x:v>0</x:v>
      </x:c>
      <x:c r="F151" s="8" t="n">
        <x:f>Source!F145/100</x:f>
        <x:v>0</x:v>
      </x:c>
      <x:c r="G151" s="8" t="n">
        <x:f>Source!G145/100</x:f>
        <x:v>0</x:v>
      </x:c>
      <x:c r="H151" s="8" t="n">
        <x:f>G151-D151</x:f>
        <x:v>-344.62</x:v>
      </x:c>
      <x:c r="I151" s="1" t="str">
        <x:f>IF(H151&gt;0,"Overbilled","Shortfall")</x:f>
        <x:v>Shortfall</x:v>
      </x:c>
      <x:c r="J151" s="7"/>
      <x:c r="K151" s="7" t="str">
        <x:v>Open</x:v>
      </x:c>
      <x:c r="L151" s="7"/>
    </x:row>
    <x:row r="152" ht="21" customHeight="1">
      <x:c r="A152" s="1" t="str">
        <x:f>Source!A146</x:f>
        <x:v>C0002930</x:v>
      </x:c>
      <x:c r="B152" s="1" t="str">
        <x:f>_xlfn.IFNA(VLOOKUP(Source!B146,Advertisers!$A$5:$B$34,2,FALSE),"Missing advertiser")</x:f>
        <x:v>Synthetic advertiser 23</x:v>
      </x:c>
      <x:c r="C152" s="1" t="n">
        <x:f>Source!C146</x:f>
        <x:v>53</x:v>
      </x:c>
      <x:c r="D152" s="8" t="n">
        <x:f>Source!D146/100</x:f>
        <x:v>344.62</x:v>
      </x:c>
      <x:c r="E152" s="8" t="n">
        <x:f>Source!E146/100</x:f>
        <x:v>0</x:v>
      </x:c>
      <x:c r="F152" s="8" t="n">
        <x:f>Source!F146/100</x:f>
        <x:v>0</x:v>
      </x:c>
      <x:c r="G152" s="8" t="n">
        <x:f>Source!G146/100</x:f>
        <x:v>0</x:v>
      </x:c>
      <x:c r="H152" s="8" t="n">
        <x:f>G152-D152</x:f>
        <x:v>-344.62</x:v>
      </x:c>
      <x:c r="I152" s="1" t="str">
        <x:f>IF(H152&gt;0,"Overbilled","Shortfall")</x:f>
        <x:v>Shortfall</x:v>
      </x:c>
      <x:c r="J152" s="7"/>
      <x:c r="K152" s="7" t="str">
        <x:v>Open</x:v>
      </x:c>
      <x:c r="L152" s="7"/>
    </x:row>
    <x:row r="153" ht="21" customHeight="1">
      <x:c r="A153" s="1" t="str">
        <x:f>Source!A147</x:f>
        <x:v>C0007649</x:v>
      </x:c>
      <x:c r="B153" s="1" t="str">
        <x:f>_xlfn.IFNA(VLOOKUP(Source!B147,Advertisers!$A$5:$B$34,2,FALSE),"Missing advertiser")</x:f>
        <x:v>Synthetic advertiser 23</x:v>
      </x:c>
      <x:c r="C153" s="1" t="n">
        <x:f>Source!C147</x:f>
        <x:v>53</x:v>
      </x:c>
      <x:c r="D153" s="8" t="n">
        <x:f>Source!D147/100</x:f>
        <x:v>344.62</x:v>
      </x:c>
      <x:c r="E153" s="8" t="n">
        <x:f>Source!E147/100</x:f>
        <x:v>689.24</x:v>
      </x:c>
      <x:c r="F153" s="8" t="n">
        <x:f>Source!F147/100</x:f>
        <x:v>0</x:v>
      </x:c>
      <x:c r="G153" s="8" t="n">
        <x:f>Source!G147/100</x:f>
        <x:v>689.24</x:v>
      </x:c>
      <x:c r="H153" s="8" t="n">
        <x:f>G153-D153</x:f>
        <x:v>344.62</x:v>
      </x:c>
      <x:c r="I153" s="1" t="str">
        <x:f>IF(H153&gt;0,"Overbilled","Shortfall")</x:f>
        <x:v>Overbilled</x:v>
      </x:c>
      <x:c r="J153" s="7"/>
      <x:c r="K153" s="7" t="str">
        <x:v>Open</x:v>
      </x:c>
      <x:c r="L153" s="7"/>
    </x:row>
    <x:row r="154" ht="21" customHeight="1">
      <x:c r="A154" s="1" t="str">
        <x:f>Source!A148</x:f>
        <x:v>C0010789</x:v>
      </x:c>
      <x:c r="B154" s="1" t="str">
        <x:f>_xlfn.IFNA(VLOOKUP(Source!B148,Advertisers!$A$5:$B$34,2,FALSE),"Missing advertiser")</x:f>
        <x:v>Synthetic advertiser 23</x:v>
      </x:c>
      <x:c r="C154" s="1" t="n">
        <x:f>Source!C148</x:f>
        <x:v>53</x:v>
      </x:c>
      <x:c r="D154" s="8" t="n">
        <x:f>Source!D148/100</x:f>
        <x:v>344.62</x:v>
      </x:c>
      <x:c r="E154" s="8" t="n">
        <x:f>Source!E148/100</x:f>
        <x:v>0</x:v>
      </x:c>
      <x:c r="F154" s="8" t="n">
        <x:f>Source!F148/100</x:f>
        <x:v>0</x:v>
      </x:c>
      <x:c r="G154" s="8" t="n">
        <x:f>Source!G148/100</x:f>
        <x:v>0</x:v>
      </x:c>
      <x:c r="H154" s="8" t="n">
        <x:f>G154-D154</x:f>
        <x:v>-344.62</x:v>
      </x:c>
      <x:c r="I154" s="1" t="str">
        <x:f>IF(H154&gt;0,"Overbilled","Shortfall")</x:f>
        <x:v>Shortfall</x:v>
      </x:c>
      <x:c r="J154" s="7"/>
      <x:c r="K154" s="7" t="str">
        <x:v>Open</x:v>
      </x:c>
      <x:c r="L154" s="7"/>
    </x:row>
    <x:row r="155" ht="21" customHeight="1">
      <x:c r="A155" s="1" t="str">
        <x:f>Source!A149</x:f>
        <x:v>C0015443</x:v>
      </x:c>
      <x:c r="B155" s="1" t="str">
        <x:f>_xlfn.IFNA(VLOOKUP(Source!B149,Advertisers!$A$5:$B$34,2,FALSE),"Missing advertiser")</x:f>
        <x:v>Synthetic advertiser 23</x:v>
      </x:c>
      <x:c r="C155" s="1" t="n">
        <x:f>Source!C149</x:f>
        <x:v>53</x:v>
      </x:c>
      <x:c r="D155" s="8" t="n">
        <x:f>Source!D149/100</x:f>
        <x:v>344.62</x:v>
      </x:c>
      <x:c r="E155" s="8" t="n">
        <x:f>Source!E149/100</x:f>
        <x:v>689.24</x:v>
      </x:c>
      <x:c r="F155" s="8" t="n">
        <x:f>Source!F149/100</x:f>
        <x:v>0</x:v>
      </x:c>
      <x:c r="G155" s="8" t="n">
        <x:f>Source!G149/100</x:f>
        <x:v>689.24</x:v>
      </x:c>
      <x:c r="H155" s="8" t="n">
        <x:f>G155-D155</x:f>
        <x:v>344.62</x:v>
      </x:c>
      <x:c r="I155" s="1" t="str">
        <x:f>IF(H155&gt;0,"Overbilled","Shortfall")</x:f>
        <x:v>Overbilled</x:v>
      </x:c>
      <x:c r="J155" s="7"/>
      <x:c r="K155" s="7" t="str">
        <x:v>Open</x:v>
      </x:c>
      <x:c r="L155" s="7"/>
    </x:row>
    <x:row r="156" ht="21" customHeight="1">
      <x:c r="A156" s="1" t="str">
        <x:f>Source!A150</x:f>
        <x:v>C0015813</x:v>
      </x:c>
      <x:c r="B156" s="1" t="str">
        <x:f>_xlfn.IFNA(VLOOKUP(Source!B150,Advertisers!$A$5:$B$34,2,FALSE),"Missing advertiser")</x:f>
        <x:v>Synthetic advertiser 24</x:v>
      </x:c>
      <x:c r="C156" s="1" t="n">
        <x:f>Source!C150</x:f>
        <x:v>84</x:v>
      </x:c>
      <x:c r="D156" s="8" t="n">
        <x:f>Source!D150/100</x:f>
        <x:v>335.62</x:v>
      </x:c>
      <x:c r="E156" s="8" t="n">
        <x:f>Source!E150/100</x:f>
        <x:v>0</x:v>
      </x:c>
      <x:c r="F156" s="8" t="n">
        <x:f>Source!F150/100</x:f>
        <x:v>0</x:v>
      </x:c>
      <x:c r="G156" s="8" t="n">
        <x:f>Source!G150/100</x:f>
        <x:v>0</x:v>
      </x:c>
      <x:c r="H156" s="8" t="n">
        <x:f>G156-D156</x:f>
        <x:v>-335.62</x:v>
      </x:c>
      <x:c r="I156" s="1" t="str">
        <x:f>IF(H156&gt;0,"Overbilled","Shortfall")</x:f>
        <x:v>Shortfall</x:v>
      </x:c>
      <x:c r="J156" s="7"/>
      <x:c r="K156" s="7" t="str">
        <x:v>Open</x:v>
      </x:c>
      <x:c r="L156" s="7"/>
    </x:row>
    <x:row r="157" ht="21" customHeight="1">
      <x:c r="A157" s="1" t="str">
        <x:f>Source!A151</x:f>
        <x:v>C0015291</x:v>
      </x:c>
      <x:c r="B157" s="1" t="str">
        <x:f>_xlfn.IFNA(VLOOKUP(Source!B151,Advertisers!$A$5:$B$34,2,FALSE),"Missing advertiser")</x:f>
        <x:v>Synthetic advertiser 24</x:v>
      </x:c>
      <x:c r="C157" s="1" t="n">
        <x:f>Source!C151</x:f>
        <x:v>84</x:v>
      </x:c>
      <x:c r="D157" s="8" t="n">
        <x:f>Source!D151/100</x:f>
        <x:v>335.62</x:v>
      </x:c>
      <x:c r="E157" s="8" t="n">
        <x:f>Source!E151/100</x:f>
        <x:v>671.24</x:v>
      </x:c>
      <x:c r="F157" s="8" t="n">
        <x:f>Source!F151/100</x:f>
        <x:v>0</x:v>
      </x:c>
      <x:c r="G157" s="8" t="n">
        <x:f>Source!G151/100</x:f>
        <x:v>671.24</x:v>
      </x:c>
      <x:c r="H157" s="8" t="n">
        <x:f>G157-D157</x:f>
        <x:v>335.62</x:v>
      </x:c>
      <x:c r="I157" s="1" t="str">
        <x:f>IF(H157&gt;0,"Overbilled","Shortfall")</x:f>
        <x:v>Overbilled</x:v>
      </x:c>
      <x:c r="J157" s="7"/>
      <x:c r="K157" s="7" t="str">
        <x:v>Open</x:v>
      </x:c>
      <x:c r="L157" s="7"/>
    </x:row>
    <x:row r="158" ht="21" customHeight="1">
      <x:c r="A158" s="1" t="str">
        <x:f>Source!A152</x:f>
        <x:v>C0003474</x:v>
      </x:c>
      <x:c r="B158" s="1" t="str">
        <x:f>_xlfn.IFNA(VLOOKUP(Source!B152,Advertisers!$A$5:$B$34,2,FALSE),"Missing advertiser")</x:f>
        <x:v>Synthetic advertiser 24</x:v>
      </x:c>
      <x:c r="C158" s="1" t="n">
        <x:f>Source!C152</x:f>
        <x:v>84</x:v>
      </x:c>
      <x:c r="D158" s="8" t="n">
        <x:f>Source!D152/100</x:f>
        <x:v>335.62</x:v>
      </x:c>
      <x:c r="E158" s="8" t="n">
        <x:f>Source!E152/100</x:f>
        <x:v>671.24</x:v>
      </x:c>
      <x:c r="F158" s="8" t="n">
        <x:f>Source!F152/100</x:f>
        <x:v>0</x:v>
      </x:c>
      <x:c r="G158" s="8" t="n">
        <x:f>Source!G152/100</x:f>
        <x:v>671.24</x:v>
      </x:c>
      <x:c r="H158" s="8" t="n">
        <x:f>G158-D158</x:f>
        <x:v>335.62</x:v>
      </x:c>
      <x:c r="I158" s="1" t="str">
        <x:f>IF(H158&gt;0,"Overbilled","Shortfall")</x:f>
        <x:v>Overbilled</x:v>
      </x:c>
      <x:c r="J158" s="7"/>
      <x:c r="K158" s="7" t="str">
        <x:v>Open</x:v>
      </x:c>
      <x:c r="L158" s="7"/>
    </x:row>
    <x:row r="159" ht="21" customHeight="1">
      <x:c r="A159" s="1" t="str">
        <x:f>Source!A153</x:f>
        <x:v>C0009003</x:v>
      </x:c>
      <x:c r="B159" s="1" t="str">
        <x:f>_xlfn.IFNA(VLOOKUP(Source!B153,Advertisers!$A$5:$B$34,2,FALSE),"Missing advertiser")</x:f>
        <x:v>Synthetic advertiser 24</x:v>
      </x:c>
      <x:c r="C159" s="1" t="n">
        <x:f>Source!C153</x:f>
        <x:v>84</x:v>
      </x:c>
      <x:c r="D159" s="8" t="n">
        <x:f>Source!D153/100</x:f>
        <x:v>0</x:v>
      </x:c>
      <x:c r="E159" s="8" t="n">
        <x:f>Source!E153/100</x:f>
        <x:v>335.62</x:v>
      </x:c>
      <x:c r="F159" s="8" t="n">
        <x:f>Source!F153/100</x:f>
        <x:v>0</x:v>
      </x:c>
      <x:c r="G159" s="8" t="n">
        <x:f>Source!G153/100</x:f>
        <x:v>335.62</x:v>
      </x:c>
      <x:c r="H159" s="8" t="n">
        <x:f>G159-D159</x:f>
        <x:v>335.62</x:v>
      </x:c>
      <x:c r="I159" s="1" t="str">
        <x:f>IF(H159&gt;0,"Overbilled","Shortfall")</x:f>
        <x:v>Overbilled</x:v>
      </x:c>
      <x:c r="J159" s="7"/>
      <x:c r="K159" s="7" t="str">
        <x:v>Open</x:v>
      </x:c>
      <x:c r="L159" s="7"/>
    </x:row>
    <x:row r="160" ht="21" customHeight="1">
      <x:c r="A160" s="1" t="str">
        <x:f>Source!A154</x:f>
        <x:v>C0016237</x:v>
      </x:c>
      <x:c r="B160" s="1" t="str">
        <x:f>_xlfn.IFNA(VLOOKUP(Source!B154,Advertisers!$A$5:$B$34,2,FALSE),"Missing advertiser")</x:f>
        <x:v>Synthetic advertiser 8</x:v>
      </x:c>
      <x:c r="C160" s="1" t="n">
        <x:f>Source!C154</x:f>
        <x:v>68</x:v>
      </x:c>
      <x:c r="D160" s="8" t="n">
        <x:f>Source!D154/100</x:f>
        <x:v>334.86</x:v>
      </x:c>
      <x:c r="E160" s="8" t="n">
        <x:f>Source!E154/100</x:f>
        <x:v>669.72</x:v>
      </x:c>
      <x:c r="F160" s="8" t="n">
        <x:f>Source!F154/100</x:f>
        <x:v>0</x:v>
      </x:c>
      <x:c r="G160" s="8" t="n">
        <x:f>Source!G154/100</x:f>
        <x:v>669.72</x:v>
      </x:c>
      <x:c r="H160" s="8" t="n">
        <x:f>G160-D160</x:f>
        <x:v>334.86</x:v>
      </x:c>
      <x:c r="I160" s="1" t="str">
        <x:f>IF(H160&gt;0,"Overbilled","Shortfall")</x:f>
        <x:v>Overbilled</x:v>
      </x:c>
      <x:c r="J160" s="7"/>
      <x:c r="K160" s="7" t="str">
        <x:v>Open</x:v>
      </x:c>
      <x:c r="L160" s="7"/>
    </x:row>
    <x:row r="161" ht="21" customHeight="1">
      <x:c r="A161" s="1" t="str">
        <x:f>Source!A155</x:f>
        <x:v>C0010766</x:v>
      </x:c>
      <x:c r="B161" s="1" t="str">
        <x:f>_xlfn.IFNA(VLOOKUP(Source!B155,Advertisers!$A$5:$B$34,2,FALSE),"Missing advertiser")</x:f>
        <x:v>Synthetic advertiser 8</x:v>
      </x:c>
      <x:c r="C161" s="1" t="n">
        <x:f>Source!C155</x:f>
        <x:v>68</x:v>
      </x:c>
      <x:c r="D161" s="8" t="n">
        <x:f>Source!D155/100</x:f>
        <x:v>334.86</x:v>
      </x:c>
      <x:c r="E161" s="8" t="n">
        <x:f>Source!E155/100</x:f>
        <x:v>669.72</x:v>
      </x:c>
      <x:c r="F161" s="8" t="n">
        <x:f>Source!F155/100</x:f>
        <x:v>0</x:v>
      </x:c>
      <x:c r="G161" s="8" t="n">
        <x:f>Source!G155/100</x:f>
        <x:v>669.72</x:v>
      </x:c>
      <x:c r="H161" s="8" t="n">
        <x:f>G161-D161</x:f>
        <x:v>334.86</x:v>
      </x:c>
      <x:c r="I161" s="1" t="str">
        <x:f>IF(H161&gt;0,"Overbilled","Shortfall")</x:f>
        <x:v>Overbilled</x:v>
      </x:c>
      <x:c r="J161" s="7"/>
      <x:c r="K161" s="7" t="str">
        <x:v>Open</x:v>
      </x:c>
      <x:c r="L161" s="7"/>
    </x:row>
    <x:row r="162" ht="21" customHeight="1">
      <x:c r="A162" s="1" t="str">
        <x:f>Source!A156</x:f>
        <x:v>C0004838</x:v>
      </x:c>
      <x:c r="B162" s="1" t="str">
        <x:f>_xlfn.IFNA(VLOOKUP(Source!B156,Advertisers!$A$5:$B$34,2,FALSE),"Missing advertiser")</x:f>
        <x:v>Synthetic advertiser 8</x:v>
      </x:c>
      <x:c r="C162" s="1" t="n">
        <x:f>Source!C156</x:f>
        <x:v>68</x:v>
      </x:c>
      <x:c r="D162" s="8" t="n">
        <x:f>Source!D156/100</x:f>
        <x:v>0</x:v>
      </x:c>
      <x:c r="E162" s="8" t="n">
        <x:f>Source!E156/100</x:f>
        <x:v>334.86</x:v>
      </x:c>
      <x:c r="F162" s="8" t="n">
        <x:f>Source!F156/100</x:f>
        <x:v>0</x:v>
      </x:c>
      <x:c r="G162" s="8" t="n">
        <x:f>Source!G156/100</x:f>
        <x:v>334.86</x:v>
      </x:c>
      <x:c r="H162" s="8" t="n">
        <x:f>G162-D162</x:f>
        <x:v>334.86</x:v>
      </x:c>
      <x:c r="I162" s="1" t="str">
        <x:f>IF(H162&gt;0,"Overbilled","Shortfall")</x:f>
        <x:v>Overbilled</x:v>
      </x:c>
      <x:c r="J162" s="7"/>
      <x:c r="K162" s="7" t="str">
        <x:v>Open</x:v>
      </x:c>
      <x:c r="L162" s="7"/>
    </x:row>
    <x:row r="163" ht="21" customHeight="1">
      <x:c r="A163" s="1" t="str">
        <x:f>Source!A157</x:f>
        <x:v>C0002672</x:v>
      </x:c>
      <x:c r="B163" s="1" t="str">
        <x:f>_xlfn.IFNA(VLOOKUP(Source!B157,Advertisers!$A$5:$B$34,2,FALSE),"Missing advertiser")</x:f>
        <x:v>Synthetic advertiser 8</x:v>
      </x:c>
      <x:c r="C163" s="1" t="n">
        <x:f>Source!C157</x:f>
        <x:v>68</x:v>
      </x:c>
      <x:c r="D163" s="8" t="n">
        <x:f>Source!D157/100</x:f>
        <x:v>334.86</x:v>
      </x:c>
      <x:c r="E163" s="8" t="n">
        <x:f>Source!E157/100</x:f>
        <x:v>0</x:v>
      </x:c>
      <x:c r="F163" s="8" t="n">
        <x:f>Source!F157/100</x:f>
        <x:v>0</x:v>
      </x:c>
      <x:c r="G163" s="8" t="n">
        <x:f>Source!G157/100</x:f>
        <x:v>0</x:v>
      </x:c>
      <x:c r="H163" s="8" t="n">
        <x:f>G163-D163</x:f>
        <x:v>-334.86</x:v>
      </x:c>
      <x:c r="I163" s="1" t="str">
        <x:f>IF(H163&gt;0,"Overbilled","Shortfall")</x:f>
        <x:v>Shortfall</x:v>
      </x:c>
      <x:c r="J163" s="7"/>
      <x:c r="K163" s="7" t="str">
        <x:v>Open</x:v>
      </x:c>
      <x:c r="L163" s="7"/>
    </x:row>
    <x:row r="164" ht="21" customHeight="1">
      <x:c r="A164" s="1" t="str">
        <x:f>Source!A158</x:f>
        <x:v>C0001008</x:v>
      </x:c>
      <x:c r="B164" s="1" t="str">
        <x:f>_xlfn.IFNA(VLOOKUP(Source!B158,Advertisers!$A$5:$B$34,2,FALSE),"Missing advertiser")</x:f>
        <x:v>Synthetic advertiser 8</x:v>
      </x:c>
      <x:c r="C164" s="1" t="n">
        <x:f>Source!C158</x:f>
        <x:v>68</x:v>
      </x:c>
      <x:c r="D164" s="8" t="n">
        <x:f>Source!D158/100</x:f>
        <x:v>334.86</x:v>
      </x:c>
      <x:c r="E164" s="8" t="n">
        <x:f>Source!E158/100</x:f>
        <x:v>0</x:v>
      </x:c>
      <x:c r="F164" s="8" t="n">
        <x:f>Source!F158/100</x:f>
        <x:v>0</x:v>
      </x:c>
      <x:c r="G164" s="8" t="n">
        <x:f>Source!G158/100</x:f>
        <x:v>0</x:v>
      </x:c>
      <x:c r="H164" s="8" t="n">
        <x:f>G164-D164</x:f>
        <x:v>-334.86</x:v>
      </x:c>
      <x:c r="I164" s="1" t="str">
        <x:f>IF(H164&gt;0,"Overbilled","Shortfall")</x:f>
        <x:v>Shortfall</x:v>
      </x:c>
      <x:c r="J164" s="7"/>
      <x:c r="K164" s="7" t="str">
        <x:v>Open</x:v>
      </x:c>
      <x:c r="L164" s="7"/>
    </x:row>
    <x:row r="165" ht="21" customHeight="1">
      <x:c r="A165" s="1" t="str">
        <x:f>Source!A159</x:f>
        <x:v>C0005763</x:v>
      </x:c>
      <x:c r="B165" s="1" t="str">
        <x:f>_xlfn.IFNA(VLOOKUP(Source!B159,Advertisers!$A$5:$B$34,2,FALSE),"Missing advertiser")</x:f>
        <x:v>Synthetic advertiser 8</x:v>
      </x:c>
      <x:c r="C165" s="1" t="n">
        <x:f>Source!C159</x:f>
        <x:v>68</x:v>
      </x:c>
      <x:c r="D165" s="8" t="n">
        <x:f>Source!D159/100</x:f>
        <x:v>334.86</x:v>
      </x:c>
      <x:c r="E165" s="8" t="n">
        <x:f>Source!E159/100</x:f>
        <x:v>669.72</x:v>
      </x:c>
      <x:c r="F165" s="8" t="n">
        <x:f>Source!F159/100</x:f>
        <x:v>0</x:v>
      </x:c>
      <x:c r="G165" s="8" t="n">
        <x:f>Source!G159/100</x:f>
        <x:v>669.72</x:v>
      </x:c>
      <x:c r="H165" s="8" t="n">
        <x:f>G165-D165</x:f>
        <x:v>334.86</x:v>
      </x:c>
      <x:c r="I165" s="1" t="str">
        <x:f>IF(H165&gt;0,"Overbilled","Shortfall")</x:f>
        <x:v>Overbilled</x:v>
      </x:c>
      <x:c r="J165" s="7"/>
      <x:c r="K165" s="7" t="str">
        <x:v>Open</x:v>
      </x:c>
      <x:c r="L165" s="7"/>
    </x:row>
    <x:row r="166" ht="21" customHeight="1">
      <x:c r="A166" s="1" t="str">
        <x:f>Source!A160</x:f>
        <x:v>C0006771</x:v>
      </x:c>
      <x:c r="B166" s="1" t="str">
        <x:f>_xlfn.IFNA(VLOOKUP(Source!B160,Advertisers!$A$5:$B$34,2,FALSE),"Missing advertiser")</x:f>
        <x:v>Synthetic advertiser 8</x:v>
      </x:c>
      <x:c r="C166" s="1" t="n">
        <x:f>Source!C160</x:f>
        <x:v>68</x:v>
      </x:c>
      <x:c r="D166" s="8" t="n">
        <x:f>Source!D160/100</x:f>
        <x:v>334.86</x:v>
      </x:c>
      <x:c r="E166" s="8" t="n">
        <x:f>Source!E160/100</x:f>
        <x:v>669.72</x:v>
      </x:c>
      <x:c r="F166" s="8" t="n">
        <x:f>Source!F160/100</x:f>
        <x:v>0</x:v>
      </x:c>
      <x:c r="G166" s="8" t="n">
        <x:f>Source!G160/100</x:f>
        <x:v>669.72</x:v>
      </x:c>
      <x:c r="H166" s="8" t="n">
        <x:f>G166-D166</x:f>
        <x:v>334.86</x:v>
      </x:c>
      <x:c r="I166" s="1" t="str">
        <x:f>IF(H166&gt;0,"Overbilled","Shortfall")</x:f>
        <x:v>Overbilled</x:v>
      </x:c>
      <x:c r="J166" s="7"/>
      <x:c r="K166" s="7" t="str">
        <x:v>Open</x:v>
      </x:c>
      <x:c r="L166" s="7"/>
    </x:row>
    <x:row r="167" ht="21" customHeight="1">
      <x:c r="A167" s="1" t="str">
        <x:f>Source!A161</x:f>
        <x:v>C0005798</x:v>
      </x:c>
      <x:c r="B167" s="1" t="str">
        <x:f>_xlfn.IFNA(VLOOKUP(Source!B161,Advertisers!$A$5:$B$34,2,FALSE),"Missing advertiser")</x:f>
        <x:v>Synthetic advertiser 6</x:v>
      </x:c>
      <x:c r="C167" s="1" t="n">
        <x:f>Source!C161</x:f>
        <x:v>96</x:v>
      </x:c>
      <x:c r="D167" s="8" t="n">
        <x:f>Source!D161/100</x:f>
        <x:v>0</x:v>
      </x:c>
      <x:c r="E167" s="8" t="n">
        <x:f>Source!E161/100</x:f>
        <x:v>331.12</x:v>
      </x:c>
      <x:c r="F167" s="8" t="n">
        <x:f>Source!F161/100</x:f>
        <x:v>0</x:v>
      </x:c>
      <x:c r="G167" s="8" t="n">
        <x:f>Source!G161/100</x:f>
        <x:v>331.12</x:v>
      </x:c>
      <x:c r="H167" s="8" t="n">
        <x:f>G167-D167</x:f>
        <x:v>331.12</x:v>
      </x:c>
      <x:c r="I167" s="1" t="str">
        <x:f>IF(H167&gt;0,"Overbilled","Shortfall")</x:f>
        <x:v>Overbilled</x:v>
      </x:c>
      <x:c r="J167" s="7"/>
      <x:c r="K167" s="7" t="str">
        <x:v>Open</x:v>
      </x:c>
      <x:c r="L167" s="7"/>
    </x:row>
    <x:row r="168" ht="21" customHeight="1">
      <x:c r="A168" s="1" t="str">
        <x:f>Source!A162</x:f>
        <x:v>C0001716</x:v>
      </x:c>
      <x:c r="B168" s="1" t="str">
        <x:f>_xlfn.IFNA(VLOOKUP(Source!B162,Advertisers!$A$5:$B$34,2,FALSE),"Missing advertiser")</x:f>
        <x:v>Synthetic advertiser 6</x:v>
      </x:c>
      <x:c r="C168" s="1" t="n">
        <x:f>Source!C162</x:f>
        <x:v>96</x:v>
      </x:c>
      <x:c r="D168" s="8" t="n">
        <x:f>Source!D162/100</x:f>
        <x:v>331.12</x:v>
      </x:c>
      <x:c r="E168" s="8" t="n">
        <x:f>Source!E162/100</x:f>
        <x:v>662.24</x:v>
      </x:c>
      <x:c r="F168" s="8" t="n">
        <x:f>Source!F162/100</x:f>
        <x:v>0</x:v>
      </x:c>
      <x:c r="G168" s="8" t="n">
        <x:f>Source!G162/100</x:f>
        <x:v>662.24</x:v>
      </x:c>
      <x:c r="H168" s="8" t="n">
        <x:f>G168-D168</x:f>
        <x:v>331.12</x:v>
      </x:c>
      <x:c r="I168" s="1" t="str">
        <x:f>IF(H168&gt;0,"Overbilled","Shortfall")</x:f>
        <x:v>Overbilled</x:v>
      </x:c>
      <x:c r="J168" s="7"/>
      <x:c r="K168" s="7" t="str">
        <x:v>Open</x:v>
      </x:c>
      <x:c r="L168" s="7"/>
    </x:row>
    <x:row r="169" ht="21" customHeight="1">
      <x:c r="A169" s="1" t="str">
        <x:f>Source!A163</x:f>
        <x:v>C0000577</x:v>
      </x:c>
      <x:c r="B169" s="1" t="str">
        <x:f>_xlfn.IFNA(VLOOKUP(Source!B163,Advertisers!$A$5:$B$34,2,FALSE),"Missing advertiser")</x:f>
        <x:v>Synthetic advertiser 6</x:v>
      </x:c>
      <x:c r="C169" s="1" t="n">
        <x:f>Source!C163</x:f>
        <x:v>96</x:v>
      </x:c>
      <x:c r="D169" s="8" t="n">
        <x:f>Source!D163/100</x:f>
        <x:v>331.12</x:v>
      </x:c>
      <x:c r="E169" s="8" t="n">
        <x:f>Source!E163/100</x:f>
        <x:v>662.24</x:v>
      </x:c>
      <x:c r="F169" s="8" t="n">
        <x:f>Source!F163/100</x:f>
        <x:v>0</x:v>
      </x:c>
      <x:c r="G169" s="8" t="n">
        <x:f>Source!G163/100</x:f>
        <x:v>662.24</x:v>
      </x:c>
      <x:c r="H169" s="8" t="n">
        <x:f>G169-D169</x:f>
        <x:v>331.12</x:v>
      </x:c>
      <x:c r="I169" s="1" t="str">
        <x:f>IF(H169&gt;0,"Overbilled","Shortfall")</x:f>
        <x:v>Overbilled</x:v>
      </x:c>
      <x:c r="J169" s="7"/>
      <x:c r="K169" s="7" t="str">
        <x:v>Open</x:v>
      </x:c>
      <x:c r="L169" s="7"/>
    </x:row>
    <x:row r="170" ht="21" customHeight="1">
      <x:c r="A170" s="1" t="str">
        <x:f>Source!A164</x:f>
        <x:v>C0006605</x:v>
      </x:c>
      <x:c r="B170" s="1" t="str">
        <x:f>_xlfn.IFNA(VLOOKUP(Source!B164,Advertisers!$A$5:$B$34,2,FALSE),"Missing advertiser")</x:f>
        <x:v>Synthetic advertiser 6</x:v>
      </x:c>
      <x:c r="C170" s="1" t="n">
        <x:f>Source!C164</x:f>
        <x:v>96</x:v>
      </x:c>
      <x:c r="D170" s="8" t="n">
        <x:f>Source!D164/100</x:f>
        <x:v>331.12</x:v>
      </x:c>
      <x:c r="E170" s="8" t="n">
        <x:f>Source!E164/100</x:f>
        <x:v>662.24</x:v>
      </x:c>
      <x:c r="F170" s="8" t="n">
        <x:f>Source!F164/100</x:f>
        <x:v>0</x:v>
      </x:c>
      <x:c r="G170" s="8" t="n">
        <x:f>Source!G164/100</x:f>
        <x:v>662.24</x:v>
      </x:c>
      <x:c r="H170" s="8" t="n">
        <x:f>G170-D170</x:f>
        <x:v>331.12</x:v>
      </x:c>
      <x:c r="I170" s="1" t="str">
        <x:f>IF(H170&gt;0,"Overbilled","Shortfall")</x:f>
        <x:v>Overbilled</x:v>
      </x:c>
      <x:c r="J170" s="7"/>
      <x:c r="K170" s="7" t="str">
        <x:v>Open</x:v>
      </x:c>
      <x:c r="L170" s="7"/>
    </x:row>
    <x:row r="171" ht="21" customHeight="1">
      <x:c r="A171" s="1" t="str">
        <x:f>Source!A165</x:f>
        <x:v>C0010157</x:v>
      </x:c>
      <x:c r="B171" s="1" t="str">
        <x:f>_xlfn.IFNA(VLOOKUP(Source!B165,Advertisers!$A$5:$B$34,2,FALSE),"Missing advertiser")</x:f>
        <x:v>Synthetic advertiser 6</x:v>
      </x:c>
      <x:c r="C171" s="1" t="n">
        <x:f>Source!C165</x:f>
        <x:v>96</x:v>
      </x:c>
      <x:c r="D171" s="8" t="n">
        <x:f>Source!D165/100</x:f>
        <x:v>331.12</x:v>
      </x:c>
      <x:c r="E171" s="8" t="n">
        <x:f>Source!E165/100</x:f>
        <x:v>0</x:v>
      </x:c>
      <x:c r="F171" s="8" t="n">
        <x:f>Source!F165/100</x:f>
        <x:v>0</x:v>
      </x:c>
      <x:c r="G171" s="8" t="n">
        <x:f>Source!G165/100</x:f>
        <x:v>0</x:v>
      </x:c>
      <x:c r="H171" s="8" t="n">
        <x:f>G171-D171</x:f>
        <x:v>-331.12</x:v>
      </x:c>
      <x:c r="I171" s="1" t="str">
        <x:f>IF(H171&gt;0,"Overbilled","Shortfall")</x:f>
        <x:v>Shortfall</x:v>
      </x:c>
      <x:c r="J171" s="7"/>
      <x:c r="K171" s="7" t="str">
        <x:v>Open</x:v>
      </x:c>
      <x:c r="L171" s="7"/>
    </x:row>
    <x:row r="172" ht="21" customHeight="1">
      <x:c r="A172" s="1" t="str">
        <x:f>Source!A166</x:f>
        <x:v>C0010912</x:v>
      </x:c>
      <x:c r="B172" s="1" t="str">
        <x:f>_xlfn.IFNA(VLOOKUP(Source!B166,Advertisers!$A$5:$B$34,2,FALSE),"Missing advertiser")</x:f>
        <x:v>Synthetic advertiser 6</x:v>
      </x:c>
      <x:c r="C172" s="1" t="n">
        <x:f>Source!C166</x:f>
        <x:v>96</x:v>
      </x:c>
      <x:c r="D172" s="8" t="n">
        <x:f>Source!D166/100</x:f>
        <x:v>331.12</x:v>
      </x:c>
      <x:c r="E172" s="8" t="n">
        <x:f>Source!E166/100</x:f>
        <x:v>0</x:v>
      </x:c>
      <x:c r="F172" s="8" t="n">
        <x:f>Source!F166/100</x:f>
        <x:v>0</x:v>
      </x:c>
      <x:c r="G172" s="8" t="n">
        <x:f>Source!G166/100</x:f>
        <x:v>0</x:v>
      </x:c>
      <x:c r="H172" s="8" t="n">
        <x:f>G172-D172</x:f>
        <x:v>-331.12</x:v>
      </x:c>
      <x:c r="I172" s="1" t="str">
        <x:f>IF(H172&gt;0,"Overbilled","Shortfall")</x:f>
        <x:v>Shortfall</x:v>
      </x:c>
      <x:c r="J172" s="7"/>
      <x:c r="K172" s="7" t="str">
        <x:v>Open</x:v>
      </x:c>
      <x:c r="L172" s="7"/>
    </x:row>
    <x:row r="173" ht="21" customHeight="1">
      <x:c r="A173" s="1" t="str">
        <x:f>Source!A167</x:f>
        <x:v>C0007439</x:v>
      </x:c>
      <x:c r="B173" s="1" t="str">
        <x:f>_xlfn.IFNA(VLOOKUP(Source!B167,Advertisers!$A$5:$B$34,2,FALSE),"Missing advertiser")</x:f>
        <x:v>Synthetic advertiser 15</x:v>
      </x:c>
      <x:c r="C173" s="1" t="n">
        <x:f>Source!C167</x:f>
        <x:v>45</x:v>
      </x:c>
      <x:c r="D173" s="8" t="n">
        <x:f>Source!D167/100</x:f>
        <x:v>322</x:v>
      </x:c>
      <x:c r="E173" s="8" t="n">
        <x:f>Source!E167/100</x:f>
        <x:v>644</x:v>
      </x:c>
      <x:c r="F173" s="8" t="n">
        <x:f>Source!F167/100</x:f>
        <x:v>0</x:v>
      </x:c>
      <x:c r="G173" s="8" t="n">
        <x:f>Source!G167/100</x:f>
        <x:v>644</x:v>
      </x:c>
      <x:c r="H173" s="8" t="n">
        <x:f>G173-D173</x:f>
        <x:v>322</x:v>
      </x:c>
      <x:c r="I173" s="1" t="str">
        <x:f>IF(H173&gt;0,"Overbilled","Shortfall")</x:f>
        <x:v>Overbilled</x:v>
      </x:c>
      <x:c r="J173" s="7"/>
      <x:c r="K173" s="7" t="str">
        <x:v>Open</x:v>
      </x:c>
      <x:c r="L173" s="7"/>
    </x:row>
    <x:row r="174" ht="21" customHeight="1">
      <x:c r="A174" s="1" t="str">
        <x:f>Source!A168</x:f>
        <x:v>C0003366</x:v>
      </x:c>
      <x:c r="B174" s="1" t="str">
        <x:f>_xlfn.IFNA(VLOOKUP(Source!B168,Advertisers!$A$5:$B$34,2,FALSE),"Missing advertiser")</x:f>
        <x:v>Synthetic advertiser 15</x:v>
      </x:c>
      <x:c r="C174" s="1" t="n">
        <x:f>Source!C168</x:f>
        <x:v>45</x:v>
      </x:c>
      <x:c r="D174" s="8" t="n">
        <x:f>Source!D168/100</x:f>
        <x:v>322</x:v>
      </x:c>
      <x:c r="E174" s="8" t="n">
        <x:f>Source!E168/100</x:f>
        <x:v>644</x:v>
      </x:c>
      <x:c r="F174" s="8" t="n">
        <x:f>Source!F168/100</x:f>
        <x:v>0</x:v>
      </x:c>
      <x:c r="G174" s="8" t="n">
        <x:f>Source!G168/100</x:f>
        <x:v>644</x:v>
      </x:c>
      <x:c r="H174" s="8" t="n">
        <x:f>G174-D174</x:f>
        <x:v>322</x:v>
      </x:c>
      <x:c r="I174" s="1" t="str">
        <x:f>IF(H174&gt;0,"Overbilled","Shortfall")</x:f>
        <x:v>Overbilled</x:v>
      </x:c>
      <x:c r="J174" s="7"/>
      <x:c r="K174" s="7" t="str">
        <x:v>Open</x:v>
      </x:c>
      <x:c r="L174" s="7"/>
    </x:row>
    <x:row r="175" ht="21" customHeight="1">
      <x:c r="A175" s="1" t="str">
        <x:f>Source!A169</x:f>
        <x:v>C0016618</x:v>
      </x:c>
      <x:c r="B175" s="1" t="str">
        <x:f>_xlfn.IFNA(VLOOKUP(Source!B169,Advertisers!$A$5:$B$34,2,FALSE),"Missing advertiser")</x:f>
        <x:v>Synthetic advertiser 15</x:v>
      </x:c>
      <x:c r="C175" s="1" t="n">
        <x:f>Source!C169</x:f>
        <x:v>45</x:v>
      </x:c>
      <x:c r="D175" s="8" t="n">
        <x:f>Source!D169/100</x:f>
        <x:v>322</x:v>
      </x:c>
      <x:c r="E175" s="8" t="n">
        <x:f>Source!E169/100</x:f>
        <x:v>0</x:v>
      </x:c>
      <x:c r="F175" s="8" t="n">
        <x:f>Source!F169/100</x:f>
        <x:v>0</x:v>
      </x:c>
      <x:c r="G175" s="8" t="n">
        <x:f>Source!G169/100</x:f>
        <x:v>0</x:v>
      </x:c>
      <x:c r="H175" s="8" t="n">
        <x:f>G175-D175</x:f>
        <x:v>-322</x:v>
      </x:c>
      <x:c r="I175" s="1" t="str">
        <x:f>IF(H175&gt;0,"Overbilled","Shortfall")</x:f>
        <x:v>Shortfall</x:v>
      </x:c>
      <x:c r="J175" s="7"/>
      <x:c r="K175" s="7" t="str">
        <x:v>Open</x:v>
      </x:c>
      <x:c r="L175" s="7"/>
    </x:row>
    <x:row r="176" ht="21" customHeight="1">
      <x:c r="A176" s="1" t="str">
        <x:f>Source!A170</x:f>
        <x:v>C0010218</x:v>
      </x:c>
      <x:c r="B176" s="1" t="str">
        <x:f>_xlfn.IFNA(VLOOKUP(Source!B170,Advertisers!$A$5:$B$34,2,FALSE),"Missing advertiser")</x:f>
        <x:v>Synthetic advertiser 15</x:v>
      </x:c>
      <x:c r="C176" s="1" t="n">
        <x:f>Source!C170</x:f>
        <x:v>45</x:v>
      </x:c>
      <x:c r="D176" s="8" t="n">
        <x:f>Source!D170/100</x:f>
        <x:v>0</x:v>
      </x:c>
      <x:c r="E176" s="8" t="n">
        <x:f>Source!E170/100</x:f>
        <x:v>322</x:v>
      </x:c>
      <x:c r="F176" s="8" t="n">
        <x:f>Source!F170/100</x:f>
        <x:v>0</x:v>
      </x:c>
      <x:c r="G176" s="8" t="n">
        <x:f>Source!G170/100</x:f>
        <x:v>322</x:v>
      </x:c>
      <x:c r="H176" s="8" t="n">
        <x:f>G176-D176</x:f>
        <x:v>322</x:v>
      </x:c>
      <x:c r="I176" s="1" t="str">
        <x:f>IF(H176&gt;0,"Overbilled","Shortfall")</x:f>
        <x:v>Overbilled</x:v>
      </x:c>
      <x:c r="J176" s="7"/>
      <x:c r="K176" s="7" t="str">
        <x:v>Open</x:v>
      </x:c>
      <x:c r="L176" s="7"/>
    </x:row>
    <x:row r="177" ht="21" customHeight="1">
      <x:c r="A177" s="1" t="str">
        <x:f>Source!A171</x:f>
        <x:v>C0013215</x:v>
      </x:c>
      <x:c r="B177" s="1" t="str">
        <x:f>_xlfn.IFNA(VLOOKUP(Source!B171,Advertisers!$A$5:$B$34,2,FALSE),"Missing advertiser")</x:f>
        <x:v>Synthetic advertiser 15</x:v>
      </x:c>
      <x:c r="C177" s="1" t="n">
        <x:f>Source!C171</x:f>
        <x:v>45</x:v>
      </x:c>
      <x:c r="D177" s="8" t="n">
        <x:f>Source!D171/100</x:f>
        <x:v>322</x:v>
      </x:c>
      <x:c r="E177" s="8" t="n">
        <x:f>Source!E171/100</x:f>
        <x:v>644</x:v>
      </x:c>
      <x:c r="F177" s="8" t="n">
        <x:f>Source!F171/100</x:f>
        <x:v>0</x:v>
      </x:c>
      <x:c r="G177" s="8" t="n">
        <x:f>Source!G171/100</x:f>
        <x:v>644</x:v>
      </x:c>
      <x:c r="H177" s="8" t="n">
        <x:f>G177-D177</x:f>
        <x:v>322</x:v>
      </x:c>
      <x:c r="I177" s="1" t="str">
        <x:f>IF(H177&gt;0,"Overbilled","Shortfall")</x:f>
        <x:v>Overbilled</x:v>
      </x:c>
      <x:c r="J177" s="7"/>
      <x:c r="K177" s="7" t="str">
        <x:v>Open</x:v>
      </x:c>
      <x:c r="L177" s="7"/>
    </x:row>
    <x:row r="178" ht="21" customHeight="1">
      <x:c r="A178" s="1" t="str">
        <x:f>Source!A172</x:f>
        <x:v>C0010391</x:v>
      </x:c>
      <x:c r="B178" s="1" t="str">
        <x:f>_xlfn.IFNA(VLOOKUP(Source!B172,Advertisers!$A$5:$B$34,2,FALSE),"Missing advertiser")</x:f>
        <x:v>Synthetic advertiser 15</x:v>
      </x:c>
      <x:c r="C178" s="1" t="n">
        <x:f>Source!C172</x:f>
        <x:v>45</x:v>
      </x:c>
      <x:c r="D178" s="8" t="n">
        <x:f>Source!D172/100</x:f>
        <x:v>322</x:v>
      </x:c>
      <x:c r="E178" s="8" t="n">
        <x:f>Source!E172/100</x:f>
        <x:v>644</x:v>
      </x:c>
      <x:c r="F178" s="8" t="n">
        <x:f>Source!F172/100</x:f>
        <x:v>0</x:v>
      </x:c>
      <x:c r="G178" s="8" t="n">
        <x:f>Source!G172/100</x:f>
        <x:v>644</x:v>
      </x:c>
      <x:c r="H178" s="8" t="n">
        <x:f>G178-D178</x:f>
        <x:v>322</x:v>
      </x:c>
      <x:c r="I178" s="1" t="str">
        <x:f>IF(H178&gt;0,"Overbilled","Shortfall")</x:f>
        <x:v>Overbilled</x:v>
      </x:c>
      <x:c r="J178" s="7"/>
      <x:c r="K178" s="7" t="str">
        <x:v>Open</x:v>
      </x:c>
      <x:c r="L178" s="7"/>
    </x:row>
    <x:row r="179" ht="21" customHeight="1">
      <x:c r="A179" s="1" t="str">
        <x:f>Source!A173</x:f>
        <x:v>C0007527</x:v>
      </x:c>
      <x:c r="B179" s="1" t="str">
        <x:f>_xlfn.IFNA(VLOOKUP(Source!B173,Advertisers!$A$5:$B$34,2,FALSE),"Missing advertiser")</x:f>
        <x:v>Synthetic advertiser 15</x:v>
      </x:c>
      <x:c r="C179" s="1" t="n">
        <x:f>Source!C173</x:f>
        <x:v>45</x:v>
      </x:c>
      <x:c r="D179" s="8" t="n">
        <x:f>Source!D173/100</x:f>
        <x:v>322</x:v>
      </x:c>
      <x:c r="E179" s="8" t="n">
        <x:f>Source!E173/100</x:f>
        <x:v>644</x:v>
      </x:c>
      <x:c r="F179" s="8" t="n">
        <x:f>Source!F173/100</x:f>
        <x:v>0</x:v>
      </x:c>
      <x:c r="G179" s="8" t="n">
        <x:f>Source!G173/100</x:f>
        <x:v>644</x:v>
      </x:c>
      <x:c r="H179" s="8" t="n">
        <x:f>G179-D179</x:f>
        <x:v>322</x:v>
      </x:c>
      <x:c r="I179" s="1" t="str">
        <x:f>IF(H179&gt;0,"Overbilled","Shortfall")</x:f>
        <x:v>Overbilled</x:v>
      </x:c>
      <x:c r="J179" s="7"/>
      <x:c r="K179" s="7" t="str">
        <x:v>Open</x:v>
      </x:c>
      <x:c r="L179" s="7"/>
    </x:row>
    <x:row r="180" ht="21" customHeight="1">
      <x:c r="A180" s="1" t="str">
        <x:f>Source!A174</x:f>
        <x:v>C0000676</x:v>
      </x:c>
      <x:c r="B180" s="1" t="str">
        <x:f>_xlfn.IFNA(VLOOKUP(Source!B174,Advertisers!$A$5:$B$34,2,FALSE),"Missing advertiser")</x:f>
        <x:v>Synthetic advertiser 15</x:v>
      </x:c>
      <x:c r="C180" s="1" t="n">
        <x:f>Source!C174</x:f>
        <x:v>45</x:v>
      </x:c>
      <x:c r="D180" s="8" t="n">
        <x:f>Source!D174/100</x:f>
        <x:v>322</x:v>
      </x:c>
      <x:c r="E180" s="8" t="n">
        <x:f>Source!E174/100</x:f>
        <x:v>0</x:v>
      </x:c>
      <x:c r="F180" s="8" t="n">
        <x:f>Source!F174/100</x:f>
        <x:v>0</x:v>
      </x:c>
      <x:c r="G180" s="8" t="n">
        <x:f>Source!G174/100</x:f>
        <x:v>0</x:v>
      </x:c>
      <x:c r="H180" s="8" t="n">
        <x:f>G180-D180</x:f>
        <x:v>-322</x:v>
      </x:c>
      <x:c r="I180" s="1" t="str">
        <x:f>IF(H180&gt;0,"Overbilled","Shortfall")</x:f>
        <x:v>Shortfall</x:v>
      </x:c>
      <x:c r="J180" s="7"/>
      <x:c r="K180" s="7" t="str">
        <x:v>Open</x:v>
      </x:c>
      <x:c r="L180" s="7"/>
    </x:row>
    <x:row r="181" ht="21" customHeight="1">
      <x:c r="A181" s="1" t="str">
        <x:f>Source!A175</x:f>
        <x:v>C0010279</x:v>
      </x:c>
      <x:c r="B181" s="1" t="str">
        <x:f>_xlfn.IFNA(VLOOKUP(Source!B175,Advertisers!$A$5:$B$34,2,FALSE),"Missing advertiser")</x:f>
        <x:v>Synthetic advertiser 2</x:v>
      </x:c>
      <x:c r="C181" s="1" t="n">
        <x:f>Source!C175</x:f>
        <x:v>2</x:v>
      </x:c>
      <x:c r="D181" s="8" t="n">
        <x:f>Source!D175/100</x:f>
        <x:v>318.18</x:v>
      </x:c>
      <x:c r="E181" s="8" t="n">
        <x:f>Source!E175/100</x:f>
        <x:v>636.36</x:v>
      </x:c>
      <x:c r="F181" s="8" t="n">
        <x:f>Source!F175/100</x:f>
        <x:v>0</x:v>
      </x:c>
      <x:c r="G181" s="8" t="n">
        <x:f>Source!G175/100</x:f>
        <x:v>636.36</x:v>
      </x:c>
      <x:c r="H181" s="8" t="n">
        <x:f>G181-D181</x:f>
        <x:v>318.18</x:v>
      </x:c>
      <x:c r="I181" s="1" t="str">
        <x:f>IF(H181&gt;0,"Overbilled","Shortfall")</x:f>
        <x:v>Overbilled</x:v>
      </x:c>
      <x:c r="J181" s="7"/>
      <x:c r="K181" s="7" t="str">
        <x:v>Open</x:v>
      </x:c>
      <x:c r="L181" s="7"/>
    </x:row>
    <x:row r="182" ht="21" customHeight="1">
      <x:c r="A182" s="1" t="str">
        <x:f>Source!A176</x:f>
        <x:v>C0008253</x:v>
      </x:c>
      <x:c r="B182" s="1" t="str">
        <x:f>_xlfn.IFNA(VLOOKUP(Source!B176,Advertisers!$A$5:$B$34,2,FALSE),"Missing advertiser")</x:f>
        <x:v>Synthetic advertiser 2</x:v>
      </x:c>
      <x:c r="C182" s="1" t="n">
        <x:f>Source!C176</x:f>
        <x:v>2</x:v>
      </x:c>
      <x:c r="D182" s="8" t="n">
        <x:f>Source!D176/100</x:f>
        <x:v>318.18</x:v>
      </x:c>
      <x:c r="E182" s="8" t="n">
        <x:f>Source!E176/100</x:f>
        <x:v>0</x:v>
      </x:c>
      <x:c r="F182" s="8" t="n">
        <x:f>Source!F176/100</x:f>
        <x:v>0</x:v>
      </x:c>
      <x:c r="G182" s="8" t="n">
        <x:f>Source!G176/100</x:f>
        <x:v>0</x:v>
      </x:c>
      <x:c r="H182" s="8" t="n">
        <x:f>G182-D182</x:f>
        <x:v>-318.18</x:v>
      </x:c>
      <x:c r="I182" s="1" t="str">
        <x:f>IF(H182&gt;0,"Overbilled","Shortfall")</x:f>
        <x:v>Shortfall</x:v>
      </x:c>
      <x:c r="J182" s="7"/>
      <x:c r="K182" s="7" t="str">
        <x:v>Open</x:v>
      </x:c>
      <x:c r="L182" s="7"/>
    </x:row>
    <x:row r="183" ht="21" customHeight="1">
      <x:c r="A183" s="1" t="str">
        <x:f>Source!A177</x:f>
        <x:v>C0011295</x:v>
      </x:c>
      <x:c r="B183" s="1" t="str">
        <x:f>_xlfn.IFNA(VLOOKUP(Source!B177,Advertisers!$A$5:$B$34,2,FALSE),"Missing advertiser")</x:f>
        <x:v>Synthetic advertiser 2</x:v>
      </x:c>
      <x:c r="C183" s="1" t="n">
        <x:f>Source!C177</x:f>
        <x:v>2</x:v>
      </x:c>
      <x:c r="D183" s="8" t="n">
        <x:f>Source!D177/100</x:f>
        <x:v>318.18</x:v>
      </x:c>
      <x:c r="E183" s="8" t="n">
        <x:f>Source!E177/100</x:f>
        <x:v>0</x:v>
      </x:c>
      <x:c r="F183" s="8" t="n">
        <x:f>Source!F177/100</x:f>
        <x:v>0</x:v>
      </x:c>
      <x:c r="G183" s="8" t="n">
        <x:f>Source!G177/100</x:f>
        <x:v>0</x:v>
      </x:c>
      <x:c r="H183" s="8" t="n">
        <x:f>G183-D183</x:f>
        <x:v>-318.18</x:v>
      </x:c>
      <x:c r="I183" s="1" t="str">
        <x:f>IF(H183&gt;0,"Overbilled","Shortfall")</x:f>
        <x:v>Shortfall</x:v>
      </x:c>
      <x:c r="J183" s="7"/>
      <x:c r="K183" s="7" t="str">
        <x:v>Open</x:v>
      </x:c>
      <x:c r="L183" s="7"/>
    </x:row>
    <x:row r="184" ht="21" customHeight="1">
      <x:c r="A184" s="1" t="str">
        <x:f>Source!A178</x:f>
        <x:v>C0004236</x:v>
      </x:c>
      <x:c r="B184" s="1" t="str">
        <x:f>_xlfn.IFNA(VLOOKUP(Source!B178,Advertisers!$A$5:$B$34,2,FALSE),"Missing advertiser")</x:f>
        <x:v>Synthetic advertiser 2</x:v>
      </x:c>
      <x:c r="C184" s="1" t="n">
        <x:f>Source!C178</x:f>
        <x:v>2</x:v>
      </x:c>
      <x:c r="D184" s="8" t="n">
        <x:f>Source!D178/100</x:f>
        <x:v>318.18</x:v>
      </x:c>
      <x:c r="E184" s="8" t="n">
        <x:f>Source!E178/100</x:f>
        <x:v>0</x:v>
      </x:c>
      <x:c r="F184" s="8" t="n">
        <x:f>Source!F178/100</x:f>
        <x:v>0</x:v>
      </x:c>
      <x:c r="G184" s="8" t="n">
        <x:f>Source!G178/100</x:f>
        <x:v>0</x:v>
      </x:c>
      <x:c r="H184" s="8" t="n">
        <x:f>G184-D184</x:f>
        <x:v>-318.18</x:v>
      </x:c>
      <x:c r="I184" s="1" t="str">
        <x:f>IF(H184&gt;0,"Overbilled","Shortfall")</x:f>
        <x:v>Shortfall</x:v>
      </x:c>
      <x:c r="J184" s="7"/>
      <x:c r="K184" s="7" t="str">
        <x:v>Open</x:v>
      </x:c>
      <x:c r="L184" s="7"/>
    </x:row>
    <x:row r="185" ht="21" customHeight="1">
      <x:c r="A185" s="1" t="str">
        <x:f>Source!A179</x:f>
        <x:v>C0014511</x:v>
      </x:c>
      <x:c r="B185" s="1" t="str">
        <x:f>_xlfn.IFNA(VLOOKUP(Source!B179,Advertisers!$A$5:$B$34,2,FALSE),"Missing advertiser")</x:f>
        <x:v>Synthetic advertiser 2</x:v>
      </x:c>
      <x:c r="C185" s="1" t="n">
        <x:f>Source!C179</x:f>
        <x:v>2</x:v>
      </x:c>
      <x:c r="D185" s="8" t="n">
        <x:f>Source!D179/100</x:f>
        <x:v>318.18</x:v>
      </x:c>
      <x:c r="E185" s="8" t="n">
        <x:f>Source!E179/100</x:f>
        <x:v>0</x:v>
      </x:c>
      <x:c r="F185" s="8" t="n">
        <x:f>Source!F179/100</x:f>
        <x:v>0</x:v>
      </x:c>
      <x:c r="G185" s="8" t="n">
        <x:f>Source!G179/100</x:f>
        <x:v>0</x:v>
      </x:c>
      <x:c r="H185" s="8" t="n">
        <x:f>G185-D185</x:f>
        <x:v>-318.18</x:v>
      </x:c>
      <x:c r="I185" s="1" t="str">
        <x:f>IF(H185&gt;0,"Overbilled","Shortfall")</x:f>
        <x:v>Shortfall</x:v>
      </x:c>
      <x:c r="J185" s="7"/>
      <x:c r="K185" s="7" t="str">
        <x:v>Open</x:v>
      </x:c>
      <x:c r="L185" s="7"/>
    </x:row>
    <x:row r="186" ht="21" customHeight="1">
      <x:c r="A186" s="1" t="str">
        <x:f>Source!A180</x:f>
        <x:v>C0017100</x:v>
      </x:c>
      <x:c r="B186" s="1" t="str">
        <x:f>_xlfn.IFNA(VLOOKUP(Source!B180,Advertisers!$A$5:$B$34,2,FALSE),"Missing advertiser")</x:f>
        <x:v>Synthetic advertiser 2</x:v>
      </x:c>
      <x:c r="C186" s="1" t="n">
        <x:f>Source!C180</x:f>
        <x:v>2</x:v>
      </x:c>
      <x:c r="D186" s="8" t="n">
        <x:f>Source!D180/100</x:f>
        <x:v>318.18</x:v>
      </x:c>
      <x:c r="E186" s="8" t="n">
        <x:f>Source!E180/100</x:f>
        <x:v>636.36</x:v>
      </x:c>
      <x:c r="F186" s="8" t="n">
        <x:f>Source!F180/100</x:f>
        <x:v>0</x:v>
      </x:c>
      <x:c r="G186" s="8" t="n">
        <x:f>Source!G180/100</x:f>
        <x:v>636.36</x:v>
      </x:c>
      <x:c r="H186" s="8" t="n">
        <x:f>G186-D186</x:f>
        <x:v>318.18</x:v>
      </x:c>
      <x:c r="I186" s="1" t="str">
        <x:f>IF(H186&gt;0,"Overbilled","Shortfall")</x:f>
        <x:v>Overbilled</x:v>
      </x:c>
      <x:c r="J186" s="7"/>
      <x:c r="K186" s="7" t="str">
        <x:v>Open</x:v>
      </x:c>
      <x:c r="L186" s="7"/>
    </x:row>
    <x:row r="187" ht="21" customHeight="1">
      <x:c r="A187" s="1" t="str">
        <x:f>Source!A181</x:f>
        <x:v>C0007906</x:v>
      </x:c>
      <x:c r="B187" s="1" t="str">
        <x:f>_xlfn.IFNA(VLOOKUP(Source!B181,Advertisers!$A$5:$B$34,2,FALSE),"Missing advertiser")</x:f>
        <x:v>Synthetic advertiser 3</x:v>
      </x:c>
      <x:c r="C187" s="1" t="n">
        <x:f>Source!C181</x:f>
        <x:v>33</x:v>
      </x:c>
      <x:c r="D187" s="8" t="n">
        <x:f>Source!D181/100</x:f>
        <x:v>314.6</x:v>
      </x:c>
      <x:c r="E187" s="8" t="n">
        <x:f>Source!E181/100</x:f>
        <x:v>0</x:v>
      </x:c>
      <x:c r="F187" s="8" t="n">
        <x:f>Source!F181/100</x:f>
        <x:v>0</x:v>
      </x:c>
      <x:c r="G187" s="8" t="n">
        <x:f>Source!G181/100</x:f>
        <x:v>0</x:v>
      </x:c>
      <x:c r="H187" s="8" t="n">
        <x:f>G187-D187</x:f>
        <x:v>-314.6</x:v>
      </x:c>
      <x:c r="I187" s="1" t="str">
        <x:f>IF(H187&gt;0,"Overbilled","Shortfall")</x:f>
        <x:v>Shortfall</x:v>
      </x:c>
      <x:c r="J187" s="7"/>
      <x:c r="K187" s="7" t="str">
        <x:v>Open</x:v>
      </x:c>
      <x:c r="L187" s="7"/>
    </x:row>
    <x:row r="188" ht="21" customHeight="1">
      <x:c r="A188" s="1" t="str">
        <x:f>Source!A182</x:f>
        <x:v>C0004762</x:v>
      </x:c>
      <x:c r="B188" s="1" t="str">
        <x:f>_xlfn.IFNA(VLOOKUP(Source!B182,Advertisers!$A$5:$B$34,2,FALSE),"Missing advertiser")</x:f>
        <x:v>Synthetic advertiser 3</x:v>
      </x:c>
      <x:c r="C188" s="1" t="n">
        <x:f>Source!C182</x:f>
        <x:v>33</x:v>
      </x:c>
      <x:c r="D188" s="8" t="n">
        <x:f>Source!D182/100</x:f>
        <x:v>314.6</x:v>
      </x:c>
      <x:c r="E188" s="8" t="n">
        <x:f>Source!E182/100</x:f>
        <x:v>629.2</x:v>
      </x:c>
      <x:c r="F188" s="8" t="n">
        <x:f>Source!F182/100</x:f>
        <x:v>0</x:v>
      </x:c>
      <x:c r="G188" s="8" t="n">
        <x:f>Source!G182/100</x:f>
        <x:v>629.2</x:v>
      </x:c>
      <x:c r="H188" s="8" t="n">
        <x:f>G188-D188</x:f>
        <x:v>314.6</x:v>
      </x:c>
      <x:c r="I188" s="1" t="str">
        <x:f>IF(H188&gt;0,"Overbilled","Shortfall")</x:f>
        <x:v>Overbilled</x:v>
      </x:c>
      <x:c r="J188" s="7"/>
      <x:c r="K188" s="7" t="str">
        <x:v>Open</x:v>
      </x:c>
      <x:c r="L188" s="7"/>
    </x:row>
    <x:row r="189" ht="21" customHeight="1">
      <x:c r="A189" s="1" t="str">
        <x:f>Source!A183</x:f>
        <x:v>C0011228</x:v>
      </x:c>
      <x:c r="B189" s="1" t="str">
        <x:f>_xlfn.IFNA(VLOOKUP(Source!B183,Advertisers!$A$5:$B$34,2,FALSE),"Missing advertiser")</x:f>
        <x:v>Synthetic advertiser 3</x:v>
      </x:c>
      <x:c r="C189" s="1" t="n">
        <x:f>Source!C183</x:f>
        <x:v>33</x:v>
      </x:c>
      <x:c r="D189" s="8" t="n">
        <x:f>Source!D183/100</x:f>
        <x:v>0</x:v>
      </x:c>
      <x:c r="E189" s="8" t="n">
        <x:f>Source!E183/100</x:f>
        <x:v>314.6</x:v>
      </x:c>
      <x:c r="F189" s="8" t="n">
        <x:f>Source!F183/100</x:f>
        <x:v>0</x:v>
      </x:c>
      <x:c r="G189" s="8" t="n">
        <x:f>Source!G183/100</x:f>
        <x:v>314.6</x:v>
      </x:c>
      <x:c r="H189" s="8" t="n">
        <x:f>G189-D189</x:f>
        <x:v>314.6</x:v>
      </x:c>
      <x:c r="I189" s="1" t="str">
        <x:f>IF(H189&gt;0,"Overbilled","Shortfall")</x:f>
        <x:v>Overbilled</x:v>
      </x:c>
      <x:c r="J189" s="7"/>
      <x:c r="K189" s="7" t="str">
        <x:v>Open</x:v>
      </x:c>
      <x:c r="L189" s="7"/>
    </x:row>
    <x:row r="190" ht="21" customHeight="1">
      <x:c r="A190" s="1" t="str">
        <x:f>Source!A184</x:f>
        <x:v>C0013750</x:v>
      </x:c>
      <x:c r="B190" s="1" t="str">
        <x:f>_xlfn.IFNA(VLOOKUP(Source!B184,Advertisers!$A$5:$B$34,2,FALSE),"Missing advertiser")</x:f>
        <x:v>Synthetic advertiser 3</x:v>
      </x:c>
      <x:c r="C190" s="1" t="n">
        <x:f>Source!C184</x:f>
        <x:v>33</x:v>
      </x:c>
      <x:c r="D190" s="8" t="n">
        <x:f>Source!D184/100</x:f>
        <x:v>314.6</x:v>
      </x:c>
      <x:c r="E190" s="8" t="n">
        <x:f>Source!E184/100</x:f>
        <x:v>629.2</x:v>
      </x:c>
      <x:c r="F190" s="8" t="n">
        <x:f>Source!F184/100</x:f>
        <x:v>0</x:v>
      </x:c>
      <x:c r="G190" s="8" t="n">
        <x:f>Source!G184/100</x:f>
        <x:v>629.2</x:v>
      </x:c>
      <x:c r="H190" s="8" t="n">
        <x:f>G190-D190</x:f>
        <x:v>314.6</x:v>
      </x:c>
      <x:c r="I190" s="1" t="str">
        <x:f>IF(H190&gt;0,"Overbilled","Shortfall")</x:f>
        <x:v>Overbilled</x:v>
      </x:c>
      <x:c r="J190" s="7"/>
      <x:c r="K190" s="7" t="str">
        <x:v>Open</x:v>
      </x:c>
      <x:c r="L190" s="7"/>
    </x:row>
    <x:row r="191" ht="21" customHeight="1">
      <x:c r="A191" s="1" t="str">
        <x:f>Source!A185</x:f>
        <x:v>C0004589</x:v>
      </x:c>
      <x:c r="B191" s="1" t="str">
        <x:f>_xlfn.IFNA(VLOOKUP(Source!B185,Advertisers!$A$5:$B$34,2,FALSE),"Missing advertiser")</x:f>
        <x:v>Synthetic advertiser 3</x:v>
      </x:c>
      <x:c r="C191" s="1" t="n">
        <x:f>Source!C185</x:f>
        <x:v>33</x:v>
      </x:c>
      <x:c r="D191" s="8" t="n">
        <x:f>Source!D185/100</x:f>
        <x:v>314.6</x:v>
      </x:c>
      <x:c r="E191" s="8" t="n">
        <x:f>Source!E185/100</x:f>
        <x:v>629.2</x:v>
      </x:c>
      <x:c r="F191" s="8" t="n">
        <x:f>Source!F185/100</x:f>
        <x:v>0</x:v>
      </x:c>
      <x:c r="G191" s="8" t="n">
        <x:f>Source!G185/100</x:f>
        <x:v>629.2</x:v>
      </x:c>
      <x:c r="H191" s="8" t="n">
        <x:f>G191-D191</x:f>
        <x:v>314.6</x:v>
      </x:c>
      <x:c r="I191" s="1" t="str">
        <x:f>IF(H191&gt;0,"Overbilled","Shortfall")</x:f>
        <x:v>Overbilled</x:v>
      </x:c>
      <x:c r="J191" s="7"/>
      <x:c r="K191" s="7" t="str">
        <x:v>Open</x:v>
      </x:c>
      <x:c r="L191" s="7"/>
    </x:row>
    <x:row r="192" ht="21" customHeight="1">
      <x:c r="A192" s="1" t="str">
        <x:f>Source!A186</x:f>
        <x:v>C0011564</x:v>
      </x:c>
      <x:c r="B192" s="1" t="str">
        <x:f>_xlfn.IFNA(VLOOKUP(Source!B186,Advertisers!$A$5:$B$34,2,FALSE),"Missing advertiser")</x:f>
        <x:v>Synthetic advertiser 3</x:v>
      </x:c>
      <x:c r="C192" s="1" t="n">
        <x:f>Source!C186</x:f>
        <x:v>33</x:v>
      </x:c>
      <x:c r="D192" s="8" t="n">
        <x:f>Source!D186/100</x:f>
        <x:v>314.6</x:v>
      </x:c>
      <x:c r="E192" s="8" t="n">
        <x:f>Source!E186/100</x:f>
        <x:v>629.2</x:v>
      </x:c>
      <x:c r="F192" s="8" t="n">
        <x:f>Source!F186/100</x:f>
        <x:v>0</x:v>
      </x:c>
      <x:c r="G192" s="8" t="n">
        <x:f>Source!G186/100</x:f>
        <x:v>629.2</x:v>
      </x:c>
      <x:c r="H192" s="8" t="n">
        <x:f>G192-D192</x:f>
        <x:v>314.6</x:v>
      </x:c>
      <x:c r="I192" s="1" t="str">
        <x:f>IF(H192&gt;0,"Overbilled","Shortfall")</x:f>
        <x:v>Overbilled</x:v>
      </x:c>
      <x:c r="J192" s="7"/>
      <x:c r="K192" s="7" t="str">
        <x:v>Open</x:v>
      </x:c>
      <x:c r="L192" s="7"/>
    </x:row>
    <x:row r="193" ht="21" customHeight="1">
      <x:c r="A193" s="1" t="str">
        <x:f>Source!A187</x:f>
        <x:v>C0012464</x:v>
      </x:c>
      <x:c r="B193" s="1" t="str">
        <x:f>_xlfn.IFNA(VLOOKUP(Source!B187,Advertisers!$A$5:$B$34,2,FALSE),"Missing advertiser")</x:f>
        <x:v>Synthetic advertiser 27</x:v>
      </x:c>
      <x:c r="C193" s="1" t="n">
        <x:f>Source!C187</x:f>
        <x:v>27</x:v>
      </x:c>
      <x:c r="D193" s="8" t="n">
        <x:f>Source!D187/100</x:f>
        <x:v>308.4</x:v>
      </x:c>
      <x:c r="E193" s="8" t="n">
        <x:f>Source!E187/100</x:f>
        <x:v>616.8</x:v>
      </x:c>
      <x:c r="F193" s="8" t="n">
        <x:f>Source!F187/100</x:f>
        <x:v>0</x:v>
      </x:c>
      <x:c r="G193" s="8" t="n">
        <x:f>Source!G187/100</x:f>
        <x:v>616.8</x:v>
      </x:c>
      <x:c r="H193" s="8" t="n">
        <x:f>G193-D193</x:f>
        <x:v>308.4</x:v>
      </x:c>
      <x:c r="I193" s="1" t="str">
        <x:f>IF(H193&gt;0,"Overbilled","Shortfall")</x:f>
        <x:v>Overbilled</x:v>
      </x:c>
      <x:c r="J193" s="7"/>
      <x:c r="K193" s="7" t="str">
        <x:v>Open</x:v>
      </x:c>
      <x:c r="L193" s="7"/>
    </x:row>
    <x:row r="194" ht="21" customHeight="1">
      <x:c r="A194" s="1" t="str">
        <x:f>Source!A188</x:f>
        <x:v>C0015605</x:v>
      </x:c>
      <x:c r="B194" s="1" t="str">
        <x:f>_xlfn.IFNA(VLOOKUP(Source!B188,Advertisers!$A$5:$B$34,2,FALSE),"Missing advertiser")</x:f>
        <x:v>Synthetic advertiser 27</x:v>
      </x:c>
      <x:c r="C194" s="1" t="n">
        <x:f>Source!C188</x:f>
        <x:v>27</x:v>
      </x:c>
      <x:c r="D194" s="8" t="n">
        <x:f>Source!D188/100</x:f>
        <x:v>308.4</x:v>
      </x:c>
      <x:c r="E194" s="8" t="n">
        <x:f>Source!E188/100</x:f>
        <x:v>616.8</x:v>
      </x:c>
      <x:c r="F194" s="8" t="n">
        <x:f>Source!F188/100</x:f>
        <x:v>0</x:v>
      </x:c>
      <x:c r="G194" s="8" t="n">
        <x:f>Source!G188/100</x:f>
        <x:v>616.8</x:v>
      </x:c>
      <x:c r="H194" s="8" t="n">
        <x:f>G194-D194</x:f>
        <x:v>308.4</x:v>
      </x:c>
      <x:c r="I194" s="1" t="str">
        <x:f>IF(H194&gt;0,"Overbilled","Shortfall")</x:f>
        <x:v>Overbilled</x:v>
      </x:c>
      <x:c r="J194" s="7"/>
      <x:c r="K194" s="7" t="str">
        <x:v>Open</x:v>
      </x:c>
      <x:c r="L194" s="7"/>
    </x:row>
    <x:row r="195" ht="21" customHeight="1">
      <x:c r="A195" s="1" t="str">
        <x:f>Source!A189</x:f>
        <x:v>C0000079</x:v>
      </x:c>
      <x:c r="B195" s="1" t="str">
        <x:f>_xlfn.IFNA(VLOOKUP(Source!B189,Advertisers!$A$5:$B$34,2,FALSE),"Missing advertiser")</x:f>
        <x:v>Synthetic advertiser 27</x:v>
      </x:c>
      <x:c r="C195" s="1" t="n">
        <x:f>Source!C189</x:f>
        <x:v>27</x:v>
      </x:c>
      <x:c r="D195" s="8" t="n">
        <x:f>Source!D189/100</x:f>
        <x:v>308.4</x:v>
      </x:c>
      <x:c r="E195" s="8" t="n">
        <x:f>Source!E189/100</x:f>
        <x:v>0</x:v>
      </x:c>
      <x:c r="F195" s="8" t="n">
        <x:f>Source!F189/100</x:f>
        <x:v>0</x:v>
      </x:c>
      <x:c r="G195" s="8" t="n">
        <x:f>Source!G189/100</x:f>
        <x:v>0</x:v>
      </x:c>
      <x:c r="H195" s="8" t="n">
        <x:f>G195-D195</x:f>
        <x:v>-308.4</x:v>
      </x:c>
      <x:c r="I195" s="1" t="str">
        <x:f>IF(H195&gt;0,"Overbilled","Shortfall")</x:f>
        <x:v>Shortfall</x:v>
      </x:c>
      <x:c r="J195" s="7"/>
      <x:c r="K195" s="7" t="str">
        <x:v>Open</x:v>
      </x:c>
      <x:c r="L195" s="7"/>
    </x:row>
    <x:row r="196" ht="21" customHeight="1">
      <x:c r="A196" s="1" t="str">
        <x:f>Source!A190</x:f>
        <x:v>C0005293</x:v>
      </x:c>
      <x:c r="B196" s="1" t="str">
        <x:f>_xlfn.IFNA(VLOOKUP(Source!B190,Advertisers!$A$5:$B$34,2,FALSE),"Missing advertiser")</x:f>
        <x:v>Synthetic advertiser 27</x:v>
      </x:c>
      <x:c r="C196" s="1" t="n">
        <x:f>Source!C190</x:f>
        <x:v>27</x:v>
      </x:c>
      <x:c r="D196" s="8" t="n">
        <x:f>Source!D190/100</x:f>
        <x:v>308.4</x:v>
      </x:c>
      <x:c r="E196" s="8" t="n">
        <x:f>Source!E190/100</x:f>
        <x:v>0</x:v>
      </x:c>
      <x:c r="F196" s="8" t="n">
        <x:f>Source!F190/100</x:f>
        <x:v>0</x:v>
      </x:c>
      <x:c r="G196" s="8" t="n">
        <x:f>Source!G190/100</x:f>
        <x:v>0</x:v>
      </x:c>
      <x:c r="H196" s="8" t="n">
        <x:f>G196-D196</x:f>
        <x:v>-308.4</x:v>
      </x:c>
      <x:c r="I196" s="1" t="str">
        <x:f>IF(H196&gt;0,"Overbilled","Shortfall")</x:f>
        <x:v>Shortfall</x:v>
      </x:c>
      <x:c r="J196" s="7"/>
      <x:c r="K196" s="7" t="str">
        <x:v>Open</x:v>
      </x:c>
      <x:c r="L196" s="7"/>
    </x:row>
    <x:row r="197" ht="21" customHeight="1">
      <x:c r="A197" s="1" t="str">
        <x:f>Source!A191</x:f>
        <x:v>C0017725</x:v>
      </x:c>
      <x:c r="B197" s="1" t="str">
        <x:f>_xlfn.IFNA(VLOOKUP(Source!B191,Advertisers!$A$5:$B$34,2,FALSE),"Missing advertiser")</x:f>
        <x:v>Synthetic advertiser 27</x:v>
      </x:c>
      <x:c r="C197" s="1" t="n">
        <x:f>Source!C191</x:f>
        <x:v>27</x:v>
      </x:c>
      <x:c r="D197" s="8" t="n">
        <x:f>Source!D191/100</x:f>
        <x:v>308.4</x:v>
      </x:c>
      <x:c r="E197" s="8" t="n">
        <x:f>Source!E191/100</x:f>
        <x:v>616.8</x:v>
      </x:c>
      <x:c r="F197" s="8" t="n">
        <x:f>Source!F191/100</x:f>
        <x:v>0</x:v>
      </x:c>
      <x:c r="G197" s="8" t="n">
        <x:f>Source!G191/100</x:f>
        <x:v>616.8</x:v>
      </x:c>
      <x:c r="H197" s="8" t="n">
        <x:f>G197-D197</x:f>
        <x:v>308.4</x:v>
      </x:c>
      <x:c r="I197" s="1" t="str">
        <x:f>IF(H197&gt;0,"Overbilled","Shortfall")</x:f>
        <x:v>Overbilled</x:v>
      </x:c>
      <x:c r="J197" s="7"/>
      <x:c r="K197" s="7" t="str">
        <x:v>Open</x:v>
      </x:c>
      <x:c r="L197" s="7"/>
    </x:row>
    <x:row r="198" ht="21" customHeight="1">
      <x:c r="A198" s="1" t="str">
        <x:f>Source!A192</x:f>
        <x:v>C0016951</x:v>
      </x:c>
      <x:c r="B198" s="1" t="str">
        <x:f>_xlfn.IFNA(VLOOKUP(Source!B192,Advertisers!$A$5:$B$34,2,FALSE),"Missing advertiser")</x:f>
        <x:v>Synthetic advertiser 27</x:v>
      </x:c>
      <x:c r="C198" s="1" t="n">
        <x:f>Source!C192</x:f>
        <x:v>27</x:v>
      </x:c>
      <x:c r="D198" s="8" t="n">
        <x:f>Source!D192/100</x:f>
        <x:v>308.4</x:v>
      </x:c>
      <x:c r="E198" s="8" t="n">
        <x:f>Source!E192/100</x:f>
        <x:v>616.8</x:v>
      </x:c>
      <x:c r="F198" s="8" t="n">
        <x:f>Source!F192/100</x:f>
        <x:v>0</x:v>
      </x:c>
      <x:c r="G198" s="8" t="n">
        <x:f>Source!G192/100</x:f>
        <x:v>616.8</x:v>
      </x:c>
      <x:c r="H198" s="8" t="n">
        <x:f>G198-D198</x:f>
        <x:v>308.4</x:v>
      </x:c>
      <x:c r="I198" s="1" t="str">
        <x:f>IF(H198&gt;0,"Overbilled","Shortfall")</x:f>
        <x:v>Overbilled</x:v>
      </x:c>
      <x:c r="J198" s="7"/>
      <x:c r="K198" s="7" t="str">
        <x:v>Open</x:v>
      </x:c>
      <x:c r="L198" s="7"/>
    </x:row>
    <x:row r="199" ht="21" customHeight="1">
      <x:c r="A199" s="1" t="str">
        <x:f>Source!A193</x:f>
        <x:v>C0016909</x:v>
      </x:c>
      <x:c r="B199" s="1" t="str">
        <x:f>_xlfn.IFNA(VLOOKUP(Source!B193,Advertisers!$A$5:$B$34,2,FALSE),"Missing advertiser")</x:f>
        <x:v>Synthetic advertiser 27</x:v>
      </x:c>
      <x:c r="C199" s="1" t="n">
        <x:f>Source!C193</x:f>
        <x:v>27</x:v>
      </x:c>
      <x:c r="D199" s="8" t="n">
        <x:f>Source!D193/100</x:f>
        <x:v>308.4</x:v>
      </x:c>
      <x:c r="E199" s="8" t="n">
        <x:f>Source!E193/100</x:f>
        <x:v>0</x:v>
      </x:c>
      <x:c r="F199" s="8" t="n">
        <x:f>Source!F193/100</x:f>
        <x:v>0</x:v>
      </x:c>
      <x:c r="G199" s="8" t="n">
        <x:f>Source!G193/100</x:f>
        <x:v>0</x:v>
      </x:c>
      <x:c r="H199" s="8" t="n">
        <x:f>G199-D199</x:f>
        <x:v>-308.4</x:v>
      </x:c>
      <x:c r="I199" s="1" t="str">
        <x:f>IF(H199&gt;0,"Overbilled","Shortfall")</x:f>
        <x:v>Shortfall</x:v>
      </x:c>
      <x:c r="J199" s="7"/>
      <x:c r="K199" s="7" t="str">
        <x:v>Open</x:v>
      </x:c>
      <x:c r="L199" s="7"/>
    </x:row>
    <x:row r="200" ht="21" customHeight="1">
      <x:c r="A200" s="1" t="str">
        <x:f>Source!A194</x:f>
        <x:v>C0016349</x:v>
      </x:c>
      <x:c r="B200" s="1" t="str">
        <x:f>_xlfn.IFNA(VLOOKUP(Source!B194,Advertisers!$A$5:$B$34,2,FALSE),"Missing advertiser")</x:f>
        <x:v>Synthetic advertiser 27</x:v>
      </x:c>
      <x:c r="C200" s="1" t="n">
        <x:f>Source!C194</x:f>
        <x:v>27</x:v>
      </x:c>
      <x:c r="D200" s="8" t="n">
        <x:f>Source!D194/100</x:f>
        <x:v>0</x:v>
      </x:c>
      <x:c r="E200" s="8" t="n">
        <x:f>Source!E194/100</x:f>
        <x:v>308.4</x:v>
      </x:c>
      <x:c r="F200" s="8" t="n">
        <x:f>Source!F194/100</x:f>
        <x:v>0</x:v>
      </x:c>
      <x:c r="G200" s="8" t="n">
        <x:f>Source!G194/100</x:f>
        <x:v>308.4</x:v>
      </x:c>
      <x:c r="H200" s="8" t="n">
        <x:f>G200-D200</x:f>
        <x:v>308.4</x:v>
      </x:c>
      <x:c r="I200" s="1" t="str">
        <x:f>IF(H200&gt;0,"Overbilled","Shortfall")</x:f>
        <x:v>Overbilled</x:v>
      </x:c>
      <x:c r="J200" s="7"/>
      <x:c r="K200" s="7" t="str">
        <x:v>Open</x:v>
      </x:c>
      <x:c r="L200" s="7"/>
    </x:row>
    <x:row r="201" ht="21" customHeight="1">
      <x:c r="A201" s="1" t="str">
        <x:f>Source!A195</x:f>
        <x:v>C0006770</x:v>
      </x:c>
      <x:c r="B201" s="1" t="str">
        <x:f>_xlfn.IFNA(VLOOKUP(Source!B195,Advertisers!$A$5:$B$34,2,FALSE),"Missing advertiser")</x:f>
        <x:v>Synthetic advertiser 27</x:v>
      </x:c>
      <x:c r="C201" s="1" t="n">
        <x:f>Source!C195</x:f>
        <x:v>27</x:v>
      </x:c>
      <x:c r="D201" s="8" t="n">
        <x:f>Source!D195/100</x:f>
        <x:v>308.4</x:v>
      </x:c>
      <x:c r="E201" s="8" t="n">
        <x:f>Source!E195/100</x:f>
        <x:v>0</x:v>
      </x:c>
      <x:c r="F201" s="8" t="n">
        <x:f>Source!F195/100</x:f>
        <x:v>0</x:v>
      </x:c>
      <x:c r="G201" s="8" t="n">
        <x:f>Source!G195/100</x:f>
        <x:v>0</x:v>
      </x:c>
      <x:c r="H201" s="8" t="n">
        <x:f>G201-D201</x:f>
        <x:v>-308.4</x:v>
      </x:c>
      <x:c r="I201" s="1" t="str">
        <x:f>IF(H201&gt;0,"Overbilled","Shortfall")</x:f>
        <x:v>Shortfall</x:v>
      </x:c>
      <x:c r="J201" s="7"/>
      <x:c r="K201" s="7" t="str">
        <x:v>Open</x:v>
      </x:c>
      <x:c r="L201" s="7"/>
    </x:row>
    <x:row r="202" ht="21" customHeight="1">
      <x:c r="A202" s="1" t="str">
        <x:f>Source!A196</x:f>
        <x:v>C0008322</x:v>
      </x:c>
      <x:c r="B202" s="1" t="str">
        <x:f>_xlfn.IFNA(VLOOKUP(Source!B196,Advertisers!$A$5:$B$34,2,FALSE),"Missing advertiser")</x:f>
        <x:v>Synthetic advertiser 27</x:v>
      </x:c>
      <x:c r="C202" s="1" t="n">
        <x:f>Source!C196</x:f>
        <x:v>27</x:v>
      </x:c>
      <x:c r="D202" s="8" t="n">
        <x:f>Source!D196/100</x:f>
        <x:v>308.4</x:v>
      </x:c>
      <x:c r="E202" s="8" t="n">
        <x:f>Source!E196/100</x:f>
        <x:v>616.8</x:v>
      </x:c>
      <x:c r="F202" s="8" t="n">
        <x:f>Source!F196/100</x:f>
        <x:v>0</x:v>
      </x:c>
      <x:c r="G202" s="8" t="n">
        <x:f>Source!G196/100</x:f>
        <x:v>616.8</x:v>
      </x:c>
      <x:c r="H202" s="8" t="n">
        <x:f>G202-D202</x:f>
        <x:v>308.4</x:v>
      </x:c>
      <x:c r="I202" s="1" t="str">
        <x:f>IF(H202&gt;0,"Overbilled","Shortfall")</x:f>
        <x:v>Overbilled</x:v>
      </x:c>
      <x:c r="J202" s="7"/>
      <x:c r="K202" s="7" t="str">
        <x:v>Open</x:v>
      </x:c>
      <x:c r="L202" s="7"/>
    </x:row>
    <x:row r="203" ht="21" customHeight="1">
      <x:c r="A203" s="1" t="str">
        <x:f>Source!A197</x:f>
        <x:v>C0006162</x:v>
      </x:c>
      <x:c r="B203" s="1" t="str">
        <x:f>_xlfn.IFNA(VLOOKUP(Source!B197,Advertisers!$A$5:$B$34,2,FALSE),"Missing advertiser")</x:f>
        <x:v>Synthetic advertiser 27</x:v>
      </x:c>
      <x:c r="C203" s="1" t="n">
        <x:f>Source!C197</x:f>
        <x:v>27</x:v>
      </x:c>
      <x:c r="D203" s="8" t="n">
        <x:f>Source!D197/100</x:f>
        <x:v>308.4</x:v>
      </x:c>
      <x:c r="E203" s="8" t="n">
        <x:f>Source!E197/100</x:f>
        <x:v>0</x:v>
      </x:c>
      <x:c r="F203" s="8" t="n">
        <x:f>Source!F197/100</x:f>
        <x:v>0</x:v>
      </x:c>
      <x:c r="G203" s="8" t="n">
        <x:f>Source!G197/100</x:f>
        <x:v>0</x:v>
      </x:c>
      <x:c r="H203" s="8" t="n">
        <x:f>G203-D203</x:f>
        <x:v>-308.4</x:v>
      </x:c>
      <x:c r="I203" s="1" t="str">
        <x:f>IF(H203&gt;0,"Overbilled","Shortfall")</x:f>
        <x:v>Shortfall</x:v>
      </x:c>
      <x:c r="J203" s="7"/>
      <x:c r="K203" s="7" t="str">
        <x:v>Open</x:v>
      </x:c>
      <x:c r="L203" s="7"/>
    </x:row>
    <x:row r="204" ht="21" customHeight="1">
      <x:c r="A204" s="1" t="str">
        <x:f>Source!A198</x:f>
        <x:v>C0012569</x:v>
      </x:c>
      <x:c r="B204" s="1" t="str">
        <x:f>_xlfn.IFNA(VLOOKUP(Source!B198,Advertisers!$A$5:$B$34,2,FALSE),"Missing advertiser")</x:f>
        <x:v>Synthetic advertiser 27</x:v>
      </x:c>
      <x:c r="C204" s="1" t="n">
        <x:f>Source!C198</x:f>
        <x:v>27</x:v>
      </x:c>
      <x:c r="D204" s="8" t="n">
        <x:f>Source!D198/100</x:f>
        <x:v>308.4</x:v>
      </x:c>
      <x:c r="E204" s="8" t="n">
        <x:f>Source!E198/100</x:f>
        <x:v>616.8</x:v>
      </x:c>
      <x:c r="F204" s="8" t="n">
        <x:f>Source!F198/100</x:f>
        <x:v>0</x:v>
      </x:c>
      <x:c r="G204" s="8" t="n">
        <x:f>Source!G198/100</x:f>
        <x:v>616.8</x:v>
      </x:c>
      <x:c r="H204" s="8" t="n">
        <x:f>G204-D204</x:f>
        <x:v>308.4</x:v>
      </x:c>
      <x:c r="I204" s="1" t="str">
        <x:f>IF(H204&gt;0,"Overbilled","Shortfall")</x:f>
        <x:v>Overbilled</x:v>
      </x:c>
      <x:c r="J204" s="7"/>
      <x:c r="K204" s="7" t="str">
        <x:v>Open</x:v>
      </x:c>
      <x:c r="L204" s="7"/>
    </x:row>
    <x:row r="205" ht="21" customHeight="1">
      <x:c r="A205" s="1" t="str">
        <x:f>Source!A199</x:f>
        <x:v>C0010459</x:v>
      </x:c>
      <x:c r="B205" s="1" t="str">
        <x:f>_xlfn.IFNA(VLOOKUP(Source!B199,Advertisers!$A$5:$B$34,2,FALSE),"Missing advertiser")</x:f>
        <x:v>Synthetic advertiser 11</x:v>
      </x:c>
      <x:c r="C205" s="1" t="n">
        <x:f>Source!C199</x:f>
        <x:v>71</x:v>
      </x:c>
      <x:c r="D205" s="8" t="n">
        <x:f>Source!D199/100</x:f>
        <x:v>0</x:v>
      </x:c>
      <x:c r="E205" s="8" t="n">
        <x:f>Source!E199/100</x:f>
        <x:v>306.04</x:v>
      </x:c>
      <x:c r="F205" s="8" t="n">
        <x:f>Source!F199/100</x:f>
        <x:v>0</x:v>
      </x:c>
      <x:c r="G205" s="8" t="n">
        <x:f>Source!G199/100</x:f>
        <x:v>306.04</x:v>
      </x:c>
      <x:c r="H205" s="8" t="n">
        <x:f>G205-D205</x:f>
        <x:v>306.04</x:v>
      </x:c>
      <x:c r="I205" s="1" t="str">
        <x:f>IF(H205&gt;0,"Overbilled","Shortfall")</x:f>
        <x:v>Overbilled</x:v>
      </x:c>
      <x:c r="J205" s="7"/>
      <x:c r="K205" s="7" t="str">
        <x:v>Open</x:v>
      </x:c>
      <x:c r="L205" s="7"/>
    </x:row>
    <x:row r="206" ht="21" customHeight="1">
      <x:c r="A206" s="1" t="str">
        <x:f>Source!A200</x:f>
        <x:v>C0010675</x:v>
      </x:c>
      <x:c r="B206" s="1" t="str">
        <x:f>_xlfn.IFNA(VLOOKUP(Source!B200,Advertisers!$A$5:$B$34,2,FALSE),"Missing advertiser")</x:f>
        <x:v>Synthetic advertiser 11</x:v>
      </x:c>
      <x:c r="C206" s="1" t="n">
        <x:f>Source!C200</x:f>
        <x:v>71</x:v>
      </x:c>
      <x:c r="D206" s="8" t="n">
        <x:f>Source!D200/100</x:f>
        <x:v>306.04</x:v>
      </x:c>
      <x:c r="E206" s="8" t="n">
        <x:f>Source!E200/100</x:f>
        <x:v>612.08</x:v>
      </x:c>
      <x:c r="F206" s="8" t="n">
        <x:f>Source!F200/100</x:f>
        <x:v>0</x:v>
      </x:c>
      <x:c r="G206" s="8" t="n">
        <x:f>Source!G200/100</x:f>
        <x:v>612.08</x:v>
      </x:c>
      <x:c r="H206" s="8" t="n">
        <x:f>G206-D206</x:f>
        <x:v>306.04</x:v>
      </x:c>
      <x:c r="I206" s="1" t="str">
        <x:f>IF(H206&gt;0,"Overbilled","Shortfall")</x:f>
        <x:v>Overbilled</x:v>
      </x:c>
      <x:c r="J206" s="7"/>
      <x:c r="K206" s="7" t="str">
        <x:v>Open</x:v>
      </x:c>
      <x:c r="L206" s="7"/>
    </x:row>
    <x:row r="207" ht="21" customHeight="1">
      <x:c r="A207" s="1" t="str">
        <x:f>Source!A201</x:f>
        <x:v>C0007070</x:v>
      </x:c>
      <x:c r="B207" s="1" t="str">
        <x:f>_xlfn.IFNA(VLOOKUP(Source!B201,Advertisers!$A$5:$B$34,2,FALSE),"Missing advertiser")</x:f>
        <x:v>Synthetic advertiser 11</x:v>
      </x:c>
      <x:c r="C207" s="1" t="n">
        <x:f>Source!C201</x:f>
        <x:v>71</x:v>
      </x:c>
      <x:c r="D207" s="8" t="n">
        <x:f>Source!D201/100</x:f>
        <x:v>306.04</x:v>
      </x:c>
      <x:c r="E207" s="8" t="n">
        <x:f>Source!E201/100</x:f>
        <x:v>0</x:v>
      </x:c>
      <x:c r="F207" s="8" t="n">
        <x:f>Source!F201/100</x:f>
        <x:v>0</x:v>
      </x:c>
      <x:c r="G207" s="8" t="n">
        <x:f>Source!G201/100</x:f>
        <x:v>0</x:v>
      </x:c>
      <x:c r="H207" s="8" t="n">
        <x:f>G207-D207</x:f>
        <x:v>-306.04</x:v>
      </x:c>
      <x:c r="I207" s="1" t="str">
        <x:f>IF(H207&gt;0,"Overbilled","Shortfall")</x:f>
        <x:v>Shortfall</x:v>
      </x:c>
      <x:c r="J207" s="7"/>
      <x:c r="K207" s="7" t="str">
        <x:v>Open</x:v>
      </x:c>
      <x:c r="L207" s="7"/>
    </x:row>
    <x:row r="208" ht="21" customHeight="1">
      <x:c r="A208" s="1" t="str">
        <x:f>Source!A202</x:f>
        <x:v>C0009435</x:v>
      </x:c>
      <x:c r="B208" s="1" t="str">
        <x:f>_xlfn.IFNA(VLOOKUP(Source!B202,Advertisers!$A$5:$B$34,2,FALSE),"Missing advertiser")</x:f>
        <x:v>Synthetic advertiser 8</x:v>
      </x:c>
      <x:c r="C208" s="1" t="n">
        <x:f>Source!C202</x:f>
        <x:v>68</x:v>
      </x:c>
      <x:c r="D208" s="8" t="n">
        <x:f>Source!D202/100</x:f>
        <x:v>293.02</x:v>
      </x:c>
      <x:c r="E208" s="8" t="n">
        <x:f>Source!E202/100</x:f>
        <x:v>586.04</x:v>
      </x:c>
      <x:c r="F208" s="8" t="n">
        <x:f>Source!F202/100</x:f>
        <x:v>0</x:v>
      </x:c>
      <x:c r="G208" s="8" t="n">
        <x:f>Source!G202/100</x:f>
        <x:v>586.04</x:v>
      </x:c>
      <x:c r="H208" s="8" t="n">
        <x:f>G208-D208</x:f>
        <x:v>293.02</x:v>
      </x:c>
      <x:c r="I208" s="1" t="str">
        <x:f>IF(H208&gt;0,"Overbilled","Shortfall")</x:f>
        <x:v>Overbilled</x:v>
      </x:c>
      <x:c r="J208" s="7"/>
      <x:c r="K208" s="7" t="str">
        <x:v>Open</x:v>
      </x:c>
      <x:c r="L208" s="7"/>
    </x:row>
    <x:row r="209" ht="21" customHeight="1">
      <x:c r="A209" s="1" t="str">
        <x:f>Source!A203</x:f>
        <x:v>C0006835</x:v>
      </x:c>
      <x:c r="B209" s="1" t="str">
        <x:f>_xlfn.IFNA(VLOOKUP(Source!B203,Advertisers!$A$5:$B$34,2,FALSE),"Missing advertiser")</x:f>
        <x:v>Synthetic advertiser 8</x:v>
      </x:c>
      <x:c r="C209" s="1" t="n">
        <x:f>Source!C203</x:f>
        <x:v>68</x:v>
      </x:c>
      <x:c r="D209" s="8" t="n">
        <x:f>Source!D203/100</x:f>
        <x:v>293.02</x:v>
      </x:c>
      <x:c r="E209" s="8" t="n">
        <x:f>Source!E203/100</x:f>
        <x:v>586.04</x:v>
      </x:c>
      <x:c r="F209" s="8" t="n">
        <x:f>Source!F203/100</x:f>
        <x:v>0</x:v>
      </x:c>
      <x:c r="G209" s="8" t="n">
        <x:f>Source!G203/100</x:f>
        <x:v>586.04</x:v>
      </x:c>
      <x:c r="H209" s="8" t="n">
        <x:f>G209-D209</x:f>
        <x:v>293.02</x:v>
      </x:c>
      <x:c r="I209" s="1" t="str">
        <x:f>IF(H209&gt;0,"Overbilled","Shortfall")</x:f>
        <x:v>Overbilled</x:v>
      </x:c>
      <x:c r="J209" s="7"/>
      <x:c r="K209" s="7" t="str">
        <x:v>Open</x:v>
      </x:c>
      <x:c r="L209" s="7"/>
    </x:row>
    <x:row r="210" ht="21" customHeight="1">
      <x:c r="A210" s="1" t="str">
        <x:f>Source!A204</x:f>
        <x:v>C0008764</x:v>
      </x:c>
      <x:c r="B210" s="1" t="str">
        <x:f>_xlfn.IFNA(VLOOKUP(Source!B204,Advertisers!$A$5:$B$34,2,FALSE),"Missing advertiser")</x:f>
        <x:v>Synthetic advertiser 8</x:v>
      </x:c>
      <x:c r="C210" s="1" t="n">
        <x:f>Source!C204</x:f>
        <x:v>68</x:v>
      </x:c>
      <x:c r="D210" s="8" t="n">
        <x:f>Source!D204/100</x:f>
        <x:v>293.02</x:v>
      </x:c>
      <x:c r="E210" s="8" t="n">
        <x:f>Source!E204/100</x:f>
        <x:v>0</x:v>
      </x:c>
      <x:c r="F210" s="8" t="n">
        <x:f>Source!F204/100</x:f>
        <x:v>0</x:v>
      </x:c>
      <x:c r="G210" s="8" t="n">
        <x:f>Source!G204/100</x:f>
        <x:v>0</x:v>
      </x:c>
      <x:c r="H210" s="8" t="n">
        <x:f>G210-D210</x:f>
        <x:v>-293.02</x:v>
      </x:c>
      <x:c r="I210" s="1" t="str">
        <x:f>IF(H210&gt;0,"Overbilled","Shortfall")</x:f>
        <x:v>Shortfall</x:v>
      </x:c>
      <x:c r="J210" s="7"/>
      <x:c r="K210" s="7" t="str">
        <x:v>Open</x:v>
      </x:c>
      <x:c r="L210" s="7"/>
    </x:row>
    <x:row r="211" ht="21" customHeight="1">
      <x:c r="A211" s="1" t="str">
        <x:f>Source!A205</x:f>
        <x:v>C0003739</x:v>
      </x:c>
      <x:c r="B211" s="1" t="str">
        <x:f>_xlfn.IFNA(VLOOKUP(Source!B205,Advertisers!$A$5:$B$34,2,FALSE),"Missing advertiser")</x:f>
        <x:v>Synthetic advertiser 8</x:v>
      </x:c>
      <x:c r="C211" s="1" t="n">
        <x:f>Source!C205</x:f>
        <x:v>68</x:v>
      </x:c>
      <x:c r="D211" s="8" t="n">
        <x:f>Source!D205/100</x:f>
        <x:v>293.02</x:v>
      </x:c>
      <x:c r="E211" s="8" t="n">
        <x:f>Source!E205/100</x:f>
        <x:v>0</x:v>
      </x:c>
      <x:c r="F211" s="8" t="n">
        <x:f>Source!F205/100</x:f>
        <x:v>0</x:v>
      </x:c>
      <x:c r="G211" s="8" t="n">
        <x:f>Source!G205/100</x:f>
        <x:v>0</x:v>
      </x:c>
      <x:c r="H211" s="8" t="n">
        <x:f>G211-D211</x:f>
        <x:v>-293.02</x:v>
      </x:c>
      <x:c r="I211" s="1" t="str">
        <x:f>IF(H211&gt;0,"Overbilled","Shortfall")</x:f>
        <x:v>Shortfall</x:v>
      </x:c>
      <x:c r="J211" s="7"/>
      <x:c r="K211" s="7" t="str">
        <x:v>Open</x:v>
      </x:c>
      <x:c r="L211" s="7"/>
    </x:row>
    <x:row r="212" ht="21" customHeight="1">
      <x:c r="A212" s="1" t="str">
        <x:f>Source!A206</x:f>
        <x:v>C0015688</x:v>
      </x:c>
      <x:c r="B212" s="1" t="str">
        <x:f>_xlfn.IFNA(VLOOKUP(Source!B206,Advertisers!$A$5:$B$34,2,FALSE),"Missing advertiser")</x:f>
        <x:v>Synthetic advertiser 14</x:v>
      </x:c>
      <x:c r="C212" s="1" t="n">
        <x:f>Source!C206</x:f>
        <x:v>104</x:v>
      </x:c>
      <x:c r="D212" s="8" t="n">
        <x:f>Source!D206/100</x:f>
        <x:v>287.06</x:v>
      </x:c>
      <x:c r="E212" s="8" t="n">
        <x:f>Source!E206/100</x:f>
        <x:v>0</x:v>
      </x:c>
      <x:c r="F212" s="8" t="n">
        <x:f>Source!F206/100</x:f>
        <x:v>0</x:v>
      </x:c>
      <x:c r="G212" s="8" t="n">
        <x:f>Source!G206/100</x:f>
        <x:v>0</x:v>
      </x:c>
      <x:c r="H212" s="8" t="n">
        <x:f>G212-D212</x:f>
        <x:v>-287.06</x:v>
      </x:c>
      <x:c r="I212" s="1" t="str">
        <x:f>IF(H212&gt;0,"Overbilled","Shortfall")</x:f>
        <x:v>Shortfall</x:v>
      </x:c>
      <x:c r="J212" s="7"/>
      <x:c r="K212" s="7" t="str">
        <x:v>Open</x:v>
      </x:c>
      <x:c r="L212" s="7"/>
    </x:row>
    <x:row r="213" ht="21" customHeight="1">
      <x:c r="A213" s="1" t="str">
        <x:f>Source!A207</x:f>
        <x:v>C0015053</x:v>
      </x:c>
      <x:c r="B213" s="1" t="str">
        <x:f>_xlfn.IFNA(VLOOKUP(Source!B207,Advertisers!$A$5:$B$34,2,FALSE),"Missing advertiser")</x:f>
        <x:v>Synthetic advertiser 14</x:v>
      </x:c>
      <x:c r="C213" s="1" t="n">
        <x:f>Source!C207</x:f>
        <x:v>104</x:v>
      </x:c>
      <x:c r="D213" s="8" t="n">
        <x:f>Source!D207/100</x:f>
        <x:v>287.06</x:v>
      </x:c>
      <x:c r="E213" s="8" t="n">
        <x:f>Source!E207/100</x:f>
        <x:v>574.12</x:v>
      </x:c>
      <x:c r="F213" s="8" t="n">
        <x:f>Source!F207/100</x:f>
        <x:v>0</x:v>
      </x:c>
      <x:c r="G213" s="8" t="n">
        <x:f>Source!G207/100</x:f>
        <x:v>574.12</x:v>
      </x:c>
      <x:c r="H213" s="8" t="n">
        <x:f>G213-D213</x:f>
        <x:v>287.06</x:v>
      </x:c>
      <x:c r="I213" s="1" t="str">
        <x:f>IF(H213&gt;0,"Overbilled","Shortfall")</x:f>
        <x:v>Overbilled</x:v>
      </x:c>
      <x:c r="J213" s="7"/>
      <x:c r="K213" s="7" t="str">
        <x:v>Open</x:v>
      </x:c>
      <x:c r="L213" s="7"/>
    </x:row>
    <x:row r="214" ht="21" customHeight="1">
      <x:c r="A214" s="1" t="str">
        <x:f>Source!A208</x:f>
        <x:v>C0009888</x:v>
      </x:c>
      <x:c r="B214" s="1" t="str">
        <x:f>_xlfn.IFNA(VLOOKUP(Source!B208,Advertisers!$A$5:$B$34,2,FALSE),"Missing advertiser")</x:f>
        <x:v>Synthetic advertiser 14</x:v>
      </x:c>
      <x:c r="C214" s="1" t="n">
        <x:f>Source!C208</x:f>
        <x:v>104</x:v>
      </x:c>
      <x:c r="D214" s="8" t="n">
        <x:f>Source!D208/100</x:f>
        <x:v>287.06</x:v>
      </x:c>
      <x:c r="E214" s="8" t="n">
        <x:f>Source!E208/100</x:f>
        <x:v>574.12</x:v>
      </x:c>
      <x:c r="F214" s="8" t="n">
        <x:f>Source!F208/100</x:f>
        <x:v>0</x:v>
      </x:c>
      <x:c r="G214" s="8" t="n">
        <x:f>Source!G208/100</x:f>
        <x:v>574.12</x:v>
      </x:c>
      <x:c r="H214" s="8" t="n">
        <x:f>G214-D214</x:f>
        <x:v>287.06</x:v>
      </x:c>
      <x:c r="I214" s="1" t="str">
        <x:f>IF(H214&gt;0,"Overbilled","Shortfall")</x:f>
        <x:v>Overbilled</x:v>
      </x:c>
      <x:c r="J214" s="7"/>
      <x:c r="K214" s="7" t="str">
        <x:v>Open</x:v>
      </x:c>
      <x:c r="L214" s="7"/>
    </x:row>
    <x:row r="215" ht="21" customHeight="1">
      <x:c r="A215" s="1" t="str">
        <x:f>Source!A209</x:f>
        <x:v>C0015521</x:v>
      </x:c>
      <x:c r="B215" s="1" t="str">
        <x:f>_xlfn.IFNA(VLOOKUP(Source!B209,Advertisers!$A$5:$B$34,2,FALSE),"Missing advertiser")</x:f>
        <x:v>Synthetic advertiser 14</x:v>
      </x:c>
      <x:c r="C215" s="1" t="n">
        <x:f>Source!C209</x:f>
        <x:v>104</x:v>
      </x:c>
      <x:c r="D215" s="8" t="n">
        <x:f>Source!D209/100</x:f>
        <x:v>287.06</x:v>
      </x:c>
      <x:c r="E215" s="8" t="n">
        <x:f>Source!E209/100</x:f>
        <x:v>0</x:v>
      </x:c>
      <x:c r="F215" s="8" t="n">
        <x:f>Source!F209/100</x:f>
        <x:v>0</x:v>
      </x:c>
      <x:c r="G215" s="8" t="n">
        <x:f>Source!G209/100</x:f>
        <x:v>0</x:v>
      </x:c>
      <x:c r="H215" s="8" t="n">
        <x:f>G215-D215</x:f>
        <x:v>-287.06</x:v>
      </x:c>
      <x:c r="I215" s="1" t="str">
        <x:f>IF(H215&gt;0,"Overbilled","Shortfall")</x:f>
        <x:v>Shortfall</x:v>
      </x:c>
      <x:c r="J215" s="7"/>
      <x:c r="K215" s="7" t="str">
        <x:v>Open</x:v>
      </x:c>
      <x:c r="L215" s="7"/>
    </x:row>
    <x:row r="216" ht="21" customHeight="1">
      <x:c r="A216" s="1" t="str">
        <x:f>Source!A210</x:f>
        <x:v>C0000312</x:v>
      </x:c>
      <x:c r="B216" s="1" t="str">
        <x:f>_xlfn.IFNA(VLOOKUP(Source!B210,Advertisers!$A$5:$B$34,2,FALSE),"Missing advertiser")</x:f>
        <x:v>Synthetic advertiser 14</x:v>
      </x:c>
      <x:c r="C216" s="1" t="n">
        <x:f>Source!C210</x:f>
        <x:v>104</x:v>
      </x:c>
      <x:c r="D216" s="8" t="n">
        <x:f>Source!D210/100</x:f>
        <x:v>287.06</x:v>
      </x:c>
      <x:c r="E216" s="8" t="n">
        <x:f>Source!E210/100</x:f>
        <x:v>0</x:v>
      </x:c>
      <x:c r="F216" s="8" t="n">
        <x:f>Source!F210/100</x:f>
        <x:v>0</x:v>
      </x:c>
      <x:c r="G216" s="8" t="n">
        <x:f>Source!G210/100</x:f>
        <x:v>0</x:v>
      </x:c>
      <x:c r="H216" s="8" t="n">
        <x:f>G216-D216</x:f>
        <x:v>-287.06</x:v>
      </x:c>
      <x:c r="I216" s="1" t="str">
        <x:f>IF(H216&gt;0,"Overbilled","Shortfall")</x:f>
        <x:v>Shortfall</x:v>
      </x:c>
      <x:c r="J216" s="7"/>
      <x:c r="K216" s="7" t="str">
        <x:v>Open</x:v>
      </x:c>
      <x:c r="L216" s="7"/>
    </x:row>
    <x:row r="217" ht="21" customHeight="1">
      <x:c r="A217" s="1" t="str">
        <x:f>Source!A211</x:f>
        <x:v>C0005327</x:v>
      </x:c>
      <x:c r="B217" s="1" t="str">
        <x:f>_xlfn.IFNA(VLOOKUP(Source!B211,Advertisers!$A$5:$B$34,2,FALSE),"Missing advertiser")</x:f>
        <x:v>Synthetic advertiser 14</x:v>
      </x:c>
      <x:c r="C217" s="1" t="n">
        <x:f>Source!C211</x:f>
        <x:v>74</x:v>
      </x:c>
      <x:c r="D217" s="8" t="n">
        <x:f>Source!D211/100</x:f>
        <x:v>285.98</x:v>
      </x:c>
      <x:c r="E217" s="8" t="n">
        <x:f>Source!E211/100</x:f>
        <x:v>571.96</x:v>
      </x:c>
      <x:c r="F217" s="8" t="n">
        <x:f>Source!F211/100</x:f>
        <x:v>0</x:v>
      </x:c>
      <x:c r="G217" s="8" t="n">
        <x:f>Source!G211/100</x:f>
        <x:v>571.96</x:v>
      </x:c>
      <x:c r="H217" s="8" t="n">
        <x:f>G217-D217</x:f>
        <x:v>285.98</x:v>
      </x:c>
      <x:c r="I217" s="1" t="str">
        <x:f>IF(H217&gt;0,"Overbilled","Shortfall")</x:f>
        <x:v>Overbilled</x:v>
      </x:c>
      <x:c r="J217" s="7"/>
      <x:c r="K217" s="7" t="str">
        <x:v>Open</x:v>
      </x:c>
      <x:c r="L217" s="7"/>
    </x:row>
    <x:row r="218" ht="21" customHeight="1">
      <x:c r="A218" s="1" t="str">
        <x:f>Source!A212</x:f>
        <x:v>C0008755</x:v>
      </x:c>
      <x:c r="B218" s="1" t="str">
        <x:f>_xlfn.IFNA(VLOOKUP(Source!B212,Advertisers!$A$5:$B$34,2,FALSE),"Missing advertiser")</x:f>
        <x:v>Synthetic advertiser 14</x:v>
      </x:c>
      <x:c r="C218" s="1" t="n">
        <x:f>Source!C212</x:f>
        <x:v>74</x:v>
      </x:c>
      <x:c r="D218" s="8" t="n">
        <x:f>Source!D212/100</x:f>
        <x:v>285.98</x:v>
      </x:c>
      <x:c r="E218" s="8" t="n">
        <x:f>Source!E212/100</x:f>
        <x:v>571.96</x:v>
      </x:c>
      <x:c r="F218" s="8" t="n">
        <x:f>Source!F212/100</x:f>
        <x:v>0</x:v>
      </x:c>
      <x:c r="G218" s="8" t="n">
        <x:f>Source!G212/100</x:f>
        <x:v>571.96</x:v>
      </x:c>
      <x:c r="H218" s="8" t="n">
        <x:f>G218-D218</x:f>
        <x:v>285.98</x:v>
      </x:c>
      <x:c r="I218" s="1" t="str">
        <x:f>IF(H218&gt;0,"Overbilled","Shortfall")</x:f>
        <x:v>Overbilled</x:v>
      </x:c>
      <x:c r="J218" s="7"/>
      <x:c r="K218" s="7" t="str">
        <x:v>Open</x:v>
      </x:c>
      <x:c r="L218" s="7"/>
    </x:row>
    <x:row r="219" ht="21" customHeight="1">
      <x:c r="A219" s="1" t="str">
        <x:f>Source!A213</x:f>
        <x:v>C0014853</x:v>
      </x:c>
      <x:c r="B219" s="1" t="str">
        <x:f>_xlfn.IFNA(VLOOKUP(Source!B213,Advertisers!$A$5:$B$34,2,FALSE),"Missing advertiser")</x:f>
        <x:v>Synthetic advertiser 14</x:v>
      </x:c>
      <x:c r="C219" s="1" t="n">
        <x:f>Source!C213</x:f>
        <x:v>74</x:v>
      </x:c>
      <x:c r="D219" s="8" t="n">
        <x:f>Source!D213/100</x:f>
        <x:v>285.98</x:v>
      </x:c>
      <x:c r="E219" s="8" t="n">
        <x:f>Source!E213/100</x:f>
        <x:v>571.96</x:v>
      </x:c>
      <x:c r="F219" s="8" t="n">
        <x:f>Source!F213/100</x:f>
        <x:v>0</x:v>
      </x:c>
      <x:c r="G219" s="8" t="n">
        <x:f>Source!G213/100</x:f>
        <x:v>571.96</x:v>
      </x:c>
      <x:c r="H219" s="8" t="n">
        <x:f>G219-D219</x:f>
        <x:v>285.98</x:v>
      </x:c>
      <x:c r="I219" s="1" t="str">
        <x:f>IF(H219&gt;0,"Overbilled","Shortfall")</x:f>
        <x:v>Overbilled</x:v>
      </x:c>
      <x:c r="J219" s="7"/>
      <x:c r="K219" s="7" t="str">
        <x:v>Open</x:v>
      </x:c>
      <x:c r="L219" s="7"/>
    </x:row>
    <x:row r="220" ht="21" customHeight="1">
      <x:c r="A220" s="1" t="str">
        <x:f>Source!A214</x:f>
        <x:v>C0016576</x:v>
      </x:c>
      <x:c r="B220" s="1" t="str">
        <x:f>_xlfn.IFNA(VLOOKUP(Source!B214,Advertisers!$A$5:$B$34,2,FALSE),"Missing advertiser")</x:f>
        <x:v>Synthetic advertiser 14</x:v>
      </x:c>
      <x:c r="C220" s="1" t="n">
        <x:f>Source!C214</x:f>
        <x:v>74</x:v>
      </x:c>
      <x:c r="D220" s="8" t="n">
        <x:f>Source!D214/100</x:f>
        <x:v>0</x:v>
      </x:c>
      <x:c r="E220" s="8" t="n">
        <x:f>Source!E214/100</x:f>
        <x:v>285.98</x:v>
      </x:c>
      <x:c r="F220" s="8" t="n">
        <x:f>Source!F214/100</x:f>
        <x:v>0</x:v>
      </x:c>
      <x:c r="G220" s="8" t="n">
        <x:f>Source!G214/100</x:f>
        <x:v>285.98</x:v>
      </x:c>
      <x:c r="H220" s="8" t="n">
        <x:f>G220-D220</x:f>
        <x:v>285.98</x:v>
      </x:c>
      <x:c r="I220" s="1" t="str">
        <x:f>IF(H220&gt;0,"Overbilled","Shortfall")</x:f>
        <x:v>Overbilled</x:v>
      </x:c>
      <x:c r="J220" s="7"/>
      <x:c r="K220" s="7" t="str">
        <x:v>Open</x:v>
      </x:c>
      <x:c r="L220" s="7"/>
    </x:row>
    <x:row r="221" ht="21" customHeight="1">
      <x:c r="A221" s="1" t="str">
        <x:f>Source!A215</x:f>
        <x:v>C0015422</x:v>
      </x:c>
      <x:c r="B221" s="1" t="str">
        <x:f>_xlfn.IFNA(VLOOKUP(Source!B215,Advertisers!$A$5:$B$34,2,FALSE),"Missing advertiser")</x:f>
        <x:v>Synthetic advertiser 14</x:v>
      </x:c>
      <x:c r="C221" s="1" t="n">
        <x:f>Source!C215</x:f>
        <x:v>74</x:v>
      </x:c>
      <x:c r="D221" s="8" t="n">
        <x:f>Source!D215/100</x:f>
        <x:v>285.98</x:v>
      </x:c>
      <x:c r="E221" s="8" t="n">
        <x:f>Source!E215/100</x:f>
        <x:v>571.96</x:v>
      </x:c>
      <x:c r="F221" s="8" t="n">
        <x:f>Source!F215/100</x:f>
        <x:v>0</x:v>
      </x:c>
      <x:c r="G221" s="8" t="n">
        <x:f>Source!G215/100</x:f>
        <x:v>571.96</x:v>
      </x:c>
      <x:c r="H221" s="8" t="n">
        <x:f>G221-D221</x:f>
        <x:v>285.98</x:v>
      </x:c>
      <x:c r="I221" s="1" t="str">
        <x:f>IF(H221&gt;0,"Overbilled","Shortfall")</x:f>
        <x:v>Overbilled</x:v>
      </x:c>
      <x:c r="J221" s="7"/>
      <x:c r="K221" s="7" t="str">
        <x:v>Open</x:v>
      </x:c>
      <x:c r="L221" s="7"/>
    </x:row>
    <x:row r="222" ht="21" customHeight="1">
      <x:c r="A222" s="1" t="str">
        <x:f>Source!A216</x:f>
        <x:v>C0008372</x:v>
      </x:c>
      <x:c r="B222" s="1" t="str">
        <x:f>_xlfn.IFNA(VLOOKUP(Source!B216,Advertisers!$A$5:$B$34,2,FALSE),"Missing advertiser")</x:f>
        <x:v>Synthetic advertiser 14</x:v>
      </x:c>
      <x:c r="C222" s="1" t="n">
        <x:f>Source!C216</x:f>
        <x:v>74</x:v>
      </x:c>
      <x:c r="D222" s="8" t="n">
        <x:f>Source!D216/100</x:f>
        <x:v>285.98</x:v>
      </x:c>
      <x:c r="E222" s="8" t="n">
        <x:f>Source!E216/100</x:f>
        <x:v>0</x:v>
      </x:c>
      <x:c r="F222" s="8" t="n">
        <x:f>Source!F216/100</x:f>
        <x:v>0</x:v>
      </x:c>
      <x:c r="G222" s="8" t="n">
        <x:f>Source!G216/100</x:f>
        <x:v>0</x:v>
      </x:c>
      <x:c r="H222" s="8" t="n">
        <x:f>G222-D222</x:f>
        <x:v>-285.98</x:v>
      </x:c>
      <x:c r="I222" s="1" t="str">
        <x:f>IF(H222&gt;0,"Overbilled","Shortfall")</x:f>
        <x:v>Shortfall</x:v>
      </x:c>
      <x:c r="J222" s="7"/>
      <x:c r="K222" s="7" t="str">
        <x:v>Open</x:v>
      </x:c>
      <x:c r="L222" s="7"/>
    </x:row>
    <x:row r="223" ht="21" customHeight="1">
      <x:c r="A223" s="1" t="str">
        <x:f>Source!A217</x:f>
        <x:v>C0004300</x:v>
      </x:c>
      <x:c r="B223" s="1" t="str">
        <x:f>_xlfn.IFNA(VLOOKUP(Source!B217,Advertisers!$A$5:$B$34,2,FALSE),"Missing advertiser")</x:f>
        <x:v>Synthetic advertiser 14</x:v>
      </x:c>
      <x:c r="C223" s="1" t="n">
        <x:f>Source!C217</x:f>
        <x:v>74</x:v>
      </x:c>
      <x:c r="D223" s="8" t="n">
        <x:f>Source!D217/100</x:f>
        <x:v>0</x:v>
      </x:c>
      <x:c r="E223" s="8" t="n">
        <x:f>Source!E217/100</x:f>
        <x:v>285.98</x:v>
      </x:c>
      <x:c r="F223" s="8" t="n">
        <x:f>Source!F217/100</x:f>
        <x:v>0</x:v>
      </x:c>
      <x:c r="G223" s="8" t="n">
        <x:f>Source!G217/100</x:f>
        <x:v>285.98</x:v>
      </x:c>
      <x:c r="H223" s="8" t="n">
        <x:f>G223-D223</x:f>
        <x:v>285.98</x:v>
      </x:c>
      <x:c r="I223" s="1" t="str">
        <x:f>IF(H223&gt;0,"Overbilled","Shortfall")</x:f>
        <x:v>Overbilled</x:v>
      </x:c>
      <x:c r="J223" s="7"/>
      <x:c r="K223" s="7" t="str">
        <x:v>Open</x:v>
      </x:c>
      <x:c r="L223" s="7"/>
    </x:row>
    <x:row r="224" ht="21" customHeight="1">
      <x:c r="A224" s="1" t="str">
        <x:f>Source!A218</x:f>
        <x:v>C0010969</x:v>
      </x:c>
      <x:c r="B224" s="1" t="str">
        <x:f>_xlfn.IFNA(VLOOKUP(Source!B218,Advertisers!$A$5:$B$34,2,FALSE),"Missing advertiser")</x:f>
        <x:v>Synthetic advertiser 14</x:v>
      </x:c>
      <x:c r="C224" s="1" t="n">
        <x:f>Source!C218</x:f>
        <x:v>74</x:v>
      </x:c>
      <x:c r="D224" s="8" t="n">
        <x:f>Source!D218/100</x:f>
        <x:v>285.98</x:v>
      </x:c>
      <x:c r="E224" s="8" t="n">
        <x:f>Source!E218/100</x:f>
        <x:v>571.96</x:v>
      </x:c>
      <x:c r="F224" s="8" t="n">
        <x:f>Source!F218/100</x:f>
        <x:v>0</x:v>
      </x:c>
      <x:c r="G224" s="8" t="n">
        <x:f>Source!G218/100</x:f>
        <x:v>571.96</x:v>
      </x:c>
      <x:c r="H224" s="8" t="n">
        <x:f>G224-D224</x:f>
        <x:v>285.98</x:v>
      </x:c>
      <x:c r="I224" s="1" t="str">
        <x:f>IF(H224&gt;0,"Overbilled","Shortfall")</x:f>
        <x:v>Overbilled</x:v>
      </x:c>
      <x:c r="J224" s="7"/>
      <x:c r="K224" s="7" t="str">
        <x:v>Open</x:v>
      </x:c>
      <x:c r="L224" s="7"/>
    </x:row>
    <x:row r="225" ht="21" customHeight="1">
      <x:c r="A225" s="1" t="str">
        <x:f>Source!A219</x:f>
        <x:v>C0010700</x:v>
      </x:c>
      <x:c r="B225" s="1" t="str">
        <x:f>_xlfn.IFNA(VLOOKUP(Source!B219,Advertisers!$A$5:$B$34,2,FALSE),"Missing advertiser")</x:f>
        <x:v>Synthetic advertiser 14</x:v>
      </x:c>
      <x:c r="C225" s="1" t="n">
        <x:f>Source!C219</x:f>
        <x:v>74</x:v>
      </x:c>
      <x:c r="D225" s="8" t="n">
        <x:f>Source!D219/100</x:f>
        <x:v>285.98</x:v>
      </x:c>
      <x:c r="E225" s="8" t="n">
        <x:f>Source!E219/100</x:f>
        <x:v>571.96</x:v>
      </x:c>
      <x:c r="F225" s="8" t="n">
        <x:f>Source!F219/100</x:f>
        <x:v>0</x:v>
      </x:c>
      <x:c r="G225" s="8" t="n">
        <x:f>Source!G219/100</x:f>
        <x:v>571.96</x:v>
      </x:c>
      <x:c r="H225" s="8" t="n">
        <x:f>G225-D225</x:f>
        <x:v>285.98</x:v>
      </x:c>
      <x:c r="I225" s="1" t="str">
        <x:f>IF(H225&gt;0,"Overbilled","Shortfall")</x:f>
        <x:v>Overbilled</x:v>
      </x:c>
      <x:c r="J225" s="7"/>
      <x:c r="K225" s="7" t="str">
        <x:v>Open</x:v>
      </x:c>
      <x:c r="L225" s="7"/>
    </x:row>
    <x:row r="226" ht="21" customHeight="1">
      <x:c r="A226" s="1" t="str">
        <x:f>Source!A220</x:f>
        <x:v>C0005363</x:v>
      </x:c>
      <x:c r="B226" s="1" t="str">
        <x:f>_xlfn.IFNA(VLOOKUP(Source!B220,Advertisers!$A$5:$B$34,2,FALSE),"Missing advertiser")</x:f>
        <x:v>Synthetic advertiser 14</x:v>
      </x:c>
      <x:c r="C226" s="1" t="n">
        <x:f>Source!C220</x:f>
        <x:v>74</x:v>
      </x:c>
      <x:c r="D226" s="8" t="n">
        <x:f>Source!D220/100</x:f>
        <x:v>285.98</x:v>
      </x:c>
      <x:c r="E226" s="8" t="n">
        <x:f>Source!E220/100</x:f>
        <x:v>0</x:v>
      </x:c>
      <x:c r="F226" s="8" t="n">
        <x:f>Source!F220/100</x:f>
        <x:v>0</x:v>
      </x:c>
      <x:c r="G226" s="8" t="n">
        <x:f>Source!G220/100</x:f>
        <x:v>0</x:v>
      </x:c>
      <x:c r="H226" s="8" t="n">
        <x:f>G226-D226</x:f>
        <x:v>-285.98</x:v>
      </x:c>
      <x:c r="I226" s="1" t="str">
        <x:f>IF(H226&gt;0,"Overbilled","Shortfall")</x:f>
        <x:v>Shortfall</x:v>
      </x:c>
      <x:c r="J226" s="7"/>
      <x:c r="K226" s="7" t="str">
        <x:v>Open</x:v>
      </x:c>
      <x:c r="L226" s="7"/>
    </x:row>
    <x:row r="227" ht="21" customHeight="1">
      <x:c r="A227" s="1" t="str">
        <x:f>Source!A221</x:f>
        <x:v>C0014981</x:v>
      </x:c>
      <x:c r="B227" s="1" t="str">
        <x:f>_xlfn.IFNA(VLOOKUP(Source!B221,Advertisers!$A$5:$B$34,2,FALSE),"Missing advertiser")</x:f>
        <x:v>Synthetic advertiser 6</x:v>
      </x:c>
      <x:c r="C227" s="1" t="n">
        <x:f>Source!C221</x:f>
        <x:v>36</x:v>
      </x:c>
      <x:c r="D227" s="8" t="n">
        <x:f>Source!D221/100</x:f>
        <x:v>285.12</x:v>
      </x:c>
      <x:c r="E227" s="8" t="n">
        <x:f>Source!E221/100</x:f>
        <x:v>570.24</x:v>
      </x:c>
      <x:c r="F227" s="8" t="n">
        <x:f>Source!F221/100</x:f>
        <x:v>0</x:v>
      </x:c>
      <x:c r="G227" s="8" t="n">
        <x:f>Source!G221/100</x:f>
        <x:v>570.24</x:v>
      </x:c>
      <x:c r="H227" s="8" t="n">
        <x:f>G227-D227</x:f>
        <x:v>285.12</x:v>
      </x:c>
      <x:c r="I227" s="1" t="str">
        <x:f>IF(H227&gt;0,"Overbilled","Shortfall")</x:f>
        <x:v>Overbilled</x:v>
      </x:c>
      <x:c r="J227" s="7"/>
      <x:c r="K227" s="7" t="str">
        <x:v>Open</x:v>
      </x:c>
      <x:c r="L227" s="7"/>
    </x:row>
    <x:row r="228" ht="21" customHeight="1">
      <x:c r="A228" s="1" t="str">
        <x:f>Source!A222</x:f>
        <x:v>C0015149</x:v>
      </x:c>
      <x:c r="B228" s="1" t="str">
        <x:f>_xlfn.IFNA(VLOOKUP(Source!B222,Advertisers!$A$5:$B$34,2,FALSE),"Missing advertiser")</x:f>
        <x:v>Synthetic advertiser 6</x:v>
      </x:c>
      <x:c r="C228" s="1" t="n">
        <x:f>Source!C222</x:f>
        <x:v>36</x:v>
      </x:c>
      <x:c r="D228" s="8" t="n">
        <x:f>Source!D222/100</x:f>
        <x:v>285.12</x:v>
      </x:c>
      <x:c r="E228" s="8" t="n">
        <x:f>Source!E222/100</x:f>
        <x:v>570.24</x:v>
      </x:c>
      <x:c r="F228" s="8" t="n">
        <x:f>Source!F222/100</x:f>
        <x:v>0</x:v>
      </x:c>
      <x:c r="G228" s="8" t="n">
        <x:f>Source!G222/100</x:f>
        <x:v>570.24</x:v>
      </x:c>
      <x:c r="H228" s="8" t="n">
        <x:f>G228-D228</x:f>
        <x:v>285.12</x:v>
      </x:c>
      <x:c r="I228" s="1" t="str">
        <x:f>IF(H228&gt;0,"Overbilled","Shortfall")</x:f>
        <x:v>Overbilled</x:v>
      </x:c>
      <x:c r="J228" s="7"/>
      <x:c r="K228" s="7" t="str">
        <x:v>Open</x:v>
      </x:c>
      <x:c r="L228" s="7"/>
    </x:row>
    <x:row r="229" ht="21" customHeight="1">
      <x:c r="A229" s="1" t="str">
        <x:f>Source!A223</x:f>
        <x:v>C0009394</x:v>
      </x:c>
      <x:c r="B229" s="1" t="str">
        <x:f>_xlfn.IFNA(VLOOKUP(Source!B223,Advertisers!$A$5:$B$34,2,FALSE),"Missing advertiser")</x:f>
        <x:v>Synthetic advertiser 6</x:v>
      </x:c>
      <x:c r="C229" s="1" t="n">
        <x:f>Source!C223</x:f>
        <x:v>36</x:v>
      </x:c>
      <x:c r="D229" s="8" t="n">
        <x:f>Source!D223/100</x:f>
        <x:v>285.12</x:v>
      </x:c>
      <x:c r="E229" s="8" t="n">
        <x:f>Source!E223/100</x:f>
        <x:v>570.24</x:v>
      </x:c>
      <x:c r="F229" s="8" t="n">
        <x:f>Source!F223/100</x:f>
        <x:v>0</x:v>
      </x:c>
      <x:c r="G229" s="8" t="n">
        <x:f>Source!G223/100</x:f>
        <x:v>570.24</x:v>
      </x:c>
      <x:c r="H229" s="8" t="n">
        <x:f>G229-D229</x:f>
        <x:v>285.12</x:v>
      </x:c>
      <x:c r="I229" s="1" t="str">
        <x:f>IF(H229&gt;0,"Overbilled","Shortfall")</x:f>
        <x:v>Overbilled</x:v>
      </x:c>
      <x:c r="J229" s="7"/>
      <x:c r="K229" s="7" t="str">
        <x:v>Open</x:v>
      </x:c>
      <x:c r="L229" s="7"/>
    </x:row>
    <x:row r="230" ht="21" customHeight="1">
      <x:c r="A230" s="1" t="str">
        <x:f>Source!A224</x:f>
        <x:v>C0003863</x:v>
      </x:c>
      <x:c r="B230" s="1" t="str">
        <x:f>_xlfn.IFNA(VLOOKUP(Source!B224,Advertisers!$A$5:$B$34,2,FALSE),"Missing advertiser")</x:f>
        <x:v>Synthetic advertiser 6</x:v>
      </x:c>
      <x:c r="C230" s="1" t="n">
        <x:f>Source!C224</x:f>
        <x:v>36</x:v>
      </x:c>
      <x:c r="D230" s="8" t="n">
        <x:f>Source!D224/100</x:f>
        <x:v>285.12</x:v>
      </x:c>
      <x:c r="E230" s="8" t="n">
        <x:f>Source!E224/100</x:f>
        <x:v>0</x:v>
      </x:c>
      <x:c r="F230" s="8" t="n">
        <x:f>Source!F224/100</x:f>
        <x:v>0</x:v>
      </x:c>
      <x:c r="G230" s="8" t="n">
        <x:f>Source!G224/100</x:f>
        <x:v>0</x:v>
      </x:c>
      <x:c r="H230" s="8" t="n">
        <x:f>G230-D230</x:f>
        <x:v>-285.12</x:v>
      </x:c>
      <x:c r="I230" s="1" t="str">
        <x:f>IF(H230&gt;0,"Overbilled","Shortfall")</x:f>
        <x:v>Shortfall</x:v>
      </x:c>
      <x:c r="J230" s="7"/>
      <x:c r="K230" s="7" t="str">
        <x:v>Open</x:v>
      </x:c>
      <x:c r="L230" s="7"/>
    </x:row>
    <x:row r="231" ht="21" customHeight="1">
      <x:c r="A231" s="1" t="str">
        <x:f>Source!A225</x:f>
        <x:v>C0015133</x:v>
      </x:c>
      <x:c r="B231" s="1" t="str">
        <x:f>_xlfn.IFNA(VLOOKUP(Source!B225,Advertisers!$A$5:$B$34,2,FALSE),"Missing advertiser")</x:f>
        <x:v>Synthetic advertiser 6</x:v>
      </x:c>
      <x:c r="C231" s="1" t="n">
        <x:f>Source!C225</x:f>
        <x:v>36</x:v>
      </x:c>
      <x:c r="D231" s="8" t="n">
        <x:f>Source!D225/100</x:f>
        <x:v>285.12</x:v>
      </x:c>
      <x:c r="E231" s="8" t="n">
        <x:f>Source!E225/100</x:f>
        <x:v>0</x:v>
      </x:c>
      <x:c r="F231" s="8" t="n">
        <x:f>Source!F225/100</x:f>
        <x:v>0</x:v>
      </x:c>
      <x:c r="G231" s="8" t="n">
        <x:f>Source!G225/100</x:f>
        <x:v>0</x:v>
      </x:c>
      <x:c r="H231" s="8" t="n">
        <x:f>G231-D231</x:f>
        <x:v>-285.12</x:v>
      </x:c>
      <x:c r="I231" s="1" t="str">
        <x:f>IF(H231&gt;0,"Overbilled","Shortfall")</x:f>
        <x:v>Shortfall</x:v>
      </x:c>
      <x:c r="J231" s="7"/>
      <x:c r="K231" s="7" t="str">
        <x:v>Open</x:v>
      </x:c>
      <x:c r="L231" s="7"/>
    </x:row>
    <x:row r="232" ht="21" customHeight="1">
      <x:c r="A232" s="1" t="str">
        <x:f>Source!A226</x:f>
        <x:v>C0014094</x:v>
      </x:c>
      <x:c r="B232" s="1" t="str">
        <x:f>_xlfn.IFNA(VLOOKUP(Source!B226,Advertisers!$A$5:$B$34,2,FALSE),"Missing advertiser")</x:f>
        <x:v>Synthetic advertiser 6</x:v>
      </x:c>
      <x:c r="C232" s="1" t="n">
        <x:f>Source!C226</x:f>
        <x:v>36</x:v>
      </x:c>
      <x:c r="D232" s="8" t="n">
        <x:f>Source!D226/100</x:f>
        <x:v>285.12</x:v>
      </x:c>
      <x:c r="E232" s="8" t="n">
        <x:f>Source!E226/100</x:f>
        <x:v>0</x:v>
      </x:c>
      <x:c r="F232" s="8" t="n">
        <x:f>Source!F226/100</x:f>
        <x:v>0</x:v>
      </x:c>
      <x:c r="G232" s="8" t="n">
        <x:f>Source!G226/100</x:f>
        <x:v>0</x:v>
      </x:c>
      <x:c r="H232" s="8" t="n">
        <x:f>G232-D232</x:f>
        <x:v>-285.12</x:v>
      </x:c>
      <x:c r="I232" s="1" t="str">
        <x:f>IF(H232&gt;0,"Overbilled","Shortfall")</x:f>
        <x:v>Shortfall</x:v>
      </x:c>
      <x:c r="J232" s="7"/>
      <x:c r="K232" s="7" t="str">
        <x:v>Open</x:v>
      </x:c>
      <x:c r="L232" s="7"/>
    </x:row>
    <x:row r="233" ht="21" customHeight="1">
      <x:c r="A233" s="1" t="str">
        <x:f>Source!A227</x:f>
        <x:v>C0013711</x:v>
      </x:c>
      <x:c r="B233" s="1" t="str">
        <x:f>_xlfn.IFNA(VLOOKUP(Source!B227,Advertisers!$A$5:$B$34,2,FALSE),"Missing advertiser")</x:f>
        <x:v>Synthetic advertiser 6</x:v>
      </x:c>
      <x:c r="C233" s="1" t="n">
        <x:f>Source!C227</x:f>
        <x:v>36</x:v>
      </x:c>
      <x:c r="D233" s="8" t="n">
        <x:f>Source!D227/100</x:f>
        <x:v>285.12</x:v>
      </x:c>
      <x:c r="E233" s="8" t="n">
        <x:f>Source!E227/100</x:f>
        <x:v>0</x:v>
      </x:c>
      <x:c r="F233" s="8" t="n">
        <x:f>Source!F227/100</x:f>
        <x:v>0</x:v>
      </x:c>
      <x:c r="G233" s="8" t="n">
        <x:f>Source!G227/100</x:f>
        <x:v>0</x:v>
      </x:c>
      <x:c r="H233" s="8" t="n">
        <x:f>G233-D233</x:f>
        <x:v>-285.12</x:v>
      </x:c>
      <x:c r="I233" s="1" t="str">
        <x:f>IF(H233&gt;0,"Overbilled","Shortfall")</x:f>
        <x:v>Shortfall</x:v>
      </x:c>
      <x:c r="J233" s="7"/>
      <x:c r="K233" s="7" t="str">
        <x:v>Open</x:v>
      </x:c>
      <x:c r="L233" s="7"/>
    </x:row>
    <x:row r="234" ht="21" customHeight="1">
      <x:c r="A234" s="1" t="str">
        <x:f>Source!A228</x:f>
        <x:v>C0001795</x:v>
      </x:c>
      <x:c r="B234" s="1" t="str">
        <x:f>_xlfn.IFNA(VLOOKUP(Source!B228,Advertisers!$A$5:$B$34,2,FALSE),"Missing advertiser")</x:f>
        <x:v>Synthetic advertiser 6</x:v>
      </x:c>
      <x:c r="C234" s="1" t="n">
        <x:f>Source!C228</x:f>
        <x:v>36</x:v>
      </x:c>
      <x:c r="D234" s="8" t="n">
        <x:f>Source!D228/100</x:f>
        <x:v>285.12</x:v>
      </x:c>
      <x:c r="E234" s="8" t="n">
        <x:f>Source!E228/100</x:f>
        <x:v>0</x:v>
      </x:c>
      <x:c r="F234" s="8" t="n">
        <x:f>Source!F228/100</x:f>
        <x:v>0</x:v>
      </x:c>
      <x:c r="G234" s="8" t="n">
        <x:f>Source!G228/100</x:f>
        <x:v>0</x:v>
      </x:c>
      <x:c r="H234" s="8" t="n">
        <x:f>G234-D234</x:f>
        <x:v>-285.12</x:v>
      </x:c>
      <x:c r="I234" s="1" t="str">
        <x:f>IF(H234&gt;0,"Overbilled","Shortfall")</x:f>
        <x:v>Shortfall</x:v>
      </x:c>
      <x:c r="J234" s="7"/>
      <x:c r="K234" s="7" t="str">
        <x:v>Open</x:v>
      </x:c>
      <x:c r="L234" s="7"/>
    </x:row>
    <x:row r="235" ht="21" customHeight="1">
      <x:c r="A235" s="1" t="str">
        <x:f>Source!A229</x:f>
        <x:v>C0014993</x:v>
      </x:c>
      <x:c r="B235" s="1" t="str">
        <x:f>_xlfn.IFNA(VLOOKUP(Source!B229,Advertisers!$A$5:$B$34,2,FALSE),"Missing advertiser")</x:f>
        <x:v>Synthetic advertiser 6</x:v>
      </x:c>
      <x:c r="C235" s="1" t="n">
        <x:f>Source!C229</x:f>
        <x:v>36</x:v>
      </x:c>
      <x:c r="D235" s="8" t="n">
        <x:f>Source!D229/100</x:f>
        <x:v>285.12</x:v>
      </x:c>
      <x:c r="E235" s="8" t="n">
        <x:f>Source!E229/100</x:f>
        <x:v>570.24</x:v>
      </x:c>
      <x:c r="F235" s="8" t="n">
        <x:f>Source!F229/100</x:f>
        <x:v>0</x:v>
      </x:c>
      <x:c r="G235" s="8" t="n">
        <x:f>Source!G229/100</x:f>
        <x:v>570.24</x:v>
      </x:c>
      <x:c r="H235" s="8" t="n">
        <x:f>G235-D235</x:f>
        <x:v>285.12</x:v>
      </x:c>
      <x:c r="I235" s="1" t="str">
        <x:f>IF(H235&gt;0,"Overbilled","Shortfall")</x:f>
        <x:v>Overbilled</x:v>
      </x:c>
      <x:c r="J235" s="7"/>
      <x:c r="K235" s="7" t="str">
        <x:v>Open</x:v>
      </x:c>
      <x:c r="L235" s="7"/>
    </x:row>
    <x:row r="236" ht="21" customHeight="1">
      <x:c r="A236" s="1" t="str">
        <x:f>Source!A230</x:f>
        <x:v>C0005622</x:v>
      </x:c>
      <x:c r="B236" s="1" t="str">
        <x:f>_xlfn.IFNA(VLOOKUP(Source!B230,Advertisers!$A$5:$B$34,2,FALSE),"Missing advertiser")</x:f>
        <x:v>Synthetic advertiser 6</x:v>
      </x:c>
      <x:c r="C236" s="1" t="n">
        <x:f>Source!C230</x:f>
        <x:v>36</x:v>
      </x:c>
      <x:c r="D236" s="8" t="n">
        <x:f>Source!D230/100</x:f>
        <x:v>285.12</x:v>
      </x:c>
      <x:c r="E236" s="8" t="n">
        <x:f>Source!E230/100</x:f>
        <x:v>0</x:v>
      </x:c>
      <x:c r="F236" s="8" t="n">
        <x:f>Source!F230/100</x:f>
        <x:v>0</x:v>
      </x:c>
      <x:c r="G236" s="8" t="n">
        <x:f>Source!G230/100</x:f>
        <x:v>0</x:v>
      </x:c>
      <x:c r="H236" s="8" t="n">
        <x:f>G236-D236</x:f>
        <x:v>-285.12</x:v>
      </x:c>
      <x:c r="I236" s="1" t="str">
        <x:f>IF(H236&gt;0,"Overbilled","Shortfall")</x:f>
        <x:v>Shortfall</x:v>
      </x:c>
      <x:c r="J236" s="7"/>
      <x:c r="K236" s="7" t="str">
        <x:v>Open</x:v>
      </x:c>
      <x:c r="L236" s="7"/>
    </x:row>
    <x:row r="237" ht="21" customHeight="1">
      <x:c r="A237" s="1" t="str">
        <x:f>Source!A231</x:f>
        <x:v>C0015235</x:v>
      </x:c>
      <x:c r="B237" s="1" t="str">
        <x:f>_xlfn.IFNA(VLOOKUP(Source!B231,Advertisers!$A$5:$B$34,2,FALSE),"Missing advertiser")</x:f>
        <x:v>Synthetic advertiser 6</x:v>
      </x:c>
      <x:c r="C237" s="1" t="n">
        <x:f>Source!C231</x:f>
        <x:v>36</x:v>
      </x:c>
      <x:c r="D237" s="8" t="n">
        <x:f>Source!D231/100</x:f>
        <x:v>285.12</x:v>
      </x:c>
      <x:c r="E237" s="8" t="n">
        <x:f>Source!E231/100</x:f>
        <x:v>0</x:v>
      </x:c>
      <x:c r="F237" s="8" t="n">
        <x:f>Source!F231/100</x:f>
        <x:v>0</x:v>
      </x:c>
      <x:c r="G237" s="8" t="n">
        <x:f>Source!G231/100</x:f>
        <x:v>0</x:v>
      </x:c>
      <x:c r="H237" s="8" t="n">
        <x:f>G237-D237</x:f>
        <x:v>-285.12</x:v>
      </x:c>
      <x:c r="I237" s="1" t="str">
        <x:f>IF(H237&gt;0,"Overbilled","Shortfall")</x:f>
        <x:v>Shortfall</x:v>
      </x:c>
      <x:c r="J237" s="7"/>
      <x:c r="K237" s="7" t="str">
        <x:v>Open</x:v>
      </x:c>
      <x:c r="L237" s="7"/>
    </x:row>
    <x:row r="238" ht="21" customHeight="1">
      <x:c r="A238" s="1" t="str">
        <x:f>Source!A232</x:f>
        <x:v>C0013514</x:v>
      </x:c>
      <x:c r="B238" s="1" t="str">
        <x:f>_xlfn.IFNA(VLOOKUP(Source!B232,Advertisers!$A$5:$B$34,2,FALSE),"Missing advertiser")</x:f>
        <x:v>Synthetic advertiser 6</x:v>
      </x:c>
      <x:c r="C238" s="1" t="n">
        <x:f>Source!C232</x:f>
        <x:v>36</x:v>
      </x:c>
      <x:c r="D238" s="8" t="n">
        <x:f>Source!D232/100</x:f>
        <x:v>285.12</x:v>
      </x:c>
      <x:c r="E238" s="8" t="n">
        <x:f>Source!E232/100</x:f>
        <x:v>570.24</x:v>
      </x:c>
      <x:c r="F238" s="8" t="n">
        <x:f>Source!F232/100</x:f>
        <x:v>0</x:v>
      </x:c>
      <x:c r="G238" s="8" t="n">
        <x:f>Source!G232/100</x:f>
        <x:v>570.24</x:v>
      </x:c>
      <x:c r="H238" s="8" t="n">
        <x:f>G238-D238</x:f>
        <x:v>285.12</x:v>
      </x:c>
      <x:c r="I238" s="1" t="str">
        <x:f>IF(H238&gt;0,"Overbilled","Shortfall")</x:f>
        <x:v>Overbilled</x:v>
      </x:c>
      <x:c r="J238" s="7"/>
      <x:c r="K238" s="7" t="str">
        <x:v>Open</x:v>
      </x:c>
      <x:c r="L238" s="7"/>
    </x:row>
    <x:row r="239" ht="21" customHeight="1">
      <x:c r="A239" s="1" t="str">
        <x:f>Source!A233</x:f>
        <x:v>C0007849</x:v>
      </x:c>
      <x:c r="B239" s="1" t="str">
        <x:f>_xlfn.IFNA(VLOOKUP(Source!B233,Advertisers!$A$5:$B$34,2,FALSE),"Missing advertiser")</x:f>
        <x:v>Synthetic advertiser 20</x:v>
      </x:c>
      <x:c r="C239" s="1" t="n">
        <x:f>Source!C233</x:f>
        <x:v>20</x:v>
      </x:c>
      <x:c r="D239" s="8" t="n">
        <x:f>Source!D233/100</x:f>
        <x:v>284.02</x:v>
      </x:c>
      <x:c r="E239" s="8" t="n">
        <x:f>Source!E233/100</x:f>
        <x:v>568.04</x:v>
      </x:c>
      <x:c r="F239" s="8" t="n">
        <x:f>Source!F233/100</x:f>
        <x:v>0</x:v>
      </x:c>
      <x:c r="G239" s="8" t="n">
        <x:f>Source!G233/100</x:f>
        <x:v>568.04</x:v>
      </x:c>
      <x:c r="H239" s="8" t="n">
        <x:f>G239-D239</x:f>
        <x:v>284.02</x:v>
      </x:c>
      <x:c r="I239" s="1" t="str">
        <x:f>IF(H239&gt;0,"Overbilled","Shortfall")</x:f>
        <x:v>Overbilled</x:v>
      </x:c>
      <x:c r="J239" s="7"/>
      <x:c r="K239" s="7" t="str">
        <x:v>Open</x:v>
      </x:c>
      <x:c r="L239" s="7"/>
    </x:row>
    <x:row r="240" ht="21" customHeight="1">
      <x:c r="A240" s="1" t="str">
        <x:f>Source!A234</x:f>
        <x:v>C0002205</x:v>
      </x:c>
      <x:c r="B240" s="1" t="str">
        <x:f>_xlfn.IFNA(VLOOKUP(Source!B234,Advertisers!$A$5:$B$34,2,FALSE),"Missing advertiser")</x:f>
        <x:v>Synthetic advertiser 20</x:v>
      </x:c>
      <x:c r="C240" s="1" t="n">
        <x:f>Source!C234</x:f>
        <x:v>20</x:v>
      </x:c>
      <x:c r="D240" s="8" t="n">
        <x:f>Source!D234/100</x:f>
        <x:v>284.02</x:v>
      </x:c>
      <x:c r="E240" s="8" t="n">
        <x:f>Source!E234/100</x:f>
        <x:v>568.04</x:v>
      </x:c>
      <x:c r="F240" s="8" t="n">
        <x:f>Source!F234/100</x:f>
        <x:v>0</x:v>
      </x:c>
      <x:c r="G240" s="8" t="n">
        <x:f>Source!G234/100</x:f>
        <x:v>568.04</x:v>
      </x:c>
      <x:c r="H240" s="8" t="n">
        <x:f>G240-D240</x:f>
        <x:v>284.02</x:v>
      </x:c>
      <x:c r="I240" s="1" t="str">
        <x:f>IF(H240&gt;0,"Overbilled","Shortfall")</x:f>
        <x:v>Overbilled</x:v>
      </x:c>
      <x:c r="J240" s="7"/>
      <x:c r="K240" s="7" t="str">
        <x:v>Open</x:v>
      </x:c>
      <x:c r="L240" s="7"/>
    </x:row>
    <x:row r="241" ht="21" customHeight="1">
      <x:c r="A241" s="1" t="str">
        <x:f>Source!A235</x:f>
        <x:v>C0006649</x:v>
      </x:c>
      <x:c r="B241" s="1" t="str">
        <x:f>_xlfn.IFNA(VLOOKUP(Source!B235,Advertisers!$A$5:$B$34,2,FALSE),"Missing advertiser")</x:f>
        <x:v>Synthetic advertiser 20</x:v>
      </x:c>
      <x:c r="C241" s="1" t="n">
        <x:f>Source!C235</x:f>
        <x:v>20</x:v>
      </x:c>
      <x:c r="D241" s="8" t="n">
        <x:f>Source!D235/100</x:f>
        <x:v>284.02</x:v>
      </x:c>
      <x:c r="E241" s="8" t="n">
        <x:f>Source!E235/100</x:f>
        <x:v>568.04</x:v>
      </x:c>
      <x:c r="F241" s="8" t="n">
        <x:f>Source!F235/100</x:f>
        <x:v>0</x:v>
      </x:c>
      <x:c r="G241" s="8" t="n">
        <x:f>Source!G235/100</x:f>
        <x:v>568.04</x:v>
      </x:c>
      <x:c r="H241" s="8" t="n">
        <x:f>G241-D241</x:f>
        <x:v>284.02</x:v>
      </x:c>
      <x:c r="I241" s="1" t="str">
        <x:f>IF(H241&gt;0,"Overbilled","Shortfall")</x:f>
        <x:v>Overbilled</x:v>
      </x:c>
      <x:c r="J241" s="7"/>
      <x:c r="K241" s="7" t="str">
        <x:v>Open</x:v>
      </x:c>
      <x:c r="L241" s="7"/>
    </x:row>
    <x:row r="242" ht="21" customHeight="1">
      <x:c r="A242" s="1" t="str">
        <x:f>Source!A236</x:f>
        <x:v>C0014776</x:v>
      </x:c>
      <x:c r="B242" s="1" t="str">
        <x:f>_xlfn.IFNA(VLOOKUP(Source!B236,Advertisers!$A$5:$B$34,2,FALSE),"Missing advertiser")</x:f>
        <x:v>Synthetic advertiser 20</x:v>
      </x:c>
      <x:c r="C242" s="1" t="n">
        <x:f>Source!C236</x:f>
        <x:v>20</x:v>
      </x:c>
      <x:c r="D242" s="8" t="n">
        <x:f>Source!D236/100</x:f>
        <x:v>284.02</x:v>
      </x:c>
      <x:c r="E242" s="8" t="n">
        <x:f>Source!E236/100</x:f>
        <x:v>0</x:v>
      </x:c>
      <x:c r="F242" s="8" t="n">
        <x:f>Source!F236/100</x:f>
        <x:v>0</x:v>
      </x:c>
      <x:c r="G242" s="8" t="n">
        <x:f>Source!G236/100</x:f>
        <x:v>0</x:v>
      </x:c>
      <x:c r="H242" s="8" t="n">
        <x:f>G242-D242</x:f>
        <x:v>-284.02</x:v>
      </x:c>
      <x:c r="I242" s="1" t="str">
        <x:f>IF(H242&gt;0,"Overbilled","Shortfall")</x:f>
        <x:v>Shortfall</x:v>
      </x:c>
      <x:c r="J242" s="7"/>
      <x:c r="K242" s="7" t="str">
        <x:v>Open</x:v>
      </x:c>
      <x:c r="L242" s="7"/>
    </x:row>
    <x:row r="243" ht="21" customHeight="1">
      <x:c r="A243" s="1" t="str">
        <x:f>Source!A237</x:f>
        <x:v>C0013176</x:v>
      </x:c>
      <x:c r="B243" s="1" t="str">
        <x:f>_xlfn.IFNA(VLOOKUP(Source!B237,Advertisers!$A$5:$B$34,2,FALSE),"Missing advertiser")</x:f>
        <x:v>Synthetic advertiser 20</x:v>
      </x:c>
      <x:c r="C243" s="1" t="n">
        <x:f>Source!C237</x:f>
        <x:v>20</x:v>
      </x:c>
      <x:c r="D243" s="8" t="n">
        <x:f>Source!D237/100</x:f>
        <x:v>284.02</x:v>
      </x:c>
      <x:c r="E243" s="8" t="n">
        <x:f>Source!E237/100</x:f>
        <x:v>0</x:v>
      </x:c>
      <x:c r="F243" s="8" t="n">
        <x:f>Source!F237/100</x:f>
        <x:v>0</x:v>
      </x:c>
      <x:c r="G243" s="8" t="n">
        <x:f>Source!G237/100</x:f>
        <x:v>0</x:v>
      </x:c>
      <x:c r="H243" s="8" t="n">
        <x:f>G243-D243</x:f>
        <x:v>-284.02</x:v>
      </x:c>
      <x:c r="I243" s="1" t="str">
        <x:f>IF(H243&gt;0,"Overbilled","Shortfall")</x:f>
        <x:v>Shortfall</x:v>
      </x:c>
      <x:c r="J243" s="7"/>
      <x:c r="K243" s="7" t="str">
        <x:v>Open</x:v>
      </x:c>
      <x:c r="L243" s="7"/>
    </x:row>
    <x:row r="244" ht="21" customHeight="1">
      <x:c r="A244" s="1" t="str">
        <x:f>Source!A238</x:f>
        <x:v>C0006065</x:v>
      </x:c>
      <x:c r="B244" s="1" t="str">
        <x:f>_xlfn.IFNA(VLOOKUP(Source!B238,Advertisers!$A$5:$B$34,2,FALSE),"Missing advertiser")</x:f>
        <x:v>Synthetic advertiser 20</x:v>
      </x:c>
      <x:c r="C244" s="1" t="n">
        <x:f>Source!C238</x:f>
        <x:v>20</x:v>
      </x:c>
      <x:c r="D244" s="8" t="n">
        <x:f>Source!D238/100</x:f>
        <x:v>284.02</x:v>
      </x:c>
      <x:c r="E244" s="8" t="n">
        <x:f>Source!E238/100</x:f>
        <x:v>568.04</x:v>
      </x:c>
      <x:c r="F244" s="8" t="n">
        <x:f>Source!F238/100</x:f>
        <x:v>0</x:v>
      </x:c>
      <x:c r="G244" s="8" t="n">
        <x:f>Source!G238/100</x:f>
        <x:v>568.04</x:v>
      </x:c>
      <x:c r="H244" s="8" t="n">
        <x:f>G244-D244</x:f>
        <x:v>284.02</x:v>
      </x:c>
      <x:c r="I244" s="1" t="str">
        <x:f>IF(H244&gt;0,"Overbilled","Shortfall")</x:f>
        <x:v>Overbilled</x:v>
      </x:c>
      <x:c r="J244" s="7"/>
      <x:c r="K244" s="7" t="str">
        <x:v>Open</x:v>
      </x:c>
      <x:c r="L244" s="7"/>
    </x:row>
    <x:row r="245" ht="21" customHeight="1">
      <x:c r="A245" s="1" t="str">
        <x:f>Source!A239</x:f>
        <x:v>C0016991</x:v>
      </x:c>
      <x:c r="B245" s="1" t="str">
        <x:f>_xlfn.IFNA(VLOOKUP(Source!B239,Advertisers!$A$5:$B$34,2,FALSE),"Missing advertiser")</x:f>
        <x:v>Synthetic advertiser 20</x:v>
      </x:c>
      <x:c r="C245" s="1" t="n">
        <x:f>Source!C239</x:f>
        <x:v>20</x:v>
      </x:c>
      <x:c r="D245" s="8" t="n">
        <x:f>Source!D239/100</x:f>
        <x:v>284.02</x:v>
      </x:c>
      <x:c r="E245" s="8" t="n">
        <x:f>Source!E239/100</x:f>
        <x:v>568.04</x:v>
      </x:c>
      <x:c r="F245" s="8" t="n">
        <x:f>Source!F239/100</x:f>
        <x:v>0</x:v>
      </x:c>
      <x:c r="G245" s="8" t="n">
        <x:f>Source!G239/100</x:f>
        <x:v>568.04</x:v>
      </x:c>
      <x:c r="H245" s="8" t="n">
        <x:f>G245-D245</x:f>
        <x:v>284.02</x:v>
      </x:c>
      <x:c r="I245" s="1" t="str">
        <x:f>IF(H245&gt;0,"Overbilled","Shortfall")</x:f>
        <x:v>Overbilled</x:v>
      </x:c>
      <x:c r="J245" s="7"/>
      <x:c r="K245" s="7" t="str">
        <x:v>Open</x:v>
      </x:c>
      <x:c r="L245" s="7"/>
    </x:row>
    <x:row r="246" ht="21" customHeight="1">
      <x:c r="A246" s="1" t="str">
        <x:f>Source!A240</x:f>
        <x:v>C0016635</x:v>
      </x:c>
      <x:c r="B246" s="1" t="str">
        <x:f>_xlfn.IFNA(VLOOKUP(Source!B240,Advertisers!$A$5:$B$34,2,FALSE),"Missing advertiser")</x:f>
        <x:v>Synthetic advertiser 20</x:v>
      </x:c>
      <x:c r="C246" s="1" t="n">
        <x:f>Source!C240</x:f>
        <x:v>20</x:v>
      </x:c>
      <x:c r="D246" s="8" t="n">
        <x:f>Source!D240/100</x:f>
        <x:v>284.02</x:v>
      </x:c>
      <x:c r="E246" s="8" t="n">
        <x:f>Source!E240/100</x:f>
        <x:v>568.04</x:v>
      </x:c>
      <x:c r="F246" s="8" t="n">
        <x:f>Source!F240/100</x:f>
        <x:v>0</x:v>
      </x:c>
      <x:c r="G246" s="8" t="n">
        <x:f>Source!G240/100</x:f>
        <x:v>568.04</x:v>
      </x:c>
      <x:c r="H246" s="8" t="n">
        <x:f>G246-D246</x:f>
        <x:v>284.02</x:v>
      </x:c>
      <x:c r="I246" s="1" t="str">
        <x:f>IF(H246&gt;0,"Overbilled","Shortfall")</x:f>
        <x:v>Overbilled</x:v>
      </x:c>
      <x:c r="J246" s="7"/>
      <x:c r="K246" s="7" t="str">
        <x:v>Open</x:v>
      </x:c>
      <x:c r="L246" s="7"/>
    </x:row>
    <x:row r="247" ht="21" customHeight="1">
      <x:c r="A247" s="1" t="str">
        <x:f>Source!A241</x:f>
        <x:v>C0007647</x:v>
      </x:c>
      <x:c r="B247" s="1" t="str">
        <x:f>_xlfn.IFNA(VLOOKUP(Source!B241,Advertisers!$A$5:$B$34,2,FALSE),"Missing advertiser")</x:f>
        <x:v>Synthetic advertiser 20</x:v>
      </x:c>
      <x:c r="C247" s="1" t="n">
        <x:f>Source!C241</x:f>
        <x:v>20</x:v>
      </x:c>
      <x:c r="D247" s="8" t="n">
        <x:f>Source!D241/100</x:f>
        <x:v>284.02</x:v>
      </x:c>
      <x:c r="E247" s="8" t="n">
        <x:f>Source!E241/100</x:f>
        <x:v>568.04</x:v>
      </x:c>
      <x:c r="F247" s="8" t="n">
        <x:f>Source!F241/100</x:f>
        <x:v>0</x:v>
      </x:c>
      <x:c r="G247" s="8" t="n">
        <x:f>Source!G241/100</x:f>
        <x:v>568.04</x:v>
      </x:c>
      <x:c r="H247" s="8" t="n">
        <x:f>G247-D247</x:f>
        <x:v>284.02</x:v>
      </x:c>
      <x:c r="I247" s="1" t="str">
        <x:f>IF(H247&gt;0,"Overbilled","Shortfall")</x:f>
        <x:v>Overbilled</x:v>
      </x:c>
      <x:c r="J247" s="7"/>
      <x:c r="K247" s="7" t="str">
        <x:v>Open</x:v>
      </x:c>
      <x:c r="L247" s="7"/>
    </x:row>
    <x:row r="248" ht="21" customHeight="1">
      <x:c r="A248" s="1" t="str">
        <x:f>Source!A242</x:f>
        <x:v>C0004082</x:v>
      </x:c>
      <x:c r="B248" s="1" t="str">
        <x:f>_xlfn.IFNA(VLOOKUP(Source!B242,Advertisers!$A$5:$B$34,2,FALSE),"Missing advertiser")</x:f>
        <x:v>Synthetic advertiser 20</x:v>
      </x:c>
      <x:c r="C248" s="1" t="n">
        <x:f>Source!C242</x:f>
        <x:v>20</x:v>
      </x:c>
      <x:c r="D248" s="8" t="n">
        <x:f>Source!D242/100</x:f>
        <x:v>284.02</x:v>
      </x:c>
      <x:c r="E248" s="8" t="n">
        <x:f>Source!E242/100</x:f>
        <x:v>0</x:v>
      </x:c>
      <x:c r="F248" s="8" t="n">
        <x:f>Source!F242/100</x:f>
        <x:v>0</x:v>
      </x:c>
      <x:c r="G248" s="8" t="n">
        <x:f>Source!G242/100</x:f>
        <x:v>0</x:v>
      </x:c>
      <x:c r="H248" s="8" t="n">
        <x:f>G248-D248</x:f>
        <x:v>-284.02</x:v>
      </x:c>
      <x:c r="I248" s="1" t="str">
        <x:f>IF(H248&gt;0,"Overbilled","Shortfall")</x:f>
        <x:v>Shortfall</x:v>
      </x:c>
      <x:c r="J248" s="7"/>
      <x:c r="K248" s="7" t="str">
        <x:v>Open</x:v>
      </x:c>
      <x:c r="L248" s="7"/>
    </x:row>
    <x:row r="249" ht="21" customHeight="1">
      <x:c r="A249" s="1" t="str">
        <x:f>Source!A243</x:f>
        <x:v>C0015049</x:v>
      </x:c>
      <x:c r="B249" s="1" t="str">
        <x:f>_xlfn.IFNA(VLOOKUP(Source!B243,Advertisers!$A$5:$B$34,2,FALSE),"Missing advertiser")</x:f>
        <x:v>Synthetic advertiser 16</x:v>
      </x:c>
      <x:c r="C249" s="1" t="n">
        <x:f>Source!C243</x:f>
        <x:v>46</x:v>
      </x:c>
      <x:c r="D249" s="8" t="n">
        <x:f>Source!D243/100</x:f>
        <x:v>269.52</x:v>
      </x:c>
      <x:c r="E249" s="8" t="n">
        <x:f>Source!E243/100</x:f>
        <x:v>539.04</x:v>
      </x:c>
      <x:c r="F249" s="8" t="n">
        <x:f>Source!F243/100</x:f>
        <x:v>0</x:v>
      </x:c>
      <x:c r="G249" s="8" t="n">
        <x:f>Source!G243/100</x:f>
        <x:v>539.04</x:v>
      </x:c>
      <x:c r="H249" s="8" t="n">
        <x:f>G249-D249</x:f>
        <x:v>269.52</x:v>
      </x:c>
      <x:c r="I249" s="1" t="str">
        <x:f>IF(H249&gt;0,"Overbilled","Shortfall")</x:f>
        <x:v>Overbilled</x:v>
      </x:c>
      <x:c r="J249" s="7"/>
      <x:c r="K249" s="7" t="str">
        <x:v>Open</x:v>
      </x:c>
      <x:c r="L249" s="7"/>
    </x:row>
    <x:row r="250" ht="21" customHeight="1">
      <x:c r="A250" s="1" t="str">
        <x:f>Source!A244</x:f>
        <x:v>C0016769</x:v>
      </x:c>
      <x:c r="B250" s="1" t="str">
        <x:f>_xlfn.IFNA(VLOOKUP(Source!B244,Advertisers!$A$5:$B$34,2,FALSE),"Missing advertiser")</x:f>
        <x:v>Synthetic advertiser 16</x:v>
      </x:c>
      <x:c r="C250" s="1" t="n">
        <x:f>Source!C244</x:f>
        <x:v>46</x:v>
      </x:c>
      <x:c r="D250" s="8" t="n">
        <x:f>Source!D244/100</x:f>
        <x:v>269.52</x:v>
      </x:c>
      <x:c r="E250" s="8" t="n">
        <x:f>Source!E244/100</x:f>
        <x:v>539.04</x:v>
      </x:c>
      <x:c r="F250" s="8" t="n">
        <x:f>Source!F244/100</x:f>
        <x:v>0</x:v>
      </x:c>
      <x:c r="G250" s="8" t="n">
        <x:f>Source!G244/100</x:f>
        <x:v>539.04</x:v>
      </x:c>
      <x:c r="H250" s="8" t="n">
        <x:f>G250-D250</x:f>
        <x:v>269.52</x:v>
      </x:c>
      <x:c r="I250" s="1" t="str">
        <x:f>IF(H250&gt;0,"Overbilled","Shortfall")</x:f>
        <x:v>Overbilled</x:v>
      </x:c>
      <x:c r="J250" s="7"/>
      <x:c r="K250" s="7" t="str">
        <x:v>Open</x:v>
      </x:c>
      <x:c r="L250" s="7"/>
    </x:row>
    <x:row r="251" ht="21" customHeight="1">
      <x:c r="A251" s="1" t="str">
        <x:f>Source!A245</x:f>
        <x:v>C0002284</x:v>
      </x:c>
      <x:c r="B251" s="1" t="str">
        <x:f>_xlfn.IFNA(VLOOKUP(Source!B245,Advertisers!$A$5:$B$34,2,FALSE),"Missing advertiser")</x:f>
        <x:v>Synthetic advertiser 16</x:v>
      </x:c>
      <x:c r="C251" s="1" t="n">
        <x:f>Source!C245</x:f>
        <x:v>46</x:v>
      </x:c>
      <x:c r="D251" s="8" t="n">
        <x:f>Source!D245/100</x:f>
        <x:v>269.52</x:v>
      </x:c>
      <x:c r="E251" s="8" t="n">
        <x:f>Source!E245/100</x:f>
        <x:v>0</x:v>
      </x:c>
      <x:c r="F251" s="8" t="n">
        <x:f>Source!F245/100</x:f>
        <x:v>0</x:v>
      </x:c>
      <x:c r="G251" s="8" t="n">
        <x:f>Source!G245/100</x:f>
        <x:v>0</x:v>
      </x:c>
      <x:c r="H251" s="8" t="n">
        <x:f>G251-D251</x:f>
        <x:v>-269.52</x:v>
      </x:c>
      <x:c r="I251" s="1" t="str">
        <x:f>IF(H251&gt;0,"Overbilled","Shortfall")</x:f>
        <x:v>Shortfall</x:v>
      </x:c>
      <x:c r="J251" s="7"/>
      <x:c r="K251" s="7" t="str">
        <x:v>Open</x:v>
      </x:c>
      <x:c r="L251" s="7"/>
    </x:row>
    <x:row r="252" ht="21" customHeight="1">
      <x:c r="A252" s="1" t="str">
        <x:f>Source!A246</x:f>
        <x:v>C0003201</x:v>
      </x:c>
      <x:c r="B252" s="1" t="str">
        <x:f>_xlfn.IFNA(VLOOKUP(Source!B246,Advertisers!$A$5:$B$34,2,FALSE),"Missing advertiser")</x:f>
        <x:v>Synthetic advertiser 16</x:v>
      </x:c>
      <x:c r="C252" s="1" t="n">
        <x:f>Source!C246</x:f>
        <x:v>46</x:v>
      </x:c>
      <x:c r="D252" s="8" t="n">
        <x:f>Source!D246/100</x:f>
        <x:v>269.52</x:v>
      </x:c>
      <x:c r="E252" s="8" t="n">
        <x:f>Source!E246/100</x:f>
        <x:v>539.04</x:v>
      </x:c>
      <x:c r="F252" s="8" t="n">
        <x:f>Source!F246/100</x:f>
        <x:v>0</x:v>
      </x:c>
      <x:c r="G252" s="8" t="n">
        <x:f>Source!G246/100</x:f>
        <x:v>539.04</x:v>
      </x:c>
      <x:c r="H252" s="8" t="n">
        <x:f>G252-D252</x:f>
        <x:v>269.52</x:v>
      </x:c>
      <x:c r="I252" s="1" t="str">
        <x:f>IF(H252&gt;0,"Overbilled","Shortfall")</x:f>
        <x:v>Overbilled</x:v>
      </x:c>
      <x:c r="J252" s="7"/>
      <x:c r="K252" s="7" t="str">
        <x:v>Open</x:v>
      </x:c>
      <x:c r="L252" s="7"/>
    </x:row>
    <x:row r="253" ht="21" customHeight="1">
      <x:c r="A253" s="1" t="str">
        <x:f>Source!A247</x:f>
        <x:v>C0011764</x:v>
      </x:c>
      <x:c r="B253" s="1" t="str">
        <x:f>_xlfn.IFNA(VLOOKUP(Source!B247,Advertisers!$A$5:$B$34,2,FALSE),"Missing advertiser")</x:f>
        <x:v>Synthetic advertiser 16</x:v>
      </x:c>
      <x:c r="C253" s="1" t="n">
        <x:f>Source!C247</x:f>
        <x:v>46</x:v>
      </x:c>
      <x:c r="D253" s="8" t="n">
        <x:f>Source!D247/100</x:f>
        <x:v>269.52</x:v>
      </x:c>
      <x:c r="E253" s="8" t="n">
        <x:f>Source!E247/100</x:f>
        <x:v>0</x:v>
      </x:c>
      <x:c r="F253" s="8" t="n">
        <x:f>Source!F247/100</x:f>
        <x:v>0</x:v>
      </x:c>
      <x:c r="G253" s="8" t="n">
        <x:f>Source!G247/100</x:f>
        <x:v>0</x:v>
      </x:c>
      <x:c r="H253" s="8" t="n">
        <x:f>G253-D253</x:f>
        <x:v>-269.52</x:v>
      </x:c>
      <x:c r="I253" s="1" t="str">
        <x:f>IF(H253&gt;0,"Overbilled","Shortfall")</x:f>
        <x:v>Shortfall</x:v>
      </x:c>
      <x:c r="J253" s="7"/>
      <x:c r="K253" s="7" t="str">
        <x:v>Open</x:v>
      </x:c>
      <x:c r="L253" s="7"/>
    </x:row>
    <x:row r="254" ht="21" customHeight="1">
      <x:c r="A254" s="1" t="str">
        <x:f>Source!A248</x:f>
        <x:v>C0006398</x:v>
      </x:c>
      <x:c r="B254" s="1" t="str">
        <x:f>_xlfn.IFNA(VLOOKUP(Source!B248,Advertisers!$A$5:$B$34,2,FALSE),"Missing advertiser")</x:f>
        <x:v>Synthetic advertiser 16</x:v>
      </x:c>
      <x:c r="C254" s="1" t="n">
        <x:f>Source!C248</x:f>
        <x:v>46</x:v>
      </x:c>
      <x:c r="D254" s="8" t="n">
        <x:f>Source!D248/100</x:f>
        <x:v>269.52</x:v>
      </x:c>
      <x:c r="E254" s="8" t="n">
        <x:f>Source!E248/100</x:f>
        <x:v>0</x:v>
      </x:c>
      <x:c r="F254" s="8" t="n">
        <x:f>Source!F248/100</x:f>
        <x:v>0</x:v>
      </x:c>
      <x:c r="G254" s="8" t="n">
        <x:f>Source!G248/100</x:f>
        <x:v>0</x:v>
      </x:c>
      <x:c r="H254" s="8" t="n">
        <x:f>G254-D254</x:f>
        <x:v>-269.52</x:v>
      </x:c>
      <x:c r="I254" s="1" t="str">
        <x:f>IF(H254&gt;0,"Overbilled","Shortfall")</x:f>
        <x:v>Shortfall</x:v>
      </x:c>
      <x:c r="J254" s="7"/>
      <x:c r="K254" s="7" t="str">
        <x:v>Open</x:v>
      </x:c>
      <x:c r="L254" s="7"/>
    </x:row>
    <x:row r="255" ht="21" customHeight="1">
      <x:c r="A255" s="1" t="str">
        <x:f>Source!A249</x:f>
        <x:v>C0000912</x:v>
      </x:c>
      <x:c r="B255" s="1" t="str">
        <x:f>_xlfn.IFNA(VLOOKUP(Source!B249,Advertisers!$A$5:$B$34,2,FALSE),"Missing advertiser")</x:f>
        <x:v>Synthetic advertiser 16</x:v>
      </x:c>
      <x:c r="C255" s="1" t="n">
        <x:f>Source!C249</x:f>
        <x:v>46</x:v>
      </x:c>
      <x:c r="D255" s="8" t="n">
        <x:f>Source!D249/100</x:f>
        <x:v>269.52</x:v>
      </x:c>
      <x:c r="E255" s="8" t="n">
        <x:f>Source!E249/100</x:f>
        <x:v>539.04</x:v>
      </x:c>
      <x:c r="F255" s="8" t="n">
        <x:f>Source!F249/100</x:f>
        <x:v>0</x:v>
      </x:c>
      <x:c r="G255" s="8" t="n">
        <x:f>Source!G249/100</x:f>
        <x:v>539.04</x:v>
      </x:c>
      <x:c r="H255" s="8" t="n">
        <x:f>G255-D255</x:f>
        <x:v>269.52</x:v>
      </x:c>
      <x:c r="I255" s="1" t="str">
        <x:f>IF(H255&gt;0,"Overbilled","Shortfall")</x:f>
        <x:v>Overbilled</x:v>
      </x:c>
      <x:c r="J255" s="7"/>
      <x:c r="K255" s="7" t="str">
        <x:v>Open</x:v>
      </x:c>
      <x:c r="L255" s="7"/>
    </x:row>
    <x:row r="256" ht="21" customHeight="1">
      <x:c r="A256" s="1" t="str">
        <x:f>Source!A250</x:f>
        <x:v>C0005377</x:v>
      </x:c>
      <x:c r="B256" s="1" t="str">
        <x:f>_xlfn.IFNA(VLOOKUP(Source!B250,Advertisers!$A$5:$B$34,2,FALSE),"Missing advertiser")</x:f>
        <x:v>Synthetic advertiser 16</x:v>
      </x:c>
      <x:c r="C256" s="1" t="n">
        <x:f>Source!C250</x:f>
        <x:v>46</x:v>
      </x:c>
      <x:c r="D256" s="8" t="n">
        <x:f>Source!D250/100</x:f>
        <x:v>269.52</x:v>
      </x:c>
      <x:c r="E256" s="8" t="n">
        <x:f>Source!E250/100</x:f>
        <x:v>0</x:v>
      </x:c>
      <x:c r="F256" s="8" t="n">
        <x:f>Source!F250/100</x:f>
        <x:v>0</x:v>
      </x:c>
      <x:c r="G256" s="8" t="n">
        <x:f>Source!G250/100</x:f>
        <x:v>0</x:v>
      </x:c>
      <x:c r="H256" s="8" t="n">
        <x:f>G256-D256</x:f>
        <x:v>-269.52</x:v>
      </x:c>
      <x:c r="I256" s="1" t="str">
        <x:f>IF(H256&gt;0,"Overbilled","Shortfall")</x:f>
        <x:v>Shortfall</x:v>
      </x:c>
      <x:c r="J256" s="7"/>
      <x:c r="K256" s="7" t="str">
        <x:v>Open</x:v>
      </x:c>
      <x:c r="L256" s="7"/>
    </x:row>
    <x:row r="257" ht="21" customHeight="1">
      <x:c r="A257" s="1" t="str">
        <x:f>Source!A251</x:f>
        <x:v>C0010407</x:v>
      </x:c>
      <x:c r="B257" s="1" t="str">
        <x:f>_xlfn.IFNA(VLOOKUP(Source!B251,Advertisers!$A$5:$B$34,2,FALSE),"Missing advertiser")</x:f>
        <x:v>Synthetic advertiser 9</x:v>
      </x:c>
      <x:c r="C257" s="1" t="n">
        <x:f>Source!C251</x:f>
        <x:v>99</x:v>
      </x:c>
      <x:c r="D257" s="8" t="n">
        <x:f>Source!D251/100</x:f>
        <x:v>267.7</x:v>
      </x:c>
      <x:c r="E257" s="8" t="n">
        <x:f>Source!E251/100</x:f>
        <x:v>535.4</x:v>
      </x:c>
      <x:c r="F257" s="8" t="n">
        <x:f>Source!F251/100</x:f>
        <x:v>0</x:v>
      </x:c>
      <x:c r="G257" s="8" t="n">
        <x:f>Source!G251/100</x:f>
        <x:v>535.4</x:v>
      </x:c>
      <x:c r="H257" s="8" t="n">
        <x:f>G257-D257</x:f>
        <x:v>267.7</x:v>
      </x:c>
      <x:c r="I257" s="1" t="str">
        <x:f>IF(H257&gt;0,"Overbilled","Shortfall")</x:f>
        <x:v>Overbilled</x:v>
      </x:c>
      <x:c r="J257" s="7"/>
      <x:c r="K257" s="7" t="str">
        <x:v>Open</x:v>
      </x:c>
      <x:c r="L257" s="7"/>
    </x:row>
    <x:row r="258" ht="21" customHeight="1">
      <x:c r="A258" s="1" t="str">
        <x:f>Source!A252</x:f>
        <x:v>C0016496</x:v>
      </x:c>
      <x:c r="B258" s="1" t="str">
        <x:f>_xlfn.IFNA(VLOOKUP(Source!B252,Advertisers!$A$5:$B$34,2,FALSE),"Missing advertiser")</x:f>
        <x:v>Synthetic advertiser 9</x:v>
      </x:c>
      <x:c r="C258" s="1" t="n">
        <x:f>Source!C252</x:f>
        <x:v>99</x:v>
      </x:c>
      <x:c r="D258" s="8" t="n">
        <x:f>Source!D252/100</x:f>
        <x:v>267.7</x:v>
      </x:c>
      <x:c r="E258" s="8" t="n">
        <x:f>Source!E252/100</x:f>
        <x:v>0</x:v>
      </x:c>
      <x:c r="F258" s="8" t="n">
        <x:f>Source!F252/100</x:f>
        <x:v>0</x:v>
      </x:c>
      <x:c r="G258" s="8" t="n">
        <x:f>Source!G252/100</x:f>
        <x:v>0</x:v>
      </x:c>
      <x:c r="H258" s="8" t="n">
        <x:f>G258-D258</x:f>
        <x:v>-267.7</x:v>
      </x:c>
      <x:c r="I258" s="1" t="str">
        <x:f>IF(H258&gt;0,"Overbilled","Shortfall")</x:f>
        <x:v>Shortfall</x:v>
      </x:c>
      <x:c r="J258" s="7"/>
      <x:c r="K258" s="7" t="str">
        <x:v>Open</x:v>
      </x:c>
      <x:c r="L258" s="7"/>
    </x:row>
    <x:row r="259" ht="21" customHeight="1">
      <x:c r="A259" s="1" t="str">
        <x:f>Source!A253</x:f>
        <x:v>C0001265</x:v>
      </x:c>
      <x:c r="B259" s="1" t="str">
        <x:f>_xlfn.IFNA(VLOOKUP(Source!B253,Advertisers!$A$5:$B$34,2,FALSE),"Missing advertiser")</x:f>
        <x:v>Synthetic advertiser 9</x:v>
      </x:c>
      <x:c r="C259" s="1" t="n">
        <x:f>Source!C253</x:f>
        <x:v>99</x:v>
      </x:c>
      <x:c r="D259" s="8" t="n">
        <x:f>Source!D253/100</x:f>
        <x:v>0</x:v>
      </x:c>
      <x:c r="E259" s="8" t="n">
        <x:f>Source!E253/100</x:f>
        <x:v>267.7</x:v>
      </x:c>
      <x:c r="F259" s="8" t="n">
        <x:f>Source!F253/100</x:f>
        <x:v>0</x:v>
      </x:c>
      <x:c r="G259" s="8" t="n">
        <x:f>Source!G253/100</x:f>
        <x:v>267.7</x:v>
      </x:c>
      <x:c r="H259" s="8" t="n">
        <x:f>G259-D259</x:f>
        <x:v>267.7</x:v>
      </x:c>
      <x:c r="I259" s="1" t="str">
        <x:f>IF(H259&gt;0,"Overbilled","Shortfall")</x:f>
        <x:v>Overbilled</x:v>
      </x:c>
      <x:c r="J259" s="7"/>
      <x:c r="K259" s="7" t="str">
        <x:v>Open</x:v>
      </x:c>
      <x:c r="L259" s="7"/>
    </x:row>
    <x:row r="260" ht="21" customHeight="1">
      <x:c r="A260" s="1" t="str">
        <x:f>Source!A254</x:f>
        <x:v>C0003714</x:v>
      </x:c>
      <x:c r="B260" s="1" t="str">
        <x:f>_xlfn.IFNA(VLOOKUP(Source!B254,Advertisers!$A$5:$B$34,2,FALSE),"Missing advertiser")</x:f>
        <x:v>Synthetic advertiser 9</x:v>
      </x:c>
      <x:c r="C260" s="1" t="n">
        <x:f>Source!C254</x:f>
        <x:v>99</x:v>
      </x:c>
      <x:c r="D260" s="8" t="n">
        <x:f>Source!D254/100</x:f>
        <x:v>267.7</x:v>
      </x:c>
      <x:c r="E260" s="8" t="n">
        <x:f>Source!E254/100</x:f>
        <x:v>0</x:v>
      </x:c>
      <x:c r="F260" s="8" t="n">
        <x:f>Source!F254/100</x:f>
        <x:v>0</x:v>
      </x:c>
      <x:c r="G260" s="8" t="n">
        <x:f>Source!G254/100</x:f>
        <x:v>0</x:v>
      </x:c>
      <x:c r="H260" s="8" t="n">
        <x:f>G260-D260</x:f>
        <x:v>-267.7</x:v>
      </x:c>
      <x:c r="I260" s="1" t="str">
        <x:f>IF(H260&gt;0,"Overbilled","Shortfall")</x:f>
        <x:v>Shortfall</x:v>
      </x:c>
      <x:c r="J260" s="7"/>
      <x:c r="K260" s="7" t="str">
        <x:v>Open</x:v>
      </x:c>
      <x:c r="L260" s="7"/>
    </x:row>
    <x:row r="261" ht="21" customHeight="1">
      <x:c r="A261" s="1" t="str">
        <x:f>Source!A255</x:f>
        <x:v>C0008820</x:v>
      </x:c>
      <x:c r="B261" s="1" t="str">
        <x:f>_xlfn.IFNA(VLOOKUP(Source!B255,Advertisers!$A$5:$B$34,2,FALSE),"Missing advertiser")</x:f>
        <x:v>Synthetic advertiser 9</x:v>
      </x:c>
      <x:c r="C261" s="1" t="n">
        <x:f>Source!C255</x:f>
        <x:v>99</x:v>
      </x:c>
      <x:c r="D261" s="8" t="n">
        <x:f>Source!D255/100</x:f>
        <x:v>267.7</x:v>
      </x:c>
      <x:c r="E261" s="8" t="n">
        <x:f>Source!E255/100</x:f>
        <x:v>535.4</x:v>
      </x:c>
      <x:c r="F261" s="8" t="n">
        <x:f>Source!F255/100</x:f>
        <x:v>0</x:v>
      </x:c>
      <x:c r="G261" s="8" t="n">
        <x:f>Source!G255/100</x:f>
        <x:v>535.4</x:v>
      </x:c>
      <x:c r="H261" s="8" t="n">
        <x:f>G261-D261</x:f>
        <x:v>267.7</x:v>
      </x:c>
      <x:c r="I261" s="1" t="str">
        <x:f>IF(H261&gt;0,"Overbilled","Shortfall")</x:f>
        <x:v>Overbilled</x:v>
      </x:c>
      <x:c r="J261" s="7"/>
      <x:c r="K261" s="7" t="str">
        <x:v>Open</x:v>
      </x:c>
      <x:c r="L261" s="7"/>
    </x:row>
    <x:row r="262" ht="21" customHeight="1">
      <x:c r="A262" s="1" t="str">
        <x:f>Source!A256</x:f>
        <x:v>C0006766</x:v>
      </x:c>
      <x:c r="B262" s="1" t="str">
        <x:f>_xlfn.IFNA(VLOOKUP(Source!B256,Advertisers!$A$5:$B$34,2,FALSE),"Missing advertiser")</x:f>
        <x:v>Synthetic advertiser 11</x:v>
      </x:c>
      <x:c r="C262" s="1" t="n">
        <x:f>Source!C256</x:f>
        <x:v>41</x:v>
      </x:c>
      <x:c r="D262" s="8" t="n">
        <x:f>Source!D256/100</x:f>
        <x:v>262.68</x:v>
      </x:c>
      <x:c r="E262" s="8" t="n">
        <x:f>Source!E256/100</x:f>
        <x:v>0</x:v>
      </x:c>
      <x:c r="F262" s="8" t="n">
        <x:f>Source!F256/100</x:f>
        <x:v>0</x:v>
      </x:c>
      <x:c r="G262" s="8" t="n">
        <x:f>Source!G256/100</x:f>
        <x:v>0</x:v>
      </x:c>
      <x:c r="H262" s="8" t="n">
        <x:f>G262-D262</x:f>
        <x:v>-262.68</x:v>
      </x:c>
      <x:c r="I262" s="1" t="str">
        <x:f>IF(H262&gt;0,"Overbilled","Shortfall")</x:f>
        <x:v>Shortfall</x:v>
      </x:c>
      <x:c r="J262" s="7"/>
      <x:c r="K262" s="7" t="str">
        <x:v>Open</x:v>
      </x:c>
      <x:c r="L262" s="7"/>
    </x:row>
    <x:row r="263" ht="21" customHeight="1">
      <x:c r="A263" s="1" t="str">
        <x:f>Source!A257</x:f>
        <x:v>C0015158</x:v>
      </x:c>
      <x:c r="B263" s="1" t="str">
        <x:f>_xlfn.IFNA(VLOOKUP(Source!B257,Advertisers!$A$5:$B$34,2,FALSE),"Missing advertiser")</x:f>
        <x:v>Synthetic advertiser 11</x:v>
      </x:c>
      <x:c r="C263" s="1" t="n">
        <x:f>Source!C257</x:f>
        <x:v>41</x:v>
      </x:c>
      <x:c r="D263" s="8" t="n">
        <x:f>Source!D257/100</x:f>
        <x:v>262.68</x:v>
      </x:c>
      <x:c r="E263" s="8" t="n">
        <x:f>Source!E257/100</x:f>
        <x:v>525.36</x:v>
      </x:c>
      <x:c r="F263" s="8" t="n">
        <x:f>Source!F257/100</x:f>
        <x:v>0</x:v>
      </x:c>
      <x:c r="G263" s="8" t="n">
        <x:f>Source!G257/100</x:f>
        <x:v>525.36</x:v>
      </x:c>
      <x:c r="H263" s="8" t="n">
        <x:f>G263-D263</x:f>
        <x:v>262.68</x:v>
      </x:c>
      <x:c r="I263" s="1" t="str">
        <x:f>IF(H263&gt;0,"Overbilled","Shortfall")</x:f>
        <x:v>Overbilled</x:v>
      </x:c>
      <x:c r="J263" s="7"/>
      <x:c r="K263" s="7" t="str">
        <x:v>Open</x:v>
      </x:c>
      <x:c r="L263" s="7"/>
    </x:row>
    <x:row r="264" ht="21" customHeight="1">
      <x:c r="A264" s="1" t="str">
        <x:f>Source!A258</x:f>
        <x:v>C0008735</x:v>
      </x:c>
      <x:c r="B264" s="1" t="str">
        <x:f>_xlfn.IFNA(VLOOKUP(Source!B258,Advertisers!$A$5:$B$34,2,FALSE),"Missing advertiser")</x:f>
        <x:v>Synthetic advertiser 11</x:v>
      </x:c>
      <x:c r="C264" s="1" t="n">
        <x:f>Source!C258</x:f>
        <x:v>41</x:v>
      </x:c>
      <x:c r="D264" s="8" t="n">
        <x:f>Source!D258/100</x:f>
        <x:v>262.68</x:v>
      </x:c>
      <x:c r="E264" s="8" t="n">
        <x:f>Source!E258/100</x:f>
        <x:v>0</x:v>
      </x:c>
      <x:c r="F264" s="8" t="n">
        <x:f>Source!F258/100</x:f>
        <x:v>0</x:v>
      </x:c>
      <x:c r="G264" s="8" t="n">
        <x:f>Source!G258/100</x:f>
        <x:v>0</x:v>
      </x:c>
      <x:c r="H264" s="8" t="n">
        <x:f>G264-D264</x:f>
        <x:v>-262.68</x:v>
      </x:c>
      <x:c r="I264" s="1" t="str">
        <x:f>IF(H264&gt;0,"Overbilled","Shortfall")</x:f>
        <x:v>Shortfall</x:v>
      </x:c>
      <x:c r="J264" s="7"/>
      <x:c r="K264" s="7" t="str">
        <x:v>Open</x:v>
      </x:c>
      <x:c r="L264" s="7"/>
    </x:row>
    <x:row r="265" ht="21" customHeight="1">
      <x:c r="A265" s="1" t="str">
        <x:f>Source!A259</x:f>
        <x:v>C0013695</x:v>
      </x:c>
      <x:c r="B265" s="1" t="str">
        <x:f>_xlfn.IFNA(VLOOKUP(Source!B259,Advertisers!$A$5:$B$34,2,FALSE),"Missing advertiser")</x:f>
        <x:v>Synthetic advertiser 11</x:v>
      </x:c>
      <x:c r="C265" s="1" t="n">
        <x:f>Source!C259</x:f>
        <x:v>41</x:v>
      </x:c>
      <x:c r="D265" s="8" t="n">
        <x:f>Source!D259/100</x:f>
        <x:v>262.68</x:v>
      </x:c>
      <x:c r="E265" s="8" t="n">
        <x:f>Source!E259/100</x:f>
        <x:v>525.36</x:v>
      </x:c>
      <x:c r="F265" s="8" t="n">
        <x:f>Source!F259/100</x:f>
        <x:v>0</x:v>
      </x:c>
      <x:c r="G265" s="8" t="n">
        <x:f>Source!G259/100</x:f>
        <x:v>525.36</x:v>
      </x:c>
      <x:c r="H265" s="8" t="n">
        <x:f>G265-D265</x:f>
        <x:v>262.68</x:v>
      </x:c>
      <x:c r="I265" s="1" t="str">
        <x:f>IF(H265&gt;0,"Overbilled","Shortfall")</x:f>
        <x:v>Overbilled</x:v>
      </x:c>
      <x:c r="J265" s="7"/>
      <x:c r="K265" s="7" t="str">
        <x:v>Open</x:v>
      </x:c>
      <x:c r="L265" s="7"/>
    </x:row>
    <x:row r="266" ht="21" customHeight="1">
      <x:c r="A266" s="1" t="str">
        <x:f>Source!A260</x:f>
        <x:v>C0013989</x:v>
      </x:c>
      <x:c r="B266" s="1" t="str">
        <x:f>_xlfn.IFNA(VLOOKUP(Source!B260,Advertisers!$A$5:$B$34,2,FALSE),"Missing advertiser")</x:f>
        <x:v>Synthetic advertiser 11</x:v>
      </x:c>
      <x:c r="C266" s="1" t="n">
        <x:f>Source!C260</x:f>
        <x:v>41</x:v>
      </x:c>
      <x:c r="D266" s="8" t="n">
        <x:f>Source!D260/100</x:f>
        <x:v>262.68</x:v>
      </x:c>
      <x:c r="E266" s="8" t="n">
        <x:f>Source!E260/100</x:f>
        <x:v>0</x:v>
      </x:c>
      <x:c r="F266" s="8" t="n">
        <x:f>Source!F260/100</x:f>
        <x:v>0</x:v>
      </x:c>
      <x:c r="G266" s="8" t="n">
        <x:f>Source!G260/100</x:f>
        <x:v>0</x:v>
      </x:c>
      <x:c r="H266" s="8" t="n">
        <x:f>G266-D266</x:f>
        <x:v>-262.68</x:v>
      </x:c>
      <x:c r="I266" s="1" t="str">
        <x:f>IF(H266&gt;0,"Overbilled","Shortfall")</x:f>
        <x:v>Shortfall</x:v>
      </x:c>
      <x:c r="J266" s="7"/>
      <x:c r="K266" s="7" t="str">
        <x:v>Open</x:v>
      </x:c>
      <x:c r="L266" s="7"/>
    </x:row>
    <x:row r="267" ht="21" customHeight="1">
      <x:c r="A267" s="1" t="str">
        <x:f>Source!A261</x:f>
        <x:v>C0001979</x:v>
      </x:c>
      <x:c r="B267" s="1" t="str">
        <x:f>_xlfn.IFNA(VLOOKUP(Source!B261,Advertisers!$A$5:$B$34,2,FALSE),"Missing advertiser")</x:f>
        <x:v>Synthetic advertiser 11</x:v>
      </x:c>
      <x:c r="C267" s="1" t="n">
        <x:f>Source!C261</x:f>
        <x:v>41</x:v>
      </x:c>
      <x:c r="D267" s="8" t="n">
        <x:f>Source!D261/100</x:f>
        <x:v>262.68</x:v>
      </x:c>
      <x:c r="E267" s="8" t="n">
        <x:f>Source!E261/100</x:f>
        <x:v>0</x:v>
      </x:c>
      <x:c r="F267" s="8" t="n">
        <x:f>Source!F261/100</x:f>
        <x:v>0</x:v>
      </x:c>
      <x:c r="G267" s="8" t="n">
        <x:f>Source!G261/100</x:f>
        <x:v>0</x:v>
      </x:c>
      <x:c r="H267" s="8" t="n">
        <x:f>G267-D267</x:f>
        <x:v>-262.68</x:v>
      </x:c>
      <x:c r="I267" s="1" t="str">
        <x:f>IF(H267&gt;0,"Overbilled","Shortfall")</x:f>
        <x:v>Shortfall</x:v>
      </x:c>
      <x:c r="J267" s="7"/>
      <x:c r="K267" s="7" t="str">
        <x:v>Open</x:v>
      </x:c>
      <x:c r="L267" s="7"/>
    </x:row>
    <x:row r="268" ht="21" customHeight="1">
      <x:c r="A268" s="1" t="str">
        <x:f>Source!A262</x:f>
        <x:v>C0017868</x:v>
      </x:c>
      <x:c r="B268" s="1" t="str">
        <x:f>_xlfn.IFNA(VLOOKUP(Source!B262,Advertisers!$A$5:$B$34,2,FALSE),"Missing advertiser")</x:f>
        <x:v>Synthetic advertiser 6</x:v>
      </x:c>
      <x:c r="C268" s="1" t="n">
        <x:f>Source!C262</x:f>
        <x:v>66</x:v>
      </x:c>
      <x:c r="D268" s="8" t="n">
        <x:f>Source!D262/100</x:f>
        <x:v>249.13</x:v>
      </x:c>
      <x:c r="E268" s="8" t="n">
        <x:f>Source!E262/100</x:f>
        <x:v>498.26</x:v>
      </x:c>
      <x:c r="F268" s="8" t="n">
        <x:f>Source!F262/100</x:f>
        <x:v>0</x:v>
      </x:c>
      <x:c r="G268" s="8" t="n">
        <x:f>Source!G262/100</x:f>
        <x:v>498.26</x:v>
      </x:c>
      <x:c r="H268" s="8" t="n">
        <x:f>G268-D268</x:f>
        <x:v>249.13</x:v>
      </x:c>
      <x:c r="I268" s="1" t="str">
        <x:f>IF(H268&gt;0,"Overbilled","Shortfall")</x:f>
        <x:v>Overbilled</x:v>
      </x:c>
      <x:c r="J268" s="7"/>
      <x:c r="K268" s="7" t="str">
        <x:v>Open</x:v>
      </x:c>
      <x:c r="L268" s="7"/>
    </x:row>
    <x:row r="269" ht="21" customHeight="1">
      <x:c r="A269" s="1" t="str">
        <x:f>Source!A263</x:f>
        <x:v>C0013951</x:v>
      </x:c>
      <x:c r="B269" s="1" t="str">
        <x:f>_xlfn.IFNA(VLOOKUP(Source!B263,Advertisers!$A$5:$B$34,2,FALSE),"Missing advertiser")</x:f>
        <x:v>Synthetic advertiser 6</x:v>
      </x:c>
      <x:c r="C269" s="1" t="n">
        <x:f>Source!C263</x:f>
        <x:v>66</x:v>
      </x:c>
      <x:c r="D269" s="8" t="n">
        <x:f>Source!D263/100</x:f>
        <x:v>249.13</x:v>
      </x:c>
      <x:c r="E269" s="8" t="n">
        <x:f>Source!E263/100</x:f>
        <x:v>498.26</x:v>
      </x:c>
      <x:c r="F269" s="8" t="n">
        <x:f>Source!F263/100</x:f>
        <x:v>0</x:v>
      </x:c>
      <x:c r="G269" s="8" t="n">
        <x:f>Source!G263/100</x:f>
        <x:v>498.26</x:v>
      </x:c>
      <x:c r="H269" s="8" t="n">
        <x:f>G269-D269</x:f>
        <x:v>249.13</x:v>
      </x:c>
      <x:c r="I269" s="1" t="str">
        <x:f>IF(H269&gt;0,"Overbilled","Shortfall")</x:f>
        <x:v>Overbilled</x:v>
      </x:c>
      <x:c r="J269" s="7"/>
      <x:c r="K269" s="7" t="str">
        <x:v>Open</x:v>
      </x:c>
      <x:c r="L269" s="7"/>
    </x:row>
    <x:row r="270" ht="21" customHeight="1">
      <x:c r="A270" s="1" t="str">
        <x:f>Source!A264</x:f>
        <x:v>C0001952</x:v>
      </x:c>
      <x:c r="B270" s="1" t="str">
        <x:f>_xlfn.IFNA(VLOOKUP(Source!B264,Advertisers!$A$5:$B$34,2,FALSE),"Missing advertiser")</x:f>
        <x:v>Synthetic advertiser 6</x:v>
      </x:c>
      <x:c r="C270" s="1" t="n">
        <x:f>Source!C264</x:f>
        <x:v>66</x:v>
      </x:c>
      <x:c r="D270" s="8" t="n">
        <x:f>Source!D264/100</x:f>
        <x:v>249.13</x:v>
      </x:c>
      <x:c r="E270" s="8" t="n">
        <x:f>Source!E264/100</x:f>
        <x:v>498.26</x:v>
      </x:c>
      <x:c r="F270" s="8" t="n">
        <x:f>Source!F264/100</x:f>
        <x:v>0</x:v>
      </x:c>
      <x:c r="G270" s="8" t="n">
        <x:f>Source!G264/100</x:f>
        <x:v>498.26</x:v>
      </x:c>
      <x:c r="H270" s="8" t="n">
        <x:f>G270-D270</x:f>
        <x:v>249.13</x:v>
      </x:c>
      <x:c r="I270" s="1" t="str">
        <x:f>IF(H270&gt;0,"Overbilled","Shortfall")</x:f>
        <x:v>Overbilled</x:v>
      </x:c>
      <x:c r="J270" s="7"/>
      <x:c r="K270" s="7" t="str">
        <x:v>Open</x:v>
      </x:c>
      <x:c r="L270" s="7"/>
    </x:row>
    <x:row r="271" ht="21" customHeight="1">
      <x:c r="A271" s="1" t="str">
        <x:f>Source!A265</x:f>
        <x:v>C0004946</x:v>
      </x:c>
      <x:c r="B271" s="1" t="str">
        <x:f>_xlfn.IFNA(VLOOKUP(Source!B265,Advertisers!$A$5:$B$34,2,FALSE),"Missing advertiser")</x:f>
        <x:v>Synthetic advertiser 6</x:v>
      </x:c>
      <x:c r="C271" s="1" t="n">
        <x:f>Source!C265</x:f>
        <x:v>66</x:v>
      </x:c>
      <x:c r="D271" s="8" t="n">
        <x:f>Source!D265/100</x:f>
        <x:v>249.13</x:v>
      </x:c>
      <x:c r="E271" s="8" t="n">
        <x:f>Source!E265/100</x:f>
        <x:v>498.26</x:v>
      </x:c>
      <x:c r="F271" s="8" t="n">
        <x:f>Source!F265/100</x:f>
        <x:v>0</x:v>
      </x:c>
      <x:c r="G271" s="8" t="n">
        <x:f>Source!G265/100</x:f>
        <x:v>498.26</x:v>
      </x:c>
      <x:c r="H271" s="8" t="n">
        <x:f>G271-D271</x:f>
        <x:v>249.13</x:v>
      </x:c>
      <x:c r="I271" s="1" t="str">
        <x:f>IF(H271&gt;0,"Overbilled","Shortfall")</x:f>
        <x:v>Overbilled</x:v>
      </x:c>
      <x:c r="J271" s="7"/>
      <x:c r="K271" s="7" t="str">
        <x:v>Open</x:v>
      </x:c>
      <x:c r="L271" s="7"/>
    </x:row>
    <x:row r="272" ht="21" customHeight="1">
      <x:c r="A272" s="1" t="str">
        <x:f>Source!A266</x:f>
        <x:v>C0003470</x:v>
      </x:c>
      <x:c r="B272" s="1" t="str">
        <x:f>_xlfn.IFNA(VLOOKUP(Source!B266,Advertisers!$A$5:$B$34,2,FALSE),"Missing advertiser")</x:f>
        <x:v>Synthetic advertiser 6</x:v>
      </x:c>
      <x:c r="C272" s="1" t="n">
        <x:f>Source!C266</x:f>
        <x:v>66</x:v>
      </x:c>
      <x:c r="D272" s="8" t="n">
        <x:f>Source!D266/100</x:f>
        <x:v>249.13</x:v>
      </x:c>
      <x:c r="E272" s="8" t="n">
        <x:f>Source!E266/100</x:f>
        <x:v>498.26</x:v>
      </x:c>
      <x:c r="F272" s="8" t="n">
        <x:f>Source!F266/100</x:f>
        <x:v>0</x:v>
      </x:c>
      <x:c r="G272" s="8" t="n">
        <x:f>Source!G266/100</x:f>
        <x:v>498.26</x:v>
      </x:c>
      <x:c r="H272" s="8" t="n">
        <x:f>G272-D272</x:f>
        <x:v>249.13</x:v>
      </x:c>
      <x:c r="I272" s="1" t="str">
        <x:f>IF(H272&gt;0,"Overbilled","Shortfall")</x:f>
        <x:v>Overbilled</x:v>
      </x:c>
      <x:c r="J272" s="7"/>
      <x:c r="K272" s="7" t="str">
        <x:v>Open</x:v>
      </x:c>
      <x:c r="L272" s="7"/>
    </x:row>
    <x:row r="273" ht="21" customHeight="1">
      <x:c r="A273" s="1" t="str">
        <x:f>Source!A267</x:f>
        <x:v>C0010073</x:v>
      </x:c>
      <x:c r="B273" s="1" t="str">
        <x:f>_xlfn.IFNA(VLOOKUP(Source!B267,Advertisers!$A$5:$B$34,2,FALSE),"Missing advertiser")</x:f>
        <x:v>Synthetic advertiser 6</x:v>
      </x:c>
      <x:c r="C273" s="1" t="n">
        <x:f>Source!C267</x:f>
        <x:v>66</x:v>
      </x:c>
      <x:c r="D273" s="8" t="n">
        <x:f>Source!D267/100</x:f>
        <x:v>249.13</x:v>
      </x:c>
      <x:c r="E273" s="8" t="n">
        <x:f>Source!E267/100</x:f>
        <x:v>498.26</x:v>
      </x:c>
      <x:c r="F273" s="8" t="n">
        <x:f>Source!F267/100</x:f>
        <x:v>0</x:v>
      </x:c>
      <x:c r="G273" s="8" t="n">
        <x:f>Source!G267/100</x:f>
        <x:v>498.26</x:v>
      </x:c>
      <x:c r="H273" s="8" t="n">
        <x:f>G273-D273</x:f>
        <x:v>249.13</x:v>
      </x:c>
      <x:c r="I273" s="1" t="str">
        <x:f>IF(H273&gt;0,"Overbilled","Shortfall")</x:f>
        <x:v>Overbilled</x:v>
      </x:c>
      <x:c r="J273" s="7"/>
      <x:c r="K273" s="7" t="str">
        <x:v>Open</x:v>
      </x:c>
      <x:c r="L273" s="7"/>
    </x:row>
    <x:row r="274" ht="21" customHeight="1">
      <x:c r="A274" s="1" t="str">
        <x:f>Source!A268</x:f>
        <x:v>C0007111</x:v>
      </x:c>
      <x:c r="B274" s="1" t="str">
        <x:f>_xlfn.IFNA(VLOOKUP(Source!B268,Advertisers!$A$5:$B$34,2,FALSE),"Missing advertiser")</x:f>
        <x:v>Synthetic advertiser 6</x:v>
      </x:c>
      <x:c r="C274" s="1" t="n">
        <x:f>Source!C268</x:f>
        <x:v>66</x:v>
      </x:c>
      <x:c r="D274" s="8" t="n">
        <x:f>Source!D268/100</x:f>
        <x:v>249.13</x:v>
      </x:c>
      <x:c r="E274" s="8" t="n">
        <x:f>Source!E268/100</x:f>
        <x:v>498.26</x:v>
      </x:c>
      <x:c r="F274" s="8" t="n">
        <x:f>Source!F268/100</x:f>
        <x:v>0</x:v>
      </x:c>
      <x:c r="G274" s="8" t="n">
        <x:f>Source!G268/100</x:f>
        <x:v>498.26</x:v>
      </x:c>
      <x:c r="H274" s="8" t="n">
        <x:f>G274-D274</x:f>
        <x:v>249.13</x:v>
      </x:c>
      <x:c r="I274" s="1" t="str">
        <x:f>IF(H274&gt;0,"Overbilled","Shortfall")</x:f>
        <x:v>Overbilled</x:v>
      </x:c>
      <x:c r="J274" s="7"/>
      <x:c r="K274" s="7" t="str">
        <x:v>Open</x:v>
      </x:c>
      <x:c r="L274" s="7"/>
    </x:row>
    <x:row r="275" ht="21" customHeight="1">
      <x:c r="A275" s="1" t="str">
        <x:f>Source!A269</x:f>
        <x:v>C0011807</x:v>
      </x:c>
      <x:c r="B275" s="1" t="str">
        <x:f>_xlfn.IFNA(VLOOKUP(Source!B269,Advertisers!$A$5:$B$34,2,FALSE),"Missing advertiser")</x:f>
        <x:v>Synthetic advertiser 2</x:v>
      </x:c>
      <x:c r="C275" s="1" t="n">
        <x:f>Source!C269</x:f>
        <x:v>92</x:v>
      </x:c>
      <x:c r="D275" s="8" t="n">
        <x:f>Source!D269/100</x:f>
        <x:v>249.04</x:v>
      </x:c>
      <x:c r="E275" s="8" t="n">
        <x:f>Source!E269/100</x:f>
        <x:v>0</x:v>
      </x:c>
      <x:c r="F275" s="8" t="n">
        <x:f>Source!F269/100</x:f>
        <x:v>0</x:v>
      </x:c>
      <x:c r="G275" s="8" t="n">
        <x:f>Source!G269/100</x:f>
        <x:v>0</x:v>
      </x:c>
      <x:c r="H275" s="8" t="n">
        <x:f>G275-D275</x:f>
        <x:v>-249.04</x:v>
      </x:c>
      <x:c r="I275" s="1" t="str">
        <x:f>IF(H275&gt;0,"Overbilled","Shortfall")</x:f>
        <x:v>Shortfall</x:v>
      </x:c>
      <x:c r="J275" s="7"/>
      <x:c r="K275" s="7" t="str">
        <x:v>Open</x:v>
      </x:c>
      <x:c r="L275" s="7"/>
    </x:row>
    <x:row r="276" ht="21" customHeight="1">
      <x:c r="A276" s="1" t="str">
        <x:f>Source!A270</x:f>
        <x:v>C0000496</x:v>
      </x:c>
      <x:c r="B276" s="1" t="str">
        <x:f>_xlfn.IFNA(VLOOKUP(Source!B270,Advertisers!$A$5:$B$34,2,FALSE),"Missing advertiser")</x:f>
        <x:v>Synthetic advertiser 2</x:v>
      </x:c>
      <x:c r="C276" s="1" t="n">
        <x:f>Source!C270</x:f>
        <x:v>92</x:v>
      </x:c>
      <x:c r="D276" s="8" t="n">
        <x:f>Source!D270/100</x:f>
        <x:v>249.04</x:v>
      </x:c>
      <x:c r="E276" s="8" t="n">
        <x:f>Source!E270/100</x:f>
        <x:v>0</x:v>
      </x:c>
      <x:c r="F276" s="8" t="n">
        <x:f>Source!F270/100</x:f>
        <x:v>0</x:v>
      </x:c>
      <x:c r="G276" s="8" t="n">
        <x:f>Source!G270/100</x:f>
        <x:v>0</x:v>
      </x:c>
      <x:c r="H276" s="8" t="n">
        <x:f>G276-D276</x:f>
        <x:v>-249.04</x:v>
      </x:c>
      <x:c r="I276" s="1" t="str">
        <x:f>IF(H276&gt;0,"Overbilled","Shortfall")</x:f>
        <x:v>Shortfall</x:v>
      </x:c>
      <x:c r="J276" s="7"/>
      <x:c r="K276" s="7" t="str">
        <x:v>Open</x:v>
      </x:c>
      <x:c r="L276" s="7"/>
    </x:row>
    <x:row r="277" ht="21" customHeight="1">
      <x:c r="A277" s="1" t="str">
        <x:f>Source!A271</x:f>
        <x:v>C0012305</x:v>
      </x:c>
      <x:c r="B277" s="1" t="str">
        <x:f>_xlfn.IFNA(VLOOKUP(Source!B271,Advertisers!$A$5:$B$34,2,FALSE),"Missing advertiser")</x:f>
        <x:v>Synthetic advertiser 2</x:v>
      </x:c>
      <x:c r="C277" s="1" t="n">
        <x:f>Source!C271</x:f>
        <x:v>92</x:v>
      </x:c>
      <x:c r="D277" s="8" t="n">
        <x:f>Source!D271/100</x:f>
        <x:v>249.04</x:v>
      </x:c>
      <x:c r="E277" s="8" t="n">
        <x:f>Source!E271/100</x:f>
        <x:v>498.08</x:v>
      </x:c>
      <x:c r="F277" s="8" t="n">
        <x:f>Source!F271/100</x:f>
        <x:v>0</x:v>
      </x:c>
      <x:c r="G277" s="8" t="n">
        <x:f>Source!G271/100</x:f>
        <x:v>498.08</x:v>
      </x:c>
      <x:c r="H277" s="8" t="n">
        <x:f>G277-D277</x:f>
        <x:v>249.04</x:v>
      </x:c>
      <x:c r="I277" s="1" t="str">
        <x:f>IF(H277&gt;0,"Overbilled","Shortfall")</x:f>
        <x:v>Overbilled</x:v>
      </x:c>
      <x:c r="J277" s="7"/>
      <x:c r="K277" s="7" t="str">
        <x:v>Open</x:v>
      </x:c>
      <x:c r="L277" s="7"/>
    </x:row>
    <x:row r="278" ht="21" customHeight="1">
      <x:c r="A278" s="1" t="str">
        <x:f>Source!A272</x:f>
        <x:v>C0001465</x:v>
      </x:c>
      <x:c r="B278" s="1" t="str">
        <x:f>_xlfn.IFNA(VLOOKUP(Source!B272,Advertisers!$A$5:$B$34,2,FALSE),"Missing advertiser")</x:f>
        <x:v>Synthetic advertiser 2</x:v>
      </x:c>
      <x:c r="C278" s="1" t="n">
        <x:f>Source!C272</x:f>
        <x:v>92</x:v>
      </x:c>
      <x:c r="D278" s="8" t="n">
        <x:f>Source!D272/100</x:f>
        <x:v>249.04</x:v>
      </x:c>
      <x:c r="E278" s="8" t="n">
        <x:f>Source!E272/100</x:f>
        <x:v>0</x:v>
      </x:c>
      <x:c r="F278" s="8" t="n">
        <x:f>Source!F272/100</x:f>
        <x:v>0</x:v>
      </x:c>
      <x:c r="G278" s="8" t="n">
        <x:f>Source!G272/100</x:f>
        <x:v>0</x:v>
      </x:c>
      <x:c r="H278" s="8" t="n">
        <x:f>G278-D278</x:f>
        <x:v>-249.04</x:v>
      </x:c>
      <x:c r="I278" s="1" t="str">
        <x:f>IF(H278&gt;0,"Overbilled","Shortfall")</x:f>
        <x:v>Shortfall</x:v>
      </x:c>
      <x:c r="J278" s="7"/>
      <x:c r="K278" s="7" t="str">
        <x:v>Open</x:v>
      </x:c>
      <x:c r="L278" s="7"/>
    </x:row>
    <x:row r="279" ht="21" customHeight="1">
      <x:c r="A279" s="1" t="str">
        <x:f>Source!A273</x:f>
        <x:v>C0003639</x:v>
      </x:c>
      <x:c r="B279" s="1" t="str">
        <x:f>_xlfn.IFNA(VLOOKUP(Source!B273,Advertisers!$A$5:$B$34,2,FALSE),"Missing advertiser")</x:f>
        <x:v>Synthetic advertiser 2</x:v>
      </x:c>
      <x:c r="C279" s="1" t="n">
        <x:f>Source!C273</x:f>
        <x:v>92</x:v>
      </x:c>
      <x:c r="D279" s="8" t="n">
        <x:f>Source!D273/100</x:f>
        <x:v>249.04</x:v>
      </x:c>
      <x:c r="E279" s="8" t="n">
        <x:f>Source!E273/100</x:f>
        <x:v>498.08</x:v>
      </x:c>
      <x:c r="F279" s="8" t="n">
        <x:f>Source!F273/100</x:f>
        <x:v>0</x:v>
      </x:c>
      <x:c r="G279" s="8" t="n">
        <x:f>Source!G273/100</x:f>
        <x:v>498.08</x:v>
      </x:c>
      <x:c r="H279" s="8" t="n">
        <x:f>G279-D279</x:f>
        <x:v>249.04</x:v>
      </x:c>
      <x:c r="I279" s="1" t="str">
        <x:f>IF(H279&gt;0,"Overbilled","Shortfall")</x:f>
        <x:v>Overbilled</x:v>
      </x:c>
      <x:c r="J279" s="7"/>
      <x:c r="K279" s="7" t="str">
        <x:v>Open</x:v>
      </x:c>
      <x:c r="L279" s="7"/>
    </x:row>
    <x:row r="280" ht="21" customHeight="1">
      <x:c r="A280" s="1" t="str">
        <x:f>Source!A274</x:f>
        <x:v>C0009762</x:v>
      </x:c>
      <x:c r="B280" s="1" t="str">
        <x:f>_xlfn.IFNA(VLOOKUP(Source!B274,Advertisers!$A$5:$B$34,2,FALSE),"Missing advertiser")</x:f>
        <x:v>Synthetic advertiser 2</x:v>
      </x:c>
      <x:c r="C280" s="1" t="n">
        <x:f>Source!C274</x:f>
        <x:v>92</x:v>
      </x:c>
      <x:c r="D280" s="8" t="n">
        <x:f>Source!D274/100</x:f>
        <x:v>249.04</x:v>
      </x:c>
      <x:c r="E280" s="8" t="n">
        <x:f>Source!E274/100</x:f>
        <x:v>498.08</x:v>
      </x:c>
      <x:c r="F280" s="8" t="n">
        <x:f>Source!F274/100</x:f>
        <x:v>0</x:v>
      </x:c>
      <x:c r="G280" s="8" t="n">
        <x:f>Source!G274/100</x:f>
        <x:v>498.08</x:v>
      </x:c>
      <x:c r="H280" s="8" t="n">
        <x:f>G280-D280</x:f>
        <x:v>249.04</x:v>
      </x:c>
      <x:c r="I280" s="1" t="str">
        <x:f>IF(H280&gt;0,"Overbilled","Shortfall")</x:f>
        <x:v>Overbilled</x:v>
      </x:c>
      <x:c r="J280" s="7"/>
      <x:c r="K280" s="7" t="str">
        <x:v>Open</x:v>
      </x:c>
      <x:c r="L280" s="7"/>
    </x:row>
    <x:row r="281" ht="21" customHeight="1">
      <x:c r="A281" s="1" t="str">
        <x:f>Source!A275</x:f>
        <x:v>C0012353</x:v>
      </x:c>
      <x:c r="B281" s="1" t="str">
        <x:f>_xlfn.IFNA(VLOOKUP(Source!B275,Advertisers!$A$5:$B$34,2,FALSE),"Missing advertiser")</x:f>
        <x:v>Synthetic advertiser 2</x:v>
      </x:c>
      <x:c r="C281" s="1" t="n">
        <x:f>Source!C275</x:f>
        <x:v>62</x:v>
      </x:c>
      <x:c r="D281" s="8" t="n">
        <x:f>Source!D275/100</x:f>
        <x:v>248.9</x:v>
      </x:c>
      <x:c r="E281" s="8" t="n">
        <x:f>Source!E275/100</x:f>
        <x:v>0</x:v>
      </x:c>
      <x:c r="F281" s="8" t="n">
        <x:f>Source!F275/100</x:f>
        <x:v>0</x:v>
      </x:c>
      <x:c r="G281" s="8" t="n">
        <x:f>Source!G275/100</x:f>
        <x:v>0</x:v>
      </x:c>
      <x:c r="H281" s="8" t="n">
        <x:f>G281-D281</x:f>
        <x:v>-248.9</x:v>
      </x:c>
      <x:c r="I281" s="1" t="str">
        <x:f>IF(H281&gt;0,"Overbilled","Shortfall")</x:f>
        <x:v>Shortfall</x:v>
      </x:c>
      <x:c r="J281" s="7"/>
      <x:c r="K281" s="7" t="str">
        <x:v>Open</x:v>
      </x:c>
      <x:c r="L281" s="7"/>
    </x:row>
    <x:row r="282" ht="21" customHeight="1">
      <x:c r="A282" s="1" t="str">
        <x:f>Source!A276</x:f>
        <x:v>C0013582</x:v>
      </x:c>
      <x:c r="B282" s="1" t="str">
        <x:f>_xlfn.IFNA(VLOOKUP(Source!B276,Advertisers!$A$5:$B$34,2,FALSE),"Missing advertiser")</x:f>
        <x:v>Synthetic advertiser 2</x:v>
      </x:c>
      <x:c r="C282" s="1" t="n">
        <x:f>Source!C276</x:f>
        <x:v>62</x:v>
      </x:c>
      <x:c r="D282" s="8" t="n">
        <x:f>Source!D276/100</x:f>
        <x:v>248.9</x:v>
      </x:c>
      <x:c r="E282" s="8" t="n">
        <x:f>Source!E276/100</x:f>
        <x:v>0</x:v>
      </x:c>
      <x:c r="F282" s="8" t="n">
        <x:f>Source!F276/100</x:f>
        <x:v>0</x:v>
      </x:c>
      <x:c r="G282" s="8" t="n">
        <x:f>Source!G276/100</x:f>
        <x:v>0</x:v>
      </x:c>
      <x:c r="H282" s="8" t="n">
        <x:f>G282-D282</x:f>
        <x:v>-248.9</x:v>
      </x:c>
      <x:c r="I282" s="1" t="str">
        <x:f>IF(H282&gt;0,"Overbilled","Shortfall")</x:f>
        <x:v>Shortfall</x:v>
      </x:c>
      <x:c r="J282" s="7"/>
      <x:c r="K282" s="7" t="str">
        <x:v>Open</x:v>
      </x:c>
      <x:c r="L282" s="7"/>
    </x:row>
    <x:row r="283" ht="21" customHeight="1">
      <x:c r="A283" s="1" t="str">
        <x:f>Source!A277</x:f>
        <x:v>C0002715</x:v>
      </x:c>
      <x:c r="B283" s="1" t="str">
        <x:f>_xlfn.IFNA(VLOOKUP(Source!B277,Advertisers!$A$5:$B$34,2,FALSE),"Missing advertiser")</x:f>
        <x:v>Synthetic advertiser 2</x:v>
      </x:c>
      <x:c r="C283" s="1" t="n">
        <x:f>Source!C277</x:f>
        <x:v>62</x:v>
      </x:c>
      <x:c r="D283" s="8" t="n">
        <x:f>Source!D277/100</x:f>
        <x:v>0</x:v>
      </x:c>
      <x:c r="E283" s="8" t="n">
        <x:f>Source!E277/100</x:f>
        <x:v>248.9</x:v>
      </x:c>
      <x:c r="F283" s="8" t="n">
        <x:f>Source!F277/100</x:f>
        <x:v>0</x:v>
      </x:c>
      <x:c r="G283" s="8" t="n">
        <x:f>Source!G277/100</x:f>
        <x:v>248.9</x:v>
      </x:c>
      <x:c r="H283" s="8" t="n">
        <x:f>G283-D283</x:f>
        <x:v>248.9</x:v>
      </x:c>
      <x:c r="I283" s="1" t="str">
        <x:f>IF(H283&gt;0,"Overbilled","Shortfall")</x:f>
        <x:v>Overbilled</x:v>
      </x:c>
      <x:c r="J283" s="7"/>
      <x:c r="K283" s="7" t="str">
        <x:v>Open</x:v>
      </x:c>
      <x:c r="L283" s="7"/>
    </x:row>
    <x:row r="284" ht="21" customHeight="1">
      <x:c r="A284" s="1" t="str">
        <x:f>Source!A278</x:f>
        <x:v>C0017613</x:v>
      </x:c>
      <x:c r="B284" s="1" t="str">
        <x:f>_xlfn.IFNA(VLOOKUP(Source!B278,Advertisers!$A$5:$B$34,2,FALSE),"Missing advertiser")</x:f>
        <x:v>Synthetic advertiser 2</x:v>
      </x:c>
      <x:c r="C284" s="1" t="n">
        <x:f>Source!C278</x:f>
        <x:v>62</x:v>
      </x:c>
      <x:c r="D284" s="8" t="n">
        <x:f>Source!D278/100</x:f>
        <x:v>248.9</x:v>
      </x:c>
      <x:c r="E284" s="8" t="n">
        <x:f>Source!E278/100</x:f>
        <x:v>0</x:v>
      </x:c>
      <x:c r="F284" s="8" t="n">
        <x:f>Source!F278/100</x:f>
        <x:v>0</x:v>
      </x:c>
      <x:c r="G284" s="8" t="n">
        <x:f>Source!G278/100</x:f>
        <x:v>0</x:v>
      </x:c>
      <x:c r="H284" s="8" t="n">
        <x:f>G284-D284</x:f>
        <x:v>-248.9</x:v>
      </x:c>
      <x:c r="I284" s="1" t="str">
        <x:f>IF(H284&gt;0,"Overbilled","Shortfall")</x:f>
        <x:v>Shortfall</x:v>
      </x:c>
      <x:c r="J284" s="7"/>
      <x:c r="K284" s="7" t="str">
        <x:v>Open</x:v>
      </x:c>
      <x:c r="L284" s="7"/>
    </x:row>
    <x:row r="285" ht="21" customHeight="1">
      <x:c r="A285" s="1" t="str">
        <x:f>Source!A279</x:f>
        <x:v>C0000648</x:v>
      </x:c>
      <x:c r="B285" s="1" t="str">
        <x:f>_xlfn.IFNA(VLOOKUP(Source!B279,Advertisers!$A$5:$B$34,2,FALSE),"Missing advertiser")</x:f>
        <x:v>Synthetic advertiser 21</x:v>
      </x:c>
      <x:c r="C285" s="1" t="n">
        <x:f>Source!C279</x:f>
        <x:v>21</x:v>
      </x:c>
      <x:c r="D285" s="8" t="n">
        <x:f>Source!D279/100</x:f>
        <x:v>248.28</x:v>
      </x:c>
      <x:c r="E285" s="8" t="n">
        <x:f>Source!E279/100</x:f>
        <x:v>496.56</x:v>
      </x:c>
      <x:c r="F285" s="8" t="n">
        <x:f>Source!F279/100</x:f>
        <x:v>0</x:v>
      </x:c>
      <x:c r="G285" s="8" t="n">
        <x:f>Source!G279/100</x:f>
        <x:v>496.56</x:v>
      </x:c>
      <x:c r="H285" s="8" t="n">
        <x:f>G285-D285</x:f>
        <x:v>248.28</x:v>
      </x:c>
      <x:c r="I285" s="1" t="str">
        <x:f>IF(H285&gt;0,"Overbilled","Shortfall")</x:f>
        <x:v>Overbilled</x:v>
      </x:c>
      <x:c r="J285" s="7"/>
      <x:c r="K285" s="7" t="str">
        <x:v>Open</x:v>
      </x:c>
      <x:c r="L285" s="7"/>
    </x:row>
    <x:row r="286" ht="21" customHeight="1">
      <x:c r="A286" s="1" t="str">
        <x:f>Source!A280</x:f>
        <x:v>C0014812</x:v>
      </x:c>
      <x:c r="B286" s="1" t="str">
        <x:f>_xlfn.IFNA(VLOOKUP(Source!B280,Advertisers!$A$5:$B$34,2,FALSE),"Missing advertiser")</x:f>
        <x:v>Synthetic advertiser 21</x:v>
      </x:c>
      <x:c r="C286" s="1" t="n">
        <x:f>Source!C280</x:f>
        <x:v>21</x:v>
      </x:c>
      <x:c r="D286" s="8" t="n">
        <x:f>Source!D280/100</x:f>
        <x:v>248.28</x:v>
      </x:c>
      <x:c r="E286" s="8" t="n">
        <x:f>Source!E280/100</x:f>
        <x:v>496.56</x:v>
      </x:c>
      <x:c r="F286" s="8" t="n">
        <x:f>Source!F280/100</x:f>
        <x:v>0</x:v>
      </x:c>
      <x:c r="G286" s="8" t="n">
        <x:f>Source!G280/100</x:f>
        <x:v>496.56</x:v>
      </x:c>
      <x:c r="H286" s="8" t="n">
        <x:f>G286-D286</x:f>
        <x:v>248.28</x:v>
      </x:c>
      <x:c r="I286" s="1" t="str">
        <x:f>IF(H286&gt;0,"Overbilled","Shortfall")</x:f>
        <x:v>Overbilled</x:v>
      </x:c>
      <x:c r="J286" s="7"/>
      <x:c r="K286" s="7" t="str">
        <x:v>Open</x:v>
      </x:c>
      <x:c r="L286" s="7"/>
    </x:row>
    <x:row r="287" ht="21" customHeight="1">
      <x:c r="A287" s="1" t="str">
        <x:f>Source!A281</x:f>
        <x:v>C0013643</x:v>
      </x:c>
      <x:c r="B287" s="1" t="str">
        <x:f>_xlfn.IFNA(VLOOKUP(Source!B281,Advertisers!$A$5:$B$34,2,FALSE),"Missing advertiser")</x:f>
        <x:v>Synthetic advertiser 21</x:v>
      </x:c>
      <x:c r="C287" s="1" t="n">
        <x:f>Source!C281</x:f>
        <x:v>21</x:v>
      </x:c>
      <x:c r="D287" s="8" t="n">
        <x:f>Source!D281/100</x:f>
        <x:v>0</x:v>
      </x:c>
      <x:c r="E287" s="8" t="n">
        <x:f>Source!E281/100</x:f>
        <x:v>248.28</x:v>
      </x:c>
      <x:c r="F287" s="8" t="n">
        <x:f>Source!F281/100</x:f>
        <x:v>0</x:v>
      </x:c>
      <x:c r="G287" s="8" t="n">
        <x:f>Source!G281/100</x:f>
        <x:v>248.28</x:v>
      </x:c>
      <x:c r="H287" s="8" t="n">
        <x:f>G287-D287</x:f>
        <x:v>248.28</x:v>
      </x:c>
      <x:c r="I287" s="1" t="str">
        <x:f>IF(H287&gt;0,"Overbilled","Shortfall")</x:f>
        <x:v>Overbilled</x:v>
      </x:c>
      <x:c r="J287" s="7"/>
      <x:c r="K287" s="7" t="str">
        <x:v>Open</x:v>
      </x:c>
      <x:c r="L287" s="7"/>
    </x:row>
    <x:row r="288" ht="21" customHeight="1">
      <x:c r="A288" s="1" t="str">
        <x:f>Source!A282</x:f>
        <x:v>C0007738</x:v>
      </x:c>
      <x:c r="B288" s="1" t="str">
        <x:f>_xlfn.IFNA(VLOOKUP(Source!B282,Advertisers!$A$5:$B$34,2,FALSE),"Missing advertiser")</x:f>
        <x:v>Synthetic advertiser 21</x:v>
      </x:c>
      <x:c r="C288" s="1" t="n">
        <x:f>Source!C282</x:f>
        <x:v>21</x:v>
      </x:c>
      <x:c r="D288" s="8" t="n">
        <x:f>Source!D282/100</x:f>
        <x:v>248.28</x:v>
      </x:c>
      <x:c r="E288" s="8" t="n">
        <x:f>Source!E282/100</x:f>
        <x:v>496.56</x:v>
      </x:c>
      <x:c r="F288" s="8" t="n">
        <x:f>Source!F282/100</x:f>
        <x:v>0</x:v>
      </x:c>
      <x:c r="G288" s="8" t="n">
        <x:f>Source!G282/100</x:f>
        <x:v>496.56</x:v>
      </x:c>
      <x:c r="H288" s="8" t="n">
        <x:f>G288-D288</x:f>
        <x:v>248.28</x:v>
      </x:c>
      <x:c r="I288" s="1" t="str">
        <x:f>IF(H288&gt;0,"Overbilled","Shortfall")</x:f>
        <x:v>Overbilled</x:v>
      </x:c>
      <x:c r="J288" s="7"/>
      <x:c r="K288" s="7" t="str">
        <x:v>Open</x:v>
      </x:c>
      <x:c r="L288" s="7"/>
    </x:row>
    <x:row r="289" ht="21" customHeight="1">
      <x:c r="A289" s="1" t="str">
        <x:f>Source!A283</x:f>
        <x:v>C0017031</x:v>
      </x:c>
      <x:c r="B289" s="1" t="str">
        <x:f>_xlfn.IFNA(VLOOKUP(Source!B283,Advertisers!$A$5:$B$34,2,FALSE),"Missing advertiser")</x:f>
        <x:v>Synthetic advertiser 21</x:v>
      </x:c>
      <x:c r="C289" s="1" t="n">
        <x:f>Source!C283</x:f>
        <x:v>21</x:v>
      </x:c>
      <x:c r="D289" s="8" t="n">
        <x:f>Source!D283/100</x:f>
        <x:v>248.28</x:v>
      </x:c>
      <x:c r="E289" s="8" t="n">
        <x:f>Source!E283/100</x:f>
        <x:v>0</x:v>
      </x:c>
      <x:c r="F289" s="8" t="n">
        <x:f>Source!F283/100</x:f>
        <x:v>0</x:v>
      </x:c>
      <x:c r="G289" s="8" t="n">
        <x:f>Source!G283/100</x:f>
        <x:v>0</x:v>
      </x:c>
      <x:c r="H289" s="8" t="n">
        <x:f>G289-D289</x:f>
        <x:v>-248.28</x:v>
      </x:c>
      <x:c r="I289" s="1" t="str">
        <x:f>IF(H289&gt;0,"Overbilled","Shortfall")</x:f>
        <x:v>Shortfall</x:v>
      </x:c>
      <x:c r="J289" s="7"/>
      <x:c r="K289" s="7" t="str">
        <x:v>Open</x:v>
      </x:c>
      <x:c r="L289" s="7"/>
    </x:row>
    <x:row r="290" ht="21" customHeight="1">
      <x:c r="A290" s="1" t="str">
        <x:f>Source!A284</x:f>
        <x:v>C0004781</x:v>
      </x:c>
      <x:c r="B290" s="1" t="str">
        <x:f>_xlfn.IFNA(VLOOKUP(Source!B284,Advertisers!$A$5:$B$34,2,FALSE),"Missing advertiser")</x:f>
        <x:v>Synthetic advertiser 21</x:v>
      </x:c>
      <x:c r="C290" s="1" t="n">
        <x:f>Source!C284</x:f>
        <x:v>21</x:v>
      </x:c>
      <x:c r="D290" s="8" t="n">
        <x:f>Source!D284/100</x:f>
        <x:v>248.28</x:v>
      </x:c>
      <x:c r="E290" s="8" t="n">
        <x:f>Source!E284/100</x:f>
        <x:v>496.56</x:v>
      </x:c>
      <x:c r="F290" s="8" t="n">
        <x:f>Source!F284/100</x:f>
        <x:v>0</x:v>
      </x:c>
      <x:c r="G290" s="8" t="n">
        <x:f>Source!G284/100</x:f>
        <x:v>496.56</x:v>
      </x:c>
      <x:c r="H290" s="8" t="n">
        <x:f>G290-D290</x:f>
        <x:v>248.28</x:v>
      </x:c>
      <x:c r="I290" s="1" t="str">
        <x:f>IF(H290&gt;0,"Overbilled","Shortfall")</x:f>
        <x:v>Overbilled</x:v>
      </x:c>
      <x:c r="J290" s="7"/>
      <x:c r="K290" s="7" t="str">
        <x:v>Open</x:v>
      </x:c>
      <x:c r="L290" s="7"/>
    </x:row>
    <x:row r="291" ht="21" customHeight="1">
      <x:c r="A291" s="1" t="str">
        <x:f>Source!A285</x:f>
        <x:v>C0013685</x:v>
      </x:c>
      <x:c r="B291" s="1" t="str">
        <x:f>_xlfn.IFNA(VLOOKUP(Source!B285,Advertisers!$A$5:$B$34,2,FALSE),"Missing advertiser")</x:f>
        <x:v>Synthetic advertiser 8</x:v>
      </x:c>
      <x:c r="C291" s="1" t="n">
        <x:f>Source!C285</x:f>
        <x:v>68</x:v>
      </x:c>
      <x:c r="D291" s="8" t="n">
        <x:f>Source!D285/100</x:f>
        <x:v>247.94</x:v>
      </x:c>
      <x:c r="E291" s="8" t="n">
        <x:f>Source!E285/100</x:f>
        <x:v>495.88</x:v>
      </x:c>
      <x:c r="F291" s="8" t="n">
        <x:f>Source!F285/100</x:f>
        <x:v>0</x:v>
      </x:c>
      <x:c r="G291" s="8" t="n">
        <x:f>Source!G285/100</x:f>
        <x:v>495.88</x:v>
      </x:c>
      <x:c r="H291" s="8" t="n">
        <x:f>G291-D291</x:f>
        <x:v>247.94</x:v>
      </x:c>
      <x:c r="I291" s="1" t="str">
        <x:f>IF(H291&gt;0,"Overbilled","Shortfall")</x:f>
        <x:v>Overbilled</x:v>
      </x:c>
      <x:c r="J291" s="7"/>
      <x:c r="K291" s="7" t="str">
        <x:v>Open</x:v>
      </x:c>
      <x:c r="L291" s="7"/>
    </x:row>
    <x:row r="292" ht="21" customHeight="1">
      <x:c r="A292" s="1" t="str">
        <x:f>Source!A286</x:f>
        <x:v>C0005910</x:v>
      </x:c>
      <x:c r="B292" s="1" t="str">
        <x:f>_xlfn.IFNA(VLOOKUP(Source!B286,Advertisers!$A$5:$B$34,2,FALSE),"Missing advertiser")</x:f>
        <x:v>Synthetic advertiser 8</x:v>
      </x:c>
      <x:c r="C292" s="1" t="n">
        <x:f>Source!C286</x:f>
        <x:v>68</x:v>
      </x:c>
      <x:c r="D292" s="8" t="n">
        <x:f>Source!D286/100</x:f>
        <x:v>0</x:v>
      </x:c>
      <x:c r="E292" s="8" t="n">
        <x:f>Source!E286/100</x:f>
        <x:v>247.94</x:v>
      </x:c>
      <x:c r="F292" s="8" t="n">
        <x:f>Source!F286/100</x:f>
        <x:v>0</x:v>
      </x:c>
      <x:c r="G292" s="8" t="n">
        <x:f>Source!G286/100</x:f>
        <x:v>247.94</x:v>
      </x:c>
      <x:c r="H292" s="8" t="n">
        <x:f>G292-D292</x:f>
        <x:v>247.94</x:v>
      </x:c>
      <x:c r="I292" s="1" t="str">
        <x:f>IF(H292&gt;0,"Overbilled","Shortfall")</x:f>
        <x:v>Overbilled</x:v>
      </x:c>
      <x:c r="J292" s="7"/>
      <x:c r="K292" s="7" t="str">
        <x:v>Open</x:v>
      </x:c>
      <x:c r="L292" s="7"/>
    </x:row>
    <x:row r="293" ht="21" customHeight="1">
      <x:c r="A293" s="1" t="str">
        <x:f>Source!A287</x:f>
        <x:v>C0005182</x:v>
      </x:c>
      <x:c r="B293" s="1" t="str">
        <x:f>_xlfn.IFNA(VLOOKUP(Source!B287,Advertisers!$A$5:$B$34,2,FALSE),"Missing advertiser")</x:f>
        <x:v>Synthetic advertiser 8</x:v>
      </x:c>
      <x:c r="C293" s="1" t="n">
        <x:f>Source!C287</x:f>
        <x:v>68</x:v>
      </x:c>
      <x:c r="D293" s="8" t="n">
        <x:f>Source!D287/100</x:f>
        <x:v>0</x:v>
      </x:c>
      <x:c r="E293" s="8" t="n">
        <x:f>Source!E287/100</x:f>
        <x:v>247.94</x:v>
      </x:c>
      <x:c r="F293" s="8" t="n">
        <x:f>Source!F287/100</x:f>
        <x:v>0</x:v>
      </x:c>
      <x:c r="G293" s="8" t="n">
        <x:f>Source!G287/100</x:f>
        <x:v>247.94</x:v>
      </x:c>
      <x:c r="H293" s="8" t="n">
        <x:f>G293-D293</x:f>
        <x:v>247.94</x:v>
      </x:c>
      <x:c r="I293" s="1" t="str">
        <x:f>IF(H293&gt;0,"Overbilled","Shortfall")</x:f>
        <x:v>Overbilled</x:v>
      </x:c>
      <x:c r="J293" s="7"/>
      <x:c r="K293" s="7" t="str">
        <x:v>Open</x:v>
      </x:c>
      <x:c r="L293" s="7"/>
    </x:row>
    <x:row r="294" ht="21" customHeight="1">
      <x:c r="A294" s="1" t="str">
        <x:f>Source!A288</x:f>
        <x:v>C0014302</x:v>
      </x:c>
      <x:c r="B294" s="1" t="str">
        <x:f>_xlfn.IFNA(VLOOKUP(Source!B288,Advertisers!$A$5:$B$34,2,FALSE),"Missing advertiser")</x:f>
        <x:v>Synthetic advertiser 8</x:v>
      </x:c>
      <x:c r="C294" s="1" t="n">
        <x:f>Source!C288</x:f>
        <x:v>68</x:v>
      </x:c>
      <x:c r="D294" s="8" t="n">
        <x:f>Source!D288/100</x:f>
        <x:v>247.94</x:v>
      </x:c>
      <x:c r="E294" s="8" t="n">
        <x:f>Source!E288/100</x:f>
        <x:v>0</x:v>
      </x:c>
      <x:c r="F294" s="8" t="n">
        <x:f>Source!F288/100</x:f>
        <x:v>0</x:v>
      </x:c>
      <x:c r="G294" s="8" t="n">
        <x:f>Source!G288/100</x:f>
        <x:v>0</x:v>
      </x:c>
      <x:c r="H294" s="8" t="n">
        <x:f>G294-D294</x:f>
        <x:v>-247.94</x:v>
      </x:c>
      <x:c r="I294" s="1" t="str">
        <x:f>IF(H294&gt;0,"Overbilled","Shortfall")</x:f>
        <x:v>Shortfall</x:v>
      </x:c>
      <x:c r="J294" s="7"/>
      <x:c r="K294" s="7" t="str">
        <x:v>Open</x:v>
      </x:c>
      <x:c r="L294" s="7"/>
    </x:row>
    <x:row r="295" ht="21" customHeight="1">
      <x:c r="A295" s="1" t="str">
        <x:f>Source!A289</x:f>
        <x:v>C0015638</x:v>
      </x:c>
      <x:c r="B295" s="1" t="str">
        <x:f>_xlfn.IFNA(VLOOKUP(Source!B289,Advertisers!$A$5:$B$34,2,FALSE),"Missing advertiser")</x:f>
        <x:v>Synthetic advertiser 8</x:v>
      </x:c>
      <x:c r="C295" s="1" t="n">
        <x:f>Source!C289</x:f>
        <x:v>68</x:v>
      </x:c>
      <x:c r="D295" s="8" t="n">
        <x:f>Source!D289/100</x:f>
        <x:v>0</x:v>
      </x:c>
      <x:c r="E295" s="8" t="n">
        <x:f>Source!E289/100</x:f>
        <x:v>247.94</x:v>
      </x:c>
      <x:c r="F295" s="8" t="n">
        <x:f>Source!F289/100</x:f>
        <x:v>0</x:v>
      </x:c>
      <x:c r="G295" s="8" t="n">
        <x:f>Source!G289/100</x:f>
        <x:v>247.94</x:v>
      </x:c>
      <x:c r="H295" s="8" t="n">
        <x:f>G295-D295</x:f>
        <x:v>247.94</x:v>
      </x:c>
      <x:c r="I295" s="1" t="str">
        <x:f>IF(H295&gt;0,"Overbilled","Shortfall")</x:f>
        <x:v>Overbilled</x:v>
      </x:c>
      <x:c r="J295" s="7"/>
      <x:c r="K295" s="7" t="str">
        <x:v>Open</x:v>
      </x:c>
      <x:c r="L295" s="7"/>
    </x:row>
    <x:row r="296" ht="21" customHeight="1">
      <x:c r="A296" s="1" t="str">
        <x:f>Source!A290</x:f>
        <x:v>C0002850</x:v>
      </x:c>
      <x:c r="B296" s="1" t="str">
        <x:f>_xlfn.IFNA(VLOOKUP(Source!B290,Advertisers!$A$5:$B$34,2,FALSE),"Missing advertiser")</x:f>
        <x:v>Synthetic advertiser 8</x:v>
      </x:c>
      <x:c r="C296" s="1" t="n">
        <x:f>Source!C290</x:f>
        <x:v>68</x:v>
      </x:c>
      <x:c r="D296" s="8" t="n">
        <x:f>Source!D290/100</x:f>
        <x:v>0</x:v>
      </x:c>
      <x:c r="E296" s="8" t="n">
        <x:f>Source!E290/100</x:f>
        <x:v>247.94</x:v>
      </x:c>
      <x:c r="F296" s="8" t="n">
        <x:f>Source!F290/100</x:f>
        <x:v>0</x:v>
      </x:c>
      <x:c r="G296" s="8" t="n">
        <x:f>Source!G290/100</x:f>
        <x:v>247.94</x:v>
      </x:c>
      <x:c r="H296" s="8" t="n">
        <x:f>G296-D296</x:f>
        <x:v>247.94</x:v>
      </x:c>
      <x:c r="I296" s="1" t="str">
        <x:f>IF(H296&gt;0,"Overbilled","Shortfall")</x:f>
        <x:v>Overbilled</x:v>
      </x:c>
      <x:c r="J296" s="7"/>
      <x:c r="K296" s="7" t="str">
        <x:v>Open</x:v>
      </x:c>
      <x:c r="L296" s="7"/>
    </x:row>
    <x:row r="297" ht="21" customHeight="1">
      <x:c r="A297" s="1" t="str">
        <x:f>Source!A291</x:f>
        <x:v>C0008397</x:v>
      </x:c>
      <x:c r="B297" s="1" t="str">
        <x:f>_xlfn.IFNA(VLOOKUP(Source!B291,Advertisers!$A$5:$B$34,2,FALSE),"Missing advertiser")</x:f>
        <x:v>Synthetic advertiser 8</x:v>
      </x:c>
      <x:c r="C297" s="1" t="n">
        <x:f>Source!C291</x:f>
        <x:v>68</x:v>
      </x:c>
      <x:c r="D297" s="8" t="n">
        <x:f>Source!D291/100</x:f>
        <x:v>247.94</x:v>
      </x:c>
      <x:c r="E297" s="8" t="n">
        <x:f>Source!E291/100</x:f>
        <x:v>0</x:v>
      </x:c>
      <x:c r="F297" s="8" t="n">
        <x:f>Source!F291/100</x:f>
        <x:v>0</x:v>
      </x:c>
      <x:c r="G297" s="8" t="n">
        <x:f>Source!G291/100</x:f>
        <x:v>0</x:v>
      </x:c>
      <x:c r="H297" s="8" t="n">
        <x:f>G297-D297</x:f>
        <x:v>-247.94</x:v>
      </x:c>
      <x:c r="I297" s="1" t="str">
        <x:f>IF(H297&gt;0,"Overbilled","Shortfall")</x:f>
        <x:v>Shortfall</x:v>
      </x:c>
      <x:c r="J297" s="7"/>
      <x:c r="K297" s="7" t="str">
        <x:v>Open</x:v>
      </x:c>
      <x:c r="L297" s="7"/>
    </x:row>
    <x:row r="298" ht="21" customHeight="1">
      <x:c r="A298" s="1" t="str">
        <x:f>Source!A292</x:f>
        <x:v>C0007591</x:v>
      </x:c>
      <x:c r="B298" s="1" t="str">
        <x:f>_xlfn.IFNA(VLOOKUP(Source!B292,Advertisers!$A$5:$B$34,2,FALSE),"Missing advertiser")</x:f>
        <x:v>Synthetic advertiser 26</x:v>
      </x:c>
      <x:c r="C298" s="1" t="n">
        <x:f>Source!C292</x:f>
        <x:v>116</x:v>
      </x:c>
      <x:c r="D298" s="8" t="n">
        <x:f>Source!D292/100</x:f>
        <x:v>247.73</x:v>
      </x:c>
      <x:c r="E298" s="8" t="n">
        <x:f>Source!E292/100</x:f>
        <x:v>495.46</x:v>
      </x:c>
      <x:c r="F298" s="8" t="n">
        <x:f>Source!F292/100</x:f>
        <x:v>0</x:v>
      </x:c>
      <x:c r="G298" s="8" t="n">
        <x:f>Source!G292/100</x:f>
        <x:v>495.46</x:v>
      </x:c>
      <x:c r="H298" s="8" t="n">
        <x:f>G298-D298</x:f>
        <x:v>247.73</x:v>
      </x:c>
      <x:c r="I298" s="1" t="str">
        <x:f>IF(H298&gt;0,"Overbilled","Shortfall")</x:f>
        <x:v>Overbilled</x:v>
      </x:c>
      <x:c r="J298" s="7"/>
      <x:c r="K298" s="7" t="str">
        <x:v>Open</x:v>
      </x:c>
      <x:c r="L298" s="7"/>
    </x:row>
    <x:row r="299" ht="21" customHeight="1">
      <x:c r="A299" s="1" t="str">
        <x:f>Source!A293</x:f>
        <x:v>C0000437</x:v>
      </x:c>
      <x:c r="B299" s="1" t="str">
        <x:f>_xlfn.IFNA(VLOOKUP(Source!B293,Advertisers!$A$5:$B$34,2,FALSE),"Missing advertiser")</x:f>
        <x:v>Synthetic advertiser 26</x:v>
      </x:c>
      <x:c r="C299" s="1" t="n">
        <x:f>Source!C293</x:f>
        <x:v>116</x:v>
      </x:c>
      <x:c r="D299" s="8" t="n">
        <x:f>Source!D293/100</x:f>
        <x:v>247.73</x:v>
      </x:c>
      <x:c r="E299" s="8" t="n">
        <x:f>Source!E293/100</x:f>
        <x:v>495.46</x:v>
      </x:c>
      <x:c r="F299" s="8" t="n">
        <x:f>Source!F293/100</x:f>
        <x:v>0</x:v>
      </x:c>
      <x:c r="G299" s="8" t="n">
        <x:f>Source!G293/100</x:f>
        <x:v>495.46</x:v>
      </x:c>
      <x:c r="H299" s="8" t="n">
        <x:f>G299-D299</x:f>
        <x:v>247.73</x:v>
      </x:c>
      <x:c r="I299" s="1" t="str">
        <x:f>IF(H299&gt;0,"Overbilled","Shortfall")</x:f>
        <x:v>Overbilled</x:v>
      </x:c>
      <x:c r="J299" s="7"/>
      <x:c r="K299" s="7" t="str">
        <x:v>Open</x:v>
      </x:c>
      <x:c r="L299" s="7"/>
    </x:row>
    <x:row r="300" ht="21" customHeight="1">
      <x:c r="A300" s="1" t="str">
        <x:f>Source!A294</x:f>
        <x:v>C0007365</x:v>
      </x:c>
      <x:c r="B300" s="1" t="str">
        <x:f>_xlfn.IFNA(VLOOKUP(Source!B294,Advertisers!$A$5:$B$34,2,FALSE),"Missing advertiser")</x:f>
        <x:v>Synthetic advertiser 26</x:v>
      </x:c>
      <x:c r="C300" s="1" t="n">
        <x:f>Source!C294</x:f>
        <x:v>116</x:v>
      </x:c>
      <x:c r="D300" s="8" t="n">
        <x:f>Source!D294/100</x:f>
        <x:v>247.73</x:v>
      </x:c>
      <x:c r="E300" s="8" t="n">
        <x:f>Source!E294/100</x:f>
        <x:v>0</x:v>
      </x:c>
      <x:c r="F300" s="8" t="n">
        <x:f>Source!F294/100</x:f>
        <x:v>0</x:v>
      </x:c>
      <x:c r="G300" s="8" t="n">
        <x:f>Source!G294/100</x:f>
        <x:v>0</x:v>
      </x:c>
      <x:c r="H300" s="8" t="n">
        <x:f>G300-D300</x:f>
        <x:v>-247.73</x:v>
      </x:c>
      <x:c r="I300" s="1" t="str">
        <x:f>IF(H300&gt;0,"Overbilled","Shortfall")</x:f>
        <x:v>Shortfall</x:v>
      </x:c>
      <x:c r="J300" s="7"/>
      <x:c r="K300" s="7" t="str">
        <x:v>Open</x:v>
      </x:c>
      <x:c r="L300" s="7"/>
    </x:row>
    <x:row r="301" ht="21" customHeight="1">
      <x:c r="A301" s="1" t="str">
        <x:f>Source!A295</x:f>
        <x:v>C0015348</x:v>
      </x:c>
      <x:c r="B301" s="1" t="str">
        <x:f>_xlfn.IFNA(VLOOKUP(Source!B295,Advertisers!$A$5:$B$34,2,FALSE),"Missing advertiser")</x:f>
        <x:v>Synthetic advertiser 26</x:v>
      </x:c>
      <x:c r="C301" s="1" t="n">
        <x:f>Source!C295</x:f>
        <x:v>116</x:v>
      </x:c>
      <x:c r="D301" s="8" t="n">
        <x:f>Source!D295/100</x:f>
        <x:v>247.73</x:v>
      </x:c>
      <x:c r="E301" s="8" t="n">
        <x:f>Source!E295/100</x:f>
        <x:v>495.46</x:v>
      </x:c>
      <x:c r="F301" s="8" t="n">
        <x:f>Source!F295/100</x:f>
        <x:v>0</x:v>
      </x:c>
      <x:c r="G301" s="8" t="n">
        <x:f>Source!G295/100</x:f>
        <x:v>495.46</x:v>
      </x:c>
      <x:c r="H301" s="8" t="n">
        <x:f>G301-D301</x:f>
        <x:v>247.73</x:v>
      </x:c>
      <x:c r="I301" s="1" t="str">
        <x:f>IF(H301&gt;0,"Overbilled","Shortfall")</x:f>
        <x:v>Overbilled</x:v>
      </x:c>
      <x:c r="J301" s="7"/>
      <x:c r="K301" s="7" t="str">
        <x:v>Open</x:v>
      </x:c>
      <x:c r="L301" s="7"/>
    </x:row>
    <x:row r="302" ht="21" customHeight="1">
      <x:c r="A302" s="1" t="str">
        <x:f>Source!A296</x:f>
        <x:v>C0016564</x:v>
      </x:c>
      <x:c r="B302" s="1" t="str">
        <x:f>_xlfn.IFNA(VLOOKUP(Source!B296,Advertisers!$A$5:$B$34,2,FALSE),"Missing advertiser")</x:f>
        <x:v>Synthetic advertiser 26</x:v>
      </x:c>
      <x:c r="C302" s="1" t="n">
        <x:f>Source!C296</x:f>
        <x:v>116</x:v>
      </x:c>
      <x:c r="D302" s="8" t="n">
        <x:f>Source!D296/100</x:f>
        <x:v>247.73</x:v>
      </x:c>
      <x:c r="E302" s="8" t="n">
        <x:f>Source!E296/100</x:f>
        <x:v>495.46</x:v>
      </x:c>
      <x:c r="F302" s="8" t="n">
        <x:f>Source!F296/100</x:f>
        <x:v>0</x:v>
      </x:c>
      <x:c r="G302" s="8" t="n">
        <x:f>Source!G296/100</x:f>
        <x:v>495.46</x:v>
      </x:c>
      <x:c r="H302" s="8" t="n">
        <x:f>G302-D302</x:f>
        <x:v>247.73</x:v>
      </x:c>
      <x:c r="I302" s="1" t="str">
        <x:f>IF(H302&gt;0,"Overbilled","Shortfall")</x:f>
        <x:v>Overbilled</x:v>
      </x:c>
      <x:c r="J302" s="7"/>
      <x:c r="K302" s="7" t="str">
        <x:v>Open</x:v>
      </x:c>
      <x:c r="L302" s="7"/>
    </x:row>
    <x:row r="303" ht="21" customHeight="1">
      <x:c r="A303" s="1" t="str">
        <x:f>Source!A297</x:f>
        <x:v>C0015789</x:v>
      </x:c>
      <x:c r="B303" s="1" t="str">
        <x:f>_xlfn.IFNA(VLOOKUP(Source!B297,Advertisers!$A$5:$B$34,2,FALSE),"Missing advertiser")</x:f>
        <x:v>Synthetic advertiser 26</x:v>
      </x:c>
      <x:c r="C303" s="1" t="n">
        <x:f>Source!C297</x:f>
        <x:v>116</x:v>
      </x:c>
      <x:c r="D303" s="8" t="n">
        <x:f>Source!D297/100</x:f>
        <x:v>247.73</x:v>
      </x:c>
      <x:c r="E303" s="8" t="n">
        <x:f>Source!E297/100</x:f>
        <x:v>0</x:v>
      </x:c>
      <x:c r="F303" s="8" t="n">
        <x:f>Source!F297/100</x:f>
        <x:v>0</x:v>
      </x:c>
      <x:c r="G303" s="8" t="n">
        <x:f>Source!G297/100</x:f>
        <x:v>0</x:v>
      </x:c>
      <x:c r="H303" s="8" t="n">
        <x:f>G303-D303</x:f>
        <x:v>-247.73</x:v>
      </x:c>
      <x:c r="I303" s="1" t="str">
        <x:f>IF(H303&gt;0,"Overbilled","Shortfall")</x:f>
        <x:v>Shortfall</x:v>
      </x:c>
      <x:c r="J303" s="7"/>
      <x:c r="K303" s="7" t="str">
        <x:v>Open</x:v>
      </x:c>
      <x:c r="L303" s="7"/>
    </x:row>
    <x:row r="304" ht="21" customHeight="1">
      <x:c r="A304" s="1" t="str">
        <x:f>Source!A298</x:f>
        <x:v>C0009631</x:v>
      </x:c>
      <x:c r="B304" s="1" t="str">
        <x:f>_xlfn.IFNA(VLOOKUP(Source!B298,Advertisers!$A$5:$B$34,2,FALSE),"Missing advertiser")</x:f>
        <x:v>Synthetic advertiser 26</x:v>
      </x:c>
      <x:c r="C304" s="1" t="n">
        <x:f>Source!C298</x:f>
        <x:v>116</x:v>
      </x:c>
      <x:c r="D304" s="8" t="n">
        <x:f>Source!D298/100</x:f>
        <x:v>247.73</x:v>
      </x:c>
      <x:c r="E304" s="8" t="n">
        <x:f>Source!E298/100</x:f>
        <x:v>495.46</x:v>
      </x:c>
      <x:c r="F304" s="8" t="n">
        <x:f>Source!F298/100</x:f>
        <x:v>0</x:v>
      </x:c>
      <x:c r="G304" s="8" t="n">
        <x:f>Source!G298/100</x:f>
        <x:v>495.46</x:v>
      </x:c>
      <x:c r="H304" s="8" t="n">
        <x:f>G304-D304</x:f>
        <x:v>247.73</x:v>
      </x:c>
      <x:c r="I304" s="1" t="str">
        <x:f>IF(H304&gt;0,"Overbilled","Shortfall")</x:f>
        <x:v>Overbilled</x:v>
      </x:c>
      <x:c r="J304" s="7"/>
      <x:c r="K304" s="7" t="str">
        <x:v>Open</x:v>
      </x:c>
      <x:c r="L304" s="7"/>
    </x:row>
    <x:row r="305" ht="21" customHeight="1">
      <x:c r="A305" s="1" t="str">
        <x:f>Source!A299</x:f>
        <x:v>C0010019</x:v>
      </x:c>
      <x:c r="B305" s="1" t="str">
        <x:f>_xlfn.IFNA(VLOOKUP(Source!B299,Advertisers!$A$5:$B$34,2,FALSE),"Missing advertiser")</x:f>
        <x:v>Synthetic advertiser 26</x:v>
      </x:c>
      <x:c r="C305" s="1" t="n">
        <x:f>Source!C299</x:f>
        <x:v>116</x:v>
      </x:c>
      <x:c r="D305" s="8" t="n">
        <x:f>Source!D299/100</x:f>
        <x:v>247.73</x:v>
      </x:c>
      <x:c r="E305" s="8" t="n">
        <x:f>Source!E299/100</x:f>
        <x:v>495.46</x:v>
      </x:c>
      <x:c r="F305" s="8" t="n">
        <x:f>Source!F299/100</x:f>
        <x:v>0</x:v>
      </x:c>
      <x:c r="G305" s="8" t="n">
        <x:f>Source!G299/100</x:f>
        <x:v>495.46</x:v>
      </x:c>
      <x:c r="H305" s="8" t="n">
        <x:f>G305-D305</x:f>
        <x:v>247.73</x:v>
      </x:c>
      <x:c r="I305" s="1" t="str">
        <x:f>IF(H305&gt;0,"Overbilled","Shortfall")</x:f>
        <x:v>Overbilled</x:v>
      </x:c>
      <x:c r="J305" s="7"/>
      <x:c r="K305" s="7" t="str">
        <x:v>Open</x:v>
      </x:c>
      <x:c r="L305" s="7"/>
    </x:row>
    <x:row r="306" ht="21" customHeight="1">
      <x:c r="A306" s="1" t="str">
        <x:f>Source!A300</x:f>
        <x:v>C0010099</x:v>
      </x:c>
      <x:c r="B306" s="1" t="str">
        <x:f>_xlfn.IFNA(VLOOKUP(Source!B300,Advertisers!$A$5:$B$34,2,FALSE),"Missing advertiser")</x:f>
        <x:v>Synthetic advertiser 26</x:v>
      </x:c>
      <x:c r="C306" s="1" t="n">
        <x:f>Source!C300</x:f>
        <x:v>116</x:v>
      </x:c>
      <x:c r="D306" s="8" t="n">
        <x:f>Source!D300/100</x:f>
        <x:v>247.73</x:v>
      </x:c>
      <x:c r="E306" s="8" t="n">
        <x:f>Source!E300/100</x:f>
        <x:v>495.46</x:v>
      </x:c>
      <x:c r="F306" s="8" t="n">
        <x:f>Source!F300/100</x:f>
        <x:v>0</x:v>
      </x:c>
      <x:c r="G306" s="8" t="n">
        <x:f>Source!G300/100</x:f>
        <x:v>495.46</x:v>
      </x:c>
      <x:c r="H306" s="8" t="n">
        <x:f>G306-D306</x:f>
        <x:v>247.73</x:v>
      </x:c>
      <x:c r="I306" s="1" t="str">
        <x:f>IF(H306&gt;0,"Overbilled","Shortfall")</x:f>
        <x:v>Overbilled</x:v>
      </x:c>
      <x:c r="J306" s="7"/>
      <x:c r="K306" s="7" t="str">
        <x:v>Open</x:v>
      </x:c>
      <x:c r="L306" s="7"/>
    </x:row>
    <x:row r="307" ht="21" customHeight="1">
      <x:c r="A307" s="1" t="str">
        <x:f>Source!A301</x:f>
        <x:v>C0011636</x:v>
      </x:c>
      <x:c r="B307" s="1" t="str">
        <x:f>_xlfn.IFNA(VLOOKUP(Source!B301,Advertisers!$A$5:$B$34,2,FALSE),"Missing advertiser")</x:f>
        <x:v>Synthetic advertiser 26</x:v>
      </x:c>
      <x:c r="C307" s="1" t="n">
        <x:f>Source!C301</x:f>
        <x:v>116</x:v>
      </x:c>
      <x:c r="D307" s="8" t="n">
        <x:f>Source!D301/100</x:f>
        <x:v>0</x:v>
      </x:c>
      <x:c r="E307" s="8" t="n">
        <x:f>Source!E301/100</x:f>
        <x:v>247.73</x:v>
      </x:c>
      <x:c r="F307" s="8" t="n">
        <x:f>Source!F301/100</x:f>
        <x:v>0</x:v>
      </x:c>
      <x:c r="G307" s="8" t="n">
        <x:f>Source!G301/100</x:f>
        <x:v>247.73</x:v>
      </x:c>
      <x:c r="H307" s="8" t="n">
        <x:f>G307-D307</x:f>
        <x:v>247.73</x:v>
      </x:c>
      <x:c r="I307" s="1" t="str">
        <x:f>IF(H307&gt;0,"Overbilled","Shortfall")</x:f>
        <x:v>Overbilled</x:v>
      </x:c>
      <x:c r="J307" s="7"/>
      <x:c r="K307" s="7" t="str">
        <x:v>Open</x:v>
      </x:c>
      <x:c r="L307" s="7"/>
    </x:row>
    <x:row r="308" ht="21" customHeight="1">
      <x:c r="A308" s="1" t="str">
        <x:f>Source!A302</x:f>
        <x:v>C0000346</x:v>
      </x:c>
      <x:c r="B308" s="1" t="str">
        <x:f>_xlfn.IFNA(VLOOKUP(Source!B302,Advertisers!$A$5:$B$34,2,FALSE),"Missing advertiser")</x:f>
        <x:v>Synthetic advertiser 26</x:v>
      </x:c>
      <x:c r="C308" s="1" t="n">
        <x:f>Source!C302</x:f>
        <x:v>116</x:v>
      </x:c>
      <x:c r="D308" s="8" t="n">
        <x:f>Source!D302/100</x:f>
        <x:v>247.73</x:v>
      </x:c>
      <x:c r="E308" s="8" t="n">
        <x:f>Source!E302/100</x:f>
        <x:v>0</x:v>
      </x:c>
      <x:c r="F308" s="8" t="n">
        <x:f>Source!F302/100</x:f>
        <x:v>0</x:v>
      </x:c>
      <x:c r="G308" s="8" t="n">
        <x:f>Source!G302/100</x:f>
        <x:v>0</x:v>
      </x:c>
      <x:c r="H308" s="8" t="n">
        <x:f>G308-D308</x:f>
        <x:v>-247.73</x:v>
      </x:c>
      <x:c r="I308" s="1" t="str">
        <x:f>IF(H308&gt;0,"Overbilled","Shortfall")</x:f>
        <x:v>Shortfall</x:v>
      </x:c>
      <x:c r="J308" s="7"/>
      <x:c r="K308" s="7" t="str">
        <x:v>Open</x:v>
      </x:c>
      <x:c r="L308" s="7"/>
    </x:row>
    <x:row r="309" ht="21" customHeight="1">
      <x:c r="A309" s="1" t="str">
        <x:f>Source!A303</x:f>
        <x:v>C0006224</x:v>
      </x:c>
      <x:c r="B309" s="1" t="str">
        <x:f>_xlfn.IFNA(VLOOKUP(Source!B303,Advertisers!$A$5:$B$34,2,FALSE),"Missing advertiser")</x:f>
        <x:v>Synthetic advertiser 26</x:v>
      </x:c>
      <x:c r="C309" s="1" t="n">
        <x:f>Source!C303</x:f>
        <x:v>116</x:v>
      </x:c>
      <x:c r="D309" s="8" t="n">
        <x:f>Source!D303/100</x:f>
        <x:v>0</x:v>
      </x:c>
      <x:c r="E309" s="8" t="n">
        <x:f>Source!E303/100</x:f>
        <x:v>247.73</x:v>
      </x:c>
      <x:c r="F309" s="8" t="n">
        <x:f>Source!F303/100</x:f>
        <x:v>0</x:v>
      </x:c>
      <x:c r="G309" s="8" t="n">
        <x:f>Source!G303/100</x:f>
        <x:v>247.73</x:v>
      </x:c>
      <x:c r="H309" s="8" t="n">
        <x:f>G309-D309</x:f>
        <x:v>247.73</x:v>
      </x:c>
      <x:c r="I309" s="1" t="str">
        <x:f>IF(H309&gt;0,"Overbilled","Shortfall")</x:f>
        <x:v>Overbilled</x:v>
      </x:c>
      <x:c r="J309" s="7"/>
      <x:c r="K309" s="7" t="str">
        <x:v>Open</x:v>
      </x:c>
      <x:c r="L309" s="7"/>
    </x:row>
    <x:row r="310" ht="21" customHeight="1">
      <x:c r="A310" s="1" t="str">
        <x:f>Source!A304</x:f>
        <x:v>C0001955</x:v>
      </x:c>
      <x:c r="B310" s="1" t="str">
        <x:f>_xlfn.IFNA(VLOOKUP(Source!B304,Advertisers!$A$5:$B$34,2,FALSE),"Missing advertiser")</x:f>
        <x:v>Synthetic advertiser 26</x:v>
      </x:c>
      <x:c r="C310" s="1" t="n">
        <x:f>Source!C304</x:f>
        <x:v>116</x:v>
      </x:c>
      <x:c r="D310" s="8" t="n">
        <x:f>Source!D304/100</x:f>
        <x:v>247.73</x:v>
      </x:c>
      <x:c r="E310" s="8" t="n">
        <x:f>Source!E304/100</x:f>
        <x:v>0</x:v>
      </x:c>
      <x:c r="F310" s="8" t="n">
        <x:f>Source!F304/100</x:f>
        <x:v>0</x:v>
      </x:c>
      <x:c r="G310" s="8" t="n">
        <x:f>Source!G304/100</x:f>
        <x:v>0</x:v>
      </x:c>
      <x:c r="H310" s="8" t="n">
        <x:f>G310-D310</x:f>
        <x:v>-247.73</x:v>
      </x:c>
      <x:c r="I310" s="1" t="str">
        <x:f>IF(H310&gt;0,"Overbilled","Shortfall")</x:f>
        <x:v>Shortfall</x:v>
      </x:c>
      <x:c r="J310" s="7"/>
      <x:c r="K310" s="7" t="str">
        <x:v>Open</x:v>
      </x:c>
      <x:c r="L310" s="7"/>
    </x:row>
    <x:row r="311" ht="21" customHeight="1">
      <x:c r="A311" s="1" t="str">
        <x:f>Source!A305</x:f>
        <x:v>C0017369</x:v>
      </x:c>
      <x:c r="B311" s="1" t="str">
        <x:f>_xlfn.IFNA(VLOOKUP(Source!B305,Advertisers!$A$5:$B$34,2,FALSE),"Missing advertiser")</x:f>
        <x:v>Synthetic advertiser 26</x:v>
      </x:c>
      <x:c r="C311" s="1" t="n">
        <x:f>Source!C305</x:f>
        <x:v>116</x:v>
      </x:c>
      <x:c r="D311" s="8" t="n">
        <x:f>Source!D305/100</x:f>
        <x:v>247.73</x:v>
      </x:c>
      <x:c r="E311" s="8" t="n">
        <x:f>Source!E305/100</x:f>
        <x:v>495.46</x:v>
      </x:c>
      <x:c r="F311" s="8" t="n">
        <x:f>Source!F305/100</x:f>
        <x:v>0</x:v>
      </x:c>
      <x:c r="G311" s="8" t="n">
        <x:f>Source!G305/100</x:f>
        <x:v>495.46</x:v>
      </x:c>
      <x:c r="H311" s="8" t="n">
        <x:f>G311-D311</x:f>
        <x:v>247.73</x:v>
      </x:c>
      <x:c r="I311" s="1" t="str">
        <x:f>IF(H311&gt;0,"Overbilled","Shortfall")</x:f>
        <x:v>Overbilled</x:v>
      </x:c>
      <x:c r="J311" s="7"/>
      <x:c r="K311" s="7" t="str">
        <x:v>Open</x:v>
      </x:c>
      <x:c r="L311" s="7"/>
    </x:row>
    <x:row r="312" ht="21" customHeight="1">
      <x:c r="A312" s="1" t="str">
        <x:f>Source!A306</x:f>
        <x:v>C0015911</x:v>
      </x:c>
      <x:c r="B312" s="1" t="str">
        <x:f>_xlfn.IFNA(VLOOKUP(Source!B306,Advertisers!$A$5:$B$34,2,FALSE),"Missing advertiser")</x:f>
        <x:v>Synthetic advertiser 16</x:v>
      </x:c>
      <x:c r="C312" s="1" t="n">
        <x:f>Source!C306</x:f>
        <x:v>46</x:v>
      </x:c>
      <x:c r="D312" s="8" t="n">
        <x:f>Source!D306/100</x:f>
        <x:v>0</x:v>
      </x:c>
      <x:c r="E312" s="8" t="n">
        <x:f>Source!E306/100</x:f>
        <x:v>247.33</x:v>
      </x:c>
      <x:c r="F312" s="8" t="n">
        <x:f>Source!F306/100</x:f>
        <x:v>0</x:v>
      </x:c>
      <x:c r="G312" s="8" t="n">
        <x:f>Source!G306/100</x:f>
        <x:v>247.33</x:v>
      </x:c>
      <x:c r="H312" s="8" t="n">
        <x:f>G312-D312</x:f>
        <x:v>247.33</x:v>
      </x:c>
      <x:c r="I312" s="1" t="str">
        <x:f>IF(H312&gt;0,"Overbilled","Shortfall")</x:f>
        <x:v>Overbilled</x:v>
      </x:c>
      <x:c r="J312" s="7"/>
      <x:c r="K312" s="7" t="str">
        <x:v>Open</x:v>
      </x:c>
      <x:c r="L312" s="7"/>
    </x:row>
    <x:row r="313" ht="21" customHeight="1">
      <x:c r="A313" s="1" t="str">
        <x:f>Source!A307</x:f>
        <x:v>C0009011</x:v>
      </x:c>
      <x:c r="B313" s="1" t="str">
        <x:f>_xlfn.IFNA(VLOOKUP(Source!B307,Advertisers!$A$5:$B$34,2,FALSE),"Missing advertiser")</x:f>
        <x:v>Synthetic advertiser 16</x:v>
      </x:c>
      <x:c r="C313" s="1" t="n">
        <x:f>Source!C307</x:f>
        <x:v>46</x:v>
      </x:c>
      <x:c r="D313" s="8" t="n">
        <x:f>Source!D307/100</x:f>
        <x:v>0</x:v>
      </x:c>
      <x:c r="E313" s="8" t="n">
        <x:f>Source!E307/100</x:f>
        <x:v>247.33</x:v>
      </x:c>
      <x:c r="F313" s="8" t="n">
        <x:f>Source!F307/100</x:f>
        <x:v>0</x:v>
      </x:c>
      <x:c r="G313" s="8" t="n">
        <x:f>Source!G307/100</x:f>
        <x:v>247.33</x:v>
      </x:c>
      <x:c r="H313" s="8" t="n">
        <x:f>G313-D313</x:f>
        <x:v>247.33</x:v>
      </x:c>
      <x:c r="I313" s="1" t="str">
        <x:f>IF(H313&gt;0,"Overbilled","Shortfall")</x:f>
        <x:v>Overbilled</x:v>
      </x:c>
      <x:c r="J313" s="7"/>
      <x:c r="K313" s="7" t="str">
        <x:v>Open</x:v>
      </x:c>
      <x:c r="L313" s="7"/>
    </x:row>
    <x:row r="314" ht="21" customHeight="1">
      <x:c r="A314" s="1" t="str">
        <x:f>Source!A308</x:f>
        <x:v>C0010002</x:v>
      </x:c>
      <x:c r="B314" s="1" t="str">
        <x:f>_xlfn.IFNA(VLOOKUP(Source!B308,Advertisers!$A$5:$B$34,2,FALSE),"Missing advertiser")</x:f>
        <x:v>Synthetic advertiser 16</x:v>
      </x:c>
      <x:c r="C314" s="1" t="n">
        <x:f>Source!C308</x:f>
        <x:v>46</x:v>
      </x:c>
      <x:c r="D314" s="8" t="n">
        <x:f>Source!D308/100</x:f>
        <x:v>247.33</x:v>
      </x:c>
      <x:c r="E314" s="8" t="n">
        <x:f>Source!E308/100</x:f>
        <x:v>0</x:v>
      </x:c>
      <x:c r="F314" s="8" t="n">
        <x:f>Source!F308/100</x:f>
        <x:v>0</x:v>
      </x:c>
      <x:c r="G314" s="8" t="n">
        <x:f>Source!G308/100</x:f>
        <x:v>0</x:v>
      </x:c>
      <x:c r="H314" s="8" t="n">
        <x:f>G314-D314</x:f>
        <x:v>-247.33</x:v>
      </x:c>
      <x:c r="I314" s="1" t="str">
        <x:f>IF(H314&gt;0,"Overbilled","Shortfall")</x:f>
        <x:v>Shortfall</x:v>
      </x:c>
      <x:c r="J314" s="7"/>
      <x:c r="K314" s="7" t="str">
        <x:v>Open</x:v>
      </x:c>
      <x:c r="L314" s="7"/>
    </x:row>
    <x:row r="315" ht="21" customHeight="1">
      <x:c r="A315" s="1" t="str">
        <x:f>Source!A309</x:f>
        <x:v>C0003275</x:v>
      </x:c>
      <x:c r="B315" s="1" t="str">
        <x:f>_xlfn.IFNA(VLOOKUP(Source!B309,Advertisers!$A$5:$B$34,2,FALSE),"Missing advertiser")</x:f>
        <x:v>Synthetic advertiser 16</x:v>
      </x:c>
      <x:c r="C315" s="1" t="n">
        <x:f>Source!C309</x:f>
        <x:v>46</x:v>
      </x:c>
      <x:c r="D315" s="8" t="n">
        <x:f>Source!D309/100</x:f>
        <x:v>247.33</x:v>
      </x:c>
      <x:c r="E315" s="8" t="n">
        <x:f>Source!E309/100</x:f>
        <x:v>494.66</x:v>
      </x:c>
      <x:c r="F315" s="8" t="n">
        <x:f>Source!F309/100</x:f>
        <x:v>0</x:v>
      </x:c>
      <x:c r="G315" s="8" t="n">
        <x:f>Source!G309/100</x:f>
        <x:v>494.66</x:v>
      </x:c>
      <x:c r="H315" s="8" t="n">
        <x:f>G315-D315</x:f>
        <x:v>247.33</x:v>
      </x:c>
      <x:c r="I315" s="1" t="str">
        <x:f>IF(H315&gt;0,"Overbilled","Shortfall")</x:f>
        <x:v>Overbilled</x:v>
      </x:c>
      <x:c r="J315" s="7"/>
      <x:c r="K315" s="7" t="str">
        <x:v>Open</x:v>
      </x:c>
      <x:c r="L315" s="7"/>
    </x:row>
    <x:row r="316" ht="21" customHeight="1">
      <x:c r="A316" s="1" t="str">
        <x:f>Source!A310</x:f>
        <x:v>C0007136</x:v>
      </x:c>
      <x:c r="B316" s="1" t="str">
        <x:f>_xlfn.IFNA(VLOOKUP(Source!B310,Advertisers!$A$5:$B$34,2,FALSE),"Missing advertiser")</x:f>
        <x:v>Synthetic advertiser 16</x:v>
      </x:c>
      <x:c r="C316" s="1" t="n">
        <x:f>Source!C310</x:f>
        <x:v>46</x:v>
      </x:c>
      <x:c r="D316" s="8" t="n">
        <x:f>Source!D310/100</x:f>
        <x:v>247.33</x:v>
      </x:c>
      <x:c r="E316" s="8" t="n">
        <x:f>Source!E310/100</x:f>
        <x:v>494.66</x:v>
      </x:c>
      <x:c r="F316" s="8" t="n">
        <x:f>Source!F310/100</x:f>
        <x:v>0</x:v>
      </x:c>
      <x:c r="G316" s="8" t="n">
        <x:f>Source!G310/100</x:f>
        <x:v>494.66</x:v>
      </x:c>
      <x:c r="H316" s="8" t="n">
        <x:f>G316-D316</x:f>
        <x:v>247.33</x:v>
      </x:c>
      <x:c r="I316" s="1" t="str">
        <x:f>IF(H316&gt;0,"Overbilled","Shortfall")</x:f>
        <x:v>Overbilled</x:v>
      </x:c>
      <x:c r="J316" s="7"/>
      <x:c r="K316" s="7" t="str">
        <x:v>Open</x:v>
      </x:c>
      <x:c r="L316" s="7"/>
    </x:row>
    <x:row r="317" ht="21" customHeight="1">
      <x:c r="A317" s="1" t="str">
        <x:f>Source!A311</x:f>
        <x:v>C0002271</x:v>
      </x:c>
      <x:c r="B317" s="1" t="str">
        <x:f>_xlfn.IFNA(VLOOKUP(Source!B311,Advertisers!$A$5:$B$34,2,FALSE),"Missing advertiser")</x:f>
        <x:v>Synthetic advertiser 16</x:v>
      </x:c>
      <x:c r="C317" s="1" t="n">
        <x:f>Source!C311</x:f>
        <x:v>46</x:v>
      </x:c>
      <x:c r="D317" s="8" t="n">
        <x:f>Source!D311/100</x:f>
        <x:v>247.33</x:v>
      </x:c>
      <x:c r="E317" s="8" t="n">
        <x:f>Source!E311/100</x:f>
        <x:v>0</x:v>
      </x:c>
      <x:c r="F317" s="8" t="n">
        <x:f>Source!F311/100</x:f>
        <x:v>0</x:v>
      </x:c>
      <x:c r="G317" s="8" t="n">
        <x:f>Source!G311/100</x:f>
        <x:v>0</x:v>
      </x:c>
      <x:c r="H317" s="8" t="n">
        <x:f>G317-D317</x:f>
        <x:v>-247.33</x:v>
      </x:c>
      <x:c r="I317" s="1" t="str">
        <x:f>IF(H317&gt;0,"Overbilled","Shortfall")</x:f>
        <x:v>Shortfall</x:v>
      </x:c>
      <x:c r="J317" s="7"/>
      <x:c r="K317" s="7" t="str">
        <x:v>Open</x:v>
      </x:c>
      <x:c r="L317" s="7"/>
    </x:row>
    <x:row r="318" ht="21" customHeight="1">
      <x:c r="A318" s="1" t="str">
        <x:f>Source!A312</x:f>
        <x:v>C0011632</x:v>
      </x:c>
      <x:c r="B318" s="1" t="str">
        <x:f>_xlfn.IFNA(VLOOKUP(Source!B312,Advertisers!$A$5:$B$34,2,FALSE),"Missing advertiser")</x:f>
        <x:v>Synthetic advertiser 16</x:v>
      </x:c>
      <x:c r="C318" s="1" t="n">
        <x:f>Source!C312</x:f>
        <x:v>46</x:v>
      </x:c>
      <x:c r="D318" s="8" t="n">
        <x:f>Source!D312/100</x:f>
        <x:v>0</x:v>
      </x:c>
      <x:c r="E318" s="8" t="n">
        <x:f>Source!E312/100</x:f>
        <x:v>247.33</x:v>
      </x:c>
      <x:c r="F318" s="8" t="n">
        <x:f>Source!F312/100</x:f>
        <x:v>0</x:v>
      </x:c>
      <x:c r="G318" s="8" t="n">
        <x:f>Source!G312/100</x:f>
        <x:v>247.33</x:v>
      </x:c>
      <x:c r="H318" s="8" t="n">
        <x:f>G318-D318</x:f>
        <x:v>247.33</x:v>
      </x:c>
      <x:c r="I318" s="1" t="str">
        <x:f>IF(H318&gt;0,"Overbilled","Shortfall")</x:f>
        <x:v>Overbilled</x:v>
      </x:c>
      <x:c r="J318" s="7"/>
      <x:c r="K318" s="7" t="str">
        <x:v>Open</x:v>
      </x:c>
      <x:c r="L318" s="7"/>
    </x:row>
    <x:row r="319" ht="21" customHeight="1">
      <x:c r="A319" s="1" t="str">
        <x:f>Source!A313</x:f>
        <x:v>C0009769</x:v>
      </x:c>
      <x:c r="B319" s="1" t="str">
        <x:f>_xlfn.IFNA(VLOOKUP(Source!B313,Advertisers!$A$5:$B$34,2,FALSE),"Missing advertiser")</x:f>
        <x:v>Synthetic advertiser 30</x:v>
      </x:c>
      <x:c r="C319" s="1" t="n">
        <x:f>Source!C313</x:f>
        <x:v>120</x:v>
      </x:c>
      <x:c r="D319" s="8" t="n">
        <x:f>Source!D313/100</x:f>
        <x:v>247.24</x:v>
      </x:c>
      <x:c r="E319" s="8" t="n">
        <x:f>Source!E313/100</x:f>
        <x:v>0</x:v>
      </x:c>
      <x:c r="F319" s="8" t="n">
        <x:f>Source!F313/100</x:f>
        <x:v>0</x:v>
      </x:c>
      <x:c r="G319" s="8" t="n">
        <x:f>Source!G313/100</x:f>
        <x:v>0</x:v>
      </x:c>
      <x:c r="H319" s="8" t="n">
        <x:f>G319-D319</x:f>
        <x:v>-247.24</x:v>
      </x:c>
      <x:c r="I319" s="1" t="str">
        <x:f>IF(H319&gt;0,"Overbilled","Shortfall")</x:f>
        <x:v>Shortfall</x:v>
      </x:c>
      <x:c r="J319" s="7"/>
      <x:c r="K319" s="7" t="str">
        <x:v>Open</x:v>
      </x:c>
      <x:c r="L319" s="7"/>
    </x:row>
    <x:row r="320" ht="21" customHeight="1">
      <x:c r="A320" s="1" t="str">
        <x:f>Source!A314</x:f>
        <x:v>C0006705</x:v>
      </x:c>
      <x:c r="B320" s="1" t="str">
        <x:f>_xlfn.IFNA(VLOOKUP(Source!B314,Advertisers!$A$5:$B$34,2,FALSE),"Missing advertiser")</x:f>
        <x:v>Synthetic advertiser 30</x:v>
      </x:c>
      <x:c r="C320" s="1" t="n">
        <x:f>Source!C314</x:f>
        <x:v>120</x:v>
      </x:c>
      <x:c r="D320" s="8" t="n">
        <x:f>Source!D314/100</x:f>
        <x:v>0</x:v>
      </x:c>
      <x:c r="E320" s="8" t="n">
        <x:f>Source!E314/100</x:f>
        <x:v>247.24</x:v>
      </x:c>
      <x:c r="F320" s="8" t="n">
        <x:f>Source!F314/100</x:f>
        <x:v>0</x:v>
      </x:c>
      <x:c r="G320" s="8" t="n">
        <x:f>Source!G314/100</x:f>
        <x:v>247.24</x:v>
      </x:c>
      <x:c r="H320" s="8" t="n">
        <x:f>G320-D320</x:f>
        <x:v>247.24</x:v>
      </x:c>
      <x:c r="I320" s="1" t="str">
        <x:f>IF(H320&gt;0,"Overbilled","Shortfall")</x:f>
        <x:v>Overbilled</x:v>
      </x:c>
      <x:c r="J320" s="7"/>
      <x:c r="K320" s="7" t="str">
        <x:v>Open</x:v>
      </x:c>
      <x:c r="L320" s="7"/>
    </x:row>
    <x:row r="321" ht="21" customHeight="1">
      <x:c r="A321" s="1" t="str">
        <x:f>Source!A315</x:f>
        <x:v>C0017451</x:v>
      </x:c>
      <x:c r="B321" s="1" t="str">
        <x:f>_xlfn.IFNA(VLOOKUP(Source!B315,Advertisers!$A$5:$B$34,2,FALSE),"Missing advertiser")</x:f>
        <x:v>Synthetic advertiser 30</x:v>
      </x:c>
      <x:c r="C321" s="1" t="n">
        <x:f>Source!C315</x:f>
        <x:v>120</x:v>
      </x:c>
      <x:c r="D321" s="8" t="n">
        <x:f>Source!D315/100</x:f>
        <x:v>247.24</x:v>
      </x:c>
      <x:c r="E321" s="8" t="n">
        <x:f>Source!E315/100</x:f>
        <x:v>494.48</x:v>
      </x:c>
      <x:c r="F321" s="8" t="n">
        <x:f>Source!F315/100</x:f>
        <x:v>0</x:v>
      </x:c>
      <x:c r="G321" s="8" t="n">
        <x:f>Source!G315/100</x:f>
        <x:v>494.48</x:v>
      </x:c>
      <x:c r="H321" s="8" t="n">
        <x:f>G321-D321</x:f>
        <x:v>247.24</x:v>
      </x:c>
      <x:c r="I321" s="1" t="str">
        <x:f>IF(H321&gt;0,"Overbilled","Shortfall")</x:f>
        <x:v>Overbilled</x:v>
      </x:c>
      <x:c r="J321" s="7"/>
      <x:c r="K321" s="7" t="str">
        <x:v>Open</x:v>
      </x:c>
      <x:c r="L321" s="7"/>
    </x:row>
    <x:row r="322" ht="21" customHeight="1">
      <x:c r="A322" s="1" t="str">
        <x:f>Source!A316</x:f>
        <x:v>C0010839</x:v>
      </x:c>
      <x:c r="B322" s="1" t="str">
        <x:f>_xlfn.IFNA(VLOOKUP(Source!B316,Advertisers!$A$5:$B$34,2,FALSE),"Missing advertiser")</x:f>
        <x:v>Synthetic advertiser 26</x:v>
      </x:c>
      <x:c r="C322" s="1" t="n">
        <x:f>Source!C316</x:f>
        <x:v>86</x:v>
      </x:c>
      <x:c r="D322" s="8" t="n">
        <x:f>Source!D316/100</x:f>
        <x:v>246.93</x:v>
      </x:c>
      <x:c r="E322" s="8" t="n">
        <x:f>Source!E316/100</x:f>
        <x:v>493.86</x:v>
      </x:c>
      <x:c r="F322" s="8" t="n">
        <x:f>Source!F316/100</x:f>
        <x:v>0</x:v>
      </x:c>
      <x:c r="G322" s="8" t="n">
        <x:f>Source!G316/100</x:f>
        <x:v>493.86</x:v>
      </x:c>
      <x:c r="H322" s="8" t="n">
        <x:f>G322-D322</x:f>
        <x:v>246.93</x:v>
      </x:c>
      <x:c r="I322" s="1" t="str">
        <x:f>IF(H322&gt;0,"Overbilled","Shortfall")</x:f>
        <x:v>Overbilled</x:v>
      </x:c>
      <x:c r="J322" s="7"/>
      <x:c r="K322" s="7" t="str">
        <x:v>Open</x:v>
      </x:c>
      <x:c r="L322" s="7"/>
    </x:row>
    <x:row r="323" ht="21" customHeight="1">
      <x:c r="A323" s="1" t="str">
        <x:f>Source!A317</x:f>
        <x:v>C0008119</x:v>
      </x:c>
      <x:c r="B323" s="1" t="str">
        <x:f>_xlfn.IFNA(VLOOKUP(Source!B317,Advertisers!$A$5:$B$34,2,FALSE),"Missing advertiser")</x:f>
        <x:v>Synthetic advertiser 26</x:v>
      </x:c>
      <x:c r="C323" s="1" t="n">
        <x:f>Source!C317</x:f>
        <x:v>86</x:v>
      </x:c>
      <x:c r="D323" s="8" t="n">
        <x:f>Source!D317/100</x:f>
        <x:v>246.93</x:v>
      </x:c>
      <x:c r="E323" s="8" t="n">
        <x:f>Source!E317/100</x:f>
        <x:v>493.86</x:v>
      </x:c>
      <x:c r="F323" s="8" t="n">
        <x:f>Source!F317/100</x:f>
        <x:v>0</x:v>
      </x:c>
      <x:c r="G323" s="8" t="n">
        <x:f>Source!G317/100</x:f>
        <x:v>493.86</x:v>
      </x:c>
      <x:c r="H323" s="8" t="n">
        <x:f>G323-D323</x:f>
        <x:v>246.93</x:v>
      </x:c>
      <x:c r="I323" s="1" t="str">
        <x:f>IF(H323&gt;0,"Overbilled","Shortfall")</x:f>
        <x:v>Overbilled</x:v>
      </x:c>
      <x:c r="J323" s="7"/>
      <x:c r="K323" s="7" t="str">
        <x:v>Open</x:v>
      </x:c>
      <x:c r="L323" s="7"/>
    </x:row>
    <x:row r="324" ht="21" customHeight="1">
      <x:c r="A324" s="1" t="str">
        <x:f>Source!A318</x:f>
        <x:v>C0006773</x:v>
      </x:c>
      <x:c r="B324" s="1" t="str">
        <x:f>_xlfn.IFNA(VLOOKUP(Source!B318,Advertisers!$A$5:$B$34,2,FALSE),"Missing advertiser")</x:f>
        <x:v>Synthetic advertiser 26</x:v>
      </x:c>
      <x:c r="C324" s="1" t="n">
        <x:f>Source!C318</x:f>
        <x:v>86</x:v>
      </x:c>
      <x:c r="D324" s="8" t="n">
        <x:f>Source!D318/100</x:f>
        <x:v>246.93</x:v>
      </x:c>
      <x:c r="E324" s="8" t="n">
        <x:f>Source!E318/100</x:f>
        <x:v>493.86</x:v>
      </x:c>
      <x:c r="F324" s="8" t="n">
        <x:f>Source!F318/100</x:f>
        <x:v>0</x:v>
      </x:c>
      <x:c r="G324" s="8" t="n">
        <x:f>Source!G318/100</x:f>
        <x:v>493.86</x:v>
      </x:c>
      <x:c r="H324" s="8" t="n">
        <x:f>G324-D324</x:f>
        <x:v>246.93</x:v>
      </x:c>
      <x:c r="I324" s="1" t="str">
        <x:f>IF(H324&gt;0,"Overbilled","Shortfall")</x:f>
        <x:v>Overbilled</x:v>
      </x:c>
      <x:c r="J324" s="7"/>
      <x:c r="K324" s="7" t="str">
        <x:v>Open</x:v>
      </x:c>
      <x:c r="L324" s="7"/>
    </x:row>
    <x:row r="325" ht="21" customHeight="1">
      <x:c r="A325" s="1" t="str">
        <x:f>Source!A319</x:f>
        <x:v>C0003601</x:v>
      </x:c>
      <x:c r="B325" s="1" t="str">
        <x:f>_xlfn.IFNA(VLOOKUP(Source!B319,Advertisers!$A$5:$B$34,2,FALSE),"Missing advertiser")</x:f>
        <x:v>Synthetic advertiser 26</x:v>
      </x:c>
      <x:c r="C325" s="1" t="n">
        <x:f>Source!C319</x:f>
        <x:v>86</x:v>
      </x:c>
      <x:c r="D325" s="8" t="n">
        <x:f>Source!D319/100</x:f>
        <x:v>246.93</x:v>
      </x:c>
      <x:c r="E325" s="8" t="n">
        <x:f>Source!E319/100</x:f>
        <x:v>0</x:v>
      </x:c>
      <x:c r="F325" s="8" t="n">
        <x:f>Source!F319/100</x:f>
        <x:v>0</x:v>
      </x:c>
      <x:c r="G325" s="8" t="n">
        <x:f>Source!G319/100</x:f>
        <x:v>0</x:v>
      </x:c>
      <x:c r="H325" s="8" t="n">
        <x:f>G325-D325</x:f>
        <x:v>-246.93</x:v>
      </x:c>
      <x:c r="I325" s="1" t="str">
        <x:f>IF(H325&gt;0,"Overbilled","Shortfall")</x:f>
        <x:v>Shortfall</x:v>
      </x:c>
      <x:c r="J325" s="7"/>
      <x:c r="K325" s="7" t="str">
        <x:v>Open</x:v>
      </x:c>
      <x:c r="L325" s="7"/>
    </x:row>
    <x:row r="326" ht="21" customHeight="1">
      <x:c r="A326" s="1" t="str">
        <x:f>Source!A320</x:f>
        <x:v>C0008601</x:v>
      </x:c>
      <x:c r="B326" s="1" t="str">
        <x:f>_xlfn.IFNA(VLOOKUP(Source!B320,Advertisers!$A$5:$B$34,2,FALSE),"Missing advertiser")</x:f>
        <x:v>Synthetic advertiser 26</x:v>
      </x:c>
      <x:c r="C326" s="1" t="n">
        <x:f>Source!C320</x:f>
        <x:v>86</x:v>
      </x:c>
      <x:c r="D326" s="8" t="n">
        <x:f>Source!D320/100</x:f>
        <x:v>246.93</x:v>
      </x:c>
      <x:c r="E326" s="8" t="n">
        <x:f>Source!E320/100</x:f>
        <x:v>493.86</x:v>
      </x:c>
      <x:c r="F326" s="8" t="n">
        <x:f>Source!F320/100</x:f>
        <x:v>0</x:v>
      </x:c>
      <x:c r="G326" s="8" t="n">
        <x:f>Source!G320/100</x:f>
        <x:v>493.86</x:v>
      </x:c>
      <x:c r="H326" s="8" t="n">
        <x:f>G326-D326</x:f>
        <x:v>246.93</x:v>
      </x:c>
      <x:c r="I326" s="1" t="str">
        <x:f>IF(H326&gt;0,"Overbilled","Shortfall")</x:f>
        <x:v>Overbilled</x:v>
      </x:c>
      <x:c r="J326" s="7"/>
      <x:c r="K326" s="7" t="str">
        <x:v>Open</x:v>
      </x:c>
      <x:c r="L326" s="7"/>
    </x:row>
    <x:row r="327" ht="21" customHeight="1">
      <x:c r="A327" s="1" t="str">
        <x:f>Source!A321</x:f>
        <x:v>C0009718</x:v>
      </x:c>
      <x:c r="B327" s="1" t="str">
        <x:f>_xlfn.IFNA(VLOOKUP(Source!B321,Advertisers!$A$5:$B$34,2,FALSE),"Missing advertiser")</x:f>
        <x:v>Synthetic advertiser 13</x:v>
      </x:c>
      <x:c r="C327" s="1" t="n">
        <x:f>Source!C321</x:f>
        <x:v>103</x:v>
      </x:c>
      <x:c r="D327" s="8" t="n">
        <x:f>Source!D321/100</x:f>
        <x:v>245.85</x:v>
      </x:c>
      <x:c r="E327" s="8" t="n">
        <x:f>Source!E321/100</x:f>
        <x:v>491.7</x:v>
      </x:c>
      <x:c r="F327" s="8" t="n">
        <x:f>Source!F321/100</x:f>
        <x:v>0</x:v>
      </x:c>
      <x:c r="G327" s="8" t="n">
        <x:f>Source!G321/100</x:f>
        <x:v>491.7</x:v>
      </x:c>
      <x:c r="H327" s="8" t="n">
        <x:f>G327-D327</x:f>
        <x:v>245.85</x:v>
      </x:c>
      <x:c r="I327" s="1" t="str">
        <x:f>IF(H327&gt;0,"Overbilled","Shortfall")</x:f>
        <x:v>Overbilled</x:v>
      </x:c>
      <x:c r="J327" s="7"/>
      <x:c r="K327" s="7" t="str">
        <x:v>Open</x:v>
      </x:c>
      <x:c r="L327" s="7"/>
    </x:row>
    <x:row r="328" ht="21" customHeight="1">
      <x:c r="A328" s="1" t="str">
        <x:f>Source!A322</x:f>
        <x:v>C0002468</x:v>
      </x:c>
      <x:c r="B328" s="1" t="str">
        <x:f>_xlfn.IFNA(VLOOKUP(Source!B322,Advertisers!$A$5:$B$34,2,FALSE),"Missing advertiser")</x:f>
        <x:v>Synthetic advertiser 13</x:v>
      </x:c>
      <x:c r="C328" s="1" t="n">
        <x:f>Source!C322</x:f>
        <x:v>103</x:v>
      </x:c>
      <x:c r="D328" s="8" t="n">
        <x:f>Source!D322/100</x:f>
        <x:v>245.85</x:v>
      </x:c>
      <x:c r="E328" s="8" t="n">
        <x:f>Source!E322/100</x:f>
        <x:v>0</x:v>
      </x:c>
      <x:c r="F328" s="8" t="n">
        <x:f>Source!F322/100</x:f>
        <x:v>0</x:v>
      </x:c>
      <x:c r="G328" s="8" t="n">
        <x:f>Source!G322/100</x:f>
        <x:v>0</x:v>
      </x:c>
      <x:c r="H328" s="8" t="n">
        <x:f>G328-D328</x:f>
        <x:v>-245.85</x:v>
      </x:c>
      <x:c r="I328" s="1" t="str">
        <x:f>IF(H328&gt;0,"Overbilled","Shortfall")</x:f>
        <x:v>Shortfall</x:v>
      </x:c>
      <x:c r="J328" s="7"/>
      <x:c r="K328" s="7" t="str">
        <x:v>Open</x:v>
      </x:c>
      <x:c r="L328" s="7"/>
    </x:row>
    <x:row r="329" ht="21" customHeight="1">
      <x:c r="A329" s="1" t="str">
        <x:f>Source!A323</x:f>
        <x:v>C0015573</x:v>
      </x:c>
      <x:c r="B329" s="1" t="str">
        <x:f>_xlfn.IFNA(VLOOKUP(Source!B323,Advertisers!$A$5:$B$34,2,FALSE),"Missing advertiser")</x:f>
        <x:v>Synthetic advertiser 13</x:v>
      </x:c>
      <x:c r="C329" s="1" t="n">
        <x:f>Source!C323</x:f>
        <x:v>103</x:v>
      </x:c>
      <x:c r="D329" s="8" t="n">
        <x:f>Source!D323/100</x:f>
        <x:v>245.85</x:v>
      </x:c>
      <x:c r="E329" s="8" t="n">
        <x:f>Source!E323/100</x:f>
        <x:v>0</x:v>
      </x:c>
      <x:c r="F329" s="8" t="n">
        <x:f>Source!F323/100</x:f>
        <x:v>0</x:v>
      </x:c>
      <x:c r="G329" s="8" t="n">
        <x:f>Source!G323/100</x:f>
        <x:v>0</x:v>
      </x:c>
      <x:c r="H329" s="8" t="n">
        <x:f>G329-D329</x:f>
        <x:v>-245.85</x:v>
      </x:c>
      <x:c r="I329" s="1" t="str">
        <x:f>IF(H329&gt;0,"Overbilled","Shortfall")</x:f>
        <x:v>Shortfall</x:v>
      </x:c>
      <x:c r="J329" s="7"/>
      <x:c r="K329" s="7" t="str">
        <x:v>Open</x:v>
      </x:c>
      <x:c r="L329" s="7"/>
    </x:row>
    <x:row r="330" ht="21" customHeight="1">
      <x:c r="A330" s="1" t="str">
        <x:f>Source!A324</x:f>
        <x:v>C0017492</x:v>
      </x:c>
      <x:c r="B330" s="1" t="str">
        <x:f>_xlfn.IFNA(VLOOKUP(Source!B324,Advertisers!$A$5:$B$34,2,FALSE),"Missing advertiser")</x:f>
        <x:v>Synthetic advertiser 13</x:v>
      </x:c>
      <x:c r="C330" s="1" t="n">
        <x:f>Source!C324</x:f>
        <x:v>103</x:v>
      </x:c>
      <x:c r="D330" s="8" t="n">
        <x:f>Source!D324/100</x:f>
        <x:v>245.85</x:v>
      </x:c>
      <x:c r="E330" s="8" t="n">
        <x:f>Source!E324/100</x:f>
        <x:v>0</x:v>
      </x:c>
      <x:c r="F330" s="8" t="n">
        <x:f>Source!F324/100</x:f>
        <x:v>0</x:v>
      </x:c>
      <x:c r="G330" s="8" t="n">
        <x:f>Source!G324/100</x:f>
        <x:v>0</x:v>
      </x:c>
      <x:c r="H330" s="8" t="n">
        <x:f>G330-D330</x:f>
        <x:v>-245.85</x:v>
      </x:c>
      <x:c r="I330" s="1" t="str">
        <x:f>IF(H330&gt;0,"Overbilled","Shortfall")</x:f>
        <x:v>Shortfall</x:v>
      </x:c>
      <x:c r="J330" s="7"/>
      <x:c r="K330" s="7" t="str">
        <x:v>Open</x:v>
      </x:c>
      <x:c r="L330" s="7"/>
    </x:row>
    <x:row r="331" ht="21" customHeight="1">
      <x:c r="A331" s="1" t="str">
        <x:f>Source!A325</x:f>
        <x:v>C0010773</x:v>
      </x:c>
      <x:c r="B331" s="1" t="str">
        <x:f>_xlfn.IFNA(VLOOKUP(Source!B325,Advertisers!$A$5:$B$34,2,FALSE),"Missing advertiser")</x:f>
        <x:v>Synthetic advertiser 13</x:v>
      </x:c>
      <x:c r="C331" s="1" t="n">
        <x:f>Source!C325</x:f>
        <x:v>103</x:v>
      </x:c>
      <x:c r="D331" s="8" t="n">
        <x:f>Source!D325/100</x:f>
        <x:v>0</x:v>
      </x:c>
      <x:c r="E331" s="8" t="n">
        <x:f>Source!E325/100</x:f>
        <x:v>245.85</x:v>
      </x:c>
      <x:c r="F331" s="8" t="n">
        <x:f>Source!F325/100</x:f>
        <x:v>0</x:v>
      </x:c>
      <x:c r="G331" s="8" t="n">
        <x:f>Source!G325/100</x:f>
        <x:v>245.85</x:v>
      </x:c>
      <x:c r="H331" s="8" t="n">
        <x:f>G331-D331</x:f>
        <x:v>245.85</x:v>
      </x:c>
      <x:c r="I331" s="1" t="str">
        <x:f>IF(H331&gt;0,"Overbilled","Shortfall")</x:f>
        <x:v>Overbilled</x:v>
      </x:c>
      <x:c r="J331" s="7"/>
      <x:c r="K331" s="7" t="str">
        <x:v>Open</x:v>
      </x:c>
      <x:c r="L331" s="7"/>
    </x:row>
    <x:row r="332" ht="21" customHeight="1">
      <x:c r="A332" s="1" t="str">
        <x:f>Source!A326</x:f>
        <x:v>C0000308</x:v>
      </x:c>
      <x:c r="B332" s="1" t="str">
        <x:f>_xlfn.IFNA(VLOOKUP(Source!B326,Advertisers!$A$5:$B$34,2,FALSE),"Missing advertiser")</x:f>
        <x:v>Synthetic advertiser 13</x:v>
      </x:c>
      <x:c r="C332" s="1" t="n">
        <x:f>Source!C326</x:f>
        <x:v>103</x:v>
      </x:c>
      <x:c r="D332" s="8" t="n">
        <x:f>Source!D326/100</x:f>
        <x:v>245.85</x:v>
      </x:c>
      <x:c r="E332" s="8" t="n">
        <x:f>Source!E326/100</x:f>
        <x:v>0</x:v>
      </x:c>
      <x:c r="F332" s="8" t="n">
        <x:f>Source!F326/100</x:f>
        <x:v>0</x:v>
      </x:c>
      <x:c r="G332" s="8" t="n">
        <x:f>Source!G326/100</x:f>
        <x:v>0</x:v>
      </x:c>
      <x:c r="H332" s="8" t="n">
        <x:f>G332-D332</x:f>
        <x:v>-245.85</x:v>
      </x:c>
      <x:c r="I332" s="1" t="str">
        <x:f>IF(H332&gt;0,"Overbilled","Shortfall")</x:f>
        <x:v>Shortfall</x:v>
      </x:c>
      <x:c r="J332" s="7"/>
      <x:c r="K332" s="7" t="str">
        <x:v>Open</x:v>
      </x:c>
      <x:c r="L332" s="7"/>
    </x:row>
    <x:row r="333" ht="21" customHeight="1">
      <x:c r="A333" s="1" t="str">
        <x:f>Source!A327</x:f>
        <x:v>C0002033</x:v>
      </x:c>
      <x:c r="B333" s="1" t="str">
        <x:f>_xlfn.IFNA(VLOOKUP(Source!B327,Advertisers!$A$5:$B$34,2,FALSE),"Missing advertiser")</x:f>
        <x:v>Synthetic advertiser 7</x:v>
      </x:c>
      <x:c r="C333" s="1" t="n">
        <x:f>Source!C327</x:f>
        <x:v>97</x:v>
      </x:c>
      <x:c r="D333" s="8" t="n">
        <x:f>Source!D327/100</x:f>
        <x:v>0</x:v>
      </x:c>
      <x:c r="E333" s="8" t="n">
        <x:f>Source!E327/100</x:f>
        <x:v>245.35</x:v>
      </x:c>
      <x:c r="F333" s="8" t="n">
        <x:f>Source!F327/100</x:f>
        <x:v>0</x:v>
      </x:c>
      <x:c r="G333" s="8" t="n">
        <x:f>Source!G327/100</x:f>
        <x:v>245.35</x:v>
      </x:c>
      <x:c r="H333" s="8" t="n">
        <x:f>G333-D333</x:f>
        <x:v>245.35</x:v>
      </x:c>
      <x:c r="I333" s="1" t="str">
        <x:f>IF(H333&gt;0,"Overbilled","Shortfall")</x:f>
        <x:v>Overbilled</x:v>
      </x:c>
      <x:c r="J333" s="7"/>
      <x:c r="K333" s="7" t="str">
        <x:v>Open</x:v>
      </x:c>
      <x:c r="L333" s="7"/>
    </x:row>
    <x:row r="334" ht="21" customHeight="1">
      <x:c r="A334" s="1" t="str">
        <x:f>Source!A328</x:f>
        <x:v>C0004772</x:v>
      </x:c>
      <x:c r="B334" s="1" t="str">
        <x:f>_xlfn.IFNA(VLOOKUP(Source!B328,Advertisers!$A$5:$B$34,2,FALSE),"Missing advertiser")</x:f>
        <x:v>Synthetic advertiser 7</x:v>
      </x:c>
      <x:c r="C334" s="1" t="n">
        <x:f>Source!C328</x:f>
        <x:v>97</x:v>
      </x:c>
      <x:c r="D334" s="8" t="n">
        <x:f>Source!D328/100</x:f>
        <x:v>0</x:v>
      </x:c>
      <x:c r="E334" s="8" t="n">
        <x:f>Source!E328/100</x:f>
        <x:v>245.35</x:v>
      </x:c>
      <x:c r="F334" s="8" t="n">
        <x:f>Source!F328/100</x:f>
        <x:v>0</x:v>
      </x:c>
      <x:c r="G334" s="8" t="n">
        <x:f>Source!G328/100</x:f>
        <x:v>245.35</x:v>
      </x:c>
      <x:c r="H334" s="8" t="n">
        <x:f>G334-D334</x:f>
        <x:v>245.35</x:v>
      </x:c>
      <x:c r="I334" s="1" t="str">
        <x:f>IF(H334&gt;0,"Overbilled","Shortfall")</x:f>
        <x:v>Overbilled</x:v>
      </x:c>
      <x:c r="J334" s="7"/>
      <x:c r="K334" s="7" t="str">
        <x:v>Open</x:v>
      </x:c>
      <x:c r="L334" s="7"/>
    </x:row>
    <x:row r="335" ht="21" customHeight="1">
      <x:c r="A335" s="1" t="str">
        <x:f>Source!A329</x:f>
        <x:v>C0003365</x:v>
      </x:c>
      <x:c r="B335" s="1" t="str">
        <x:f>_xlfn.IFNA(VLOOKUP(Source!B329,Advertisers!$A$5:$B$34,2,FALSE),"Missing advertiser")</x:f>
        <x:v>Synthetic advertiser 7</x:v>
      </x:c>
      <x:c r="C335" s="1" t="n">
        <x:f>Source!C329</x:f>
        <x:v>97</x:v>
      </x:c>
      <x:c r="D335" s="8" t="n">
        <x:f>Source!D329/100</x:f>
        <x:v>245.35</x:v>
      </x:c>
      <x:c r="E335" s="8" t="n">
        <x:f>Source!E329/100</x:f>
        <x:v>0</x:v>
      </x:c>
      <x:c r="F335" s="8" t="n">
        <x:f>Source!F329/100</x:f>
        <x:v>0</x:v>
      </x:c>
      <x:c r="G335" s="8" t="n">
        <x:f>Source!G329/100</x:f>
        <x:v>0</x:v>
      </x:c>
      <x:c r="H335" s="8" t="n">
        <x:f>G335-D335</x:f>
        <x:v>-245.35</x:v>
      </x:c>
      <x:c r="I335" s="1" t="str">
        <x:f>IF(H335&gt;0,"Overbilled","Shortfall")</x:f>
        <x:v>Shortfall</x:v>
      </x:c>
      <x:c r="J335" s="7"/>
      <x:c r="K335" s="7" t="str">
        <x:v>Open</x:v>
      </x:c>
      <x:c r="L335" s="7"/>
    </x:row>
    <x:row r="336" ht="21" customHeight="1">
      <x:c r="A336" s="1" t="str">
        <x:f>Source!A330</x:f>
        <x:v>C0008421</x:v>
      </x:c>
      <x:c r="B336" s="1" t="str">
        <x:f>_xlfn.IFNA(VLOOKUP(Source!B330,Advertisers!$A$5:$B$34,2,FALSE),"Missing advertiser")</x:f>
        <x:v>Synthetic advertiser 7</x:v>
      </x:c>
      <x:c r="C336" s="1" t="n">
        <x:f>Source!C330</x:f>
        <x:v>97</x:v>
      </x:c>
      <x:c r="D336" s="8" t="n">
        <x:f>Source!D330/100</x:f>
        <x:v>245.35</x:v>
      </x:c>
      <x:c r="E336" s="8" t="n">
        <x:f>Source!E330/100</x:f>
        <x:v>0</x:v>
      </x:c>
      <x:c r="F336" s="8" t="n">
        <x:f>Source!F330/100</x:f>
        <x:v>0</x:v>
      </x:c>
      <x:c r="G336" s="8" t="n">
        <x:f>Source!G330/100</x:f>
        <x:v>0</x:v>
      </x:c>
      <x:c r="H336" s="8" t="n">
        <x:f>G336-D336</x:f>
        <x:v>-245.35</x:v>
      </x:c>
      <x:c r="I336" s="1" t="str">
        <x:f>IF(H336&gt;0,"Overbilled","Shortfall")</x:f>
        <x:v>Shortfall</x:v>
      </x:c>
      <x:c r="J336" s="7"/>
      <x:c r="K336" s="7" t="str">
        <x:v>Open</x:v>
      </x:c>
      <x:c r="L336" s="7"/>
    </x:row>
    <x:row r="337" ht="21" customHeight="1">
      <x:c r="A337" s="1" t="str">
        <x:f>Source!A331</x:f>
        <x:v>C0006692</x:v>
      </x:c>
      <x:c r="B337" s="1" t="str">
        <x:f>_xlfn.IFNA(VLOOKUP(Source!B331,Advertisers!$A$5:$B$34,2,FALSE),"Missing advertiser")</x:f>
        <x:v>Synthetic advertiser 7</x:v>
      </x:c>
      <x:c r="C337" s="1" t="n">
        <x:f>Source!C331</x:f>
        <x:v>97</x:v>
      </x:c>
      <x:c r="D337" s="8" t="n">
        <x:f>Source!D331/100</x:f>
        <x:v>245.35</x:v>
      </x:c>
      <x:c r="E337" s="8" t="n">
        <x:f>Source!E331/100</x:f>
        <x:v>490.7</x:v>
      </x:c>
      <x:c r="F337" s="8" t="n">
        <x:f>Source!F331/100</x:f>
        <x:v>0</x:v>
      </x:c>
      <x:c r="G337" s="8" t="n">
        <x:f>Source!G331/100</x:f>
        <x:v>490.7</x:v>
      </x:c>
      <x:c r="H337" s="8" t="n">
        <x:f>G337-D337</x:f>
        <x:v>245.35</x:v>
      </x:c>
      <x:c r="I337" s="1" t="str">
        <x:f>IF(H337&gt;0,"Overbilled","Shortfall")</x:f>
        <x:v>Overbilled</x:v>
      </x:c>
      <x:c r="J337" s="7"/>
      <x:c r="K337" s="7" t="str">
        <x:v>Open</x:v>
      </x:c>
      <x:c r="L337" s="7"/>
    </x:row>
    <x:row r="338" ht="21" customHeight="1">
      <x:c r="A338" s="1" t="str">
        <x:f>Source!A332</x:f>
        <x:v>C0012137</x:v>
      </x:c>
      <x:c r="B338" s="1" t="str">
        <x:f>_xlfn.IFNA(VLOOKUP(Source!B332,Advertisers!$A$5:$B$34,2,FALSE),"Missing advertiser")</x:f>
        <x:v>Synthetic advertiser 7</x:v>
      </x:c>
      <x:c r="C338" s="1" t="n">
        <x:f>Source!C332</x:f>
        <x:v>97</x:v>
      </x:c>
      <x:c r="D338" s="8" t="n">
        <x:f>Source!D332/100</x:f>
        <x:v>245.35</x:v>
      </x:c>
      <x:c r="E338" s="8" t="n">
        <x:f>Source!E332/100</x:f>
        <x:v>490.7</x:v>
      </x:c>
      <x:c r="F338" s="8" t="n">
        <x:f>Source!F332/100</x:f>
        <x:v>0</x:v>
      </x:c>
      <x:c r="G338" s="8" t="n">
        <x:f>Source!G332/100</x:f>
        <x:v>490.7</x:v>
      </x:c>
      <x:c r="H338" s="8" t="n">
        <x:f>G338-D338</x:f>
        <x:v>245.35</x:v>
      </x:c>
      <x:c r="I338" s="1" t="str">
        <x:f>IF(H338&gt;0,"Overbilled","Shortfall")</x:f>
        <x:v>Overbilled</x:v>
      </x:c>
      <x:c r="J338" s="7"/>
      <x:c r="K338" s="7" t="str">
        <x:v>Open</x:v>
      </x:c>
      <x:c r="L338" s="7"/>
    </x:row>
    <x:row r="339" ht="21" customHeight="1">
      <x:c r="A339" s="1" t="str">
        <x:f>Source!A333</x:f>
        <x:v>C0008227</x:v>
      </x:c>
      <x:c r="B339" s="1" t="str">
        <x:f>_xlfn.IFNA(VLOOKUP(Source!B333,Advertisers!$A$5:$B$34,2,FALSE),"Missing advertiser")</x:f>
        <x:v>Synthetic advertiser 16</x:v>
      </x:c>
      <x:c r="C339" s="1" t="n">
        <x:f>Source!C333</x:f>
        <x:v>106</x:v>
      </x:c>
      <x:c r="D339" s="8" t="n">
        <x:f>Source!D333/100</x:f>
        <x:v>245.13</x:v>
      </x:c>
      <x:c r="E339" s="8" t="n">
        <x:f>Source!E333/100</x:f>
        <x:v>490.26</x:v>
      </x:c>
      <x:c r="F339" s="8" t="n">
        <x:f>Source!F333/100</x:f>
        <x:v>0</x:v>
      </x:c>
      <x:c r="G339" s="8" t="n">
        <x:f>Source!G333/100</x:f>
        <x:v>490.26</x:v>
      </x:c>
      <x:c r="H339" s="8" t="n">
        <x:f>G339-D339</x:f>
        <x:v>245.13</x:v>
      </x:c>
      <x:c r="I339" s="1" t="str">
        <x:f>IF(H339&gt;0,"Overbilled","Shortfall")</x:f>
        <x:v>Overbilled</x:v>
      </x:c>
      <x:c r="J339" s="7"/>
      <x:c r="K339" s="7" t="str">
        <x:v>Open</x:v>
      </x:c>
      <x:c r="L339" s="7"/>
    </x:row>
    <x:row r="340" ht="21" customHeight="1">
      <x:c r="A340" s="1" t="str">
        <x:f>Source!A334</x:f>
        <x:v>C0008676</x:v>
      </x:c>
      <x:c r="B340" s="1" t="str">
        <x:f>_xlfn.IFNA(VLOOKUP(Source!B334,Advertisers!$A$5:$B$34,2,FALSE),"Missing advertiser")</x:f>
        <x:v>Synthetic advertiser 1</x:v>
      </x:c>
      <x:c r="C340" s="1" t="n">
        <x:f>Source!C334</x:f>
        <x:v>1</x:v>
      </x:c>
      <x:c r="D340" s="8" t="n">
        <x:f>Source!D334/100</x:f>
        <x:v>245.13</x:v>
      </x:c>
      <x:c r="E340" s="8" t="n">
        <x:f>Source!E334/100</x:f>
        <x:v>490.26</x:v>
      </x:c>
      <x:c r="F340" s="8" t="n">
        <x:f>Source!F334/100</x:f>
        <x:v>0</x:v>
      </x:c>
      <x:c r="G340" s="8" t="n">
        <x:f>Source!G334/100</x:f>
        <x:v>490.26</x:v>
      </x:c>
      <x:c r="H340" s="8" t="n">
        <x:f>G340-D340</x:f>
        <x:v>245.13</x:v>
      </x:c>
      <x:c r="I340" s="1" t="str">
        <x:f>IF(H340&gt;0,"Overbilled","Shortfall")</x:f>
        <x:v>Overbilled</x:v>
      </x:c>
      <x:c r="J340" s="7"/>
      <x:c r="K340" s="7" t="str">
        <x:v>Open</x:v>
      </x:c>
      <x:c r="L340" s="7"/>
    </x:row>
    <x:row r="341" ht="21" customHeight="1">
      <x:c r="A341" s="1" t="str">
        <x:f>Source!A335</x:f>
        <x:v>C0017004</x:v>
      </x:c>
      <x:c r="B341" s="1" t="str">
        <x:f>_xlfn.IFNA(VLOOKUP(Source!B335,Advertisers!$A$5:$B$34,2,FALSE),"Missing advertiser")</x:f>
        <x:v>Synthetic advertiser 1</x:v>
      </x:c>
      <x:c r="C341" s="1" t="n">
        <x:f>Source!C335</x:f>
        <x:v>1</x:v>
      </x:c>
      <x:c r="D341" s="8" t="n">
        <x:f>Source!D335/100</x:f>
        <x:v>245.13</x:v>
      </x:c>
      <x:c r="E341" s="8" t="n">
        <x:f>Source!E335/100</x:f>
        <x:v>0</x:v>
      </x:c>
      <x:c r="F341" s="8" t="n">
        <x:f>Source!F335/100</x:f>
        <x:v>0</x:v>
      </x:c>
      <x:c r="G341" s="8" t="n">
        <x:f>Source!G335/100</x:f>
        <x:v>0</x:v>
      </x:c>
      <x:c r="H341" s="8" t="n">
        <x:f>G341-D341</x:f>
        <x:v>-245.13</x:v>
      </x:c>
      <x:c r="I341" s="1" t="str">
        <x:f>IF(H341&gt;0,"Overbilled","Shortfall")</x:f>
        <x:v>Shortfall</x:v>
      </x:c>
      <x:c r="J341" s="7"/>
      <x:c r="K341" s="7" t="str">
        <x:v>Open</x:v>
      </x:c>
      <x:c r="L341" s="7"/>
    </x:row>
    <x:row r="342" ht="21" customHeight="1">
      <x:c r="A342" s="1" t="str">
        <x:f>Source!A336</x:f>
        <x:v>C0007063</x:v>
      </x:c>
      <x:c r="B342" s="1" t="str">
        <x:f>_xlfn.IFNA(VLOOKUP(Source!B336,Advertisers!$A$5:$B$34,2,FALSE),"Missing advertiser")</x:f>
        <x:v>Synthetic advertiser 16</x:v>
      </x:c>
      <x:c r="C342" s="1" t="n">
        <x:f>Source!C336</x:f>
        <x:v>106</x:v>
      </x:c>
      <x:c r="D342" s="8" t="n">
        <x:f>Source!D336/100</x:f>
        <x:v>245.13</x:v>
      </x:c>
      <x:c r="E342" s="8" t="n">
        <x:f>Source!E336/100</x:f>
        <x:v>490.26</x:v>
      </x:c>
      <x:c r="F342" s="8" t="n">
        <x:f>Source!F336/100</x:f>
        <x:v>0</x:v>
      </x:c>
      <x:c r="G342" s="8" t="n">
        <x:f>Source!G336/100</x:f>
        <x:v>490.26</x:v>
      </x:c>
      <x:c r="H342" s="8" t="n">
        <x:f>G342-D342</x:f>
        <x:v>245.13</x:v>
      </x:c>
      <x:c r="I342" s="1" t="str">
        <x:f>IF(H342&gt;0,"Overbilled","Shortfall")</x:f>
        <x:v>Overbilled</x:v>
      </x:c>
      <x:c r="J342" s="7"/>
      <x:c r="K342" s="7" t="str">
        <x:v>Open</x:v>
      </x:c>
      <x:c r="L342" s="7"/>
    </x:row>
    <x:row r="343" ht="21" customHeight="1">
      <x:c r="A343" s="1" t="str">
        <x:f>Source!A337</x:f>
        <x:v>C0002947</x:v>
      </x:c>
      <x:c r="B343" s="1" t="str">
        <x:f>_xlfn.IFNA(VLOOKUP(Source!B337,Advertisers!$A$5:$B$34,2,FALSE),"Missing advertiser")</x:f>
        <x:v>Synthetic advertiser 1</x:v>
      </x:c>
      <x:c r="C343" s="1" t="n">
        <x:f>Source!C337</x:f>
        <x:v>1</x:v>
      </x:c>
      <x:c r="D343" s="8" t="n">
        <x:f>Source!D337/100</x:f>
        <x:v>245.13</x:v>
      </x:c>
      <x:c r="E343" s="8" t="n">
        <x:f>Source!E337/100</x:f>
        <x:v>0</x:v>
      </x:c>
      <x:c r="F343" s="8" t="n">
        <x:f>Source!F337/100</x:f>
        <x:v>0</x:v>
      </x:c>
      <x:c r="G343" s="8" t="n">
        <x:f>Source!G337/100</x:f>
        <x:v>0</x:v>
      </x:c>
      <x:c r="H343" s="8" t="n">
        <x:f>G343-D343</x:f>
        <x:v>-245.13</x:v>
      </x:c>
      <x:c r="I343" s="1" t="str">
        <x:f>IF(H343&gt;0,"Overbilled","Shortfall")</x:f>
        <x:v>Shortfall</x:v>
      </x:c>
      <x:c r="J343" s="7"/>
      <x:c r="K343" s="7" t="str">
        <x:v>Open</x:v>
      </x:c>
      <x:c r="L343" s="7"/>
    </x:row>
    <x:row r="344" ht="21" customHeight="1">
      <x:c r="A344" s="1" t="str">
        <x:f>Source!A338</x:f>
        <x:v>C0005210</x:v>
      </x:c>
      <x:c r="B344" s="1" t="str">
        <x:f>_xlfn.IFNA(VLOOKUP(Source!B338,Advertisers!$A$5:$B$34,2,FALSE),"Missing advertiser")</x:f>
        <x:v>Synthetic advertiser 16</x:v>
      </x:c>
      <x:c r="C344" s="1" t="n">
        <x:f>Source!C338</x:f>
        <x:v>106</x:v>
      </x:c>
      <x:c r="D344" s="8" t="n">
        <x:f>Source!D338/100</x:f>
        <x:v>245.13</x:v>
      </x:c>
      <x:c r="E344" s="8" t="n">
        <x:f>Source!E338/100</x:f>
        <x:v>490.26</x:v>
      </x:c>
      <x:c r="F344" s="8" t="n">
        <x:f>Source!F338/100</x:f>
        <x:v>0</x:v>
      </x:c>
      <x:c r="G344" s="8" t="n">
        <x:f>Source!G338/100</x:f>
        <x:v>490.26</x:v>
      </x:c>
      <x:c r="H344" s="8" t="n">
        <x:f>G344-D344</x:f>
        <x:v>245.13</x:v>
      </x:c>
      <x:c r="I344" s="1" t="str">
        <x:f>IF(H344&gt;0,"Overbilled","Shortfall")</x:f>
        <x:v>Overbilled</x:v>
      </x:c>
      <x:c r="J344" s="7"/>
      <x:c r="K344" s="7" t="str">
        <x:v>Open</x:v>
      </x:c>
      <x:c r="L344" s="7"/>
    </x:row>
    <x:row r="345" ht="21" customHeight="1">
      <x:c r="A345" s="1" t="str">
        <x:f>Source!A339</x:f>
        <x:v>C0004734</x:v>
      </x:c>
      <x:c r="B345" s="1" t="str">
        <x:f>_xlfn.IFNA(VLOOKUP(Source!B339,Advertisers!$A$5:$B$34,2,FALSE),"Missing advertiser")</x:f>
        <x:v>Synthetic advertiser 1</x:v>
      </x:c>
      <x:c r="C345" s="1" t="n">
        <x:f>Source!C339</x:f>
        <x:v>1</x:v>
      </x:c>
      <x:c r="D345" s="8" t="n">
        <x:f>Source!D339/100</x:f>
        <x:v>245.13</x:v>
      </x:c>
      <x:c r="E345" s="8" t="n">
        <x:f>Source!E339/100</x:f>
        <x:v>0</x:v>
      </x:c>
      <x:c r="F345" s="8" t="n">
        <x:f>Source!F339/100</x:f>
        <x:v>0</x:v>
      </x:c>
      <x:c r="G345" s="8" t="n">
        <x:f>Source!G339/100</x:f>
        <x:v>0</x:v>
      </x:c>
      <x:c r="H345" s="8" t="n">
        <x:f>G345-D345</x:f>
        <x:v>-245.13</x:v>
      </x:c>
      <x:c r="I345" s="1" t="str">
        <x:f>IF(H345&gt;0,"Overbilled","Shortfall")</x:f>
        <x:v>Shortfall</x:v>
      </x:c>
      <x:c r="J345" s="7"/>
      <x:c r="K345" s="7" t="str">
        <x:v>Open</x:v>
      </x:c>
      <x:c r="L345" s="7"/>
    </x:row>
    <x:row r="346" ht="21" customHeight="1">
      <x:c r="A346" s="1" t="str">
        <x:f>Source!A340</x:f>
        <x:v>C0003490</x:v>
      </x:c>
      <x:c r="B346" s="1" t="str">
        <x:f>_xlfn.IFNA(VLOOKUP(Source!B340,Advertisers!$A$5:$B$34,2,FALSE),"Missing advertiser")</x:f>
        <x:v>Synthetic advertiser 1</x:v>
      </x:c>
      <x:c r="C346" s="1" t="n">
        <x:f>Source!C340</x:f>
        <x:v>1</x:v>
      </x:c>
      <x:c r="D346" s="8" t="n">
        <x:f>Source!D340/100</x:f>
        <x:v>245.13</x:v>
      </x:c>
      <x:c r="E346" s="8" t="n">
        <x:f>Source!E340/100</x:f>
        <x:v>0</x:v>
      </x:c>
      <x:c r="F346" s="8" t="n">
        <x:f>Source!F340/100</x:f>
        <x:v>0</x:v>
      </x:c>
      <x:c r="G346" s="8" t="n">
        <x:f>Source!G340/100</x:f>
        <x:v>0</x:v>
      </x:c>
      <x:c r="H346" s="8" t="n">
        <x:f>G346-D346</x:f>
        <x:v>-245.13</x:v>
      </x:c>
      <x:c r="I346" s="1" t="str">
        <x:f>IF(H346&gt;0,"Overbilled","Shortfall")</x:f>
        <x:v>Shortfall</x:v>
      </x:c>
      <x:c r="J346" s="7"/>
      <x:c r="K346" s="7" t="str">
        <x:v>Open</x:v>
      </x:c>
      <x:c r="L346" s="7"/>
    </x:row>
    <x:row r="347" ht="21" customHeight="1">
      <x:c r="A347" s="1" t="str">
        <x:f>Source!A341</x:f>
        <x:v>C0017956</x:v>
      </x:c>
      <x:c r="B347" s="1" t="str">
        <x:f>_xlfn.IFNA(VLOOKUP(Source!B341,Advertisers!$A$5:$B$34,2,FALSE),"Missing advertiser")</x:f>
        <x:v>Synthetic advertiser 1</x:v>
      </x:c>
      <x:c r="C347" s="1" t="n">
        <x:f>Source!C341</x:f>
        <x:v>1</x:v>
      </x:c>
      <x:c r="D347" s="8" t="n">
        <x:f>Source!D341/100</x:f>
        <x:v>0</x:v>
      </x:c>
      <x:c r="E347" s="8" t="n">
        <x:f>Source!E341/100</x:f>
        <x:v>245.13</x:v>
      </x:c>
      <x:c r="F347" s="8" t="n">
        <x:f>Source!F341/100</x:f>
        <x:v>0</x:v>
      </x:c>
      <x:c r="G347" s="8" t="n">
        <x:f>Source!G341/100</x:f>
        <x:v>245.13</x:v>
      </x:c>
      <x:c r="H347" s="8" t="n">
        <x:f>G347-D347</x:f>
        <x:v>245.13</x:v>
      </x:c>
      <x:c r="I347" s="1" t="str">
        <x:f>IF(H347&gt;0,"Overbilled","Shortfall")</x:f>
        <x:v>Overbilled</x:v>
      </x:c>
      <x:c r="J347" s="7"/>
      <x:c r="K347" s="7" t="str">
        <x:v>Open</x:v>
      </x:c>
      <x:c r="L347" s="7"/>
    </x:row>
    <x:row r="348" ht="21" customHeight="1">
      <x:c r="A348" s="1" t="str">
        <x:f>Source!A342</x:f>
        <x:v>C0001511</x:v>
      </x:c>
      <x:c r="B348" s="1" t="str">
        <x:f>_xlfn.IFNA(VLOOKUP(Source!B342,Advertisers!$A$5:$B$34,2,FALSE),"Missing advertiser")</x:f>
        <x:v>Synthetic advertiser 1</x:v>
      </x:c>
      <x:c r="C348" s="1" t="n">
        <x:f>Source!C342</x:f>
        <x:v>1</x:v>
      </x:c>
      <x:c r="D348" s="8" t="n">
        <x:f>Source!D342/100</x:f>
        <x:v>245.13</x:v>
      </x:c>
      <x:c r="E348" s="8" t="n">
        <x:f>Source!E342/100</x:f>
        <x:v>0</x:v>
      </x:c>
      <x:c r="F348" s="8" t="n">
        <x:f>Source!F342/100</x:f>
        <x:v>0</x:v>
      </x:c>
      <x:c r="G348" s="8" t="n">
        <x:f>Source!G342/100</x:f>
        <x:v>0</x:v>
      </x:c>
      <x:c r="H348" s="8" t="n">
        <x:f>G348-D348</x:f>
        <x:v>-245.13</x:v>
      </x:c>
      <x:c r="I348" s="1" t="str">
        <x:f>IF(H348&gt;0,"Overbilled","Shortfall")</x:f>
        <x:v>Shortfall</x:v>
      </x:c>
      <x:c r="J348" s="7"/>
      <x:c r="K348" s="7" t="str">
        <x:v>Open</x:v>
      </x:c>
      <x:c r="L348" s="7"/>
    </x:row>
    <x:row r="349" ht="21" customHeight="1">
      <x:c r="A349" s="1" t="str">
        <x:f>Source!A343</x:f>
        <x:v>C0006950</x:v>
      </x:c>
      <x:c r="B349" s="1" t="str">
        <x:f>_xlfn.IFNA(VLOOKUP(Source!B343,Advertisers!$A$5:$B$34,2,FALSE),"Missing advertiser")</x:f>
        <x:v>Synthetic advertiser 1</x:v>
      </x:c>
      <x:c r="C349" s="1" t="n">
        <x:f>Source!C343</x:f>
        <x:v>1</x:v>
      </x:c>
      <x:c r="D349" s="8" t="n">
        <x:f>Source!D343/100</x:f>
        <x:v>0</x:v>
      </x:c>
      <x:c r="E349" s="8" t="n">
        <x:f>Source!E343/100</x:f>
        <x:v>245.13</x:v>
      </x:c>
      <x:c r="F349" s="8" t="n">
        <x:f>Source!F343/100</x:f>
        <x:v>0</x:v>
      </x:c>
      <x:c r="G349" s="8" t="n">
        <x:f>Source!G343/100</x:f>
        <x:v>245.13</x:v>
      </x:c>
      <x:c r="H349" s="8" t="n">
        <x:f>G349-D349</x:f>
        <x:v>245.13</x:v>
      </x:c>
      <x:c r="I349" s="1" t="str">
        <x:f>IF(H349&gt;0,"Overbilled","Shortfall")</x:f>
        <x:v>Overbilled</x:v>
      </x:c>
      <x:c r="J349" s="7"/>
      <x:c r="K349" s="7" t="str">
        <x:v>Open</x:v>
      </x:c>
      <x:c r="L349" s="7"/>
    </x:row>
    <x:row r="350" ht="21" customHeight="1">
      <x:c r="A350" s="1" t="str">
        <x:f>Source!A344</x:f>
        <x:v>C0004678</x:v>
      </x:c>
      <x:c r="B350" s="1" t="str">
        <x:f>_xlfn.IFNA(VLOOKUP(Source!B344,Advertisers!$A$5:$B$34,2,FALSE),"Missing advertiser")</x:f>
        <x:v>Synthetic advertiser 1</x:v>
      </x:c>
      <x:c r="C350" s="1" t="n">
        <x:f>Source!C344</x:f>
        <x:v>1</x:v>
      </x:c>
      <x:c r="D350" s="8" t="n">
        <x:f>Source!D344/100</x:f>
        <x:v>245.13</x:v>
      </x:c>
      <x:c r="E350" s="8" t="n">
        <x:f>Source!E344/100</x:f>
        <x:v>490.26</x:v>
      </x:c>
      <x:c r="F350" s="8" t="n">
        <x:f>Source!F344/100</x:f>
        <x:v>0</x:v>
      </x:c>
      <x:c r="G350" s="8" t="n">
        <x:f>Source!G344/100</x:f>
        <x:v>490.26</x:v>
      </x:c>
      <x:c r="H350" s="8" t="n">
        <x:f>G350-D350</x:f>
        <x:v>245.13</x:v>
      </x:c>
      <x:c r="I350" s="1" t="str">
        <x:f>IF(H350&gt;0,"Overbilled","Shortfall")</x:f>
        <x:v>Overbilled</x:v>
      </x:c>
      <x:c r="J350" s="7"/>
      <x:c r="K350" s="7" t="str">
        <x:v>Open</x:v>
      </x:c>
      <x:c r="L350" s="7"/>
    </x:row>
    <x:row r="351" ht="21" customHeight="1">
      <x:c r="A351" s="1" t="str">
        <x:f>Source!A345</x:f>
        <x:v>C0013252</x:v>
      </x:c>
      <x:c r="B351" s="1" t="str">
        <x:f>_xlfn.IFNA(VLOOKUP(Source!B345,Advertisers!$A$5:$B$34,2,FALSE),"Missing advertiser")</x:f>
        <x:v>Synthetic advertiser 1</x:v>
      </x:c>
      <x:c r="C351" s="1" t="n">
        <x:f>Source!C345</x:f>
        <x:v>1</x:v>
      </x:c>
      <x:c r="D351" s="8" t="n">
        <x:f>Source!D345/100</x:f>
        <x:v>245.13</x:v>
      </x:c>
      <x:c r="E351" s="8" t="n">
        <x:f>Source!E345/100</x:f>
        <x:v>0</x:v>
      </x:c>
      <x:c r="F351" s="8" t="n">
        <x:f>Source!F345/100</x:f>
        <x:v>0</x:v>
      </x:c>
      <x:c r="G351" s="8" t="n">
        <x:f>Source!G345/100</x:f>
        <x:v>0</x:v>
      </x:c>
      <x:c r="H351" s="8" t="n">
        <x:f>G351-D351</x:f>
        <x:v>-245.13</x:v>
      </x:c>
      <x:c r="I351" s="1" t="str">
        <x:f>IF(H351&gt;0,"Overbilled","Shortfall")</x:f>
        <x:v>Shortfall</x:v>
      </x:c>
      <x:c r="J351" s="7"/>
      <x:c r="K351" s="7" t="str">
        <x:v>Open</x:v>
      </x:c>
      <x:c r="L351" s="7"/>
    </x:row>
    <x:row r="352" ht="21" customHeight="1">
      <x:c r="A352" s="1" t="str">
        <x:f>Source!A346</x:f>
        <x:v>C0013202</x:v>
      </x:c>
      <x:c r="B352" s="1" t="str">
        <x:f>_xlfn.IFNA(VLOOKUP(Source!B346,Advertisers!$A$5:$B$34,2,FALSE),"Missing advertiser")</x:f>
        <x:v>Synthetic advertiser 16</x:v>
      </x:c>
      <x:c r="C352" s="1" t="n">
        <x:f>Source!C346</x:f>
        <x:v>106</x:v>
      </x:c>
      <x:c r="D352" s="8" t="n">
        <x:f>Source!D346/100</x:f>
        <x:v>245.13</x:v>
      </x:c>
      <x:c r="E352" s="8" t="n">
        <x:f>Source!E346/100</x:f>
        <x:v>0</x:v>
      </x:c>
      <x:c r="F352" s="8" t="n">
        <x:f>Source!F346/100</x:f>
        <x:v>0</x:v>
      </x:c>
      <x:c r="G352" s="8" t="n">
        <x:f>Source!G346/100</x:f>
        <x:v>0</x:v>
      </x:c>
      <x:c r="H352" s="8" t="n">
        <x:f>G352-D352</x:f>
        <x:v>-245.13</x:v>
      </x:c>
      <x:c r="I352" s="1" t="str">
        <x:f>IF(H352&gt;0,"Overbilled","Shortfall")</x:f>
        <x:v>Shortfall</x:v>
      </x:c>
      <x:c r="J352" s="7"/>
      <x:c r="K352" s="7" t="str">
        <x:v>Open</x:v>
      </x:c>
      <x:c r="L352" s="7"/>
    </x:row>
    <x:row r="353" ht="21" customHeight="1">
      <x:c r="A353" s="1" t="str">
        <x:f>Source!A347</x:f>
        <x:v>C0006087</x:v>
      </x:c>
      <x:c r="B353" s="1" t="str">
        <x:f>_xlfn.IFNA(VLOOKUP(Source!B347,Advertisers!$A$5:$B$34,2,FALSE),"Missing advertiser")</x:f>
        <x:v>Synthetic advertiser 16</x:v>
      </x:c>
      <x:c r="C353" s="1" t="n">
        <x:f>Source!C347</x:f>
        <x:v>106</x:v>
      </x:c>
      <x:c r="D353" s="8" t="n">
        <x:f>Source!D347/100</x:f>
        <x:v>245.13</x:v>
      </x:c>
      <x:c r="E353" s="8" t="n">
        <x:f>Source!E347/100</x:f>
        <x:v>490.26</x:v>
      </x:c>
      <x:c r="F353" s="8" t="n">
        <x:f>Source!F347/100</x:f>
        <x:v>0</x:v>
      </x:c>
      <x:c r="G353" s="8" t="n">
        <x:f>Source!G347/100</x:f>
        <x:v>490.26</x:v>
      </x:c>
      <x:c r="H353" s="8" t="n">
        <x:f>G353-D353</x:f>
        <x:v>245.13</x:v>
      </x:c>
      <x:c r="I353" s="1" t="str">
        <x:f>IF(H353&gt;0,"Overbilled","Shortfall")</x:f>
        <x:v>Overbilled</x:v>
      </x:c>
      <x:c r="J353" s="7"/>
      <x:c r="K353" s="7" t="str">
        <x:v>Open</x:v>
      </x:c>
      <x:c r="L353" s="7"/>
    </x:row>
    <x:row r="354" ht="21" customHeight="1">
      <x:c r="A354" s="1" t="str">
        <x:f>Source!A348</x:f>
        <x:v>C0011789</x:v>
      </x:c>
      <x:c r="B354" s="1" t="str">
        <x:f>_xlfn.IFNA(VLOOKUP(Source!B348,Advertisers!$A$5:$B$34,2,FALSE),"Missing advertiser")</x:f>
        <x:v>Synthetic advertiser 26</x:v>
      </x:c>
      <x:c r="C354" s="1" t="n">
        <x:f>Source!C348</x:f>
        <x:v>56</x:v>
      </x:c>
      <x:c r="D354" s="8" t="n">
        <x:f>Source!D348/100</x:f>
        <x:v>244.69</x:v>
      </x:c>
      <x:c r="E354" s="8" t="n">
        <x:f>Source!E348/100</x:f>
        <x:v>489.38</x:v>
      </x:c>
      <x:c r="F354" s="8" t="n">
        <x:f>Source!F348/100</x:f>
        <x:v>0</x:v>
      </x:c>
      <x:c r="G354" s="8" t="n">
        <x:f>Source!G348/100</x:f>
        <x:v>489.38</x:v>
      </x:c>
      <x:c r="H354" s="8" t="n">
        <x:f>G354-D354</x:f>
        <x:v>244.69</x:v>
      </x:c>
      <x:c r="I354" s="1" t="str">
        <x:f>IF(H354&gt;0,"Overbilled","Shortfall")</x:f>
        <x:v>Overbilled</x:v>
      </x:c>
      <x:c r="J354" s="7"/>
      <x:c r="K354" s="7" t="str">
        <x:v>Open</x:v>
      </x:c>
      <x:c r="L354" s="7"/>
    </x:row>
    <x:row r="355" ht="21" customHeight="1">
      <x:c r="A355" s="1" t="str">
        <x:f>Source!A349</x:f>
        <x:v>C0016514</x:v>
      </x:c>
      <x:c r="B355" s="1" t="str">
        <x:f>_xlfn.IFNA(VLOOKUP(Source!B349,Advertisers!$A$5:$B$34,2,FALSE),"Missing advertiser")</x:f>
        <x:v>Synthetic advertiser 26</x:v>
      </x:c>
      <x:c r="C355" s="1" t="n">
        <x:f>Source!C349</x:f>
        <x:v>56</x:v>
      </x:c>
      <x:c r="D355" s="8" t="n">
        <x:f>Source!D349/100</x:f>
        <x:v>244.69</x:v>
      </x:c>
      <x:c r="E355" s="8" t="n">
        <x:f>Source!E349/100</x:f>
        <x:v>489.38</x:v>
      </x:c>
      <x:c r="F355" s="8" t="n">
        <x:f>Source!F349/100</x:f>
        <x:v>0</x:v>
      </x:c>
      <x:c r="G355" s="8" t="n">
        <x:f>Source!G349/100</x:f>
        <x:v>489.38</x:v>
      </x:c>
      <x:c r="H355" s="8" t="n">
        <x:f>G355-D355</x:f>
        <x:v>244.69</x:v>
      </x:c>
      <x:c r="I355" s="1" t="str">
        <x:f>IF(H355&gt;0,"Overbilled","Shortfall")</x:f>
        <x:v>Overbilled</x:v>
      </x:c>
      <x:c r="J355" s="7"/>
      <x:c r="K355" s="7" t="str">
        <x:v>Open</x:v>
      </x:c>
      <x:c r="L355" s="7"/>
    </x:row>
    <x:row r="356" ht="21" customHeight="1">
      <x:c r="A356" s="1" t="str">
        <x:f>Source!A350</x:f>
        <x:v>C0004433</x:v>
      </x:c>
      <x:c r="B356" s="1" t="str">
        <x:f>_xlfn.IFNA(VLOOKUP(Source!B350,Advertisers!$A$5:$B$34,2,FALSE),"Missing advertiser")</x:f>
        <x:v>Synthetic advertiser 26</x:v>
      </x:c>
      <x:c r="C356" s="1" t="n">
        <x:f>Source!C350</x:f>
        <x:v>56</x:v>
      </x:c>
      <x:c r="D356" s="8" t="n">
        <x:f>Source!D350/100</x:f>
        <x:v>244.69</x:v>
      </x:c>
      <x:c r="E356" s="8" t="n">
        <x:f>Source!E350/100</x:f>
        <x:v>0</x:v>
      </x:c>
      <x:c r="F356" s="8" t="n">
        <x:f>Source!F350/100</x:f>
        <x:v>0</x:v>
      </x:c>
      <x:c r="G356" s="8" t="n">
        <x:f>Source!G350/100</x:f>
        <x:v>0</x:v>
      </x:c>
      <x:c r="H356" s="8" t="n">
        <x:f>G356-D356</x:f>
        <x:v>-244.69</x:v>
      </x:c>
      <x:c r="I356" s="1" t="str">
        <x:f>IF(H356&gt;0,"Overbilled","Shortfall")</x:f>
        <x:v>Shortfall</x:v>
      </x:c>
      <x:c r="J356" s="7"/>
      <x:c r="K356" s="7" t="str">
        <x:v>Open</x:v>
      </x:c>
      <x:c r="L356" s="7"/>
    </x:row>
    <x:row r="357" ht="21" customHeight="1">
      <x:c r="A357" s="1" t="str">
        <x:f>Source!A351</x:f>
        <x:v>C0002643</x:v>
      </x:c>
      <x:c r="B357" s="1" t="str">
        <x:f>_xlfn.IFNA(VLOOKUP(Source!B351,Advertisers!$A$5:$B$34,2,FALSE),"Missing advertiser")</x:f>
        <x:v>Synthetic advertiser 26</x:v>
      </x:c>
      <x:c r="C357" s="1" t="n">
        <x:f>Source!C351</x:f>
        <x:v>56</x:v>
      </x:c>
      <x:c r="D357" s="8" t="n">
        <x:f>Source!D351/100</x:f>
        <x:v>244.69</x:v>
      </x:c>
      <x:c r="E357" s="8" t="n">
        <x:f>Source!E351/100</x:f>
        <x:v>489.38</x:v>
      </x:c>
      <x:c r="F357" s="8" t="n">
        <x:f>Source!F351/100</x:f>
        <x:v>0</x:v>
      </x:c>
      <x:c r="G357" s="8" t="n">
        <x:f>Source!G351/100</x:f>
        <x:v>489.38</x:v>
      </x:c>
      <x:c r="H357" s="8" t="n">
        <x:f>G357-D357</x:f>
        <x:v>244.69</x:v>
      </x:c>
      <x:c r="I357" s="1" t="str">
        <x:f>IF(H357&gt;0,"Overbilled","Shortfall")</x:f>
        <x:v>Overbilled</x:v>
      </x:c>
      <x:c r="J357" s="7"/>
      <x:c r="K357" s="7" t="str">
        <x:v>Open</x:v>
      </x:c>
      <x:c r="L357" s="7"/>
    </x:row>
    <x:row r="358" ht="21" customHeight="1">
      <x:c r="A358" s="1" t="str">
        <x:f>Source!A352</x:f>
        <x:v>C0010971</x:v>
      </x:c>
      <x:c r="B358" s="1" t="str">
        <x:f>_xlfn.IFNA(VLOOKUP(Source!B352,Advertisers!$A$5:$B$34,2,FALSE),"Missing advertiser")</x:f>
        <x:v>Synthetic advertiser 15</x:v>
      </x:c>
      <x:c r="C358" s="1" t="n">
        <x:f>Source!C352</x:f>
        <x:v>45</x:v>
      </x:c>
      <x:c r="D358" s="8" t="n">
        <x:f>Source!D352/100</x:f>
        <x:v>0</x:v>
      </x:c>
      <x:c r="E358" s="8" t="n">
        <x:f>Source!E352/100</x:f>
        <x:v>244.32</x:v>
      </x:c>
      <x:c r="F358" s="8" t="n">
        <x:f>Source!F352/100</x:f>
        <x:v>0</x:v>
      </x:c>
      <x:c r="G358" s="8" t="n">
        <x:f>Source!G352/100</x:f>
        <x:v>244.32</x:v>
      </x:c>
      <x:c r="H358" s="8" t="n">
        <x:f>G358-D358</x:f>
        <x:v>244.32</x:v>
      </x:c>
      <x:c r="I358" s="1" t="str">
        <x:f>IF(H358&gt;0,"Overbilled","Shortfall")</x:f>
        <x:v>Overbilled</x:v>
      </x:c>
      <x:c r="J358" s="7"/>
      <x:c r="K358" s="7" t="str">
        <x:v>Open</x:v>
      </x:c>
      <x:c r="L358" s="7"/>
    </x:row>
    <x:row r="359" ht="21" customHeight="1">
      <x:c r="A359" s="1" t="str">
        <x:f>Source!A353</x:f>
        <x:v>C0008363</x:v>
      </x:c>
      <x:c r="B359" s="1" t="str">
        <x:f>_xlfn.IFNA(VLOOKUP(Source!B353,Advertisers!$A$5:$B$34,2,FALSE),"Missing advertiser")</x:f>
        <x:v>Synthetic advertiser 15</x:v>
      </x:c>
      <x:c r="C359" s="1" t="n">
        <x:f>Source!C353</x:f>
        <x:v>45</x:v>
      </x:c>
      <x:c r="D359" s="8" t="n">
        <x:f>Source!D353/100</x:f>
        <x:v>244.32</x:v>
      </x:c>
      <x:c r="E359" s="8" t="n">
        <x:f>Source!E353/100</x:f>
        <x:v>0</x:v>
      </x:c>
      <x:c r="F359" s="8" t="n">
        <x:f>Source!F353/100</x:f>
        <x:v>0</x:v>
      </x:c>
      <x:c r="G359" s="8" t="n">
        <x:f>Source!G353/100</x:f>
        <x:v>0</x:v>
      </x:c>
      <x:c r="H359" s="8" t="n">
        <x:f>G359-D359</x:f>
        <x:v>-244.32</x:v>
      </x:c>
      <x:c r="I359" s="1" t="str">
        <x:f>IF(H359&gt;0,"Overbilled","Shortfall")</x:f>
        <x:v>Shortfall</x:v>
      </x:c>
      <x:c r="J359" s="7"/>
      <x:c r="K359" s="7" t="str">
        <x:v>Open</x:v>
      </x:c>
      <x:c r="L359" s="7"/>
    </x:row>
    <x:row r="360" ht="21" customHeight="1">
      <x:c r="A360" s="1" t="str">
        <x:f>Source!A354</x:f>
        <x:v>C0006013</x:v>
      </x:c>
      <x:c r="B360" s="1" t="str">
        <x:f>_xlfn.IFNA(VLOOKUP(Source!B354,Advertisers!$A$5:$B$34,2,FALSE),"Missing advertiser")</x:f>
        <x:v>Synthetic advertiser 15</x:v>
      </x:c>
      <x:c r="C360" s="1" t="n">
        <x:f>Source!C354</x:f>
        <x:v>45</x:v>
      </x:c>
      <x:c r="D360" s="8" t="n">
        <x:f>Source!D354/100</x:f>
        <x:v>244.32</x:v>
      </x:c>
      <x:c r="E360" s="8" t="n">
        <x:f>Source!E354/100</x:f>
        <x:v>0</x:v>
      </x:c>
      <x:c r="F360" s="8" t="n">
        <x:f>Source!F354/100</x:f>
        <x:v>0</x:v>
      </x:c>
      <x:c r="G360" s="8" t="n">
        <x:f>Source!G354/100</x:f>
        <x:v>0</x:v>
      </x:c>
      <x:c r="H360" s="8" t="n">
        <x:f>G360-D360</x:f>
        <x:v>-244.32</x:v>
      </x:c>
      <x:c r="I360" s="1" t="str">
        <x:f>IF(H360&gt;0,"Overbilled","Shortfall")</x:f>
        <x:v>Shortfall</x:v>
      </x:c>
      <x:c r="J360" s="7"/>
      <x:c r="K360" s="7" t="str">
        <x:v>Open</x:v>
      </x:c>
      <x:c r="L360" s="7"/>
    </x:row>
    <x:row r="361" ht="21" customHeight="1">
      <x:c r="A361" s="1" t="str">
        <x:f>Source!A355</x:f>
        <x:v>C0004385</x:v>
      </x:c>
      <x:c r="B361" s="1" t="str">
        <x:f>_xlfn.IFNA(VLOOKUP(Source!B355,Advertisers!$A$5:$B$34,2,FALSE),"Missing advertiser")</x:f>
        <x:v>Synthetic advertiser 15</x:v>
      </x:c>
      <x:c r="C361" s="1" t="n">
        <x:f>Source!C355</x:f>
        <x:v>45</x:v>
      </x:c>
      <x:c r="D361" s="8" t="n">
        <x:f>Source!D355/100</x:f>
        <x:v>244.32</x:v>
      </x:c>
      <x:c r="E361" s="8" t="n">
        <x:f>Source!E355/100</x:f>
        <x:v>488.64</x:v>
      </x:c>
      <x:c r="F361" s="8" t="n">
        <x:f>Source!F355/100</x:f>
        <x:v>0</x:v>
      </x:c>
      <x:c r="G361" s="8" t="n">
        <x:f>Source!G355/100</x:f>
        <x:v>488.64</x:v>
      </x:c>
      <x:c r="H361" s="8" t="n">
        <x:f>G361-D361</x:f>
        <x:v>244.32</x:v>
      </x:c>
      <x:c r="I361" s="1" t="str">
        <x:f>IF(H361&gt;0,"Overbilled","Shortfall")</x:f>
        <x:v>Overbilled</x:v>
      </x:c>
      <x:c r="J361" s="7"/>
      <x:c r="K361" s="7" t="str">
        <x:v>Open</x:v>
      </x:c>
      <x:c r="L361" s="7"/>
    </x:row>
    <x:row r="362" ht="21" customHeight="1">
      <x:c r="A362" s="1" t="str">
        <x:f>Source!A356</x:f>
        <x:v>C0013600</x:v>
      </x:c>
      <x:c r="B362" s="1" t="str">
        <x:f>_xlfn.IFNA(VLOOKUP(Source!B356,Advertisers!$A$5:$B$34,2,FALSE),"Missing advertiser")</x:f>
        <x:v>Synthetic advertiser 15</x:v>
      </x:c>
      <x:c r="C362" s="1" t="n">
        <x:f>Source!C356</x:f>
        <x:v>45</x:v>
      </x:c>
      <x:c r="D362" s="8" t="n">
        <x:f>Source!D356/100</x:f>
        <x:v>244.32</x:v>
      </x:c>
      <x:c r="E362" s="8" t="n">
        <x:f>Source!E356/100</x:f>
        <x:v>0</x:v>
      </x:c>
      <x:c r="F362" s="8" t="n">
        <x:f>Source!F356/100</x:f>
        <x:v>0</x:v>
      </x:c>
      <x:c r="G362" s="8" t="n">
        <x:f>Source!G356/100</x:f>
        <x:v>0</x:v>
      </x:c>
      <x:c r="H362" s="8" t="n">
        <x:f>G362-D362</x:f>
        <x:v>-244.32</x:v>
      </x:c>
      <x:c r="I362" s="1" t="str">
        <x:f>IF(H362&gt;0,"Overbilled","Shortfall")</x:f>
        <x:v>Shortfall</x:v>
      </x:c>
      <x:c r="J362" s="7"/>
      <x:c r="K362" s="7" t="str">
        <x:v>Open</x:v>
      </x:c>
      <x:c r="L362" s="7"/>
    </x:row>
    <x:row r="363" ht="21" customHeight="1">
      <x:c r="A363" s="1" t="str">
        <x:f>Source!A357</x:f>
        <x:v>C0014694</x:v>
      </x:c>
      <x:c r="B363" s="1" t="str">
        <x:f>_xlfn.IFNA(VLOOKUP(Source!B357,Advertisers!$A$5:$B$34,2,FALSE),"Missing advertiser")</x:f>
        <x:v>Synthetic advertiser 15</x:v>
      </x:c>
      <x:c r="C363" s="1" t="n">
        <x:f>Source!C357</x:f>
        <x:v>45</x:v>
      </x:c>
      <x:c r="D363" s="8" t="n">
        <x:f>Source!D357/100</x:f>
        <x:v>244.32</x:v>
      </x:c>
      <x:c r="E363" s="8" t="n">
        <x:f>Source!E357/100</x:f>
        <x:v>488.64</x:v>
      </x:c>
      <x:c r="F363" s="8" t="n">
        <x:f>Source!F357/100</x:f>
        <x:v>0</x:v>
      </x:c>
      <x:c r="G363" s="8" t="n">
        <x:f>Source!G357/100</x:f>
        <x:v>488.64</x:v>
      </x:c>
      <x:c r="H363" s="8" t="n">
        <x:f>G363-D363</x:f>
        <x:v>244.32</x:v>
      </x:c>
      <x:c r="I363" s="1" t="str">
        <x:f>IF(H363&gt;0,"Overbilled","Shortfall")</x:f>
        <x:v>Overbilled</x:v>
      </x:c>
      <x:c r="J363" s="7"/>
      <x:c r="K363" s="7" t="str">
        <x:v>Open</x:v>
      </x:c>
      <x:c r="L363" s="7"/>
    </x:row>
    <x:row r="364" ht="21" customHeight="1">
      <x:c r="A364" s="1" t="str">
        <x:f>Source!A358</x:f>
        <x:v>C0001345</x:v>
      </x:c>
      <x:c r="B364" s="1" t="str">
        <x:f>_xlfn.IFNA(VLOOKUP(Source!B358,Advertisers!$A$5:$B$34,2,FALSE),"Missing advertiser")</x:f>
        <x:v>Synthetic advertiser 15</x:v>
      </x:c>
      <x:c r="C364" s="1" t="n">
        <x:f>Source!C358</x:f>
        <x:v>45</x:v>
      </x:c>
      <x:c r="D364" s="8" t="n">
        <x:f>Source!D358/100</x:f>
        <x:v>244.32</x:v>
      </x:c>
      <x:c r="E364" s="8" t="n">
        <x:f>Source!E358/100</x:f>
        <x:v>488.64</x:v>
      </x:c>
      <x:c r="F364" s="8" t="n">
        <x:f>Source!F358/100</x:f>
        <x:v>0</x:v>
      </x:c>
      <x:c r="G364" s="8" t="n">
        <x:f>Source!G358/100</x:f>
        <x:v>488.64</x:v>
      </x:c>
      <x:c r="H364" s="8" t="n">
        <x:f>G364-D364</x:f>
        <x:v>244.32</x:v>
      </x:c>
      <x:c r="I364" s="1" t="str">
        <x:f>IF(H364&gt;0,"Overbilled","Shortfall")</x:f>
        <x:v>Overbilled</x:v>
      </x:c>
      <x:c r="J364" s="7"/>
      <x:c r="K364" s="7" t="str">
        <x:v>Open</x:v>
      </x:c>
      <x:c r="L364" s="7"/>
    </x:row>
    <x:row r="365" ht="21" customHeight="1">
      <x:c r="A365" s="1" t="str">
        <x:f>Source!A359</x:f>
        <x:v>C0013775</x:v>
      </x:c>
      <x:c r="B365" s="1" t="str">
        <x:f>_xlfn.IFNA(VLOOKUP(Source!B359,Advertisers!$A$5:$B$34,2,FALSE),"Missing advertiser")</x:f>
        <x:v>Synthetic advertiser 15</x:v>
      </x:c>
      <x:c r="C365" s="1" t="n">
        <x:f>Source!C359</x:f>
        <x:v>45</x:v>
      </x:c>
      <x:c r="D365" s="8" t="n">
        <x:f>Source!D359/100</x:f>
        <x:v>244.32</x:v>
      </x:c>
      <x:c r="E365" s="8" t="n">
        <x:f>Source!E359/100</x:f>
        <x:v>0</x:v>
      </x:c>
      <x:c r="F365" s="8" t="n">
        <x:f>Source!F359/100</x:f>
        <x:v>0</x:v>
      </x:c>
      <x:c r="G365" s="8" t="n">
        <x:f>Source!G359/100</x:f>
        <x:v>0</x:v>
      </x:c>
      <x:c r="H365" s="8" t="n">
        <x:f>G365-D365</x:f>
        <x:v>-244.32</x:v>
      </x:c>
      <x:c r="I365" s="1" t="str">
        <x:f>IF(H365&gt;0,"Overbilled","Shortfall")</x:f>
        <x:v>Shortfall</x:v>
      </x:c>
      <x:c r="J365" s="7"/>
      <x:c r="K365" s="7" t="str">
        <x:v>Open</x:v>
      </x:c>
      <x:c r="L365" s="7"/>
    </x:row>
    <x:row r="366" ht="21" customHeight="1">
      <x:c r="A366" s="1" t="str">
        <x:f>Source!A360</x:f>
        <x:v>C0003127</x:v>
      </x:c>
      <x:c r="B366" s="1" t="str">
        <x:f>_xlfn.IFNA(VLOOKUP(Source!B360,Advertisers!$A$5:$B$34,2,FALSE),"Missing advertiser")</x:f>
        <x:v>Synthetic advertiser 27</x:v>
      </x:c>
      <x:c r="C366" s="1" t="n">
        <x:f>Source!C360</x:f>
        <x:v>57</x:v>
      </x:c>
      <x:c r="D366" s="8" t="n">
        <x:f>Source!D360/100</x:f>
        <x:v>244.3</x:v>
      </x:c>
      <x:c r="E366" s="8" t="n">
        <x:f>Source!E360/100</x:f>
        <x:v>0</x:v>
      </x:c>
      <x:c r="F366" s="8" t="n">
        <x:f>Source!F360/100</x:f>
        <x:v>0</x:v>
      </x:c>
      <x:c r="G366" s="8" t="n">
        <x:f>Source!G360/100</x:f>
        <x:v>0</x:v>
      </x:c>
      <x:c r="H366" s="8" t="n">
        <x:f>G366-D366</x:f>
        <x:v>-244.3</x:v>
      </x:c>
      <x:c r="I366" s="1" t="str">
        <x:f>IF(H366&gt;0,"Overbilled","Shortfall")</x:f>
        <x:v>Shortfall</x:v>
      </x:c>
      <x:c r="J366" s="7"/>
      <x:c r="K366" s="7" t="str">
        <x:v>Open</x:v>
      </x:c>
      <x:c r="L366" s="7"/>
    </x:row>
    <x:row r="367" ht="21" customHeight="1">
      <x:c r="A367" s="1" t="str">
        <x:f>Source!A361</x:f>
        <x:v>C0013297</x:v>
      </x:c>
      <x:c r="B367" s="1" t="str">
        <x:f>_xlfn.IFNA(VLOOKUP(Source!B361,Advertisers!$A$5:$B$34,2,FALSE),"Missing advertiser")</x:f>
        <x:v>Synthetic advertiser 27</x:v>
      </x:c>
      <x:c r="C367" s="1" t="n">
        <x:f>Source!C361</x:f>
        <x:v>57</x:v>
      </x:c>
      <x:c r="D367" s="8" t="n">
        <x:f>Source!D361/100</x:f>
        <x:v>244.3</x:v>
      </x:c>
      <x:c r="E367" s="8" t="n">
        <x:f>Source!E361/100</x:f>
        <x:v>0</x:v>
      </x:c>
      <x:c r="F367" s="8" t="n">
        <x:f>Source!F361/100</x:f>
        <x:v>0</x:v>
      </x:c>
      <x:c r="G367" s="8" t="n">
        <x:f>Source!G361/100</x:f>
        <x:v>0</x:v>
      </x:c>
      <x:c r="H367" s="8" t="n">
        <x:f>G367-D367</x:f>
        <x:v>-244.3</x:v>
      </x:c>
      <x:c r="I367" s="1" t="str">
        <x:f>IF(H367&gt;0,"Overbilled","Shortfall")</x:f>
        <x:v>Shortfall</x:v>
      </x:c>
      <x:c r="J367" s="7"/>
      <x:c r="K367" s="7" t="str">
        <x:v>Open</x:v>
      </x:c>
      <x:c r="L367" s="7"/>
    </x:row>
    <x:row r="368" ht="21" customHeight="1">
      <x:c r="A368" s="1" t="str">
        <x:f>Source!A362</x:f>
        <x:v>C0004262</x:v>
      </x:c>
      <x:c r="B368" s="1" t="str">
        <x:f>_xlfn.IFNA(VLOOKUP(Source!B362,Advertisers!$A$5:$B$34,2,FALSE),"Missing advertiser")</x:f>
        <x:v>Synthetic advertiser 27</x:v>
      </x:c>
      <x:c r="C368" s="1" t="n">
        <x:f>Source!C362</x:f>
        <x:v>57</x:v>
      </x:c>
      <x:c r="D368" s="8" t="n">
        <x:f>Source!D362/100</x:f>
        <x:v>244.3</x:v>
      </x:c>
      <x:c r="E368" s="8" t="n">
        <x:f>Source!E362/100</x:f>
        <x:v>0</x:v>
      </x:c>
      <x:c r="F368" s="8" t="n">
        <x:f>Source!F362/100</x:f>
        <x:v>0</x:v>
      </x:c>
      <x:c r="G368" s="8" t="n">
        <x:f>Source!G362/100</x:f>
        <x:v>0</x:v>
      </x:c>
      <x:c r="H368" s="8" t="n">
        <x:f>G368-D368</x:f>
        <x:v>-244.3</x:v>
      </x:c>
      <x:c r="I368" s="1" t="str">
        <x:f>IF(H368&gt;0,"Overbilled","Shortfall")</x:f>
        <x:v>Shortfall</x:v>
      </x:c>
      <x:c r="J368" s="7"/>
      <x:c r="K368" s="7" t="str">
        <x:v>Open</x:v>
      </x:c>
      <x:c r="L368" s="7"/>
    </x:row>
    <x:row r="369" ht="21" customHeight="1">
      <x:c r="A369" s="1" t="str">
        <x:f>Source!A363</x:f>
        <x:v>C0010594</x:v>
      </x:c>
      <x:c r="B369" s="1" t="str">
        <x:f>_xlfn.IFNA(VLOOKUP(Source!B363,Advertisers!$A$5:$B$34,2,FALSE),"Missing advertiser")</x:f>
        <x:v>Synthetic advertiser 25</x:v>
      </x:c>
      <x:c r="C369" s="1" t="n">
        <x:f>Source!C363</x:f>
        <x:v>115</x:v>
      </x:c>
      <x:c r="D369" s="8" t="n">
        <x:f>Source!D363/100</x:f>
        <x:v>244.19</x:v>
      </x:c>
      <x:c r="E369" s="8" t="n">
        <x:f>Source!E363/100</x:f>
        <x:v>488.38</x:v>
      </x:c>
      <x:c r="F369" s="8" t="n">
        <x:f>Source!F363/100</x:f>
        <x:v>0</x:v>
      </x:c>
      <x:c r="G369" s="8" t="n">
        <x:f>Source!G363/100</x:f>
        <x:v>488.38</x:v>
      </x:c>
      <x:c r="H369" s="8" t="n">
        <x:f>G369-D369</x:f>
        <x:v>244.19</x:v>
      </x:c>
      <x:c r="I369" s="1" t="str">
        <x:f>IF(H369&gt;0,"Overbilled","Shortfall")</x:f>
        <x:v>Overbilled</x:v>
      </x:c>
      <x:c r="J369" s="7"/>
      <x:c r="K369" s="7" t="str">
        <x:v>Open</x:v>
      </x:c>
      <x:c r="L369" s="7"/>
    </x:row>
    <x:row r="370" ht="21" customHeight="1">
      <x:c r="A370" s="1" t="str">
        <x:f>Source!A364</x:f>
        <x:v>C0017298</x:v>
      </x:c>
      <x:c r="B370" s="1" t="str">
        <x:f>_xlfn.IFNA(VLOOKUP(Source!B364,Advertisers!$A$5:$B$34,2,FALSE),"Missing advertiser")</x:f>
        <x:v>Synthetic advertiser 25</x:v>
      </x:c>
      <x:c r="C370" s="1" t="n">
        <x:f>Source!C364</x:f>
        <x:v>115</x:v>
      </x:c>
      <x:c r="D370" s="8" t="n">
        <x:f>Source!D364/100</x:f>
        <x:v>244.19</x:v>
      </x:c>
      <x:c r="E370" s="8" t="n">
        <x:f>Source!E364/100</x:f>
        <x:v>0</x:v>
      </x:c>
      <x:c r="F370" s="8" t="n">
        <x:f>Source!F364/100</x:f>
        <x:v>0</x:v>
      </x:c>
      <x:c r="G370" s="8" t="n">
        <x:f>Source!G364/100</x:f>
        <x:v>0</x:v>
      </x:c>
      <x:c r="H370" s="8" t="n">
        <x:f>G370-D370</x:f>
        <x:v>-244.19</x:v>
      </x:c>
      <x:c r="I370" s="1" t="str">
        <x:f>IF(H370&gt;0,"Overbilled","Shortfall")</x:f>
        <x:v>Shortfall</x:v>
      </x:c>
      <x:c r="J370" s="7"/>
      <x:c r="K370" s="7" t="str">
        <x:v>Open</x:v>
      </x:c>
      <x:c r="L370" s="7"/>
    </x:row>
    <x:row r="371" ht="21" customHeight="1">
      <x:c r="A371" s="1" t="str">
        <x:f>Source!A365</x:f>
        <x:v>C0012480</x:v>
      </x:c>
      <x:c r="B371" s="1" t="str">
        <x:f>_xlfn.IFNA(VLOOKUP(Source!B365,Advertisers!$A$5:$B$34,2,FALSE),"Missing advertiser")</x:f>
        <x:v>Synthetic advertiser 25</x:v>
      </x:c>
      <x:c r="C371" s="1" t="n">
        <x:f>Source!C365</x:f>
        <x:v>115</x:v>
      </x:c>
      <x:c r="D371" s="8" t="n">
        <x:f>Source!D365/100</x:f>
        <x:v>244.19</x:v>
      </x:c>
      <x:c r="E371" s="8" t="n">
        <x:f>Source!E365/100</x:f>
        <x:v>0</x:v>
      </x:c>
      <x:c r="F371" s="8" t="n">
        <x:f>Source!F365/100</x:f>
        <x:v>0</x:v>
      </x:c>
      <x:c r="G371" s="8" t="n">
        <x:f>Source!G365/100</x:f>
        <x:v>0</x:v>
      </x:c>
      <x:c r="H371" s="8" t="n">
        <x:f>G371-D371</x:f>
        <x:v>-244.19</x:v>
      </x:c>
      <x:c r="I371" s="1" t="str">
        <x:f>IF(H371&gt;0,"Overbilled","Shortfall")</x:f>
        <x:v>Shortfall</x:v>
      </x:c>
      <x:c r="J371" s="7"/>
      <x:c r="K371" s="7" t="str">
        <x:v>Open</x:v>
      </x:c>
      <x:c r="L371" s="7"/>
    </x:row>
    <x:row r="372" ht="21" customHeight="1">
      <x:c r="A372" s="1" t="str">
        <x:f>Source!A366</x:f>
        <x:v>C0017686</x:v>
      </x:c>
      <x:c r="B372" s="1" t="str">
        <x:f>_xlfn.IFNA(VLOOKUP(Source!B366,Advertisers!$A$5:$B$34,2,FALSE),"Missing advertiser")</x:f>
        <x:v>Synthetic advertiser 25</x:v>
      </x:c>
      <x:c r="C372" s="1" t="n">
        <x:f>Source!C366</x:f>
        <x:v>115</x:v>
      </x:c>
      <x:c r="D372" s="8" t="n">
        <x:f>Source!D366/100</x:f>
        <x:v>244.19</x:v>
      </x:c>
      <x:c r="E372" s="8" t="n">
        <x:f>Source!E366/100</x:f>
        <x:v>0</x:v>
      </x:c>
      <x:c r="F372" s="8" t="n">
        <x:f>Source!F366/100</x:f>
        <x:v>0</x:v>
      </x:c>
      <x:c r="G372" s="8" t="n">
        <x:f>Source!G366/100</x:f>
        <x:v>0</x:v>
      </x:c>
      <x:c r="H372" s="8" t="n">
        <x:f>G372-D372</x:f>
        <x:v>-244.19</x:v>
      </x:c>
      <x:c r="I372" s="1" t="str">
        <x:f>IF(H372&gt;0,"Overbilled","Shortfall")</x:f>
        <x:v>Shortfall</x:v>
      </x:c>
      <x:c r="J372" s="7"/>
      <x:c r="K372" s="7" t="str">
        <x:v>Open</x:v>
      </x:c>
      <x:c r="L372" s="7"/>
    </x:row>
    <x:row r="373" ht="21" customHeight="1">
      <x:c r="A373" s="1" t="str">
        <x:f>Source!A367</x:f>
        <x:v>C0013507</x:v>
      </x:c>
      <x:c r="B373" s="1" t="str">
        <x:f>_xlfn.IFNA(VLOOKUP(Source!B367,Advertisers!$A$5:$B$34,2,FALSE),"Missing advertiser")</x:f>
        <x:v>Synthetic advertiser 3</x:v>
      </x:c>
      <x:c r="C373" s="1" t="n">
        <x:f>Source!C367</x:f>
        <x:v>3</x:v>
      </x:c>
      <x:c r="D373" s="8" t="n">
        <x:f>Source!D367/100</x:f>
        <x:v>244.14</x:v>
      </x:c>
      <x:c r="E373" s="8" t="n">
        <x:f>Source!E367/100</x:f>
        <x:v>488.28</x:v>
      </x:c>
      <x:c r="F373" s="8" t="n">
        <x:f>Source!F367/100</x:f>
        <x:v>0</x:v>
      </x:c>
      <x:c r="G373" s="8" t="n">
        <x:f>Source!G367/100</x:f>
        <x:v>488.28</x:v>
      </x:c>
      <x:c r="H373" s="8" t="n">
        <x:f>G373-D373</x:f>
        <x:v>244.14</x:v>
      </x:c>
      <x:c r="I373" s="1" t="str">
        <x:f>IF(H373&gt;0,"Overbilled","Shortfall")</x:f>
        <x:v>Overbilled</x:v>
      </x:c>
      <x:c r="J373" s="7"/>
      <x:c r="K373" s="7" t="str">
        <x:v>Open</x:v>
      </x:c>
      <x:c r="L373" s="7"/>
    </x:row>
    <x:row r="374" ht="21" customHeight="1">
      <x:c r="A374" s="1" t="str">
        <x:f>Source!A368</x:f>
        <x:v>C0011298</x:v>
      </x:c>
      <x:c r="B374" s="1" t="str">
        <x:f>_xlfn.IFNA(VLOOKUP(Source!B368,Advertisers!$A$5:$B$34,2,FALSE),"Missing advertiser")</x:f>
        <x:v>Synthetic advertiser 3</x:v>
      </x:c>
      <x:c r="C374" s="1" t="n">
        <x:f>Source!C368</x:f>
        <x:v>3</x:v>
      </x:c>
      <x:c r="D374" s="8" t="n">
        <x:f>Source!D368/100</x:f>
        <x:v>244.14</x:v>
      </x:c>
      <x:c r="E374" s="8" t="n">
        <x:f>Source!E368/100</x:f>
        <x:v>488.28</x:v>
      </x:c>
      <x:c r="F374" s="8" t="n">
        <x:f>Source!F368/100</x:f>
        <x:v>0</x:v>
      </x:c>
      <x:c r="G374" s="8" t="n">
        <x:f>Source!G368/100</x:f>
        <x:v>488.28</x:v>
      </x:c>
      <x:c r="H374" s="8" t="n">
        <x:f>G374-D374</x:f>
        <x:v>244.14</x:v>
      </x:c>
      <x:c r="I374" s="1" t="str">
        <x:f>IF(H374&gt;0,"Overbilled","Shortfall")</x:f>
        <x:v>Overbilled</x:v>
      </x:c>
      <x:c r="J374" s="7"/>
      <x:c r="K374" s="7" t="str">
        <x:v>Open</x:v>
      </x:c>
      <x:c r="L374" s="7"/>
    </x:row>
    <x:row r="375" ht="21" customHeight="1">
      <x:c r="A375" s="1" t="str">
        <x:f>Source!A369</x:f>
        <x:v>C0000491</x:v>
      </x:c>
      <x:c r="B375" s="1" t="str">
        <x:f>_xlfn.IFNA(VLOOKUP(Source!B369,Advertisers!$A$5:$B$34,2,FALSE),"Missing advertiser")</x:f>
        <x:v>Synthetic advertiser 3</x:v>
      </x:c>
      <x:c r="C375" s="1" t="n">
        <x:f>Source!C369</x:f>
        <x:v>3</x:v>
      </x:c>
      <x:c r="D375" s="8" t="n">
        <x:f>Source!D369/100</x:f>
        <x:v>244.14</x:v>
      </x:c>
      <x:c r="E375" s="8" t="n">
        <x:f>Source!E369/100</x:f>
        <x:v>0</x:v>
      </x:c>
      <x:c r="F375" s="8" t="n">
        <x:f>Source!F369/100</x:f>
        <x:v>0</x:v>
      </x:c>
      <x:c r="G375" s="8" t="n">
        <x:f>Source!G369/100</x:f>
        <x:v>0</x:v>
      </x:c>
      <x:c r="H375" s="8" t="n">
        <x:f>G375-D375</x:f>
        <x:v>-244.14</x:v>
      </x:c>
      <x:c r="I375" s="1" t="str">
        <x:f>IF(H375&gt;0,"Overbilled","Shortfall")</x:f>
        <x:v>Shortfall</x:v>
      </x:c>
      <x:c r="J375" s="7"/>
      <x:c r="K375" s="7" t="str">
        <x:v>Open</x:v>
      </x:c>
      <x:c r="L375" s="7"/>
    </x:row>
    <x:row r="376" ht="21" customHeight="1">
      <x:c r="A376" s="1" t="str">
        <x:f>Source!A370</x:f>
        <x:v>C0015783</x:v>
      </x:c>
      <x:c r="B376" s="1" t="str">
        <x:f>_xlfn.IFNA(VLOOKUP(Source!B370,Advertisers!$A$5:$B$34,2,FALSE),"Missing advertiser")</x:f>
        <x:v>Synthetic advertiser 3</x:v>
      </x:c>
      <x:c r="C376" s="1" t="n">
        <x:f>Source!C370</x:f>
        <x:v>3</x:v>
      </x:c>
      <x:c r="D376" s="8" t="n">
        <x:f>Source!D370/100</x:f>
        <x:v>244.14</x:v>
      </x:c>
      <x:c r="E376" s="8" t="n">
        <x:f>Source!E370/100</x:f>
        <x:v>0</x:v>
      </x:c>
      <x:c r="F376" s="8" t="n">
        <x:f>Source!F370/100</x:f>
        <x:v>0</x:v>
      </x:c>
      <x:c r="G376" s="8" t="n">
        <x:f>Source!G370/100</x:f>
        <x:v>0</x:v>
      </x:c>
      <x:c r="H376" s="8" t="n">
        <x:f>G376-D376</x:f>
        <x:v>-244.14</x:v>
      </x:c>
      <x:c r="I376" s="1" t="str">
        <x:f>IF(H376&gt;0,"Overbilled","Shortfall")</x:f>
        <x:v>Shortfall</x:v>
      </x:c>
      <x:c r="J376" s="7"/>
      <x:c r="K376" s="7" t="str">
        <x:v>Open</x:v>
      </x:c>
      <x:c r="L376" s="7"/>
    </x:row>
    <x:row r="377" ht="21" customHeight="1">
      <x:c r="A377" s="1" t="str">
        <x:f>Source!A371</x:f>
        <x:v>C0000410</x:v>
      </x:c>
      <x:c r="B377" s="1" t="str">
        <x:f>_xlfn.IFNA(VLOOKUP(Source!B371,Advertisers!$A$5:$B$34,2,FALSE),"Missing advertiser")</x:f>
        <x:v>Synthetic advertiser 3</x:v>
      </x:c>
      <x:c r="C377" s="1" t="n">
        <x:f>Source!C371</x:f>
        <x:v>3</x:v>
      </x:c>
      <x:c r="D377" s="8" t="n">
        <x:f>Source!D371/100</x:f>
        <x:v>244.14</x:v>
      </x:c>
      <x:c r="E377" s="8" t="n">
        <x:f>Source!E371/100</x:f>
        <x:v>488.28</x:v>
      </x:c>
      <x:c r="F377" s="8" t="n">
        <x:f>Source!F371/100</x:f>
        <x:v>0</x:v>
      </x:c>
      <x:c r="G377" s="8" t="n">
        <x:f>Source!G371/100</x:f>
        <x:v>488.28</x:v>
      </x:c>
      <x:c r="H377" s="8" t="n">
        <x:f>G377-D377</x:f>
        <x:v>244.14</x:v>
      </x:c>
      <x:c r="I377" s="1" t="str">
        <x:f>IF(H377&gt;0,"Overbilled","Shortfall")</x:f>
        <x:v>Overbilled</x:v>
      </x:c>
      <x:c r="J377" s="7"/>
      <x:c r="K377" s="7" t="str">
        <x:v>Open</x:v>
      </x:c>
      <x:c r="L377" s="7"/>
    </x:row>
    <x:row r="378" ht="21" customHeight="1">
      <x:c r="A378" s="1" t="str">
        <x:f>Source!A372</x:f>
        <x:v>C0011763</x:v>
      </x:c>
      <x:c r="B378" s="1" t="str">
        <x:f>_xlfn.IFNA(VLOOKUP(Source!B372,Advertisers!$A$5:$B$34,2,FALSE),"Missing advertiser")</x:f>
        <x:v>Synthetic advertiser 3</x:v>
      </x:c>
      <x:c r="C378" s="1" t="n">
        <x:f>Source!C372</x:f>
        <x:v>3</x:v>
      </x:c>
      <x:c r="D378" s="8" t="n">
        <x:f>Source!D372/100</x:f>
        <x:v>244.14</x:v>
      </x:c>
      <x:c r="E378" s="8" t="n">
        <x:f>Source!E372/100</x:f>
        <x:v>0</x:v>
      </x:c>
      <x:c r="F378" s="8" t="n">
        <x:f>Source!F372/100</x:f>
        <x:v>0</x:v>
      </x:c>
      <x:c r="G378" s="8" t="n">
        <x:f>Source!G372/100</x:f>
        <x:v>0</x:v>
      </x:c>
      <x:c r="H378" s="8" t="n">
        <x:f>G378-D378</x:f>
        <x:v>-244.14</x:v>
      </x:c>
      <x:c r="I378" s="1" t="str">
        <x:f>IF(H378&gt;0,"Overbilled","Shortfall")</x:f>
        <x:v>Shortfall</x:v>
      </x:c>
      <x:c r="J378" s="7"/>
      <x:c r="K378" s="7" t="str">
        <x:v>Open</x:v>
      </x:c>
      <x:c r="L378" s="7"/>
    </x:row>
    <x:row r="379" ht="21" customHeight="1">
      <x:c r="A379" s="1" t="str">
        <x:f>Source!A373</x:f>
        <x:v>C0010388</x:v>
      </x:c>
      <x:c r="B379" s="1" t="str">
        <x:f>_xlfn.IFNA(VLOOKUP(Source!B373,Advertisers!$A$5:$B$34,2,FALSE),"Missing advertiser")</x:f>
        <x:v>Synthetic advertiser 3</x:v>
      </x:c>
      <x:c r="C379" s="1" t="n">
        <x:f>Source!C373</x:f>
        <x:v>3</x:v>
      </x:c>
      <x:c r="D379" s="8" t="n">
        <x:f>Source!D373/100</x:f>
        <x:v>244.14</x:v>
      </x:c>
      <x:c r="E379" s="8" t="n">
        <x:f>Source!E373/100</x:f>
        <x:v>0</x:v>
      </x:c>
      <x:c r="F379" s="8" t="n">
        <x:f>Source!F373/100</x:f>
        <x:v>0</x:v>
      </x:c>
      <x:c r="G379" s="8" t="n">
        <x:f>Source!G373/100</x:f>
        <x:v>0</x:v>
      </x:c>
      <x:c r="H379" s="8" t="n">
        <x:f>G379-D379</x:f>
        <x:v>-244.14</x:v>
      </x:c>
      <x:c r="I379" s="1" t="str">
        <x:f>IF(H379&gt;0,"Overbilled","Shortfall")</x:f>
        <x:v>Shortfall</x:v>
      </x:c>
      <x:c r="J379" s="7"/>
      <x:c r="K379" s="7" t="str">
        <x:v>Open</x:v>
      </x:c>
      <x:c r="L379" s="7"/>
    </x:row>
    <x:row r="380" ht="21" customHeight="1">
      <x:c r="A380" s="1" t="str">
        <x:f>Source!A374</x:f>
        <x:v>C0017845</x:v>
      </x:c>
      <x:c r="B380" s="1" t="str">
        <x:f>_xlfn.IFNA(VLOOKUP(Source!B374,Advertisers!$A$5:$B$34,2,FALSE),"Missing advertiser")</x:f>
        <x:v>Synthetic advertiser 3</x:v>
      </x:c>
      <x:c r="C380" s="1" t="n">
        <x:f>Source!C374</x:f>
        <x:v>3</x:v>
      </x:c>
      <x:c r="D380" s="8" t="n">
        <x:f>Source!D374/100</x:f>
        <x:v>244.14</x:v>
      </x:c>
      <x:c r="E380" s="8" t="n">
        <x:f>Source!E374/100</x:f>
        <x:v>488.28</x:v>
      </x:c>
      <x:c r="F380" s="8" t="n">
        <x:f>Source!F374/100</x:f>
        <x:v>0</x:v>
      </x:c>
      <x:c r="G380" s="8" t="n">
        <x:f>Source!G374/100</x:f>
        <x:v>488.28</x:v>
      </x:c>
      <x:c r="H380" s="8" t="n">
        <x:f>G380-D380</x:f>
        <x:v>244.14</x:v>
      </x:c>
      <x:c r="I380" s="1" t="str">
        <x:f>IF(H380&gt;0,"Overbilled","Shortfall")</x:f>
        <x:v>Overbilled</x:v>
      </x:c>
      <x:c r="J380" s="7"/>
      <x:c r="K380" s="7" t="str">
        <x:v>Open</x:v>
      </x:c>
      <x:c r="L380" s="7"/>
    </x:row>
    <x:row r="381" ht="21" customHeight="1">
      <x:c r="A381" s="1" t="str">
        <x:f>Source!A375</x:f>
        <x:v>C0010693</x:v>
      </x:c>
      <x:c r="B381" s="1" t="str">
        <x:f>_xlfn.IFNA(VLOOKUP(Source!B375,Advertisers!$A$5:$B$34,2,FALSE),"Missing advertiser")</x:f>
        <x:v>Synthetic advertiser 3</x:v>
      </x:c>
      <x:c r="C381" s="1" t="n">
        <x:f>Source!C375</x:f>
        <x:v>3</x:v>
      </x:c>
      <x:c r="D381" s="8" t="n">
        <x:f>Source!D375/100</x:f>
        <x:v>244.14</x:v>
      </x:c>
      <x:c r="E381" s="8" t="n">
        <x:f>Source!E375/100</x:f>
        <x:v>0</x:v>
      </x:c>
      <x:c r="F381" s="8" t="n">
        <x:f>Source!F375/100</x:f>
        <x:v>0</x:v>
      </x:c>
      <x:c r="G381" s="8" t="n">
        <x:f>Source!G375/100</x:f>
        <x:v>0</x:v>
      </x:c>
      <x:c r="H381" s="8" t="n">
        <x:f>G381-D381</x:f>
        <x:v>-244.14</x:v>
      </x:c>
      <x:c r="I381" s="1" t="str">
        <x:f>IF(H381&gt;0,"Overbilled","Shortfall")</x:f>
        <x:v>Shortfall</x:v>
      </x:c>
      <x:c r="J381" s="7"/>
      <x:c r="K381" s="7" t="str">
        <x:v>Open</x:v>
      </x:c>
      <x:c r="L381" s="7"/>
    </x:row>
    <x:row r="382" ht="21" customHeight="1">
      <x:c r="A382" s="1" t="str">
        <x:f>Source!A376</x:f>
        <x:v>C0011117</x:v>
      </x:c>
      <x:c r="B382" s="1" t="str">
        <x:f>_xlfn.IFNA(VLOOKUP(Source!B376,Advertisers!$A$5:$B$34,2,FALSE),"Missing advertiser")</x:f>
        <x:v>Synthetic advertiser 3</x:v>
      </x:c>
      <x:c r="C382" s="1" t="n">
        <x:f>Source!C376</x:f>
        <x:v>3</x:v>
      </x:c>
      <x:c r="D382" s="8" t="n">
        <x:f>Source!D376/100</x:f>
        <x:v>244.14</x:v>
      </x:c>
      <x:c r="E382" s="8" t="n">
        <x:f>Source!E376/100</x:f>
        <x:v>0</x:v>
      </x:c>
      <x:c r="F382" s="8" t="n">
        <x:f>Source!F376/100</x:f>
        <x:v>0</x:v>
      </x:c>
      <x:c r="G382" s="8" t="n">
        <x:f>Source!G376/100</x:f>
        <x:v>0</x:v>
      </x:c>
      <x:c r="H382" s="8" t="n">
        <x:f>G382-D382</x:f>
        <x:v>-244.14</x:v>
      </x:c>
      <x:c r="I382" s="1" t="str">
        <x:f>IF(H382&gt;0,"Overbilled","Shortfall")</x:f>
        <x:v>Shortfall</x:v>
      </x:c>
      <x:c r="J382" s="7"/>
      <x:c r="K382" s="7" t="str">
        <x:v>Open</x:v>
      </x:c>
      <x:c r="L382" s="7"/>
    </x:row>
    <x:row r="383" ht="21" customHeight="1">
      <x:c r="A383" s="1" t="str">
        <x:f>Source!A377</x:f>
        <x:v>C0006816</x:v>
      </x:c>
      <x:c r="B383" s="1" t="str">
        <x:f>_xlfn.IFNA(VLOOKUP(Source!B377,Advertisers!$A$5:$B$34,2,FALSE),"Missing advertiser")</x:f>
        <x:v>Synthetic advertiser 3</x:v>
      </x:c>
      <x:c r="C383" s="1" t="n">
        <x:f>Source!C377</x:f>
        <x:v>3</x:v>
      </x:c>
      <x:c r="D383" s="8" t="n">
        <x:f>Source!D377/100</x:f>
        <x:v>244.14</x:v>
      </x:c>
      <x:c r="E383" s="8" t="n">
        <x:f>Source!E377/100</x:f>
        <x:v>0</x:v>
      </x:c>
      <x:c r="F383" s="8" t="n">
        <x:f>Source!F377/100</x:f>
        <x:v>0</x:v>
      </x:c>
      <x:c r="G383" s="8" t="n">
        <x:f>Source!G377/100</x:f>
        <x:v>0</x:v>
      </x:c>
      <x:c r="H383" s="8" t="n">
        <x:f>G383-D383</x:f>
        <x:v>-244.14</x:v>
      </x:c>
      <x:c r="I383" s="1" t="str">
        <x:f>IF(H383&gt;0,"Overbilled","Shortfall")</x:f>
        <x:v>Shortfall</x:v>
      </x:c>
      <x:c r="J383" s="7"/>
      <x:c r="K383" s="7" t="str">
        <x:v>Open</x:v>
      </x:c>
      <x:c r="L383" s="7"/>
    </x:row>
    <x:row r="384" ht="21" customHeight="1">
      <x:c r="A384" s="1" t="str">
        <x:f>Source!A378</x:f>
        <x:v>C0006592</x:v>
      </x:c>
      <x:c r="B384" s="1" t="str">
        <x:f>_xlfn.IFNA(VLOOKUP(Source!B378,Advertisers!$A$5:$B$34,2,FALSE),"Missing advertiser")</x:f>
        <x:v>Synthetic advertiser 3</x:v>
      </x:c>
      <x:c r="C384" s="1" t="n">
        <x:f>Source!C378</x:f>
        <x:v>3</x:v>
      </x:c>
      <x:c r="D384" s="8" t="n">
        <x:f>Source!D378/100</x:f>
        <x:v>244.14</x:v>
      </x:c>
      <x:c r="E384" s="8" t="n">
        <x:f>Source!E378/100</x:f>
        <x:v>0</x:v>
      </x:c>
      <x:c r="F384" s="8" t="n">
        <x:f>Source!F378/100</x:f>
        <x:v>0</x:v>
      </x:c>
      <x:c r="G384" s="8" t="n">
        <x:f>Source!G378/100</x:f>
        <x:v>0</x:v>
      </x:c>
      <x:c r="H384" s="8" t="n">
        <x:f>G384-D384</x:f>
        <x:v>-244.14</x:v>
      </x:c>
      <x:c r="I384" s="1" t="str">
        <x:f>IF(H384&gt;0,"Overbilled","Shortfall")</x:f>
        <x:v>Shortfall</x:v>
      </x:c>
      <x:c r="J384" s="7"/>
      <x:c r="K384" s="7" t="str">
        <x:v>Open</x:v>
      </x:c>
      <x:c r="L384" s="7"/>
    </x:row>
    <x:row r="385" ht="21" customHeight="1">
      <x:c r="A385" s="1" t="str">
        <x:f>Source!A379</x:f>
        <x:v>C0010077</x:v>
      </x:c>
      <x:c r="B385" s="1" t="str">
        <x:f>_xlfn.IFNA(VLOOKUP(Source!B379,Advertisers!$A$5:$B$34,2,FALSE),"Missing advertiser")</x:f>
        <x:v>Synthetic advertiser 3</x:v>
      </x:c>
      <x:c r="C385" s="1" t="n">
        <x:f>Source!C379</x:f>
        <x:v>3</x:v>
      </x:c>
      <x:c r="D385" s="8" t="n">
        <x:f>Source!D379/100</x:f>
        <x:v>244.14</x:v>
      </x:c>
      <x:c r="E385" s="8" t="n">
        <x:f>Source!E379/100</x:f>
        <x:v>488.28</x:v>
      </x:c>
      <x:c r="F385" s="8" t="n">
        <x:f>Source!F379/100</x:f>
        <x:v>0</x:v>
      </x:c>
      <x:c r="G385" s="8" t="n">
        <x:f>Source!G379/100</x:f>
        <x:v>488.28</x:v>
      </x:c>
      <x:c r="H385" s="8" t="n">
        <x:f>G385-D385</x:f>
        <x:v>244.14</x:v>
      </x:c>
      <x:c r="I385" s="1" t="str">
        <x:f>IF(H385&gt;0,"Overbilled","Shortfall")</x:f>
        <x:v>Overbilled</x:v>
      </x:c>
      <x:c r="J385" s="7"/>
      <x:c r="K385" s="7" t="str">
        <x:v>Open</x:v>
      </x:c>
      <x:c r="L385" s="7"/>
    </x:row>
    <x:row r="386" ht="21" customHeight="1">
      <x:c r="A386" s="1" t="str">
        <x:f>Source!A380</x:f>
        <x:v>C0014519</x:v>
      </x:c>
      <x:c r="B386" s="1" t="str">
        <x:f>_xlfn.IFNA(VLOOKUP(Source!B380,Advertisers!$A$5:$B$34,2,FALSE),"Missing advertiser")</x:f>
        <x:v>Synthetic advertiser 28</x:v>
      </x:c>
      <x:c r="C386" s="1" t="n">
        <x:f>Source!C380</x:f>
        <x:v>28</x:v>
      </x:c>
      <x:c r="D386" s="8" t="n">
        <x:f>Source!D380/100</x:f>
        <x:v>243.25</x:v>
      </x:c>
      <x:c r="E386" s="8" t="n">
        <x:f>Source!E380/100</x:f>
        <x:v>486.5</x:v>
      </x:c>
      <x:c r="F386" s="8" t="n">
        <x:f>Source!F380/100</x:f>
        <x:v>0</x:v>
      </x:c>
      <x:c r="G386" s="8" t="n">
        <x:f>Source!G380/100</x:f>
        <x:v>486.5</x:v>
      </x:c>
      <x:c r="H386" s="8" t="n">
        <x:f>G386-D386</x:f>
        <x:v>243.25</x:v>
      </x:c>
      <x:c r="I386" s="1" t="str">
        <x:f>IF(H386&gt;0,"Overbilled","Shortfall")</x:f>
        <x:v>Overbilled</x:v>
      </x:c>
      <x:c r="J386" s="7"/>
      <x:c r="K386" s="7" t="str">
        <x:v>Open</x:v>
      </x:c>
      <x:c r="L386" s="7"/>
    </x:row>
    <x:row r="387" ht="21" customHeight="1">
      <x:c r="A387" s="1" t="str">
        <x:f>Source!A381</x:f>
        <x:v>C0012474</x:v>
      </x:c>
      <x:c r="B387" s="1" t="str">
        <x:f>_xlfn.IFNA(VLOOKUP(Source!B381,Advertisers!$A$5:$B$34,2,FALSE),"Missing advertiser")</x:f>
        <x:v>Synthetic advertiser 28</x:v>
      </x:c>
      <x:c r="C387" s="1" t="n">
        <x:f>Source!C381</x:f>
        <x:v>28</x:v>
      </x:c>
      <x:c r="D387" s="8" t="n">
        <x:f>Source!D381/100</x:f>
        <x:v>0</x:v>
      </x:c>
      <x:c r="E387" s="8" t="n">
        <x:f>Source!E381/100</x:f>
        <x:v>243.25</x:v>
      </x:c>
      <x:c r="F387" s="8" t="n">
        <x:f>Source!F381/100</x:f>
        <x:v>0</x:v>
      </x:c>
      <x:c r="G387" s="8" t="n">
        <x:f>Source!G381/100</x:f>
        <x:v>243.25</x:v>
      </x:c>
      <x:c r="H387" s="8" t="n">
        <x:f>G387-D387</x:f>
        <x:v>243.25</x:v>
      </x:c>
      <x:c r="I387" s="1" t="str">
        <x:f>IF(H387&gt;0,"Overbilled","Shortfall")</x:f>
        <x:v>Overbilled</x:v>
      </x:c>
      <x:c r="J387" s="7"/>
      <x:c r="K387" s="7" t="str">
        <x:v>Open</x:v>
      </x:c>
      <x:c r="L387" s="7"/>
    </x:row>
    <x:row r="388" ht="21" customHeight="1">
      <x:c r="A388" s="1" t="str">
        <x:f>Source!A382</x:f>
        <x:v>C0009317</x:v>
      </x:c>
      <x:c r="B388" s="1" t="str">
        <x:f>_xlfn.IFNA(VLOOKUP(Source!B382,Advertisers!$A$5:$B$34,2,FALSE),"Missing advertiser")</x:f>
        <x:v>Synthetic advertiser 28</x:v>
      </x:c>
      <x:c r="C388" s="1" t="n">
        <x:f>Source!C382</x:f>
        <x:v>28</x:v>
      </x:c>
      <x:c r="D388" s="8" t="n">
        <x:f>Source!D382/100</x:f>
        <x:v>243.25</x:v>
      </x:c>
      <x:c r="E388" s="8" t="n">
        <x:f>Source!E382/100</x:f>
        <x:v>486.5</x:v>
      </x:c>
      <x:c r="F388" s="8" t="n">
        <x:f>Source!F382/100</x:f>
        <x:v>0</x:v>
      </x:c>
      <x:c r="G388" s="8" t="n">
        <x:f>Source!G382/100</x:f>
        <x:v>486.5</x:v>
      </x:c>
      <x:c r="H388" s="8" t="n">
        <x:f>G388-D388</x:f>
        <x:v>243.25</x:v>
      </x:c>
      <x:c r="I388" s="1" t="str">
        <x:f>IF(H388&gt;0,"Overbilled","Shortfall")</x:f>
        <x:v>Overbilled</x:v>
      </x:c>
      <x:c r="J388" s="7"/>
      <x:c r="K388" s="7" t="str">
        <x:v>Open</x:v>
      </x:c>
      <x:c r="L388" s="7"/>
    </x:row>
    <x:row r="389" ht="21" customHeight="1">
      <x:c r="A389" s="1" t="str">
        <x:f>Source!A383</x:f>
        <x:v>C0003356</x:v>
      </x:c>
      <x:c r="B389" s="1" t="str">
        <x:f>_xlfn.IFNA(VLOOKUP(Source!B383,Advertisers!$A$5:$B$34,2,FALSE),"Missing advertiser")</x:f>
        <x:v>Synthetic advertiser 28</x:v>
      </x:c>
      <x:c r="C389" s="1" t="n">
        <x:f>Source!C383</x:f>
        <x:v>28</x:v>
      </x:c>
      <x:c r="D389" s="8" t="n">
        <x:f>Source!D383/100</x:f>
        <x:v>243.25</x:v>
      </x:c>
      <x:c r="E389" s="8" t="n">
        <x:f>Source!E383/100</x:f>
        <x:v>0</x:v>
      </x:c>
      <x:c r="F389" s="8" t="n">
        <x:f>Source!F383/100</x:f>
        <x:v>0</x:v>
      </x:c>
      <x:c r="G389" s="8" t="n">
        <x:f>Source!G383/100</x:f>
        <x:v>0</x:v>
      </x:c>
      <x:c r="H389" s="8" t="n">
        <x:f>G389-D389</x:f>
        <x:v>-243.25</x:v>
      </x:c>
      <x:c r="I389" s="1" t="str">
        <x:f>IF(H389&gt;0,"Overbilled","Shortfall")</x:f>
        <x:v>Shortfall</x:v>
      </x:c>
      <x:c r="J389" s="7"/>
      <x:c r="K389" s="7" t="str">
        <x:v>Open</x:v>
      </x:c>
      <x:c r="L389" s="7"/>
    </x:row>
    <x:row r="390" ht="21" customHeight="1">
      <x:c r="A390" s="1" t="str">
        <x:f>Source!A384</x:f>
        <x:v>C0010122</x:v>
      </x:c>
      <x:c r="B390" s="1" t="str">
        <x:f>_xlfn.IFNA(VLOOKUP(Source!B384,Advertisers!$A$5:$B$34,2,FALSE),"Missing advertiser")</x:f>
        <x:v>Synthetic advertiser 10</x:v>
      </x:c>
      <x:c r="C390" s="1" t="n">
        <x:f>Source!C384</x:f>
        <x:v>100</x:v>
      </x:c>
      <x:c r="D390" s="8" t="n">
        <x:f>Source!D384/100</x:f>
        <x:v>242.31</x:v>
      </x:c>
      <x:c r="E390" s="8" t="n">
        <x:f>Source!E384/100</x:f>
        <x:v>484.62</x:v>
      </x:c>
      <x:c r="F390" s="8" t="n">
        <x:f>Source!F384/100</x:f>
        <x:v>0</x:v>
      </x:c>
      <x:c r="G390" s="8" t="n">
        <x:f>Source!G384/100</x:f>
        <x:v>484.62</x:v>
      </x:c>
      <x:c r="H390" s="8" t="n">
        <x:f>G390-D390</x:f>
        <x:v>242.31</x:v>
      </x:c>
      <x:c r="I390" s="1" t="str">
        <x:f>IF(H390&gt;0,"Overbilled","Shortfall")</x:f>
        <x:v>Overbilled</x:v>
      </x:c>
      <x:c r="J390" s="7"/>
      <x:c r="K390" s="7" t="str">
        <x:v>Open</x:v>
      </x:c>
      <x:c r="L390" s="7"/>
    </x:row>
    <x:row r="391" ht="21" customHeight="1">
      <x:c r="A391" s="1" t="str">
        <x:f>Source!A385</x:f>
        <x:v>C0012135</x:v>
      </x:c>
      <x:c r="B391" s="1" t="str">
        <x:f>_xlfn.IFNA(VLOOKUP(Source!B385,Advertisers!$A$5:$B$34,2,FALSE),"Missing advertiser")</x:f>
        <x:v>Synthetic advertiser 10</x:v>
      </x:c>
      <x:c r="C391" s="1" t="n">
        <x:f>Source!C385</x:f>
        <x:v>100</x:v>
      </x:c>
      <x:c r="D391" s="8" t="n">
        <x:f>Source!D385/100</x:f>
        <x:v>242.31</x:v>
      </x:c>
      <x:c r="E391" s="8" t="n">
        <x:f>Source!E385/100</x:f>
        <x:v>0</x:v>
      </x:c>
      <x:c r="F391" s="8" t="n">
        <x:f>Source!F385/100</x:f>
        <x:v>0</x:v>
      </x:c>
      <x:c r="G391" s="8" t="n">
        <x:f>Source!G385/100</x:f>
        <x:v>0</x:v>
      </x:c>
      <x:c r="H391" s="8" t="n">
        <x:f>G391-D391</x:f>
        <x:v>-242.31</x:v>
      </x:c>
      <x:c r="I391" s="1" t="str">
        <x:f>IF(H391&gt;0,"Overbilled","Shortfall")</x:f>
        <x:v>Shortfall</x:v>
      </x:c>
      <x:c r="J391" s="7"/>
      <x:c r="K391" s="7" t="str">
        <x:v>Open</x:v>
      </x:c>
      <x:c r="L391" s="7"/>
    </x:row>
    <x:row r="392" ht="21" customHeight="1">
      <x:c r="A392" s="1" t="str">
        <x:f>Source!A386</x:f>
        <x:v>C0003042</x:v>
      </x:c>
      <x:c r="B392" s="1" t="str">
        <x:f>_xlfn.IFNA(VLOOKUP(Source!B386,Advertisers!$A$5:$B$34,2,FALSE),"Missing advertiser")</x:f>
        <x:v>Synthetic advertiser 10</x:v>
      </x:c>
      <x:c r="C392" s="1" t="n">
        <x:f>Source!C386</x:f>
        <x:v>100</x:v>
      </x:c>
      <x:c r="D392" s="8" t="n">
        <x:f>Source!D386/100</x:f>
        <x:v>242.31</x:v>
      </x:c>
      <x:c r="E392" s="8" t="n">
        <x:f>Source!E386/100</x:f>
        <x:v>0</x:v>
      </x:c>
      <x:c r="F392" s="8" t="n">
        <x:f>Source!F386/100</x:f>
        <x:v>0</x:v>
      </x:c>
      <x:c r="G392" s="8" t="n">
        <x:f>Source!G386/100</x:f>
        <x:v>0</x:v>
      </x:c>
      <x:c r="H392" s="8" t="n">
        <x:f>G392-D392</x:f>
        <x:v>-242.31</x:v>
      </x:c>
      <x:c r="I392" s="1" t="str">
        <x:f>IF(H392&gt;0,"Overbilled","Shortfall")</x:f>
        <x:v>Shortfall</x:v>
      </x:c>
      <x:c r="J392" s="7"/>
      <x:c r="K392" s="7" t="str">
        <x:v>Open</x:v>
      </x:c>
      <x:c r="L392" s="7"/>
    </x:row>
    <x:row r="393" ht="21" customHeight="1">
      <x:c r="A393" s="1" t="str">
        <x:f>Source!A387</x:f>
        <x:v>C0015010</x:v>
      </x:c>
      <x:c r="B393" s="1" t="str">
        <x:f>_xlfn.IFNA(VLOOKUP(Source!B387,Advertisers!$A$5:$B$34,2,FALSE),"Missing advertiser")</x:f>
        <x:v>Synthetic advertiser 10</x:v>
      </x:c>
      <x:c r="C393" s="1" t="n">
        <x:f>Source!C387</x:f>
        <x:v>100</x:v>
      </x:c>
      <x:c r="D393" s="8" t="n">
        <x:f>Source!D387/100</x:f>
        <x:v>242.31</x:v>
      </x:c>
      <x:c r="E393" s="8" t="n">
        <x:f>Source!E387/100</x:f>
        <x:v>0</x:v>
      </x:c>
      <x:c r="F393" s="8" t="n">
        <x:f>Source!F387/100</x:f>
        <x:v>0</x:v>
      </x:c>
      <x:c r="G393" s="8" t="n">
        <x:f>Source!G387/100</x:f>
        <x:v>0</x:v>
      </x:c>
      <x:c r="H393" s="8" t="n">
        <x:f>G393-D393</x:f>
        <x:v>-242.31</x:v>
      </x:c>
      <x:c r="I393" s="1" t="str">
        <x:f>IF(H393&gt;0,"Overbilled","Shortfall")</x:f>
        <x:v>Shortfall</x:v>
      </x:c>
      <x:c r="J393" s="7"/>
      <x:c r="K393" s="7" t="str">
        <x:v>Open</x:v>
      </x:c>
      <x:c r="L393" s="7"/>
    </x:row>
    <x:row r="394" ht="21" customHeight="1">
      <x:c r="A394" s="1" t="str">
        <x:f>Source!A388</x:f>
        <x:v>C0009691</x:v>
      </x:c>
      <x:c r="B394" s="1" t="str">
        <x:f>_xlfn.IFNA(VLOOKUP(Source!B388,Advertisers!$A$5:$B$34,2,FALSE),"Missing advertiser")</x:f>
        <x:v>Synthetic advertiser 10</x:v>
      </x:c>
      <x:c r="C394" s="1" t="n">
        <x:f>Source!C388</x:f>
        <x:v>100</x:v>
      </x:c>
      <x:c r="D394" s="8" t="n">
        <x:f>Source!D388/100</x:f>
        <x:v>242.31</x:v>
      </x:c>
      <x:c r="E394" s="8" t="n">
        <x:f>Source!E388/100</x:f>
        <x:v>484.62</x:v>
      </x:c>
      <x:c r="F394" s="8" t="n">
        <x:f>Source!F388/100</x:f>
        <x:v>0</x:v>
      </x:c>
      <x:c r="G394" s="8" t="n">
        <x:f>Source!G388/100</x:f>
        <x:v>484.62</x:v>
      </x:c>
      <x:c r="H394" s="8" t="n">
        <x:f>G394-D394</x:f>
        <x:v>242.31</x:v>
      </x:c>
      <x:c r="I394" s="1" t="str">
        <x:f>IF(H394&gt;0,"Overbilled","Shortfall")</x:f>
        <x:v>Overbilled</x:v>
      </x:c>
      <x:c r="J394" s="7"/>
      <x:c r="K394" s="7" t="str">
        <x:v>Open</x:v>
      </x:c>
      <x:c r="L394" s="7"/>
    </x:row>
    <x:row r="395" ht="21" customHeight="1">
      <x:c r="A395" s="1" t="str">
        <x:f>Source!A389</x:f>
        <x:v>C0001298</x:v>
      </x:c>
      <x:c r="B395" s="1" t="str">
        <x:f>_xlfn.IFNA(VLOOKUP(Source!B389,Advertisers!$A$5:$B$34,2,FALSE),"Missing advertiser")</x:f>
        <x:v>Synthetic advertiser 18</x:v>
      </x:c>
      <x:c r="C395" s="1" t="n">
        <x:f>Source!C389</x:f>
        <x:v>108</x:v>
      </x:c>
      <x:c r="D395" s="8" t="n">
        <x:f>Source!D389/100</x:f>
        <x:v>241.94</x:v>
      </x:c>
      <x:c r="E395" s="8" t="n">
        <x:f>Source!E389/100</x:f>
        <x:v>483.88</x:v>
      </x:c>
      <x:c r="F395" s="8" t="n">
        <x:f>Source!F389/100</x:f>
        <x:v>0</x:v>
      </x:c>
      <x:c r="G395" s="8" t="n">
        <x:f>Source!G389/100</x:f>
        <x:v>483.88</x:v>
      </x:c>
      <x:c r="H395" s="8" t="n">
        <x:f>G395-D395</x:f>
        <x:v>241.94</x:v>
      </x:c>
      <x:c r="I395" s="1" t="str">
        <x:f>IF(H395&gt;0,"Overbilled","Shortfall")</x:f>
        <x:v>Overbilled</x:v>
      </x:c>
      <x:c r="J395" s="7"/>
      <x:c r="K395" s="7" t="str">
        <x:v>Open</x:v>
      </x:c>
      <x:c r="L395" s="7"/>
    </x:row>
    <x:row r="396" ht="21" customHeight="1">
      <x:c r="A396" s="1" t="str">
        <x:f>Source!A390</x:f>
        <x:v>C0014619</x:v>
      </x:c>
      <x:c r="B396" s="1" t="str">
        <x:f>_xlfn.IFNA(VLOOKUP(Source!B390,Advertisers!$A$5:$B$34,2,FALSE),"Missing advertiser")</x:f>
        <x:v>Synthetic advertiser 18</x:v>
      </x:c>
      <x:c r="C396" s="1" t="n">
        <x:f>Source!C390</x:f>
        <x:v>108</x:v>
      </x:c>
      <x:c r="D396" s="8" t="n">
        <x:f>Source!D390/100</x:f>
        <x:v>0</x:v>
      </x:c>
      <x:c r="E396" s="8" t="n">
        <x:f>Source!E390/100</x:f>
        <x:v>241.94</x:v>
      </x:c>
      <x:c r="F396" s="8" t="n">
        <x:f>Source!F390/100</x:f>
        <x:v>0</x:v>
      </x:c>
      <x:c r="G396" s="8" t="n">
        <x:f>Source!G390/100</x:f>
        <x:v>241.94</x:v>
      </x:c>
      <x:c r="H396" s="8" t="n">
        <x:f>G396-D396</x:f>
        <x:v>241.94</x:v>
      </x:c>
      <x:c r="I396" s="1" t="str">
        <x:f>IF(H396&gt;0,"Overbilled","Shortfall")</x:f>
        <x:v>Overbilled</x:v>
      </x:c>
      <x:c r="J396" s="7"/>
      <x:c r="K396" s="7" t="str">
        <x:v>Open</x:v>
      </x:c>
      <x:c r="L396" s="7"/>
    </x:row>
    <x:row r="397" ht="21" customHeight="1">
      <x:c r="A397" s="1" t="str">
        <x:f>Source!A391</x:f>
        <x:v>C0003654</x:v>
      </x:c>
      <x:c r="B397" s="1" t="str">
        <x:f>_xlfn.IFNA(VLOOKUP(Source!B391,Advertisers!$A$5:$B$34,2,FALSE),"Missing advertiser")</x:f>
        <x:v>Synthetic advertiser 18</x:v>
      </x:c>
      <x:c r="C397" s="1" t="n">
        <x:f>Source!C391</x:f>
        <x:v>108</x:v>
      </x:c>
      <x:c r="D397" s="8" t="n">
        <x:f>Source!D391/100</x:f>
        <x:v>241.94</x:v>
      </x:c>
      <x:c r="E397" s="8" t="n">
        <x:f>Source!E391/100</x:f>
        <x:v>483.88</x:v>
      </x:c>
      <x:c r="F397" s="8" t="n">
        <x:f>Source!F391/100</x:f>
        <x:v>0</x:v>
      </x:c>
      <x:c r="G397" s="8" t="n">
        <x:f>Source!G391/100</x:f>
        <x:v>483.88</x:v>
      </x:c>
      <x:c r="H397" s="8" t="n">
        <x:f>G397-D397</x:f>
        <x:v>241.94</x:v>
      </x:c>
      <x:c r="I397" s="1" t="str">
        <x:f>IF(H397&gt;0,"Overbilled","Shortfall")</x:f>
        <x:v>Overbilled</x:v>
      </x:c>
      <x:c r="J397" s="7"/>
      <x:c r="K397" s="7" t="str">
        <x:v>Open</x:v>
      </x:c>
      <x:c r="L397" s="7"/>
    </x:row>
    <x:row r="398" ht="21" customHeight="1">
      <x:c r="A398" s="1" t="str">
        <x:f>Source!A392</x:f>
        <x:v>C0007535</x:v>
      </x:c>
      <x:c r="B398" s="1" t="str">
        <x:f>_xlfn.IFNA(VLOOKUP(Source!B392,Advertisers!$A$5:$B$34,2,FALSE),"Missing advertiser")</x:f>
        <x:v>Synthetic advertiser 18</x:v>
      </x:c>
      <x:c r="C398" s="1" t="n">
        <x:f>Source!C392</x:f>
        <x:v>108</x:v>
      </x:c>
      <x:c r="D398" s="8" t="n">
        <x:f>Source!D392/100</x:f>
        <x:v>0</x:v>
      </x:c>
      <x:c r="E398" s="8" t="n">
        <x:f>Source!E392/100</x:f>
        <x:v>241.94</x:v>
      </x:c>
      <x:c r="F398" s="8" t="n">
        <x:f>Source!F392/100</x:f>
        <x:v>0</x:v>
      </x:c>
      <x:c r="G398" s="8" t="n">
        <x:f>Source!G392/100</x:f>
        <x:v>241.94</x:v>
      </x:c>
      <x:c r="H398" s="8" t="n">
        <x:f>G398-D398</x:f>
        <x:v>241.94</x:v>
      </x:c>
      <x:c r="I398" s="1" t="str">
        <x:f>IF(H398&gt;0,"Overbilled","Shortfall")</x:f>
        <x:v>Overbilled</x:v>
      </x:c>
      <x:c r="J398" s="7"/>
      <x:c r="K398" s="7" t="str">
        <x:v>Open</x:v>
      </x:c>
      <x:c r="L398" s="7"/>
    </x:row>
    <x:row r="399" ht="21" customHeight="1">
      <x:c r="A399" s="1" t="str">
        <x:f>Source!A393</x:f>
        <x:v>C0013046</x:v>
      </x:c>
      <x:c r="B399" s="1" t="str">
        <x:f>_xlfn.IFNA(VLOOKUP(Source!B393,Advertisers!$A$5:$B$34,2,FALSE),"Missing advertiser")</x:f>
        <x:v>Synthetic advertiser 18</x:v>
      </x:c>
      <x:c r="C399" s="1" t="n">
        <x:f>Source!C393</x:f>
        <x:v>108</x:v>
      </x:c>
      <x:c r="D399" s="8" t="n">
        <x:f>Source!D393/100</x:f>
        <x:v>241.94</x:v>
      </x:c>
      <x:c r="E399" s="8" t="n">
        <x:f>Source!E393/100</x:f>
        <x:v>483.88</x:v>
      </x:c>
      <x:c r="F399" s="8" t="n">
        <x:f>Source!F393/100</x:f>
        <x:v>0</x:v>
      </x:c>
      <x:c r="G399" s="8" t="n">
        <x:f>Source!G393/100</x:f>
        <x:v>483.88</x:v>
      </x:c>
      <x:c r="H399" s="8" t="n">
        <x:f>G399-D399</x:f>
        <x:v>241.94</x:v>
      </x:c>
      <x:c r="I399" s="1" t="str">
        <x:f>IF(H399&gt;0,"Overbilled","Shortfall")</x:f>
        <x:v>Overbilled</x:v>
      </x:c>
      <x:c r="J399" s="7"/>
      <x:c r="K399" s="7" t="str">
        <x:v>Open</x:v>
      </x:c>
      <x:c r="L399" s="7"/>
    </x:row>
    <x:row r="400" ht="21" customHeight="1">
      <x:c r="A400" s="1" t="str">
        <x:f>Source!A394</x:f>
        <x:v>C0007001</x:v>
      </x:c>
      <x:c r="B400" s="1" t="str">
        <x:f>_xlfn.IFNA(VLOOKUP(Source!B394,Advertisers!$A$5:$B$34,2,FALSE),"Missing advertiser")</x:f>
        <x:v>Synthetic advertiser 18</x:v>
      </x:c>
      <x:c r="C400" s="1" t="n">
        <x:f>Source!C394</x:f>
        <x:v>108</x:v>
      </x:c>
      <x:c r="D400" s="8" t="n">
        <x:f>Source!D394/100</x:f>
        <x:v>241.94</x:v>
      </x:c>
      <x:c r="E400" s="8" t="n">
        <x:f>Source!E394/100</x:f>
        <x:v>0</x:v>
      </x:c>
      <x:c r="F400" s="8" t="n">
        <x:f>Source!F394/100</x:f>
        <x:v>0</x:v>
      </x:c>
      <x:c r="G400" s="8" t="n">
        <x:f>Source!G394/100</x:f>
        <x:v>0</x:v>
      </x:c>
      <x:c r="H400" s="8" t="n">
        <x:f>G400-D400</x:f>
        <x:v>-241.94</x:v>
      </x:c>
      <x:c r="I400" s="1" t="str">
        <x:f>IF(H400&gt;0,"Overbilled","Shortfall")</x:f>
        <x:v>Shortfall</x:v>
      </x:c>
      <x:c r="J400" s="7"/>
      <x:c r="K400" s="7" t="str">
        <x:v>Open</x:v>
      </x:c>
      <x:c r="L400" s="7"/>
    </x:row>
    <x:row r="401" ht="21" customHeight="1">
      <x:c r="A401" s="1" t="str">
        <x:f>Source!A395</x:f>
        <x:v>C0011515</x:v>
      </x:c>
      <x:c r="B401" s="1" t="str">
        <x:f>_xlfn.IFNA(VLOOKUP(Source!B395,Advertisers!$A$5:$B$34,2,FALSE),"Missing advertiser")</x:f>
        <x:v>Synthetic advertiser 18</x:v>
      </x:c>
      <x:c r="C401" s="1" t="n">
        <x:f>Source!C395</x:f>
        <x:v>108</x:v>
      </x:c>
      <x:c r="D401" s="8" t="n">
        <x:f>Source!D395/100</x:f>
        <x:v>241.94</x:v>
      </x:c>
      <x:c r="E401" s="8" t="n">
        <x:f>Source!E395/100</x:f>
        <x:v>483.88</x:v>
      </x:c>
      <x:c r="F401" s="8" t="n">
        <x:f>Source!F395/100</x:f>
        <x:v>0</x:v>
      </x:c>
      <x:c r="G401" s="8" t="n">
        <x:f>Source!G395/100</x:f>
        <x:v>483.88</x:v>
      </x:c>
      <x:c r="H401" s="8" t="n">
        <x:f>G401-D401</x:f>
        <x:v>241.94</x:v>
      </x:c>
      <x:c r="I401" s="1" t="str">
        <x:f>IF(H401&gt;0,"Overbilled","Shortfall")</x:f>
        <x:v>Overbilled</x:v>
      </x:c>
      <x:c r="J401" s="7"/>
      <x:c r="K401" s="7" t="str">
        <x:v>Open</x:v>
      </x:c>
      <x:c r="L401" s="7"/>
    </x:row>
    <x:row r="402" ht="21" customHeight="1">
      <x:c r="A402" s="1" t="str">
        <x:f>Source!A396</x:f>
        <x:v>C0005025</x:v>
      </x:c>
      <x:c r="B402" s="1" t="str">
        <x:f>_xlfn.IFNA(VLOOKUP(Source!B396,Advertisers!$A$5:$B$34,2,FALSE),"Missing advertiser")</x:f>
        <x:v>Synthetic advertiser 18</x:v>
      </x:c>
      <x:c r="C402" s="1" t="n">
        <x:f>Source!C396</x:f>
        <x:v>108</x:v>
      </x:c>
      <x:c r="D402" s="8" t="n">
        <x:f>Source!D396/100</x:f>
        <x:v>241.94</x:v>
      </x:c>
      <x:c r="E402" s="8" t="n">
        <x:f>Source!E396/100</x:f>
        <x:v>483.88</x:v>
      </x:c>
      <x:c r="F402" s="8" t="n">
        <x:f>Source!F396/100</x:f>
        <x:v>0</x:v>
      </x:c>
      <x:c r="G402" s="8" t="n">
        <x:f>Source!G396/100</x:f>
        <x:v>483.88</x:v>
      </x:c>
      <x:c r="H402" s="8" t="n">
        <x:f>G402-D402</x:f>
        <x:v>241.94</x:v>
      </x:c>
      <x:c r="I402" s="1" t="str">
        <x:f>IF(H402&gt;0,"Overbilled","Shortfall")</x:f>
        <x:v>Overbilled</x:v>
      </x:c>
      <x:c r="J402" s="7"/>
      <x:c r="K402" s="7" t="str">
        <x:v>Open</x:v>
      </x:c>
      <x:c r="L402" s="7"/>
    </x:row>
    <x:row r="403" ht="21" customHeight="1">
      <x:c r="A403" s="1" t="str">
        <x:f>Source!A397</x:f>
        <x:v>C0001974</x:v>
      </x:c>
      <x:c r="B403" s="1" t="str">
        <x:f>_xlfn.IFNA(VLOOKUP(Source!B397,Advertisers!$A$5:$B$34,2,FALSE),"Missing advertiser")</x:f>
        <x:v>Synthetic advertiser 2</x:v>
      </x:c>
      <x:c r="C403" s="1" t="n">
        <x:f>Source!C397</x:f>
        <x:v>62</x:v>
      </x:c>
      <x:c r="D403" s="8" t="n">
        <x:f>Source!D397/100</x:f>
        <x:v>241.69</x:v>
      </x:c>
      <x:c r="E403" s="8" t="n">
        <x:f>Source!E397/100</x:f>
        <x:v>0</x:v>
      </x:c>
      <x:c r="F403" s="8" t="n">
        <x:f>Source!F397/100</x:f>
        <x:v>0</x:v>
      </x:c>
      <x:c r="G403" s="8" t="n">
        <x:f>Source!G397/100</x:f>
        <x:v>0</x:v>
      </x:c>
      <x:c r="H403" s="8" t="n">
        <x:f>G403-D403</x:f>
        <x:v>-241.69</x:v>
      </x:c>
      <x:c r="I403" s="1" t="str">
        <x:f>IF(H403&gt;0,"Overbilled","Shortfall")</x:f>
        <x:v>Shortfall</x:v>
      </x:c>
      <x:c r="J403" s="7"/>
      <x:c r="K403" s="7" t="str">
        <x:v>Open</x:v>
      </x:c>
      <x:c r="L403" s="7"/>
    </x:row>
    <x:row r="404" ht="21" customHeight="1">
      <x:c r="A404" s="1" t="str">
        <x:f>Source!A398</x:f>
        <x:v>C0017487</x:v>
      </x:c>
      <x:c r="B404" s="1" t="str">
        <x:f>_xlfn.IFNA(VLOOKUP(Source!B398,Advertisers!$A$5:$B$34,2,FALSE),"Missing advertiser")</x:f>
        <x:v>Synthetic advertiser 2</x:v>
      </x:c>
      <x:c r="C404" s="1" t="n">
        <x:f>Source!C398</x:f>
        <x:v>62</x:v>
      </x:c>
      <x:c r="D404" s="8" t="n">
        <x:f>Source!D398/100</x:f>
        <x:v>0</x:v>
      </x:c>
      <x:c r="E404" s="8" t="n">
        <x:f>Source!E398/100</x:f>
        <x:v>241.69</x:v>
      </x:c>
      <x:c r="F404" s="8" t="n">
        <x:f>Source!F398/100</x:f>
        <x:v>0</x:v>
      </x:c>
      <x:c r="G404" s="8" t="n">
        <x:f>Source!G398/100</x:f>
        <x:v>241.69</x:v>
      </x:c>
      <x:c r="H404" s="8" t="n">
        <x:f>G404-D404</x:f>
        <x:v>241.69</x:v>
      </x:c>
      <x:c r="I404" s="1" t="str">
        <x:f>IF(H404&gt;0,"Overbilled","Shortfall")</x:f>
        <x:v>Overbilled</x:v>
      </x:c>
      <x:c r="J404" s="7"/>
      <x:c r="K404" s="7" t="str">
        <x:v>Open</x:v>
      </x:c>
      <x:c r="L404" s="7"/>
    </x:row>
    <x:row r="405" ht="21" customHeight="1">
      <x:c r="A405" s="1" t="str">
        <x:f>Source!A399</x:f>
        <x:v>C0017092</x:v>
      </x:c>
      <x:c r="B405" s="1" t="str">
        <x:f>_xlfn.IFNA(VLOOKUP(Source!B399,Advertisers!$A$5:$B$34,2,FALSE),"Missing advertiser")</x:f>
        <x:v>Synthetic advertiser 2</x:v>
      </x:c>
      <x:c r="C405" s="1" t="n">
        <x:f>Source!C399</x:f>
        <x:v>62</x:v>
      </x:c>
      <x:c r="D405" s="8" t="n">
        <x:f>Source!D399/100</x:f>
        <x:v>241.69</x:v>
      </x:c>
      <x:c r="E405" s="8" t="n">
        <x:f>Source!E399/100</x:f>
        <x:v>483.38</x:v>
      </x:c>
      <x:c r="F405" s="8" t="n">
        <x:f>Source!F399/100</x:f>
        <x:v>0</x:v>
      </x:c>
      <x:c r="G405" s="8" t="n">
        <x:f>Source!G399/100</x:f>
        <x:v>483.38</x:v>
      </x:c>
      <x:c r="H405" s="8" t="n">
        <x:f>G405-D405</x:f>
        <x:v>241.69</x:v>
      </x:c>
      <x:c r="I405" s="1" t="str">
        <x:f>IF(H405&gt;0,"Overbilled","Shortfall")</x:f>
        <x:v>Overbilled</x:v>
      </x:c>
      <x:c r="J405" s="7"/>
      <x:c r="K405" s="7" t="str">
        <x:v>Open</x:v>
      </x:c>
      <x:c r="L405" s="7"/>
    </x:row>
    <x:row r="406" ht="21" customHeight="1">
      <x:c r="A406" s="1" t="str">
        <x:f>Source!A400</x:f>
        <x:v>C0015603</x:v>
      </x:c>
      <x:c r="B406" s="1" t="str">
        <x:f>_xlfn.IFNA(VLOOKUP(Source!B400,Advertisers!$A$5:$B$34,2,FALSE),"Missing advertiser")</x:f>
        <x:v>Synthetic advertiser 2</x:v>
      </x:c>
      <x:c r="C406" s="1" t="n">
        <x:f>Source!C400</x:f>
        <x:v>62</x:v>
      </x:c>
      <x:c r="D406" s="8" t="n">
        <x:f>Source!D400/100</x:f>
        <x:v>241.69</x:v>
      </x:c>
      <x:c r="E406" s="8" t="n">
        <x:f>Source!E400/100</x:f>
        <x:v>0</x:v>
      </x:c>
      <x:c r="F406" s="8" t="n">
        <x:f>Source!F400/100</x:f>
        <x:v>0</x:v>
      </x:c>
      <x:c r="G406" s="8" t="n">
        <x:f>Source!G400/100</x:f>
        <x:v>0</x:v>
      </x:c>
      <x:c r="H406" s="8" t="n">
        <x:f>G406-D406</x:f>
        <x:v>-241.69</x:v>
      </x:c>
      <x:c r="I406" s="1" t="str">
        <x:f>IF(H406&gt;0,"Overbilled","Shortfall")</x:f>
        <x:v>Shortfall</x:v>
      </x:c>
      <x:c r="J406" s="7"/>
      <x:c r="K406" s="7" t="str">
        <x:v>Open</x:v>
      </x:c>
      <x:c r="L406" s="7"/>
    </x:row>
    <x:row r="407" ht="21" customHeight="1">
      <x:c r="A407" s="1" t="str">
        <x:f>Source!A401</x:f>
        <x:v>C0008379</x:v>
      </x:c>
      <x:c r="B407" s="1" t="str">
        <x:f>_xlfn.IFNA(VLOOKUP(Source!B401,Advertisers!$A$5:$B$34,2,FALSE),"Missing advertiser")</x:f>
        <x:v>Synthetic advertiser 2</x:v>
      </x:c>
      <x:c r="C407" s="1" t="n">
        <x:f>Source!C401</x:f>
        <x:v>62</x:v>
      </x:c>
      <x:c r="D407" s="8" t="n">
        <x:f>Source!D401/100</x:f>
        <x:v>241.69</x:v>
      </x:c>
      <x:c r="E407" s="8" t="n">
        <x:f>Source!E401/100</x:f>
        <x:v>483.38</x:v>
      </x:c>
      <x:c r="F407" s="8" t="n">
        <x:f>Source!F401/100</x:f>
        <x:v>0</x:v>
      </x:c>
      <x:c r="G407" s="8" t="n">
        <x:f>Source!G401/100</x:f>
        <x:v>483.38</x:v>
      </x:c>
      <x:c r="H407" s="8" t="n">
        <x:f>G407-D407</x:f>
        <x:v>241.69</x:v>
      </x:c>
      <x:c r="I407" s="1" t="str">
        <x:f>IF(H407&gt;0,"Overbilled","Shortfall")</x:f>
        <x:v>Overbilled</x:v>
      </x:c>
      <x:c r="J407" s="7"/>
      <x:c r="K407" s="7" t="str">
        <x:v>Open</x:v>
      </x:c>
      <x:c r="L407" s="7"/>
    </x:row>
    <x:row r="408" ht="21" customHeight="1">
      <x:c r="A408" s="1" t="str">
        <x:f>Source!A402</x:f>
        <x:v>C0012742</x:v>
      </x:c>
      <x:c r="B408" s="1" t="str">
        <x:f>_xlfn.IFNA(VLOOKUP(Source!B402,Advertisers!$A$5:$B$34,2,FALSE),"Missing advertiser")</x:f>
        <x:v>Synthetic advertiser 2</x:v>
      </x:c>
      <x:c r="C408" s="1" t="n">
        <x:f>Source!C402</x:f>
        <x:v>62</x:v>
      </x:c>
      <x:c r="D408" s="8" t="n">
        <x:f>Source!D402/100</x:f>
        <x:v>241.69</x:v>
      </x:c>
      <x:c r="E408" s="8" t="n">
        <x:f>Source!E402/100</x:f>
        <x:v>483.38</x:v>
      </x:c>
      <x:c r="F408" s="8" t="n">
        <x:f>Source!F402/100</x:f>
        <x:v>0</x:v>
      </x:c>
      <x:c r="G408" s="8" t="n">
        <x:f>Source!G402/100</x:f>
        <x:v>483.38</x:v>
      </x:c>
      <x:c r="H408" s="8" t="n">
        <x:f>G408-D408</x:f>
        <x:v>241.69</x:v>
      </x:c>
      <x:c r="I408" s="1" t="str">
        <x:f>IF(H408&gt;0,"Overbilled","Shortfall")</x:f>
        <x:v>Overbilled</x:v>
      </x:c>
      <x:c r="J408" s="7"/>
      <x:c r="K408" s="7" t="str">
        <x:v>Open</x:v>
      </x:c>
      <x:c r="L408" s="7"/>
    </x:row>
    <x:row r="409" ht="21" customHeight="1">
      <x:c r="A409" s="1" t="str">
        <x:f>Source!A403</x:f>
        <x:v>C0000584</x:v>
      </x:c>
      <x:c r="B409" s="1" t="str">
        <x:f>_xlfn.IFNA(VLOOKUP(Source!B403,Advertisers!$A$5:$B$34,2,FALSE),"Missing advertiser")</x:f>
        <x:v>Synthetic advertiser 2</x:v>
      </x:c>
      <x:c r="C409" s="1" t="n">
        <x:f>Source!C403</x:f>
        <x:v>62</x:v>
      </x:c>
      <x:c r="D409" s="8" t="n">
        <x:f>Source!D403/100</x:f>
        <x:v>241.69</x:v>
      </x:c>
      <x:c r="E409" s="8" t="n">
        <x:f>Source!E403/100</x:f>
        <x:v>483.38</x:v>
      </x:c>
      <x:c r="F409" s="8" t="n">
        <x:f>Source!F403/100</x:f>
        <x:v>0</x:v>
      </x:c>
      <x:c r="G409" s="8" t="n">
        <x:f>Source!G403/100</x:f>
        <x:v>483.38</x:v>
      </x:c>
      <x:c r="H409" s="8" t="n">
        <x:f>G409-D409</x:f>
        <x:v>241.69</x:v>
      </x:c>
      <x:c r="I409" s="1" t="str">
        <x:f>IF(H409&gt;0,"Overbilled","Shortfall")</x:f>
        <x:v>Overbilled</x:v>
      </x:c>
      <x:c r="J409" s="7"/>
      <x:c r="K409" s="7" t="str">
        <x:v>Open</x:v>
      </x:c>
      <x:c r="L409" s="7"/>
    </x:row>
    <x:row r="410" ht="21" customHeight="1">
      <x:c r="A410" s="1" t="str">
        <x:f>Source!A404</x:f>
        <x:v>C0012095</x:v>
      </x:c>
      <x:c r="B410" s="1" t="str">
        <x:f>_xlfn.IFNA(VLOOKUP(Source!B404,Advertisers!$A$5:$B$34,2,FALSE),"Missing advertiser")</x:f>
        <x:v>Synthetic advertiser 25</x:v>
      </x:c>
      <x:c r="C410" s="1" t="n">
        <x:f>Source!C404</x:f>
        <x:v>85</x:v>
      </x:c>
      <x:c r="D410" s="8" t="n">
        <x:f>Source!D404/100</x:f>
        <x:v>241.07</x:v>
      </x:c>
      <x:c r="E410" s="8" t="n">
        <x:f>Source!E404/100</x:f>
        <x:v>482.14</x:v>
      </x:c>
      <x:c r="F410" s="8" t="n">
        <x:f>Source!F404/100</x:f>
        <x:v>0</x:v>
      </x:c>
      <x:c r="G410" s="8" t="n">
        <x:f>Source!G404/100</x:f>
        <x:v>482.14</x:v>
      </x:c>
      <x:c r="H410" s="8" t="n">
        <x:f>G410-D410</x:f>
        <x:v>241.07</x:v>
      </x:c>
      <x:c r="I410" s="1" t="str">
        <x:f>IF(H410&gt;0,"Overbilled","Shortfall")</x:f>
        <x:v>Overbilled</x:v>
      </x:c>
      <x:c r="J410" s="7"/>
      <x:c r="K410" s="7" t="str">
        <x:v>Open</x:v>
      </x:c>
      <x:c r="L410" s="7"/>
    </x:row>
    <x:row r="411" ht="21" customHeight="1">
      <x:c r="A411" s="1" t="str">
        <x:f>Source!A405</x:f>
        <x:v>C0002888</x:v>
      </x:c>
      <x:c r="B411" s="1" t="str">
        <x:f>_xlfn.IFNA(VLOOKUP(Source!B405,Advertisers!$A$5:$B$34,2,FALSE),"Missing advertiser")</x:f>
        <x:v>Synthetic advertiser 25</x:v>
      </x:c>
      <x:c r="C411" s="1" t="n">
        <x:f>Source!C405</x:f>
        <x:v>85</x:v>
      </x:c>
      <x:c r="D411" s="8" t="n">
        <x:f>Source!D405/100</x:f>
        <x:v>241.07</x:v>
      </x:c>
      <x:c r="E411" s="8" t="n">
        <x:f>Source!E405/100</x:f>
        <x:v>482.14</x:v>
      </x:c>
      <x:c r="F411" s="8" t="n">
        <x:f>Source!F405/100</x:f>
        <x:v>0</x:v>
      </x:c>
      <x:c r="G411" s="8" t="n">
        <x:f>Source!G405/100</x:f>
        <x:v>482.14</x:v>
      </x:c>
      <x:c r="H411" s="8" t="n">
        <x:f>G411-D411</x:f>
        <x:v>241.07</x:v>
      </x:c>
      <x:c r="I411" s="1" t="str">
        <x:f>IF(H411&gt;0,"Overbilled","Shortfall")</x:f>
        <x:v>Overbilled</x:v>
      </x:c>
      <x:c r="J411" s="7"/>
      <x:c r="K411" s="7" t="str">
        <x:v>Open</x:v>
      </x:c>
      <x:c r="L411" s="7"/>
    </x:row>
    <x:row r="412" ht="21" customHeight="1">
      <x:c r="A412" s="1" t="str">
        <x:f>Source!A406</x:f>
        <x:v>C0017206</x:v>
      </x:c>
      <x:c r="B412" s="1" t="str">
        <x:f>_xlfn.IFNA(VLOOKUP(Source!B406,Advertisers!$A$5:$B$34,2,FALSE),"Missing advertiser")</x:f>
        <x:v>Synthetic advertiser 25</x:v>
      </x:c>
      <x:c r="C412" s="1" t="n">
        <x:f>Source!C406</x:f>
        <x:v>85</x:v>
      </x:c>
      <x:c r="D412" s="8" t="n">
        <x:f>Source!D406/100</x:f>
        <x:v>241.07</x:v>
      </x:c>
      <x:c r="E412" s="8" t="n">
        <x:f>Source!E406/100</x:f>
        <x:v>482.14</x:v>
      </x:c>
      <x:c r="F412" s="8" t="n">
        <x:f>Source!F406/100</x:f>
        <x:v>0</x:v>
      </x:c>
      <x:c r="G412" s="8" t="n">
        <x:f>Source!G406/100</x:f>
        <x:v>482.14</x:v>
      </x:c>
      <x:c r="H412" s="8" t="n">
        <x:f>G412-D412</x:f>
        <x:v>241.07</x:v>
      </x:c>
      <x:c r="I412" s="1" t="str">
        <x:f>IF(H412&gt;0,"Overbilled","Shortfall")</x:f>
        <x:v>Overbilled</x:v>
      </x:c>
      <x:c r="J412" s="7"/>
      <x:c r="K412" s="7" t="str">
        <x:v>Open</x:v>
      </x:c>
      <x:c r="L412" s="7"/>
    </x:row>
    <x:row r="413" ht="21" customHeight="1">
      <x:c r="A413" s="1" t="str">
        <x:f>Source!A407</x:f>
        <x:v>C0016139</x:v>
      </x:c>
      <x:c r="B413" s="1" t="str">
        <x:f>_xlfn.IFNA(VLOOKUP(Source!B407,Advertisers!$A$5:$B$34,2,FALSE),"Missing advertiser")</x:f>
        <x:v>Synthetic advertiser 25</x:v>
      </x:c>
      <x:c r="C413" s="1" t="n">
        <x:f>Source!C407</x:f>
        <x:v>85</x:v>
      </x:c>
      <x:c r="D413" s="8" t="n">
        <x:f>Source!D407/100</x:f>
        <x:v>241.07</x:v>
      </x:c>
      <x:c r="E413" s="8" t="n">
        <x:f>Source!E407/100</x:f>
        <x:v>482.14</x:v>
      </x:c>
      <x:c r="F413" s="8" t="n">
        <x:f>Source!F407/100</x:f>
        <x:v>0</x:v>
      </x:c>
      <x:c r="G413" s="8" t="n">
        <x:f>Source!G407/100</x:f>
        <x:v>482.14</x:v>
      </x:c>
      <x:c r="H413" s="8" t="n">
        <x:f>G413-D413</x:f>
        <x:v>241.07</x:v>
      </x:c>
      <x:c r="I413" s="1" t="str">
        <x:f>IF(H413&gt;0,"Overbilled","Shortfall")</x:f>
        <x:v>Overbilled</x:v>
      </x:c>
      <x:c r="J413" s="7"/>
      <x:c r="K413" s="7" t="str">
        <x:v>Open</x:v>
      </x:c>
      <x:c r="L413" s="7"/>
    </x:row>
    <x:row r="414" ht="21" customHeight="1">
      <x:c r="A414" s="1" t="str">
        <x:f>Source!A408</x:f>
        <x:v>C0005874</x:v>
      </x:c>
      <x:c r="B414" s="1" t="str">
        <x:f>_xlfn.IFNA(VLOOKUP(Source!B408,Advertisers!$A$5:$B$34,2,FALSE),"Missing advertiser")</x:f>
        <x:v>Synthetic advertiser 25</x:v>
      </x:c>
      <x:c r="C414" s="1" t="n">
        <x:f>Source!C408</x:f>
        <x:v>85</x:v>
      </x:c>
      <x:c r="D414" s="8" t="n">
        <x:f>Source!D408/100</x:f>
        <x:v>241.07</x:v>
      </x:c>
      <x:c r="E414" s="8" t="n">
        <x:f>Source!E408/100</x:f>
        <x:v>482.14</x:v>
      </x:c>
      <x:c r="F414" s="8" t="n">
        <x:f>Source!F408/100</x:f>
        <x:v>0</x:v>
      </x:c>
      <x:c r="G414" s="8" t="n">
        <x:f>Source!G408/100</x:f>
        <x:v>482.14</x:v>
      </x:c>
      <x:c r="H414" s="8" t="n">
        <x:f>G414-D414</x:f>
        <x:v>241.07</x:v>
      </x:c>
      <x:c r="I414" s="1" t="str">
        <x:f>IF(H414&gt;0,"Overbilled","Shortfall")</x:f>
        <x:v>Overbilled</x:v>
      </x:c>
      <x:c r="J414" s="7"/>
      <x:c r="K414" s="7" t="str">
        <x:v>Open</x:v>
      </x:c>
      <x:c r="L414" s="7"/>
    </x:row>
    <x:row r="415" ht="21" customHeight="1">
      <x:c r="A415" s="1" t="str">
        <x:f>Source!A409</x:f>
        <x:v>C0016153</x:v>
      </x:c>
      <x:c r="B415" s="1" t="str">
        <x:f>_xlfn.IFNA(VLOOKUP(Source!B409,Advertisers!$A$5:$B$34,2,FALSE),"Missing advertiser")</x:f>
        <x:v>Synthetic advertiser 25</x:v>
      </x:c>
      <x:c r="C415" s="1" t="n">
        <x:f>Source!C409</x:f>
        <x:v>85</x:v>
      </x:c>
      <x:c r="D415" s="8" t="n">
        <x:f>Source!D409/100</x:f>
        <x:v>0</x:v>
      </x:c>
      <x:c r="E415" s="8" t="n">
        <x:f>Source!E409/100</x:f>
        <x:v>241.07</x:v>
      </x:c>
      <x:c r="F415" s="8" t="n">
        <x:f>Source!F409/100</x:f>
        <x:v>0</x:v>
      </x:c>
      <x:c r="G415" s="8" t="n">
        <x:f>Source!G409/100</x:f>
        <x:v>241.07</x:v>
      </x:c>
      <x:c r="H415" s="8" t="n">
        <x:f>G415-D415</x:f>
        <x:v>241.07</x:v>
      </x:c>
      <x:c r="I415" s="1" t="str">
        <x:f>IF(H415&gt;0,"Overbilled","Shortfall")</x:f>
        <x:v>Overbilled</x:v>
      </x:c>
      <x:c r="J415" s="7"/>
      <x:c r="K415" s="7" t="str">
        <x:v>Open</x:v>
      </x:c>
      <x:c r="L415" s="7"/>
    </x:row>
    <x:row r="416" ht="21" customHeight="1">
      <x:c r="A416" s="1" t="str">
        <x:f>Source!A410</x:f>
        <x:v>C0006057</x:v>
      </x:c>
      <x:c r="B416" s="1" t="str">
        <x:f>_xlfn.IFNA(VLOOKUP(Source!B410,Advertisers!$A$5:$B$34,2,FALSE),"Missing advertiser")</x:f>
        <x:v>Synthetic advertiser 20</x:v>
      </x:c>
      <x:c r="C416" s="1" t="n">
        <x:f>Source!C410</x:f>
        <x:v>20</x:v>
      </x:c>
      <x:c r="D416" s="8" t="n">
        <x:f>Source!D410/100</x:f>
        <x:v>240.58</x:v>
      </x:c>
      <x:c r="E416" s="8" t="n">
        <x:f>Source!E410/100</x:f>
        <x:v>0</x:v>
      </x:c>
      <x:c r="F416" s="8" t="n">
        <x:f>Source!F410/100</x:f>
        <x:v>0</x:v>
      </x:c>
      <x:c r="G416" s="8" t="n">
        <x:f>Source!G410/100</x:f>
        <x:v>0</x:v>
      </x:c>
      <x:c r="H416" s="8" t="n">
        <x:f>G416-D416</x:f>
        <x:v>-240.58</x:v>
      </x:c>
      <x:c r="I416" s="1" t="str">
        <x:f>IF(H416&gt;0,"Overbilled","Shortfall")</x:f>
        <x:v>Shortfall</x:v>
      </x:c>
      <x:c r="J416" s="7"/>
      <x:c r="K416" s="7" t="str">
        <x:v>Open</x:v>
      </x:c>
      <x:c r="L416" s="7"/>
    </x:row>
    <x:row r="417" ht="21" customHeight="1">
      <x:c r="A417" s="1" t="str">
        <x:f>Source!A411</x:f>
        <x:v>C0003712</x:v>
      </x:c>
      <x:c r="B417" s="1" t="str">
        <x:f>_xlfn.IFNA(VLOOKUP(Source!B411,Advertisers!$A$5:$B$34,2,FALSE),"Missing advertiser")</x:f>
        <x:v>Synthetic advertiser 20</x:v>
      </x:c>
      <x:c r="C417" s="1" t="n">
        <x:f>Source!C411</x:f>
        <x:v>20</x:v>
      </x:c>
      <x:c r="D417" s="8" t="n">
        <x:f>Source!D411/100</x:f>
        <x:v>240.58</x:v>
      </x:c>
      <x:c r="E417" s="8" t="n">
        <x:f>Source!E411/100</x:f>
        <x:v>481.16</x:v>
      </x:c>
      <x:c r="F417" s="8" t="n">
        <x:f>Source!F411/100</x:f>
        <x:v>0</x:v>
      </x:c>
      <x:c r="G417" s="8" t="n">
        <x:f>Source!G411/100</x:f>
        <x:v>481.16</x:v>
      </x:c>
      <x:c r="H417" s="8" t="n">
        <x:f>G417-D417</x:f>
        <x:v>240.58</x:v>
      </x:c>
      <x:c r="I417" s="1" t="str">
        <x:f>IF(H417&gt;0,"Overbilled","Shortfall")</x:f>
        <x:v>Overbilled</x:v>
      </x:c>
      <x:c r="J417" s="7"/>
      <x:c r="K417" s="7" t="str">
        <x:v>Open</x:v>
      </x:c>
      <x:c r="L417" s="7"/>
    </x:row>
    <x:row r="418" ht="21" customHeight="1">
      <x:c r="A418" s="1" t="str">
        <x:f>Source!A412</x:f>
        <x:v>C0009567</x:v>
      </x:c>
      <x:c r="B418" s="1" t="str">
        <x:f>_xlfn.IFNA(VLOOKUP(Source!B412,Advertisers!$A$5:$B$34,2,FALSE),"Missing advertiser")</x:f>
        <x:v>Synthetic advertiser 20</x:v>
      </x:c>
      <x:c r="C418" s="1" t="n">
        <x:f>Source!C412</x:f>
        <x:v>20</x:v>
      </x:c>
      <x:c r="D418" s="8" t="n">
        <x:f>Source!D412/100</x:f>
        <x:v>240.58</x:v>
      </x:c>
      <x:c r="E418" s="8" t="n">
        <x:f>Source!E412/100</x:f>
        <x:v>0</x:v>
      </x:c>
      <x:c r="F418" s="8" t="n">
        <x:f>Source!F412/100</x:f>
        <x:v>0</x:v>
      </x:c>
      <x:c r="G418" s="8" t="n">
        <x:f>Source!G412/100</x:f>
        <x:v>0</x:v>
      </x:c>
      <x:c r="H418" s="8" t="n">
        <x:f>G418-D418</x:f>
        <x:v>-240.58</x:v>
      </x:c>
      <x:c r="I418" s="1" t="str">
        <x:f>IF(H418&gt;0,"Overbilled","Shortfall")</x:f>
        <x:v>Shortfall</x:v>
      </x:c>
      <x:c r="J418" s="7"/>
      <x:c r="K418" s="7" t="str">
        <x:v>Open</x:v>
      </x:c>
      <x:c r="L418" s="7"/>
    </x:row>
    <x:row r="419" ht="21" customHeight="1">
      <x:c r="A419" s="1" t="str">
        <x:f>Source!A413</x:f>
        <x:v>C0012973</x:v>
      </x:c>
      <x:c r="B419" s="1" t="str">
        <x:f>_xlfn.IFNA(VLOOKUP(Source!B413,Advertisers!$A$5:$B$34,2,FALSE),"Missing advertiser")</x:f>
        <x:v>Synthetic advertiser 20</x:v>
      </x:c>
      <x:c r="C419" s="1" t="n">
        <x:f>Source!C413</x:f>
        <x:v>20</x:v>
      </x:c>
      <x:c r="D419" s="8" t="n">
        <x:f>Source!D413/100</x:f>
        <x:v>0</x:v>
      </x:c>
      <x:c r="E419" s="8" t="n">
        <x:f>Source!E413/100</x:f>
        <x:v>240.58</x:v>
      </x:c>
      <x:c r="F419" s="8" t="n">
        <x:f>Source!F413/100</x:f>
        <x:v>0</x:v>
      </x:c>
      <x:c r="G419" s="8" t="n">
        <x:f>Source!G413/100</x:f>
        <x:v>240.58</x:v>
      </x:c>
      <x:c r="H419" s="8" t="n">
        <x:f>G419-D419</x:f>
        <x:v>240.58</x:v>
      </x:c>
      <x:c r="I419" s="1" t="str">
        <x:f>IF(H419&gt;0,"Overbilled","Shortfall")</x:f>
        <x:v>Overbilled</x:v>
      </x:c>
      <x:c r="J419" s="7"/>
      <x:c r="K419" s="7" t="str">
        <x:v>Open</x:v>
      </x:c>
      <x:c r="L419" s="7"/>
    </x:row>
    <x:row r="420" ht="21" customHeight="1">
      <x:c r="A420" s="1" t="str">
        <x:f>Source!A414</x:f>
        <x:v>C0014755</x:v>
      </x:c>
      <x:c r="B420" s="1" t="str">
        <x:f>_xlfn.IFNA(VLOOKUP(Source!B414,Advertisers!$A$5:$B$34,2,FALSE),"Missing advertiser")</x:f>
        <x:v>Synthetic advertiser 20</x:v>
      </x:c>
      <x:c r="C420" s="1" t="n">
        <x:f>Source!C414</x:f>
        <x:v>20</x:v>
      </x:c>
      <x:c r="D420" s="8" t="n">
        <x:f>Source!D414/100</x:f>
        <x:v>240.58</x:v>
      </x:c>
      <x:c r="E420" s="8" t="n">
        <x:f>Source!E414/100</x:f>
        <x:v>481.16</x:v>
      </x:c>
      <x:c r="F420" s="8" t="n">
        <x:f>Source!F414/100</x:f>
        <x:v>0</x:v>
      </x:c>
      <x:c r="G420" s="8" t="n">
        <x:f>Source!G414/100</x:f>
        <x:v>481.16</x:v>
      </x:c>
      <x:c r="H420" s="8" t="n">
        <x:f>G420-D420</x:f>
        <x:v>240.58</x:v>
      </x:c>
      <x:c r="I420" s="1" t="str">
        <x:f>IF(H420&gt;0,"Overbilled","Shortfall")</x:f>
        <x:v>Overbilled</x:v>
      </x:c>
      <x:c r="J420" s="7"/>
      <x:c r="K420" s="7" t="str">
        <x:v>Open</x:v>
      </x:c>
      <x:c r="L420" s="7"/>
    </x:row>
    <x:row r="421" ht="21" customHeight="1">
      <x:c r="A421" s="1" t="str">
        <x:f>Source!A415</x:f>
        <x:v>C0014547</x:v>
      </x:c>
      <x:c r="B421" s="1" t="str">
        <x:f>_xlfn.IFNA(VLOOKUP(Source!B415,Advertisers!$A$5:$B$34,2,FALSE),"Missing advertiser")</x:f>
        <x:v>Synthetic advertiser 20</x:v>
      </x:c>
      <x:c r="C421" s="1" t="n">
        <x:f>Source!C415</x:f>
        <x:v>20</x:v>
      </x:c>
      <x:c r="D421" s="8" t="n">
        <x:f>Source!D415/100</x:f>
        <x:v>240.58</x:v>
      </x:c>
      <x:c r="E421" s="8" t="n">
        <x:f>Source!E415/100</x:f>
        <x:v>481.16</x:v>
      </x:c>
      <x:c r="F421" s="8" t="n">
        <x:f>Source!F415/100</x:f>
        <x:v>0</x:v>
      </x:c>
      <x:c r="G421" s="8" t="n">
        <x:f>Source!G415/100</x:f>
        <x:v>481.16</x:v>
      </x:c>
      <x:c r="H421" s="8" t="n">
        <x:f>G421-D421</x:f>
        <x:v>240.58</x:v>
      </x:c>
      <x:c r="I421" s="1" t="str">
        <x:f>IF(H421&gt;0,"Overbilled","Shortfall")</x:f>
        <x:v>Overbilled</x:v>
      </x:c>
      <x:c r="J421" s="7"/>
      <x:c r="K421" s="7" t="str">
        <x:v>Open</x:v>
      </x:c>
      <x:c r="L421" s="7"/>
    </x:row>
    <x:row r="422" ht="21" customHeight="1">
      <x:c r="A422" s="1" t="str">
        <x:f>Source!A416</x:f>
        <x:v>C0002699</x:v>
      </x:c>
      <x:c r="B422" s="1" t="str">
        <x:f>_xlfn.IFNA(VLOOKUP(Source!B416,Advertisers!$A$5:$B$34,2,FALSE),"Missing advertiser")</x:f>
        <x:v>Synthetic advertiser 20</x:v>
      </x:c>
      <x:c r="C422" s="1" t="n">
        <x:f>Source!C416</x:f>
        <x:v>20</x:v>
      </x:c>
      <x:c r="D422" s="8" t="n">
        <x:f>Source!D416/100</x:f>
        <x:v>240.58</x:v>
      </x:c>
      <x:c r="E422" s="8" t="n">
        <x:f>Source!E416/100</x:f>
        <x:v>0</x:v>
      </x:c>
      <x:c r="F422" s="8" t="n">
        <x:f>Source!F416/100</x:f>
        <x:v>0</x:v>
      </x:c>
      <x:c r="G422" s="8" t="n">
        <x:f>Source!G416/100</x:f>
        <x:v>0</x:v>
      </x:c>
      <x:c r="H422" s="8" t="n">
        <x:f>G422-D422</x:f>
        <x:v>-240.58</x:v>
      </x:c>
      <x:c r="I422" s="1" t="str">
        <x:f>IF(H422&gt;0,"Overbilled","Shortfall")</x:f>
        <x:v>Shortfall</x:v>
      </x:c>
      <x:c r="J422" s="7"/>
      <x:c r="K422" s="7" t="str">
        <x:v>Open</x:v>
      </x:c>
      <x:c r="L422" s="7"/>
    </x:row>
    <x:row r="423" ht="21" customHeight="1">
      <x:c r="A423" s="1" t="str">
        <x:f>Source!A417</x:f>
        <x:v>C0015583</x:v>
      </x:c>
      <x:c r="B423" s="1" t="str">
        <x:f>_xlfn.IFNA(VLOOKUP(Source!B417,Advertisers!$A$5:$B$34,2,FALSE),"Missing advertiser")</x:f>
        <x:v>Synthetic advertiser 10</x:v>
      </x:c>
      <x:c r="C423" s="1" t="n">
        <x:f>Source!C417</x:f>
        <x:v>40</x:v>
      </x:c>
      <x:c r="D423" s="8" t="n">
        <x:f>Source!D417/100</x:f>
        <x:v>237.19</x:v>
      </x:c>
      <x:c r="E423" s="8" t="n">
        <x:f>Source!E417/100</x:f>
        <x:v>474.38</x:v>
      </x:c>
      <x:c r="F423" s="8" t="n">
        <x:f>Source!F417/100</x:f>
        <x:v>0</x:v>
      </x:c>
      <x:c r="G423" s="8" t="n">
        <x:f>Source!G417/100</x:f>
        <x:v>474.38</x:v>
      </x:c>
      <x:c r="H423" s="8" t="n">
        <x:f>G423-D423</x:f>
        <x:v>237.19</x:v>
      </x:c>
      <x:c r="I423" s="1" t="str">
        <x:f>IF(H423&gt;0,"Overbilled","Shortfall")</x:f>
        <x:v>Overbilled</x:v>
      </x:c>
      <x:c r="J423" s="7"/>
      <x:c r="K423" s="7" t="str">
        <x:v>Open</x:v>
      </x:c>
      <x:c r="L423" s="7"/>
    </x:row>
    <x:row r="424" ht="21" customHeight="1">
      <x:c r="A424" s="1" t="str">
        <x:f>Source!A418</x:f>
        <x:v>C0010004</x:v>
      </x:c>
      <x:c r="B424" s="1" t="str">
        <x:f>_xlfn.IFNA(VLOOKUP(Source!B418,Advertisers!$A$5:$B$34,2,FALSE),"Missing advertiser")</x:f>
        <x:v>Synthetic advertiser 10</x:v>
      </x:c>
      <x:c r="C424" s="1" t="n">
        <x:f>Source!C418</x:f>
        <x:v>40</x:v>
      </x:c>
      <x:c r="D424" s="8" t="n">
        <x:f>Source!D418/100</x:f>
        <x:v>237.19</x:v>
      </x:c>
      <x:c r="E424" s="8" t="n">
        <x:f>Source!E418/100</x:f>
        <x:v>474.38</x:v>
      </x:c>
      <x:c r="F424" s="8" t="n">
        <x:f>Source!F418/100</x:f>
        <x:v>0</x:v>
      </x:c>
      <x:c r="G424" s="8" t="n">
        <x:f>Source!G418/100</x:f>
        <x:v>474.38</x:v>
      </x:c>
      <x:c r="H424" s="8" t="n">
        <x:f>G424-D424</x:f>
        <x:v>237.19</x:v>
      </x:c>
      <x:c r="I424" s="1" t="str">
        <x:f>IF(H424&gt;0,"Overbilled","Shortfall")</x:f>
        <x:v>Overbilled</x:v>
      </x:c>
      <x:c r="J424" s="7"/>
      <x:c r="K424" s="7" t="str">
        <x:v>Open</x:v>
      </x:c>
      <x:c r="L424" s="7"/>
    </x:row>
    <x:row r="425" ht="21" customHeight="1">
      <x:c r="A425" s="1" t="str">
        <x:f>Source!A419</x:f>
        <x:v>C0008292</x:v>
      </x:c>
      <x:c r="B425" s="1" t="str">
        <x:f>_xlfn.IFNA(VLOOKUP(Source!B419,Advertisers!$A$5:$B$34,2,FALSE),"Missing advertiser")</x:f>
        <x:v>Synthetic advertiser 10</x:v>
      </x:c>
      <x:c r="C425" s="1" t="n">
        <x:f>Source!C419</x:f>
        <x:v>40</x:v>
      </x:c>
      <x:c r="D425" s="8" t="n">
        <x:f>Source!D419/100</x:f>
        <x:v>237.19</x:v>
      </x:c>
      <x:c r="E425" s="8" t="n">
        <x:f>Source!E419/100</x:f>
        <x:v>474.38</x:v>
      </x:c>
      <x:c r="F425" s="8" t="n">
        <x:f>Source!F419/100</x:f>
        <x:v>0</x:v>
      </x:c>
      <x:c r="G425" s="8" t="n">
        <x:f>Source!G419/100</x:f>
        <x:v>474.38</x:v>
      </x:c>
      <x:c r="H425" s="8" t="n">
        <x:f>G425-D425</x:f>
        <x:v>237.19</x:v>
      </x:c>
      <x:c r="I425" s="1" t="str">
        <x:f>IF(H425&gt;0,"Overbilled","Shortfall")</x:f>
        <x:v>Overbilled</x:v>
      </x:c>
      <x:c r="J425" s="7"/>
      <x:c r="K425" s="7" t="str">
        <x:v>Open</x:v>
      </x:c>
      <x:c r="L425" s="7"/>
    </x:row>
    <x:row r="426" ht="21" customHeight="1">
      <x:c r="A426" s="1" t="str">
        <x:f>Source!A420</x:f>
        <x:v>C0012041</x:v>
      </x:c>
      <x:c r="B426" s="1" t="str">
        <x:f>_xlfn.IFNA(VLOOKUP(Source!B420,Advertisers!$A$5:$B$34,2,FALSE),"Missing advertiser")</x:f>
        <x:v>Synthetic advertiser 10</x:v>
      </x:c>
      <x:c r="C426" s="1" t="n">
        <x:f>Source!C420</x:f>
        <x:v>40</x:v>
      </x:c>
      <x:c r="D426" s="8" t="n">
        <x:f>Source!D420/100</x:f>
        <x:v>237.19</x:v>
      </x:c>
      <x:c r="E426" s="8" t="n">
        <x:f>Source!E420/100</x:f>
        <x:v>474.38</x:v>
      </x:c>
      <x:c r="F426" s="8" t="n">
        <x:f>Source!F420/100</x:f>
        <x:v>0</x:v>
      </x:c>
      <x:c r="G426" s="8" t="n">
        <x:f>Source!G420/100</x:f>
        <x:v>474.38</x:v>
      </x:c>
      <x:c r="H426" s="8" t="n">
        <x:f>G426-D426</x:f>
        <x:v>237.19</x:v>
      </x:c>
      <x:c r="I426" s="1" t="str">
        <x:f>IF(H426&gt;0,"Overbilled","Shortfall")</x:f>
        <x:v>Overbilled</x:v>
      </x:c>
      <x:c r="J426" s="7"/>
      <x:c r="K426" s="7" t="str">
        <x:v>Open</x:v>
      </x:c>
      <x:c r="L426" s="7"/>
    </x:row>
    <x:row r="427" ht="21" customHeight="1">
      <x:c r="A427" s="1" t="str">
        <x:f>Source!A421</x:f>
        <x:v>C0009986</x:v>
      </x:c>
      <x:c r="B427" s="1" t="str">
        <x:f>_xlfn.IFNA(VLOOKUP(Source!B421,Advertisers!$A$5:$B$34,2,FALSE),"Missing advertiser")</x:f>
        <x:v>Synthetic advertiser 10</x:v>
      </x:c>
      <x:c r="C427" s="1" t="n">
        <x:f>Source!C421</x:f>
        <x:v>40</x:v>
      </x:c>
      <x:c r="D427" s="8" t="n">
        <x:f>Source!D421/100</x:f>
        <x:v>237.19</x:v>
      </x:c>
      <x:c r="E427" s="8" t="n">
        <x:f>Source!E421/100</x:f>
        <x:v>0</x:v>
      </x:c>
      <x:c r="F427" s="8" t="n">
        <x:f>Source!F421/100</x:f>
        <x:v>0</x:v>
      </x:c>
      <x:c r="G427" s="8" t="n">
        <x:f>Source!G421/100</x:f>
        <x:v>0</x:v>
      </x:c>
      <x:c r="H427" s="8" t="n">
        <x:f>G427-D427</x:f>
        <x:v>-237.19</x:v>
      </x:c>
      <x:c r="I427" s="1" t="str">
        <x:f>IF(H427&gt;0,"Overbilled","Shortfall")</x:f>
        <x:v>Shortfall</x:v>
      </x:c>
      <x:c r="J427" s="7"/>
      <x:c r="K427" s="7" t="str">
        <x:v>Open</x:v>
      </x:c>
      <x:c r="L427" s="7"/>
    </x:row>
    <x:row r="428" ht="21" customHeight="1">
      <x:c r="A428" s="1" t="str">
        <x:f>Source!A422</x:f>
        <x:v>C0004259</x:v>
      </x:c>
      <x:c r="B428" s="1" t="str">
        <x:f>_xlfn.IFNA(VLOOKUP(Source!B422,Advertisers!$A$5:$B$34,2,FALSE),"Missing advertiser")</x:f>
        <x:v>Synthetic advertiser 30</x:v>
      </x:c>
      <x:c r="C428" s="1" t="n">
        <x:f>Source!C422</x:f>
        <x:v>120</x:v>
      </x:c>
      <x:c r="D428" s="8" t="n">
        <x:f>Source!D422/100</x:f>
        <x:v>237.08</x:v>
      </x:c>
      <x:c r="E428" s="8" t="n">
        <x:f>Source!E422/100</x:f>
        <x:v>0</x:v>
      </x:c>
      <x:c r="F428" s="8" t="n">
        <x:f>Source!F422/100</x:f>
        <x:v>0</x:v>
      </x:c>
      <x:c r="G428" s="8" t="n">
        <x:f>Source!G422/100</x:f>
        <x:v>0</x:v>
      </x:c>
      <x:c r="H428" s="8" t="n">
        <x:f>G428-D428</x:f>
        <x:v>-237.08</x:v>
      </x:c>
      <x:c r="I428" s="1" t="str">
        <x:f>IF(H428&gt;0,"Overbilled","Shortfall")</x:f>
        <x:v>Shortfall</x:v>
      </x:c>
      <x:c r="J428" s="7"/>
      <x:c r="K428" s="7" t="str">
        <x:v>Open</x:v>
      </x:c>
      <x:c r="L428" s="7"/>
    </x:row>
    <x:row r="429" ht="21" customHeight="1">
      <x:c r="A429" s="1" t="str">
        <x:f>Source!A423</x:f>
        <x:v>C0010679</x:v>
      </x:c>
      <x:c r="B429" s="1" t="str">
        <x:f>_xlfn.IFNA(VLOOKUP(Source!B423,Advertisers!$A$5:$B$34,2,FALSE),"Missing advertiser")</x:f>
        <x:v>Synthetic advertiser 30</x:v>
      </x:c>
      <x:c r="C429" s="1" t="n">
        <x:f>Source!C423</x:f>
        <x:v>120</x:v>
      </x:c>
      <x:c r="D429" s="8" t="n">
        <x:f>Source!D423/100</x:f>
        <x:v>237.08</x:v>
      </x:c>
      <x:c r="E429" s="8" t="n">
        <x:f>Source!E423/100</x:f>
        <x:v>0</x:v>
      </x:c>
      <x:c r="F429" s="8" t="n">
        <x:f>Source!F423/100</x:f>
        <x:v>0</x:v>
      </x:c>
      <x:c r="G429" s="8" t="n">
        <x:f>Source!G423/100</x:f>
        <x:v>0</x:v>
      </x:c>
      <x:c r="H429" s="8" t="n">
        <x:f>G429-D429</x:f>
        <x:v>-237.08</x:v>
      </x:c>
      <x:c r="I429" s="1" t="str">
        <x:f>IF(H429&gt;0,"Overbilled","Shortfall")</x:f>
        <x:v>Shortfall</x:v>
      </x:c>
      <x:c r="J429" s="7"/>
      <x:c r="K429" s="7" t="str">
        <x:v>Open</x:v>
      </x:c>
      <x:c r="L429" s="7"/>
    </x:row>
    <x:row r="430" ht="21" customHeight="1">
      <x:c r="A430" s="1" t="str">
        <x:f>Source!A424</x:f>
        <x:v>C0012476</x:v>
      </x:c>
      <x:c r="B430" s="1" t="str">
        <x:f>_xlfn.IFNA(VLOOKUP(Source!B424,Advertisers!$A$5:$B$34,2,FALSE),"Missing advertiser")</x:f>
        <x:v>Synthetic advertiser 30</x:v>
      </x:c>
      <x:c r="C430" s="1" t="n">
        <x:f>Source!C424</x:f>
        <x:v>120</x:v>
      </x:c>
      <x:c r="D430" s="8" t="n">
        <x:f>Source!D424/100</x:f>
        <x:v>237.08</x:v>
      </x:c>
      <x:c r="E430" s="8" t="n">
        <x:f>Source!E424/100</x:f>
        <x:v>474.16</x:v>
      </x:c>
      <x:c r="F430" s="8" t="n">
        <x:f>Source!F424/100</x:f>
        <x:v>0</x:v>
      </x:c>
      <x:c r="G430" s="8" t="n">
        <x:f>Source!G424/100</x:f>
        <x:v>474.16</x:v>
      </x:c>
      <x:c r="H430" s="8" t="n">
        <x:f>G430-D430</x:f>
        <x:v>237.08</x:v>
      </x:c>
      <x:c r="I430" s="1" t="str">
        <x:f>IF(H430&gt;0,"Overbilled","Shortfall")</x:f>
        <x:v>Overbilled</x:v>
      </x:c>
      <x:c r="J430" s="7"/>
      <x:c r="K430" s="7" t="str">
        <x:v>Open</x:v>
      </x:c>
      <x:c r="L430" s="7"/>
    </x:row>
    <x:row r="431" ht="21" customHeight="1">
      <x:c r="A431" s="1" t="str">
        <x:f>Source!A425</x:f>
        <x:v>C0007258</x:v>
      </x:c>
      <x:c r="B431" s="1" t="str">
        <x:f>_xlfn.IFNA(VLOOKUP(Source!B425,Advertisers!$A$5:$B$34,2,FALSE),"Missing advertiser")</x:f>
        <x:v>Synthetic advertiser 30</x:v>
      </x:c>
      <x:c r="C431" s="1" t="n">
        <x:f>Source!C425</x:f>
        <x:v>120</x:v>
      </x:c>
      <x:c r="D431" s="8" t="n">
        <x:f>Source!D425/100</x:f>
        <x:v>237.08</x:v>
      </x:c>
      <x:c r="E431" s="8" t="n">
        <x:f>Source!E425/100</x:f>
        <x:v>474.16</x:v>
      </x:c>
      <x:c r="F431" s="8" t="n">
        <x:f>Source!F425/100</x:f>
        <x:v>0</x:v>
      </x:c>
      <x:c r="G431" s="8" t="n">
        <x:f>Source!G425/100</x:f>
        <x:v>474.16</x:v>
      </x:c>
      <x:c r="H431" s="8" t="n">
        <x:f>G431-D431</x:f>
        <x:v>237.08</x:v>
      </x:c>
      <x:c r="I431" s="1" t="str">
        <x:f>IF(H431&gt;0,"Overbilled","Shortfall")</x:f>
        <x:v>Overbilled</x:v>
      </x:c>
      <x:c r="J431" s="7"/>
      <x:c r="K431" s="7" t="str">
        <x:v>Open</x:v>
      </x:c>
      <x:c r="L431" s="7"/>
    </x:row>
    <x:row r="432" ht="21" customHeight="1">
      <x:c r="A432" s="1" t="str">
        <x:f>Source!A426</x:f>
        <x:v>C0016884</x:v>
      </x:c>
      <x:c r="B432" s="1" t="str">
        <x:f>_xlfn.IFNA(VLOOKUP(Source!B426,Advertisers!$A$5:$B$34,2,FALSE),"Missing advertiser")</x:f>
        <x:v>Synthetic advertiser 30</x:v>
      </x:c>
      <x:c r="C432" s="1" t="n">
        <x:f>Source!C426</x:f>
        <x:v>120</x:v>
      </x:c>
      <x:c r="D432" s="8" t="n">
        <x:f>Source!D426/100</x:f>
        <x:v>237.08</x:v>
      </x:c>
      <x:c r="E432" s="8" t="n">
        <x:f>Source!E426/100</x:f>
        <x:v>474.16</x:v>
      </x:c>
      <x:c r="F432" s="8" t="n">
        <x:f>Source!F426/100</x:f>
        <x:v>0</x:v>
      </x:c>
      <x:c r="G432" s="8" t="n">
        <x:f>Source!G426/100</x:f>
        <x:v>474.16</x:v>
      </x:c>
      <x:c r="H432" s="8" t="n">
        <x:f>G432-D432</x:f>
        <x:v>237.08</x:v>
      </x:c>
      <x:c r="I432" s="1" t="str">
        <x:f>IF(H432&gt;0,"Overbilled","Shortfall")</x:f>
        <x:v>Overbilled</x:v>
      </x:c>
      <x:c r="J432" s="7"/>
      <x:c r="K432" s="7" t="str">
        <x:v>Open</x:v>
      </x:c>
      <x:c r="L432" s="7"/>
    </x:row>
    <x:row r="433" ht="21" customHeight="1">
      <x:c r="A433" s="1" t="str">
        <x:f>Source!A427</x:f>
        <x:v>C0015944</x:v>
      </x:c>
      <x:c r="B433" s="1" t="str">
        <x:f>_xlfn.IFNA(VLOOKUP(Source!B427,Advertisers!$A$5:$B$34,2,FALSE),"Missing advertiser")</x:f>
        <x:v>Synthetic advertiser 30</x:v>
      </x:c>
      <x:c r="C433" s="1" t="n">
        <x:f>Source!C427</x:f>
        <x:v>120</x:v>
      </x:c>
      <x:c r="D433" s="8" t="n">
        <x:f>Source!D427/100</x:f>
        <x:v>237.08</x:v>
      </x:c>
      <x:c r="E433" s="8" t="n">
        <x:f>Source!E427/100</x:f>
        <x:v>0</x:v>
      </x:c>
      <x:c r="F433" s="8" t="n">
        <x:f>Source!F427/100</x:f>
        <x:v>0</x:v>
      </x:c>
      <x:c r="G433" s="8" t="n">
        <x:f>Source!G427/100</x:f>
        <x:v>0</x:v>
      </x:c>
      <x:c r="H433" s="8" t="n">
        <x:f>G433-D433</x:f>
        <x:v>-237.08</x:v>
      </x:c>
      <x:c r="I433" s="1" t="str">
        <x:f>IF(H433&gt;0,"Overbilled","Shortfall")</x:f>
        <x:v>Shortfall</x:v>
      </x:c>
      <x:c r="J433" s="7"/>
      <x:c r="K433" s="7" t="str">
        <x:v>Open</x:v>
      </x:c>
      <x:c r="L433" s="7"/>
    </x:row>
    <x:row r="434" ht="21" customHeight="1">
      <x:c r="A434" s="1" t="str">
        <x:f>Source!A428</x:f>
        <x:v>C0005306</x:v>
      </x:c>
      <x:c r="B434" s="1" t="str">
        <x:f>_xlfn.IFNA(VLOOKUP(Source!B428,Advertisers!$A$5:$B$34,2,FALSE),"Missing advertiser")</x:f>
        <x:v>Synthetic advertiser 13</x:v>
      </x:c>
      <x:c r="C434" s="1" t="n">
        <x:f>Source!C428</x:f>
        <x:v>103</x:v>
      </x:c>
      <x:c r="D434" s="8" t="n">
        <x:f>Source!D428/100</x:f>
        <x:v>236.26</x:v>
      </x:c>
      <x:c r="E434" s="8" t="n">
        <x:f>Source!E428/100</x:f>
        <x:v>0</x:v>
      </x:c>
      <x:c r="F434" s="8" t="n">
        <x:f>Source!F428/100</x:f>
        <x:v>0</x:v>
      </x:c>
      <x:c r="G434" s="8" t="n">
        <x:f>Source!G428/100</x:f>
        <x:v>0</x:v>
      </x:c>
      <x:c r="H434" s="8" t="n">
        <x:f>G434-D434</x:f>
        <x:v>-236.26</x:v>
      </x:c>
      <x:c r="I434" s="1" t="str">
        <x:f>IF(H434&gt;0,"Overbilled","Shortfall")</x:f>
        <x:v>Shortfall</x:v>
      </x:c>
      <x:c r="J434" s="7"/>
      <x:c r="K434" s="7" t="str">
        <x:v>Open</x:v>
      </x:c>
      <x:c r="L434" s="7"/>
    </x:row>
    <x:row r="435" ht="21" customHeight="1">
      <x:c r="A435" s="1" t="str">
        <x:f>Source!A429</x:f>
        <x:v>C0008489</x:v>
      </x:c>
      <x:c r="B435" s="1" t="str">
        <x:f>_xlfn.IFNA(VLOOKUP(Source!B429,Advertisers!$A$5:$B$34,2,FALSE),"Missing advertiser")</x:f>
        <x:v>Synthetic advertiser 13</x:v>
      </x:c>
      <x:c r="C435" s="1" t="n">
        <x:f>Source!C429</x:f>
        <x:v>103</x:v>
      </x:c>
      <x:c r="D435" s="8" t="n">
        <x:f>Source!D429/100</x:f>
        <x:v>236.26</x:v>
      </x:c>
      <x:c r="E435" s="8" t="n">
        <x:f>Source!E429/100</x:f>
        <x:v>0</x:v>
      </x:c>
      <x:c r="F435" s="8" t="n">
        <x:f>Source!F429/100</x:f>
        <x:v>0</x:v>
      </x:c>
      <x:c r="G435" s="8" t="n">
        <x:f>Source!G429/100</x:f>
        <x:v>0</x:v>
      </x:c>
      <x:c r="H435" s="8" t="n">
        <x:f>G435-D435</x:f>
        <x:v>-236.26</x:v>
      </x:c>
      <x:c r="I435" s="1" t="str">
        <x:f>IF(H435&gt;0,"Overbilled","Shortfall")</x:f>
        <x:v>Shortfall</x:v>
      </x:c>
      <x:c r="J435" s="7"/>
      <x:c r="K435" s="7" t="str">
        <x:v>Open</x:v>
      </x:c>
      <x:c r="L435" s="7"/>
    </x:row>
    <x:row r="436" ht="21" customHeight="1">
      <x:c r="A436" s="1" t="str">
        <x:f>Source!A430</x:f>
        <x:v>C0012634</x:v>
      </x:c>
      <x:c r="B436" s="1" t="str">
        <x:f>_xlfn.IFNA(VLOOKUP(Source!B430,Advertisers!$A$5:$B$34,2,FALSE),"Missing advertiser")</x:f>
        <x:v>Synthetic advertiser 13</x:v>
      </x:c>
      <x:c r="C436" s="1" t="n">
        <x:f>Source!C430</x:f>
        <x:v>103</x:v>
      </x:c>
      <x:c r="D436" s="8" t="n">
        <x:f>Source!D430/100</x:f>
        <x:v>236.26</x:v>
      </x:c>
      <x:c r="E436" s="8" t="n">
        <x:f>Source!E430/100</x:f>
        <x:v>0</x:v>
      </x:c>
      <x:c r="F436" s="8" t="n">
        <x:f>Source!F430/100</x:f>
        <x:v>0</x:v>
      </x:c>
      <x:c r="G436" s="8" t="n">
        <x:f>Source!G430/100</x:f>
        <x:v>0</x:v>
      </x:c>
      <x:c r="H436" s="8" t="n">
        <x:f>G436-D436</x:f>
        <x:v>-236.26</x:v>
      </x:c>
      <x:c r="I436" s="1" t="str">
        <x:f>IF(H436&gt;0,"Overbilled","Shortfall")</x:f>
        <x:v>Shortfall</x:v>
      </x:c>
      <x:c r="J436" s="7"/>
      <x:c r="K436" s="7" t="str">
        <x:v>Open</x:v>
      </x:c>
      <x:c r="L436" s="7"/>
    </x:row>
    <x:row r="437" ht="21" customHeight="1">
      <x:c r="A437" s="1" t="str">
        <x:f>Source!A431</x:f>
        <x:v>C0010941</x:v>
      </x:c>
      <x:c r="B437" s="1" t="str">
        <x:f>_xlfn.IFNA(VLOOKUP(Source!B431,Advertisers!$A$5:$B$34,2,FALSE),"Missing advertiser")</x:f>
        <x:v>Synthetic advertiser 13</x:v>
      </x:c>
      <x:c r="C437" s="1" t="n">
        <x:f>Source!C431</x:f>
        <x:v>103</x:v>
      </x:c>
      <x:c r="D437" s="8" t="n">
        <x:f>Source!D431/100</x:f>
        <x:v>0</x:v>
      </x:c>
      <x:c r="E437" s="8" t="n">
        <x:f>Source!E431/100</x:f>
        <x:v>236.26</x:v>
      </x:c>
      <x:c r="F437" s="8" t="n">
        <x:f>Source!F431/100</x:f>
        <x:v>0</x:v>
      </x:c>
      <x:c r="G437" s="8" t="n">
        <x:f>Source!G431/100</x:f>
        <x:v>236.26</x:v>
      </x:c>
      <x:c r="H437" s="8" t="n">
        <x:f>G437-D437</x:f>
        <x:v>236.26</x:v>
      </x:c>
      <x:c r="I437" s="1" t="str">
        <x:f>IF(H437&gt;0,"Overbilled","Shortfall")</x:f>
        <x:v>Overbilled</x:v>
      </x:c>
      <x:c r="J437" s="7"/>
      <x:c r="K437" s="7" t="str">
        <x:v>Open</x:v>
      </x:c>
      <x:c r="L437" s="7"/>
    </x:row>
    <x:row r="438" ht="21" customHeight="1">
      <x:c r="A438" s="1" t="str">
        <x:f>Source!A432</x:f>
        <x:v>C0015323</x:v>
      </x:c>
      <x:c r="B438" s="1" t="str">
        <x:f>_xlfn.IFNA(VLOOKUP(Source!B432,Advertisers!$A$5:$B$34,2,FALSE),"Missing advertiser")</x:f>
        <x:v>Synthetic advertiser 13</x:v>
      </x:c>
      <x:c r="C438" s="1" t="n">
        <x:f>Source!C432</x:f>
        <x:v>103</x:v>
      </x:c>
      <x:c r="D438" s="8" t="n">
        <x:f>Source!D432/100</x:f>
        <x:v>0</x:v>
      </x:c>
      <x:c r="E438" s="8" t="n">
        <x:f>Source!E432/100</x:f>
        <x:v>236.26</x:v>
      </x:c>
      <x:c r="F438" s="8" t="n">
        <x:f>Source!F432/100</x:f>
        <x:v>0</x:v>
      </x:c>
      <x:c r="G438" s="8" t="n">
        <x:f>Source!G432/100</x:f>
        <x:v>236.26</x:v>
      </x:c>
      <x:c r="H438" s="8" t="n">
        <x:f>G438-D438</x:f>
        <x:v>236.26</x:v>
      </x:c>
      <x:c r="I438" s="1" t="str">
        <x:f>IF(H438&gt;0,"Overbilled","Shortfall")</x:f>
        <x:v>Overbilled</x:v>
      </x:c>
      <x:c r="J438" s="7"/>
      <x:c r="K438" s="7" t="str">
        <x:v>Open</x:v>
      </x:c>
      <x:c r="L438" s="7"/>
    </x:row>
    <x:row r="439" ht="21" customHeight="1">
      <x:c r="A439" s="1" t="str">
        <x:f>Source!A433</x:f>
        <x:v>C0011744</x:v>
      </x:c>
      <x:c r="B439" s="1" t="str">
        <x:f>_xlfn.IFNA(VLOOKUP(Source!B433,Advertisers!$A$5:$B$34,2,FALSE),"Missing advertiser")</x:f>
        <x:v>Synthetic advertiser 13</x:v>
      </x:c>
      <x:c r="C439" s="1" t="n">
        <x:f>Source!C433</x:f>
        <x:v>103</x:v>
      </x:c>
      <x:c r="D439" s="8" t="n">
        <x:f>Source!D433/100</x:f>
        <x:v>236.26</x:v>
      </x:c>
      <x:c r="E439" s="8" t="n">
        <x:f>Source!E433/100</x:f>
        <x:v>0</x:v>
      </x:c>
      <x:c r="F439" s="8" t="n">
        <x:f>Source!F433/100</x:f>
        <x:v>0</x:v>
      </x:c>
      <x:c r="G439" s="8" t="n">
        <x:f>Source!G433/100</x:f>
        <x:v>0</x:v>
      </x:c>
      <x:c r="H439" s="8" t="n">
        <x:f>G439-D439</x:f>
        <x:v>-236.26</x:v>
      </x:c>
      <x:c r="I439" s="1" t="str">
        <x:f>IF(H439&gt;0,"Overbilled","Shortfall")</x:f>
        <x:v>Shortfall</x:v>
      </x:c>
      <x:c r="J439" s="7"/>
      <x:c r="K439" s="7" t="str">
        <x:v>Open</x:v>
      </x:c>
      <x:c r="L439" s="7"/>
    </x:row>
    <x:row r="440" ht="21" customHeight="1">
      <x:c r="A440" s="1" t="str">
        <x:f>Source!A434</x:f>
        <x:v>C0017394</x:v>
      </x:c>
      <x:c r="B440" s="1" t="str">
        <x:f>_xlfn.IFNA(VLOOKUP(Source!B434,Advertisers!$A$5:$B$34,2,FALSE),"Missing advertiser")</x:f>
        <x:v>Synthetic advertiser 13</x:v>
      </x:c>
      <x:c r="C440" s="1" t="n">
        <x:f>Source!C434</x:f>
        <x:v>103</x:v>
      </x:c>
      <x:c r="D440" s="8" t="n">
        <x:f>Source!D434/100</x:f>
        <x:v>236.26</x:v>
      </x:c>
      <x:c r="E440" s="8" t="n">
        <x:f>Source!E434/100</x:f>
        <x:v>0</x:v>
      </x:c>
      <x:c r="F440" s="8" t="n">
        <x:f>Source!F434/100</x:f>
        <x:v>0</x:v>
      </x:c>
      <x:c r="G440" s="8" t="n">
        <x:f>Source!G434/100</x:f>
        <x:v>0</x:v>
      </x:c>
      <x:c r="H440" s="8" t="n">
        <x:f>G440-D440</x:f>
        <x:v>-236.26</x:v>
      </x:c>
      <x:c r="I440" s="1" t="str">
        <x:f>IF(H440&gt;0,"Overbilled","Shortfall")</x:f>
        <x:v>Shortfall</x:v>
      </x:c>
      <x:c r="J440" s="7"/>
      <x:c r="K440" s="7" t="str">
        <x:v>Open</x:v>
      </x:c>
      <x:c r="L440" s="7"/>
    </x:row>
    <x:row r="441" ht="21" customHeight="1">
      <x:c r="A441" s="1" t="str">
        <x:f>Source!A435</x:f>
        <x:v>C0010480</x:v>
      </x:c>
      <x:c r="B441" s="1" t="str">
        <x:f>_xlfn.IFNA(VLOOKUP(Source!B435,Advertisers!$A$5:$B$34,2,FALSE),"Missing advertiser")</x:f>
        <x:v>Synthetic advertiser 13</x:v>
      </x:c>
      <x:c r="C441" s="1" t="n">
        <x:f>Source!C435</x:f>
        <x:v>103</x:v>
      </x:c>
      <x:c r="D441" s="8" t="n">
        <x:f>Source!D435/100</x:f>
        <x:v>236.26</x:v>
      </x:c>
      <x:c r="E441" s="8" t="n">
        <x:f>Source!E435/100</x:f>
        <x:v>0</x:v>
      </x:c>
      <x:c r="F441" s="8" t="n">
        <x:f>Source!F435/100</x:f>
        <x:v>0</x:v>
      </x:c>
      <x:c r="G441" s="8" t="n">
        <x:f>Source!G435/100</x:f>
        <x:v>0</x:v>
      </x:c>
      <x:c r="H441" s="8" t="n">
        <x:f>G441-D441</x:f>
        <x:v>-236.26</x:v>
      </x:c>
      <x:c r="I441" s="1" t="str">
        <x:f>IF(H441&gt;0,"Overbilled","Shortfall")</x:f>
        <x:v>Shortfall</x:v>
      </x:c>
      <x:c r="J441" s="7"/>
      <x:c r="K441" s="7" t="str">
        <x:v>Open</x:v>
      </x:c>
      <x:c r="L441" s="7"/>
    </x:row>
    <x:row r="442" ht="21" customHeight="1">
      <x:c r="A442" s="1" t="str">
        <x:f>Source!A436</x:f>
        <x:v>C0017630</x:v>
      </x:c>
      <x:c r="B442" s="1" t="str">
        <x:f>_xlfn.IFNA(VLOOKUP(Source!B436,Advertisers!$A$5:$B$34,2,FALSE),"Missing advertiser")</x:f>
        <x:v>Synthetic advertiser 13</x:v>
      </x:c>
      <x:c r="C442" s="1" t="n">
        <x:f>Source!C436</x:f>
        <x:v>103</x:v>
      </x:c>
      <x:c r="D442" s="8" t="n">
        <x:f>Source!D436/100</x:f>
        <x:v>236.26</x:v>
      </x:c>
      <x:c r="E442" s="8" t="n">
        <x:f>Source!E436/100</x:f>
        <x:v>472.52</x:v>
      </x:c>
      <x:c r="F442" s="8" t="n">
        <x:f>Source!F436/100</x:f>
        <x:v>0</x:v>
      </x:c>
      <x:c r="G442" s="8" t="n">
        <x:f>Source!G436/100</x:f>
        <x:v>472.52</x:v>
      </x:c>
      <x:c r="H442" s="8" t="n">
        <x:f>G442-D442</x:f>
        <x:v>236.26</x:v>
      </x:c>
      <x:c r="I442" s="1" t="str">
        <x:f>IF(H442&gt;0,"Overbilled","Shortfall")</x:f>
        <x:v>Overbilled</x:v>
      </x:c>
      <x:c r="J442" s="7"/>
      <x:c r="K442" s="7" t="str">
        <x:v>Open</x:v>
      </x:c>
      <x:c r="L442" s="7"/>
    </x:row>
    <x:row r="443" ht="21" customHeight="1">
      <x:c r="A443" s="1" t="str">
        <x:f>Source!A437</x:f>
        <x:v>C0000992</x:v>
      </x:c>
      <x:c r="B443" s="1" t="str">
        <x:f>_xlfn.IFNA(VLOOKUP(Source!B437,Advertisers!$A$5:$B$34,2,FALSE),"Missing advertiser")</x:f>
        <x:v>Synthetic advertiser 13</x:v>
      </x:c>
      <x:c r="C443" s="1" t="n">
        <x:f>Source!C437</x:f>
        <x:v>103</x:v>
      </x:c>
      <x:c r="D443" s="8" t="n">
        <x:f>Source!D437/100</x:f>
        <x:v>236.26</x:v>
      </x:c>
      <x:c r="E443" s="8" t="n">
        <x:f>Source!E437/100</x:f>
        <x:v>472.52</x:v>
      </x:c>
      <x:c r="F443" s="8" t="n">
        <x:f>Source!F437/100</x:f>
        <x:v>0</x:v>
      </x:c>
      <x:c r="G443" s="8" t="n">
        <x:f>Source!G437/100</x:f>
        <x:v>472.52</x:v>
      </x:c>
      <x:c r="H443" s="8" t="n">
        <x:f>G443-D443</x:f>
        <x:v>236.26</x:v>
      </x:c>
      <x:c r="I443" s="1" t="str">
        <x:f>IF(H443&gt;0,"Overbilled","Shortfall")</x:f>
        <x:v>Overbilled</x:v>
      </x:c>
      <x:c r="J443" s="7"/>
      <x:c r="K443" s="7" t="str">
        <x:v>Open</x:v>
      </x:c>
      <x:c r="L443" s="7"/>
    </x:row>
    <x:row r="444" ht="21" customHeight="1">
      <x:c r="A444" s="1" t="str">
        <x:f>Source!A438</x:f>
        <x:v>C0003923</x:v>
      </x:c>
      <x:c r="B444" s="1" t="str">
        <x:f>_xlfn.IFNA(VLOOKUP(Source!B438,Advertisers!$A$5:$B$34,2,FALSE),"Missing advertiser")</x:f>
        <x:v>Synthetic advertiser 2</x:v>
      </x:c>
      <x:c r="C444" s="1" t="n">
        <x:f>Source!C438</x:f>
        <x:v>2</x:v>
      </x:c>
      <x:c r="D444" s="8" t="n">
        <x:f>Source!D438/100</x:f>
        <x:v>235.36</x:v>
      </x:c>
      <x:c r="E444" s="8" t="n">
        <x:f>Source!E438/100</x:f>
        <x:v>470.72</x:v>
      </x:c>
      <x:c r="F444" s="8" t="n">
        <x:f>Source!F438/100</x:f>
        <x:v>0</x:v>
      </x:c>
      <x:c r="G444" s="8" t="n">
        <x:f>Source!G438/100</x:f>
        <x:v>470.72</x:v>
      </x:c>
      <x:c r="H444" s="8" t="n">
        <x:f>G444-D444</x:f>
        <x:v>235.36</x:v>
      </x:c>
      <x:c r="I444" s="1" t="str">
        <x:f>IF(H444&gt;0,"Overbilled","Shortfall")</x:f>
        <x:v>Overbilled</x:v>
      </x:c>
      <x:c r="J444" s="7"/>
      <x:c r="K444" s="7" t="str">
        <x:v>Open</x:v>
      </x:c>
      <x:c r="L444" s="7"/>
    </x:row>
    <x:row r="445" ht="21" customHeight="1">
      <x:c r="A445" s="1" t="str">
        <x:f>Source!A439</x:f>
        <x:v>C0013190</x:v>
      </x:c>
      <x:c r="B445" s="1" t="str">
        <x:f>_xlfn.IFNA(VLOOKUP(Source!B439,Advertisers!$A$5:$B$34,2,FALSE),"Missing advertiser")</x:f>
        <x:v>Synthetic advertiser 2</x:v>
      </x:c>
      <x:c r="C445" s="1" t="n">
        <x:f>Source!C439</x:f>
        <x:v>2</x:v>
      </x:c>
      <x:c r="D445" s="8" t="n">
        <x:f>Source!D439/100</x:f>
        <x:v>235.36</x:v>
      </x:c>
      <x:c r="E445" s="8" t="n">
        <x:f>Source!E439/100</x:f>
        <x:v>470.72</x:v>
      </x:c>
      <x:c r="F445" s="8" t="n">
        <x:f>Source!F439/100</x:f>
        <x:v>0</x:v>
      </x:c>
      <x:c r="G445" s="8" t="n">
        <x:f>Source!G439/100</x:f>
        <x:v>470.72</x:v>
      </x:c>
      <x:c r="H445" s="8" t="n">
        <x:f>G445-D445</x:f>
        <x:v>235.36</x:v>
      </x:c>
      <x:c r="I445" s="1" t="str">
        <x:f>IF(H445&gt;0,"Overbilled","Shortfall")</x:f>
        <x:v>Overbilled</x:v>
      </x:c>
      <x:c r="J445" s="7"/>
      <x:c r="K445" s="7" t="str">
        <x:v>Open</x:v>
      </x:c>
      <x:c r="L445" s="7"/>
    </x:row>
    <x:row r="446" ht="21" customHeight="1">
      <x:c r="A446" s="1" t="str">
        <x:f>Source!A440</x:f>
        <x:v>C0004911</x:v>
      </x:c>
      <x:c r="B446" s="1" t="str">
        <x:f>_xlfn.IFNA(VLOOKUP(Source!B440,Advertisers!$A$5:$B$34,2,FALSE),"Missing advertiser")</x:f>
        <x:v>Synthetic advertiser 2</x:v>
      </x:c>
      <x:c r="C446" s="1" t="n">
        <x:f>Source!C440</x:f>
        <x:v>2</x:v>
      </x:c>
      <x:c r="D446" s="8" t="n">
        <x:f>Source!D440/100</x:f>
        <x:v>235.36</x:v>
      </x:c>
      <x:c r="E446" s="8" t="n">
        <x:f>Source!E440/100</x:f>
        <x:v>470.72</x:v>
      </x:c>
      <x:c r="F446" s="8" t="n">
        <x:f>Source!F440/100</x:f>
        <x:v>0</x:v>
      </x:c>
      <x:c r="G446" s="8" t="n">
        <x:f>Source!G440/100</x:f>
        <x:v>470.72</x:v>
      </x:c>
      <x:c r="H446" s="8" t="n">
        <x:f>G446-D446</x:f>
        <x:v>235.36</x:v>
      </x:c>
      <x:c r="I446" s="1" t="str">
        <x:f>IF(H446&gt;0,"Overbilled","Shortfall")</x:f>
        <x:v>Overbilled</x:v>
      </x:c>
      <x:c r="J446" s="7"/>
      <x:c r="K446" s="7" t="str">
        <x:v>Open</x:v>
      </x:c>
      <x:c r="L446" s="7"/>
    </x:row>
    <x:row r="447" ht="21" customHeight="1">
      <x:c r="A447" s="1" t="str">
        <x:f>Source!A441</x:f>
        <x:v>C0010951</x:v>
      </x:c>
      <x:c r="B447" s="1" t="str">
        <x:f>_xlfn.IFNA(VLOOKUP(Source!B441,Advertisers!$A$5:$B$34,2,FALSE),"Missing advertiser")</x:f>
        <x:v>Synthetic advertiser 2</x:v>
      </x:c>
      <x:c r="C447" s="1" t="n">
        <x:f>Source!C441</x:f>
        <x:v>2</x:v>
      </x:c>
      <x:c r="D447" s="8" t="n">
        <x:f>Source!D441/100</x:f>
        <x:v>235.36</x:v>
      </x:c>
      <x:c r="E447" s="8" t="n">
        <x:f>Source!E441/100</x:f>
        <x:v>0</x:v>
      </x:c>
      <x:c r="F447" s="8" t="n">
        <x:f>Source!F441/100</x:f>
        <x:v>0</x:v>
      </x:c>
      <x:c r="G447" s="8" t="n">
        <x:f>Source!G441/100</x:f>
        <x:v>0</x:v>
      </x:c>
      <x:c r="H447" s="8" t="n">
        <x:f>G447-D447</x:f>
        <x:v>-235.36</x:v>
      </x:c>
      <x:c r="I447" s="1" t="str">
        <x:f>IF(H447&gt;0,"Overbilled","Shortfall")</x:f>
        <x:v>Shortfall</x:v>
      </x:c>
      <x:c r="J447" s="7"/>
      <x:c r="K447" s="7" t="str">
        <x:v>Open</x:v>
      </x:c>
      <x:c r="L447" s="7"/>
    </x:row>
    <x:row r="448" ht="21" customHeight="1">
      <x:c r="A448" s="1" t="str">
        <x:f>Source!A442</x:f>
        <x:v>C0008252</x:v>
      </x:c>
      <x:c r="B448" s="1" t="str">
        <x:f>_xlfn.IFNA(VLOOKUP(Source!B442,Advertisers!$A$5:$B$34,2,FALSE),"Missing advertiser")</x:f>
        <x:v>Synthetic advertiser 2</x:v>
      </x:c>
      <x:c r="C448" s="1" t="n">
        <x:f>Source!C442</x:f>
        <x:v>2</x:v>
      </x:c>
      <x:c r="D448" s="8" t="n">
        <x:f>Source!D442/100</x:f>
        <x:v>235.36</x:v>
      </x:c>
      <x:c r="E448" s="8" t="n">
        <x:f>Source!E442/100</x:f>
        <x:v>0</x:v>
      </x:c>
      <x:c r="F448" s="8" t="n">
        <x:f>Source!F442/100</x:f>
        <x:v>0</x:v>
      </x:c>
      <x:c r="G448" s="8" t="n">
        <x:f>Source!G442/100</x:f>
        <x:v>0</x:v>
      </x:c>
      <x:c r="H448" s="8" t="n">
        <x:f>G448-D448</x:f>
        <x:v>-235.36</x:v>
      </x:c>
      <x:c r="I448" s="1" t="str">
        <x:f>IF(H448&gt;0,"Overbilled","Shortfall")</x:f>
        <x:v>Shortfall</x:v>
      </x:c>
      <x:c r="J448" s="7"/>
      <x:c r="K448" s="7" t="str">
        <x:v>Open</x:v>
      </x:c>
      <x:c r="L448" s="7"/>
    </x:row>
    <x:row r="449" ht="21" customHeight="1">
      <x:c r="A449" s="1" t="str">
        <x:f>Source!A443</x:f>
        <x:v>C0011540</x:v>
      </x:c>
      <x:c r="B449" s="1" t="str">
        <x:f>_xlfn.IFNA(VLOOKUP(Source!B443,Advertisers!$A$5:$B$34,2,FALSE),"Missing advertiser")</x:f>
        <x:v>Synthetic advertiser 2</x:v>
      </x:c>
      <x:c r="C449" s="1" t="n">
        <x:f>Source!C443</x:f>
        <x:v>2</x:v>
      </x:c>
      <x:c r="D449" s="8" t="n">
        <x:f>Source!D443/100</x:f>
        <x:v>235.36</x:v>
      </x:c>
      <x:c r="E449" s="8" t="n">
        <x:f>Source!E443/100</x:f>
        <x:v>470.72</x:v>
      </x:c>
      <x:c r="F449" s="8" t="n">
        <x:f>Source!F443/100</x:f>
        <x:v>0</x:v>
      </x:c>
      <x:c r="G449" s="8" t="n">
        <x:f>Source!G443/100</x:f>
        <x:v>470.72</x:v>
      </x:c>
      <x:c r="H449" s="8" t="n">
        <x:f>G449-D449</x:f>
        <x:v>235.36</x:v>
      </x:c>
      <x:c r="I449" s="1" t="str">
        <x:f>IF(H449&gt;0,"Overbilled","Shortfall")</x:f>
        <x:v>Overbilled</x:v>
      </x:c>
      <x:c r="J449" s="7"/>
      <x:c r="K449" s="7" t="str">
        <x:v>Open</x:v>
      </x:c>
      <x:c r="L449" s="7"/>
    </x:row>
    <x:row r="450" ht="21" customHeight="1">
      <x:c r="A450" s="1" t="str">
        <x:f>Source!A444</x:f>
        <x:v>C0008851</x:v>
      </x:c>
      <x:c r="B450" s="1" t="str">
        <x:f>_xlfn.IFNA(VLOOKUP(Source!B444,Advertisers!$A$5:$B$34,2,FALSE),"Missing advertiser")</x:f>
        <x:v>Synthetic advertiser 1</x:v>
      </x:c>
      <x:c r="C450" s="1" t="n">
        <x:f>Source!C444</x:f>
        <x:v>31</x:v>
      </x:c>
      <x:c r="D450" s="8" t="n">
        <x:f>Source!D444/100</x:f>
        <x:v>234.68</x:v>
      </x:c>
      <x:c r="E450" s="8" t="n">
        <x:f>Source!E444/100</x:f>
        <x:v>0</x:v>
      </x:c>
      <x:c r="F450" s="8" t="n">
        <x:f>Source!F444/100</x:f>
        <x:v>0</x:v>
      </x:c>
      <x:c r="G450" s="8" t="n">
        <x:f>Source!G444/100</x:f>
        <x:v>0</x:v>
      </x:c>
      <x:c r="H450" s="8" t="n">
        <x:f>G450-D450</x:f>
        <x:v>-234.68</x:v>
      </x:c>
      <x:c r="I450" s="1" t="str">
        <x:f>IF(H450&gt;0,"Overbilled","Shortfall")</x:f>
        <x:v>Shortfall</x:v>
      </x:c>
      <x:c r="J450" s="7"/>
      <x:c r="K450" s="7" t="str">
        <x:v>Open</x:v>
      </x:c>
      <x:c r="L450" s="7"/>
    </x:row>
    <x:row r="451" ht="21" customHeight="1">
      <x:c r="A451" s="1" t="str">
        <x:f>Source!A445</x:f>
        <x:v>C0005241</x:v>
      </x:c>
      <x:c r="B451" s="1" t="str">
        <x:f>_xlfn.IFNA(VLOOKUP(Source!B445,Advertisers!$A$5:$B$34,2,FALSE),"Missing advertiser")</x:f>
        <x:v>Synthetic advertiser 1</x:v>
      </x:c>
      <x:c r="C451" s="1" t="n">
        <x:f>Source!C445</x:f>
        <x:v>31</x:v>
      </x:c>
      <x:c r="D451" s="8" t="n">
        <x:f>Source!D445/100</x:f>
        <x:v>234.68</x:v>
      </x:c>
      <x:c r="E451" s="8" t="n">
        <x:f>Source!E445/100</x:f>
        <x:v>0</x:v>
      </x:c>
      <x:c r="F451" s="8" t="n">
        <x:f>Source!F445/100</x:f>
        <x:v>0</x:v>
      </x:c>
      <x:c r="G451" s="8" t="n">
        <x:f>Source!G445/100</x:f>
        <x:v>0</x:v>
      </x:c>
      <x:c r="H451" s="8" t="n">
        <x:f>G451-D451</x:f>
        <x:v>-234.68</x:v>
      </x:c>
      <x:c r="I451" s="1" t="str">
        <x:f>IF(H451&gt;0,"Overbilled","Shortfall")</x:f>
        <x:v>Shortfall</x:v>
      </x:c>
      <x:c r="J451" s="7"/>
      <x:c r="K451" s="7" t="str">
        <x:v>Open</x:v>
      </x:c>
      <x:c r="L451" s="7"/>
    </x:row>
    <x:row r="452" ht="21" customHeight="1">
      <x:c r="A452" s="1" t="str">
        <x:f>Source!A446</x:f>
        <x:v>C0008722</x:v>
      </x:c>
      <x:c r="B452" s="1" t="str">
        <x:f>_xlfn.IFNA(VLOOKUP(Source!B446,Advertisers!$A$5:$B$34,2,FALSE),"Missing advertiser")</x:f>
        <x:v>Synthetic advertiser 1</x:v>
      </x:c>
      <x:c r="C452" s="1" t="n">
        <x:f>Source!C446</x:f>
        <x:v>31</x:v>
      </x:c>
      <x:c r="D452" s="8" t="n">
        <x:f>Source!D446/100</x:f>
        <x:v>234.68</x:v>
      </x:c>
      <x:c r="E452" s="8" t="n">
        <x:f>Source!E446/100</x:f>
        <x:v>0</x:v>
      </x:c>
      <x:c r="F452" s="8" t="n">
        <x:f>Source!F446/100</x:f>
        <x:v>0</x:v>
      </x:c>
      <x:c r="G452" s="8" t="n">
        <x:f>Source!G446/100</x:f>
        <x:v>0</x:v>
      </x:c>
      <x:c r="H452" s="8" t="n">
        <x:f>G452-D452</x:f>
        <x:v>-234.68</x:v>
      </x:c>
      <x:c r="I452" s="1" t="str">
        <x:f>IF(H452&gt;0,"Overbilled","Shortfall")</x:f>
        <x:v>Shortfall</x:v>
      </x:c>
      <x:c r="J452" s="7"/>
      <x:c r="K452" s="7" t="str">
        <x:v>Open</x:v>
      </x:c>
      <x:c r="L452" s="7"/>
    </x:row>
    <x:row r="453" ht="21" customHeight="1">
      <x:c r="A453" s="1" t="str">
        <x:f>Source!A447</x:f>
        <x:v>C0004713</x:v>
      </x:c>
      <x:c r="B453" s="1" t="str">
        <x:f>_xlfn.IFNA(VLOOKUP(Source!B447,Advertisers!$A$5:$B$34,2,FALSE),"Missing advertiser")</x:f>
        <x:v>Synthetic advertiser 1</x:v>
      </x:c>
      <x:c r="C453" s="1" t="n">
        <x:f>Source!C447</x:f>
        <x:v>31</x:v>
      </x:c>
      <x:c r="D453" s="8" t="n">
        <x:f>Source!D447/100</x:f>
        <x:v>0</x:v>
      </x:c>
      <x:c r="E453" s="8" t="n">
        <x:f>Source!E447/100</x:f>
        <x:v>234.68</x:v>
      </x:c>
      <x:c r="F453" s="8" t="n">
        <x:f>Source!F447/100</x:f>
        <x:v>0</x:v>
      </x:c>
      <x:c r="G453" s="8" t="n">
        <x:f>Source!G447/100</x:f>
        <x:v>234.68</x:v>
      </x:c>
      <x:c r="H453" s="8" t="n">
        <x:f>G453-D453</x:f>
        <x:v>234.68</x:v>
      </x:c>
      <x:c r="I453" s="1" t="str">
        <x:f>IF(H453&gt;0,"Overbilled","Shortfall")</x:f>
        <x:v>Overbilled</x:v>
      </x:c>
      <x:c r="J453" s="7"/>
      <x:c r="K453" s="7" t="str">
        <x:v>Open</x:v>
      </x:c>
      <x:c r="L453" s="7"/>
    </x:row>
    <x:row r="454" ht="21" customHeight="1">
      <x:c r="A454" s="1" t="str">
        <x:f>Source!A448</x:f>
        <x:v>C0014189</x:v>
      </x:c>
      <x:c r="B454" s="1" t="str">
        <x:f>_xlfn.IFNA(VLOOKUP(Source!B448,Advertisers!$A$5:$B$34,2,FALSE),"Missing advertiser")</x:f>
        <x:v>Synthetic advertiser 1</x:v>
      </x:c>
      <x:c r="C454" s="1" t="n">
        <x:f>Source!C448</x:f>
        <x:v>31</x:v>
      </x:c>
      <x:c r="D454" s="8" t="n">
        <x:f>Source!D448/100</x:f>
        <x:v>234.68</x:v>
      </x:c>
      <x:c r="E454" s="8" t="n">
        <x:f>Source!E448/100</x:f>
        <x:v>0</x:v>
      </x:c>
      <x:c r="F454" s="8" t="n">
        <x:f>Source!F448/100</x:f>
        <x:v>0</x:v>
      </x:c>
      <x:c r="G454" s="8" t="n">
        <x:f>Source!G448/100</x:f>
        <x:v>0</x:v>
      </x:c>
      <x:c r="H454" s="8" t="n">
        <x:f>G454-D454</x:f>
        <x:v>-234.68</x:v>
      </x:c>
      <x:c r="I454" s="1" t="str">
        <x:f>IF(H454&gt;0,"Overbilled","Shortfall")</x:f>
        <x:v>Shortfall</x:v>
      </x:c>
      <x:c r="J454" s="7"/>
      <x:c r="K454" s="7" t="str">
        <x:v>Open</x:v>
      </x:c>
      <x:c r="L454" s="7"/>
    </x:row>
    <x:row r="455" ht="21" customHeight="1">
      <x:c r="A455" s="1" t="str">
        <x:f>Source!A449</x:f>
        <x:v>C0009654</x:v>
      </x:c>
      <x:c r="B455" s="1" t="str">
        <x:f>_xlfn.IFNA(VLOOKUP(Source!B449,Advertisers!$A$5:$B$34,2,FALSE),"Missing advertiser")</x:f>
        <x:v>Synthetic advertiser 1</x:v>
      </x:c>
      <x:c r="C455" s="1" t="n">
        <x:f>Source!C449</x:f>
        <x:v>31</x:v>
      </x:c>
      <x:c r="D455" s="8" t="n">
        <x:f>Source!D449/100</x:f>
        <x:v>0</x:v>
      </x:c>
      <x:c r="E455" s="8" t="n">
        <x:f>Source!E449/100</x:f>
        <x:v>234.68</x:v>
      </x:c>
      <x:c r="F455" s="8" t="n">
        <x:f>Source!F449/100</x:f>
        <x:v>0</x:v>
      </x:c>
      <x:c r="G455" s="8" t="n">
        <x:f>Source!G449/100</x:f>
        <x:v>234.68</x:v>
      </x:c>
      <x:c r="H455" s="8" t="n">
        <x:f>G455-D455</x:f>
        <x:v>234.68</x:v>
      </x:c>
      <x:c r="I455" s="1" t="str">
        <x:f>IF(H455&gt;0,"Overbilled","Shortfall")</x:f>
        <x:v>Overbilled</x:v>
      </x:c>
      <x:c r="J455" s="7"/>
      <x:c r="K455" s="7" t="str">
        <x:v>Open</x:v>
      </x:c>
      <x:c r="L455" s="7"/>
    </x:row>
    <x:row r="456" ht="21" customHeight="1">
      <x:c r="A456" s="1" t="str">
        <x:f>Source!A450</x:f>
        <x:v>C0014021</x:v>
      </x:c>
      <x:c r="B456" s="1" t="str">
        <x:f>_xlfn.IFNA(VLOOKUP(Source!B450,Advertisers!$A$5:$B$34,2,FALSE),"Missing advertiser")</x:f>
        <x:v>Synthetic advertiser 1</x:v>
      </x:c>
      <x:c r="C456" s="1" t="n">
        <x:f>Source!C450</x:f>
        <x:v>31</x:v>
      </x:c>
      <x:c r="D456" s="8" t="n">
        <x:f>Source!D450/100</x:f>
        <x:v>234.68</x:v>
      </x:c>
      <x:c r="E456" s="8" t="n">
        <x:f>Source!E450/100</x:f>
        <x:v>469.36</x:v>
      </x:c>
      <x:c r="F456" s="8" t="n">
        <x:f>Source!F450/100</x:f>
        <x:v>0</x:v>
      </x:c>
      <x:c r="G456" s="8" t="n">
        <x:f>Source!G450/100</x:f>
        <x:v>469.36</x:v>
      </x:c>
      <x:c r="H456" s="8" t="n">
        <x:f>G456-D456</x:f>
        <x:v>234.68</x:v>
      </x:c>
      <x:c r="I456" s="1" t="str">
        <x:f>IF(H456&gt;0,"Overbilled","Shortfall")</x:f>
        <x:v>Overbilled</x:v>
      </x:c>
      <x:c r="J456" s="7"/>
      <x:c r="K456" s="7" t="str">
        <x:v>Open</x:v>
      </x:c>
      <x:c r="L456" s="7"/>
    </x:row>
    <x:row r="457" ht="21" customHeight="1">
      <x:c r="A457" s="1" t="str">
        <x:f>Source!A451</x:f>
        <x:v>C0014852</x:v>
      </x:c>
      <x:c r="B457" s="1" t="str">
        <x:f>_xlfn.IFNA(VLOOKUP(Source!B451,Advertisers!$A$5:$B$34,2,FALSE),"Missing advertiser")</x:f>
        <x:v>Synthetic advertiser 26</x:v>
      </x:c>
      <x:c r="C457" s="1" t="n">
        <x:f>Source!C451</x:f>
        <x:v>116</x:v>
      </x:c>
      <x:c r="D457" s="8" t="n">
        <x:f>Source!D451/100</x:f>
        <x:v>0</x:v>
      </x:c>
      <x:c r="E457" s="8" t="n">
        <x:f>Source!E451/100</x:f>
        <x:v>234.14</x:v>
      </x:c>
      <x:c r="F457" s="8" t="n">
        <x:f>Source!F451/100</x:f>
        <x:v>0</x:v>
      </x:c>
      <x:c r="G457" s="8" t="n">
        <x:f>Source!G451/100</x:f>
        <x:v>234.14</x:v>
      </x:c>
      <x:c r="H457" s="8" t="n">
        <x:f>G457-D457</x:f>
        <x:v>234.14</x:v>
      </x:c>
      <x:c r="I457" s="1" t="str">
        <x:f>IF(H457&gt;0,"Overbilled","Shortfall")</x:f>
        <x:v>Overbilled</x:v>
      </x:c>
      <x:c r="J457" s="7"/>
      <x:c r="K457" s="7" t="str">
        <x:v>Open</x:v>
      </x:c>
      <x:c r="L457" s="7"/>
    </x:row>
    <x:row r="458" ht="21" customHeight="1">
      <x:c r="A458" s="1" t="str">
        <x:f>Source!A452</x:f>
        <x:v>C0001157</x:v>
      </x:c>
      <x:c r="B458" s="1" t="str">
        <x:f>_xlfn.IFNA(VLOOKUP(Source!B452,Advertisers!$A$5:$B$34,2,FALSE),"Missing advertiser")</x:f>
        <x:v>Synthetic advertiser 26</x:v>
      </x:c>
      <x:c r="C458" s="1" t="n">
        <x:f>Source!C452</x:f>
        <x:v>116</x:v>
      </x:c>
      <x:c r="D458" s="8" t="n">
        <x:f>Source!D452/100</x:f>
        <x:v>234.14</x:v>
      </x:c>
      <x:c r="E458" s="8" t="n">
        <x:f>Source!E452/100</x:f>
        <x:v>468.28</x:v>
      </x:c>
      <x:c r="F458" s="8" t="n">
        <x:f>Source!F452/100</x:f>
        <x:v>0</x:v>
      </x:c>
      <x:c r="G458" s="8" t="n">
        <x:f>Source!G452/100</x:f>
        <x:v>468.28</x:v>
      </x:c>
      <x:c r="H458" s="8" t="n">
        <x:f>G458-D458</x:f>
        <x:v>234.14</x:v>
      </x:c>
      <x:c r="I458" s="1" t="str">
        <x:f>IF(H458&gt;0,"Overbilled","Shortfall")</x:f>
        <x:v>Overbilled</x:v>
      </x:c>
      <x:c r="J458" s="7"/>
      <x:c r="K458" s="7" t="str">
        <x:v>Open</x:v>
      </x:c>
      <x:c r="L458" s="7"/>
    </x:row>
    <x:row r="459" ht="21" customHeight="1">
      <x:c r="A459" s="1" t="str">
        <x:f>Source!A453</x:f>
        <x:v>C0004508</x:v>
      </x:c>
      <x:c r="B459" s="1" t="str">
        <x:f>_xlfn.IFNA(VLOOKUP(Source!B453,Advertisers!$A$5:$B$34,2,FALSE),"Missing advertiser")</x:f>
        <x:v>Synthetic advertiser 26</x:v>
      </x:c>
      <x:c r="C459" s="1" t="n">
        <x:f>Source!C453</x:f>
        <x:v>116</x:v>
      </x:c>
      <x:c r="D459" s="8" t="n">
        <x:f>Source!D453/100</x:f>
        <x:v>234.14</x:v>
      </x:c>
      <x:c r="E459" s="8" t="n">
        <x:f>Source!E453/100</x:f>
        <x:v>0</x:v>
      </x:c>
      <x:c r="F459" s="8" t="n">
        <x:f>Source!F453/100</x:f>
        <x:v>0</x:v>
      </x:c>
      <x:c r="G459" s="8" t="n">
        <x:f>Source!G453/100</x:f>
        <x:v>0</x:v>
      </x:c>
      <x:c r="H459" s="8" t="n">
        <x:f>G459-D459</x:f>
        <x:v>-234.14</x:v>
      </x:c>
      <x:c r="I459" s="1" t="str">
        <x:f>IF(H459&gt;0,"Overbilled","Shortfall")</x:f>
        <x:v>Shortfall</x:v>
      </x:c>
      <x:c r="J459" s="7"/>
      <x:c r="K459" s="7" t="str">
        <x:v>Open</x:v>
      </x:c>
      <x:c r="L459" s="7"/>
    </x:row>
    <x:row r="460" ht="21" customHeight="1">
      <x:c r="A460" s="1" t="str">
        <x:f>Source!A454</x:f>
        <x:v>C0005560</x:v>
      </x:c>
      <x:c r="B460" s="1" t="str">
        <x:f>_xlfn.IFNA(VLOOKUP(Source!B454,Advertisers!$A$5:$B$34,2,FALSE),"Missing advertiser")</x:f>
        <x:v>Synthetic advertiser 26</x:v>
      </x:c>
      <x:c r="C460" s="1" t="n">
        <x:f>Source!C454</x:f>
        <x:v>116</x:v>
      </x:c>
      <x:c r="D460" s="8" t="n">
        <x:f>Source!D454/100</x:f>
        <x:v>234.14</x:v>
      </x:c>
      <x:c r="E460" s="8" t="n">
        <x:f>Source!E454/100</x:f>
        <x:v>468.28</x:v>
      </x:c>
      <x:c r="F460" s="8" t="n">
        <x:f>Source!F454/100</x:f>
        <x:v>0</x:v>
      </x:c>
      <x:c r="G460" s="8" t="n">
        <x:f>Source!G454/100</x:f>
        <x:v>468.28</x:v>
      </x:c>
      <x:c r="H460" s="8" t="n">
        <x:f>G460-D460</x:f>
        <x:v>234.14</x:v>
      </x:c>
      <x:c r="I460" s="1" t="str">
        <x:f>IF(H460&gt;0,"Overbilled","Shortfall")</x:f>
        <x:v>Overbilled</x:v>
      </x:c>
      <x:c r="J460" s="7"/>
      <x:c r="K460" s="7" t="str">
        <x:v>Open</x:v>
      </x:c>
      <x:c r="L460" s="7"/>
    </x:row>
    <x:row r="461" ht="21" customHeight="1">
      <x:c r="A461" s="1" t="str">
        <x:f>Source!A455</x:f>
        <x:v>C0009973</x:v>
      </x:c>
      <x:c r="B461" s="1" t="str">
        <x:f>_xlfn.IFNA(VLOOKUP(Source!B455,Advertisers!$A$5:$B$34,2,FALSE),"Missing advertiser")</x:f>
        <x:v>Synthetic advertiser 27</x:v>
      </x:c>
      <x:c r="C461" s="1" t="n">
        <x:f>Source!C455</x:f>
        <x:v>57</x:v>
      </x:c>
      <x:c r="D461" s="8" t="n">
        <x:f>Source!D455/100</x:f>
        <x:v>234.1</x:v>
      </x:c>
      <x:c r="E461" s="8" t="n">
        <x:f>Source!E455/100</x:f>
        <x:v>0</x:v>
      </x:c>
      <x:c r="F461" s="8" t="n">
        <x:f>Source!F455/100</x:f>
        <x:v>0</x:v>
      </x:c>
      <x:c r="G461" s="8" t="n">
        <x:f>Source!G455/100</x:f>
        <x:v>0</x:v>
      </x:c>
      <x:c r="H461" s="8" t="n">
        <x:f>G461-D461</x:f>
        <x:v>-234.1</x:v>
      </x:c>
      <x:c r="I461" s="1" t="str">
        <x:f>IF(H461&gt;0,"Overbilled","Shortfall")</x:f>
        <x:v>Shortfall</x:v>
      </x:c>
      <x:c r="J461" s="7"/>
      <x:c r="K461" s="7" t="str">
        <x:v>Open</x:v>
      </x:c>
      <x:c r="L461" s="7"/>
    </x:row>
    <x:row r="462" ht="21" customHeight="1">
      <x:c r="A462" s="1" t="str">
        <x:f>Source!A456</x:f>
        <x:v>C0007965</x:v>
      </x:c>
      <x:c r="B462" s="1" t="str">
        <x:f>_xlfn.IFNA(VLOOKUP(Source!B456,Advertisers!$A$5:$B$34,2,FALSE),"Missing advertiser")</x:f>
        <x:v>Synthetic advertiser 27</x:v>
      </x:c>
      <x:c r="C462" s="1" t="n">
        <x:f>Source!C456</x:f>
        <x:v>57</x:v>
      </x:c>
      <x:c r="D462" s="8" t="n">
        <x:f>Source!D456/100</x:f>
        <x:v>234.1</x:v>
      </x:c>
      <x:c r="E462" s="8" t="n">
        <x:f>Source!E456/100</x:f>
        <x:v>0</x:v>
      </x:c>
      <x:c r="F462" s="8" t="n">
        <x:f>Source!F456/100</x:f>
        <x:v>0</x:v>
      </x:c>
      <x:c r="G462" s="8" t="n">
        <x:f>Source!G456/100</x:f>
        <x:v>0</x:v>
      </x:c>
      <x:c r="H462" s="8" t="n">
        <x:f>G462-D462</x:f>
        <x:v>-234.1</x:v>
      </x:c>
      <x:c r="I462" s="1" t="str">
        <x:f>IF(H462&gt;0,"Overbilled","Shortfall")</x:f>
        <x:v>Shortfall</x:v>
      </x:c>
      <x:c r="J462" s="7"/>
      <x:c r="K462" s="7" t="str">
        <x:v>Open</x:v>
      </x:c>
      <x:c r="L462" s="7"/>
    </x:row>
    <x:row r="463" ht="21" customHeight="1">
      <x:c r="A463" s="1" t="str">
        <x:f>Source!A457</x:f>
        <x:v>C0016413</x:v>
      </x:c>
      <x:c r="B463" s="1" t="str">
        <x:f>_xlfn.IFNA(VLOOKUP(Source!B457,Advertisers!$A$5:$B$34,2,FALSE),"Missing advertiser")</x:f>
        <x:v>Synthetic advertiser 27</x:v>
      </x:c>
      <x:c r="C463" s="1" t="n">
        <x:f>Source!C457</x:f>
        <x:v>57</x:v>
      </x:c>
      <x:c r="D463" s="8" t="n">
        <x:f>Source!D457/100</x:f>
        <x:v>234.1</x:v>
      </x:c>
      <x:c r="E463" s="8" t="n">
        <x:f>Source!E457/100</x:f>
        <x:v>0</x:v>
      </x:c>
      <x:c r="F463" s="8" t="n">
        <x:f>Source!F457/100</x:f>
        <x:v>0</x:v>
      </x:c>
      <x:c r="G463" s="8" t="n">
        <x:f>Source!G457/100</x:f>
        <x:v>0</x:v>
      </x:c>
      <x:c r="H463" s="8" t="n">
        <x:f>G463-D463</x:f>
        <x:v>-234.1</x:v>
      </x:c>
      <x:c r="I463" s="1" t="str">
        <x:f>IF(H463&gt;0,"Overbilled","Shortfall")</x:f>
        <x:v>Shortfall</x:v>
      </x:c>
      <x:c r="J463" s="7"/>
      <x:c r="K463" s="7" t="str">
        <x:v>Open</x:v>
      </x:c>
      <x:c r="L463" s="7"/>
    </x:row>
    <x:row r="464" ht="21" customHeight="1">
      <x:c r="A464" s="1" t="str">
        <x:f>Source!A458</x:f>
        <x:v>C0013649</x:v>
      </x:c>
      <x:c r="B464" s="1" t="str">
        <x:f>_xlfn.IFNA(VLOOKUP(Source!B458,Advertisers!$A$5:$B$34,2,FALSE),"Missing advertiser")</x:f>
        <x:v>Synthetic advertiser 27</x:v>
      </x:c>
      <x:c r="C464" s="1" t="n">
        <x:f>Source!C458</x:f>
        <x:v>57</x:v>
      </x:c>
      <x:c r="D464" s="8" t="n">
        <x:f>Source!D458/100</x:f>
        <x:v>234.1</x:v>
      </x:c>
      <x:c r="E464" s="8" t="n">
        <x:f>Source!E458/100</x:f>
        <x:v>468.2</x:v>
      </x:c>
      <x:c r="F464" s="8" t="n">
        <x:f>Source!F458/100</x:f>
        <x:v>0</x:v>
      </x:c>
      <x:c r="G464" s="8" t="n">
        <x:f>Source!G458/100</x:f>
        <x:v>468.2</x:v>
      </x:c>
      <x:c r="H464" s="8" t="n">
        <x:f>G464-D464</x:f>
        <x:v>234.1</x:v>
      </x:c>
      <x:c r="I464" s="1" t="str">
        <x:f>IF(H464&gt;0,"Overbilled","Shortfall")</x:f>
        <x:v>Overbilled</x:v>
      </x:c>
      <x:c r="J464" s="7"/>
      <x:c r="K464" s="7" t="str">
        <x:v>Open</x:v>
      </x:c>
      <x:c r="L464" s="7"/>
    </x:row>
    <x:row r="465" ht="21" customHeight="1">
      <x:c r="A465" s="1" t="str">
        <x:f>Source!A459</x:f>
        <x:v>C0016164</x:v>
      </x:c>
      <x:c r="B465" s="1" t="str">
        <x:f>_xlfn.IFNA(VLOOKUP(Source!B459,Advertisers!$A$5:$B$34,2,FALSE),"Missing advertiser")</x:f>
        <x:v>Synthetic advertiser 30</x:v>
      </x:c>
      <x:c r="C465" s="1" t="n">
        <x:f>Source!C459</x:f>
        <x:v>90</x:v>
      </x:c>
      <x:c r="D465" s="8" t="n">
        <x:f>Source!D459/100</x:f>
        <x:v>233.77</x:v>
      </x:c>
      <x:c r="E465" s="8" t="n">
        <x:f>Source!E459/100</x:f>
        <x:v>0</x:v>
      </x:c>
      <x:c r="F465" s="8" t="n">
        <x:f>Source!F459/100</x:f>
        <x:v>0</x:v>
      </x:c>
      <x:c r="G465" s="8" t="n">
        <x:f>Source!G459/100</x:f>
        <x:v>0</x:v>
      </x:c>
      <x:c r="H465" s="8" t="n">
        <x:f>G465-D465</x:f>
        <x:v>-233.77</x:v>
      </x:c>
      <x:c r="I465" s="1" t="str">
        <x:f>IF(H465&gt;0,"Overbilled","Shortfall")</x:f>
        <x:v>Shortfall</x:v>
      </x:c>
      <x:c r="J465" s="7"/>
      <x:c r="K465" s="7" t="str">
        <x:v>Open</x:v>
      </x:c>
      <x:c r="L465" s="7"/>
    </x:row>
    <x:row r="466" ht="21" customHeight="1">
      <x:c r="A466" s="1" t="str">
        <x:f>Source!A460</x:f>
        <x:v>C0016147</x:v>
      </x:c>
      <x:c r="B466" s="1" t="str">
        <x:f>_xlfn.IFNA(VLOOKUP(Source!B460,Advertisers!$A$5:$B$34,2,FALSE),"Missing advertiser")</x:f>
        <x:v>Synthetic advertiser 30</x:v>
      </x:c>
      <x:c r="C466" s="1" t="n">
        <x:f>Source!C460</x:f>
        <x:v>90</x:v>
      </x:c>
      <x:c r="D466" s="8" t="n">
        <x:f>Source!D460/100</x:f>
        <x:v>0</x:v>
      </x:c>
      <x:c r="E466" s="8" t="n">
        <x:f>Source!E460/100</x:f>
        <x:v>233.77</x:v>
      </x:c>
      <x:c r="F466" s="8" t="n">
        <x:f>Source!F460/100</x:f>
        <x:v>0</x:v>
      </x:c>
      <x:c r="G466" s="8" t="n">
        <x:f>Source!G460/100</x:f>
        <x:v>233.77</x:v>
      </x:c>
      <x:c r="H466" s="8" t="n">
        <x:f>G466-D466</x:f>
        <x:v>233.77</x:v>
      </x:c>
      <x:c r="I466" s="1" t="str">
        <x:f>IF(H466&gt;0,"Overbilled","Shortfall")</x:f>
        <x:v>Overbilled</x:v>
      </x:c>
      <x:c r="J466" s="7"/>
      <x:c r="K466" s="7" t="str">
        <x:v>Open</x:v>
      </x:c>
      <x:c r="L466" s="7"/>
    </x:row>
    <x:row r="467" ht="21" customHeight="1">
      <x:c r="A467" s="1" t="str">
        <x:f>Source!A461</x:f>
        <x:v>C0000614</x:v>
      </x:c>
      <x:c r="B467" s="1" t="str">
        <x:f>_xlfn.IFNA(VLOOKUP(Source!B461,Advertisers!$A$5:$B$34,2,FALSE),"Missing advertiser")</x:f>
        <x:v>Synthetic advertiser 30</x:v>
      </x:c>
      <x:c r="C467" s="1" t="n">
        <x:f>Source!C461</x:f>
        <x:v>90</x:v>
      </x:c>
      <x:c r="D467" s="8" t="n">
        <x:f>Source!D461/100</x:f>
        <x:v>233.77</x:v>
      </x:c>
      <x:c r="E467" s="8" t="n">
        <x:f>Source!E461/100</x:f>
        <x:v>467.54</x:v>
      </x:c>
      <x:c r="F467" s="8" t="n">
        <x:f>Source!F461/100</x:f>
        <x:v>0</x:v>
      </x:c>
      <x:c r="G467" s="8" t="n">
        <x:f>Source!G461/100</x:f>
        <x:v>467.54</x:v>
      </x:c>
      <x:c r="H467" s="8" t="n">
        <x:f>G467-D467</x:f>
        <x:v>233.77</x:v>
      </x:c>
      <x:c r="I467" s="1" t="str">
        <x:f>IF(H467&gt;0,"Overbilled","Shortfall")</x:f>
        <x:v>Overbilled</x:v>
      </x:c>
      <x:c r="J467" s="7"/>
      <x:c r="K467" s="7" t="str">
        <x:v>Open</x:v>
      </x:c>
      <x:c r="L467" s="7"/>
    </x:row>
    <x:row r="468" ht="21" customHeight="1">
      <x:c r="A468" s="1" t="str">
        <x:f>Source!A462</x:f>
        <x:v>C0004410</x:v>
      </x:c>
      <x:c r="B468" s="1" t="str">
        <x:f>_xlfn.IFNA(VLOOKUP(Source!B462,Advertisers!$A$5:$B$34,2,FALSE),"Missing advertiser")</x:f>
        <x:v>Synthetic advertiser 30</x:v>
      </x:c>
      <x:c r="C468" s="1" t="n">
        <x:f>Source!C462</x:f>
        <x:v>90</x:v>
      </x:c>
      <x:c r="D468" s="8" t="n">
        <x:f>Source!D462/100</x:f>
        <x:v>233.77</x:v>
      </x:c>
      <x:c r="E468" s="8" t="n">
        <x:f>Source!E462/100</x:f>
        <x:v>0</x:v>
      </x:c>
      <x:c r="F468" s="8" t="n">
        <x:f>Source!F462/100</x:f>
        <x:v>0</x:v>
      </x:c>
      <x:c r="G468" s="8" t="n">
        <x:f>Source!G462/100</x:f>
        <x:v>0</x:v>
      </x:c>
      <x:c r="H468" s="8" t="n">
        <x:f>G468-D468</x:f>
        <x:v>-233.77</x:v>
      </x:c>
      <x:c r="I468" s="1" t="str">
        <x:f>IF(H468&gt;0,"Overbilled","Shortfall")</x:f>
        <x:v>Shortfall</x:v>
      </x:c>
      <x:c r="J468" s="7"/>
      <x:c r="K468" s="7" t="str">
        <x:v>Open</x:v>
      </x:c>
      <x:c r="L468" s="7"/>
    </x:row>
    <x:row r="469" ht="21" customHeight="1">
      <x:c r="A469" s="1" t="str">
        <x:f>Source!A463</x:f>
        <x:v>C0001396</x:v>
      </x:c>
      <x:c r="B469" s="1" t="str">
        <x:f>_xlfn.IFNA(VLOOKUP(Source!B463,Advertisers!$A$5:$B$34,2,FALSE),"Missing advertiser")</x:f>
        <x:v>Synthetic advertiser 30</x:v>
      </x:c>
      <x:c r="C469" s="1" t="n">
        <x:f>Source!C463</x:f>
        <x:v>90</x:v>
      </x:c>
      <x:c r="D469" s="8" t="n">
        <x:f>Source!D463/100</x:f>
        <x:v>233.77</x:v>
      </x:c>
      <x:c r="E469" s="8" t="n">
        <x:f>Source!E463/100</x:f>
        <x:v>467.54</x:v>
      </x:c>
      <x:c r="F469" s="8" t="n">
        <x:f>Source!F463/100</x:f>
        <x:v>0</x:v>
      </x:c>
      <x:c r="G469" s="8" t="n">
        <x:f>Source!G463/100</x:f>
        <x:v>467.54</x:v>
      </x:c>
      <x:c r="H469" s="8" t="n">
        <x:f>G469-D469</x:f>
        <x:v>233.77</x:v>
      </x:c>
      <x:c r="I469" s="1" t="str">
        <x:f>IF(H469&gt;0,"Overbilled","Shortfall")</x:f>
        <x:v>Overbilled</x:v>
      </x:c>
      <x:c r="J469" s="7"/>
      <x:c r="K469" s="7" t="str">
        <x:v>Open</x:v>
      </x:c>
      <x:c r="L469" s="7"/>
    </x:row>
    <x:row r="470" ht="21" customHeight="1">
      <x:c r="A470" s="1" t="str">
        <x:f>Source!A464</x:f>
        <x:v>C0010975</x:v>
      </x:c>
      <x:c r="B470" s="1" t="str">
        <x:f>_xlfn.IFNA(VLOOKUP(Source!B464,Advertisers!$A$5:$B$34,2,FALSE),"Missing advertiser")</x:f>
        <x:v>Synthetic advertiser 30</x:v>
      </x:c>
      <x:c r="C470" s="1" t="n">
        <x:f>Source!C464</x:f>
        <x:v>90</x:v>
      </x:c>
      <x:c r="D470" s="8" t="n">
        <x:f>Source!D464/100</x:f>
        <x:v>233.77</x:v>
      </x:c>
      <x:c r="E470" s="8" t="n">
        <x:f>Source!E464/100</x:f>
        <x:v>467.54</x:v>
      </x:c>
      <x:c r="F470" s="8" t="n">
        <x:f>Source!F464/100</x:f>
        <x:v>0</x:v>
      </x:c>
      <x:c r="G470" s="8" t="n">
        <x:f>Source!G464/100</x:f>
        <x:v>467.54</x:v>
      </x:c>
      <x:c r="H470" s="8" t="n">
        <x:f>G470-D470</x:f>
        <x:v>233.77</x:v>
      </x:c>
      <x:c r="I470" s="1" t="str">
        <x:f>IF(H470&gt;0,"Overbilled","Shortfall")</x:f>
        <x:v>Overbilled</x:v>
      </x:c>
      <x:c r="J470" s="7"/>
      <x:c r="K470" s="7" t="str">
        <x:v>Open</x:v>
      </x:c>
      <x:c r="L470" s="7"/>
    </x:row>
    <x:row r="471" ht="21" customHeight="1">
      <x:c r="A471" s="1" t="str">
        <x:f>Source!A465</x:f>
        <x:v>C0011486</x:v>
      </x:c>
      <x:c r="B471" s="1" t="str">
        <x:f>_xlfn.IFNA(VLOOKUP(Source!B465,Advertisers!$A$5:$B$34,2,FALSE),"Missing advertiser")</x:f>
        <x:v>Synthetic advertiser 30</x:v>
      </x:c>
      <x:c r="C471" s="1" t="n">
        <x:f>Source!C465</x:f>
        <x:v>90</x:v>
      </x:c>
      <x:c r="D471" s="8" t="n">
        <x:f>Source!D465/100</x:f>
        <x:v>233.77</x:v>
      </x:c>
      <x:c r="E471" s="8" t="n">
        <x:f>Source!E465/100</x:f>
        <x:v>0</x:v>
      </x:c>
      <x:c r="F471" s="8" t="n">
        <x:f>Source!F465/100</x:f>
        <x:v>0</x:v>
      </x:c>
      <x:c r="G471" s="8" t="n">
        <x:f>Source!G465/100</x:f>
        <x:v>0</x:v>
      </x:c>
      <x:c r="H471" s="8" t="n">
        <x:f>G471-D471</x:f>
        <x:v>-233.77</x:v>
      </x:c>
      <x:c r="I471" s="1" t="str">
        <x:f>IF(H471&gt;0,"Overbilled","Shortfall")</x:f>
        <x:v>Shortfall</x:v>
      </x:c>
      <x:c r="J471" s="7"/>
      <x:c r="K471" s="7" t="str">
        <x:v>Open</x:v>
      </x:c>
      <x:c r="L471" s="7"/>
    </x:row>
    <x:row r="472" ht="21" customHeight="1">
      <x:c r="A472" s="1" t="str">
        <x:f>Source!A466</x:f>
        <x:v>C0016789</x:v>
      </x:c>
      <x:c r="B472" s="1" t="str">
        <x:f>_xlfn.IFNA(VLOOKUP(Source!B466,Advertisers!$A$5:$B$34,2,FALSE),"Missing advertiser")</x:f>
        <x:v>Synthetic advertiser 2</x:v>
      </x:c>
      <x:c r="C472" s="1" t="n">
        <x:f>Source!C466</x:f>
        <x:v>92</x:v>
      </x:c>
      <x:c r="D472" s="8" t="n">
        <x:f>Source!D466/100</x:f>
        <x:v>233.76</x:v>
      </x:c>
      <x:c r="E472" s="8" t="n">
        <x:f>Source!E466/100</x:f>
        <x:v>0</x:v>
      </x:c>
      <x:c r="F472" s="8" t="n">
        <x:f>Source!F466/100</x:f>
        <x:v>0</x:v>
      </x:c>
      <x:c r="G472" s="8" t="n">
        <x:f>Source!G466/100</x:f>
        <x:v>0</x:v>
      </x:c>
      <x:c r="H472" s="8" t="n">
        <x:f>G472-D472</x:f>
        <x:v>-233.76</x:v>
      </x:c>
      <x:c r="I472" s="1" t="str">
        <x:f>IF(H472&gt;0,"Overbilled","Shortfall")</x:f>
        <x:v>Shortfall</x:v>
      </x:c>
      <x:c r="J472" s="7"/>
      <x:c r="K472" s="7" t="str">
        <x:v>Open</x:v>
      </x:c>
      <x:c r="L472" s="7"/>
    </x:row>
    <x:row r="473" ht="21" customHeight="1">
      <x:c r="A473" s="1" t="str">
        <x:f>Source!A467</x:f>
        <x:v>C0002598</x:v>
      </x:c>
      <x:c r="B473" s="1" t="str">
        <x:f>_xlfn.IFNA(VLOOKUP(Source!B467,Advertisers!$A$5:$B$34,2,FALSE),"Missing advertiser")</x:f>
        <x:v>Synthetic advertiser 2</x:v>
      </x:c>
      <x:c r="C473" s="1" t="n">
        <x:f>Source!C467</x:f>
        <x:v>92</x:v>
      </x:c>
      <x:c r="D473" s="8" t="n">
        <x:f>Source!D467/100</x:f>
        <x:v>233.76</x:v>
      </x:c>
      <x:c r="E473" s="8" t="n">
        <x:f>Source!E467/100</x:f>
        <x:v>0</x:v>
      </x:c>
      <x:c r="F473" s="8" t="n">
        <x:f>Source!F467/100</x:f>
        <x:v>0</x:v>
      </x:c>
      <x:c r="G473" s="8" t="n">
        <x:f>Source!G467/100</x:f>
        <x:v>0</x:v>
      </x:c>
      <x:c r="H473" s="8" t="n">
        <x:f>G473-D473</x:f>
        <x:v>-233.76</x:v>
      </x:c>
      <x:c r="I473" s="1" t="str">
        <x:f>IF(H473&gt;0,"Overbilled","Shortfall")</x:f>
        <x:v>Shortfall</x:v>
      </x:c>
      <x:c r="J473" s="7"/>
      <x:c r="K473" s="7" t="str">
        <x:v>Open</x:v>
      </x:c>
      <x:c r="L473" s="7"/>
    </x:row>
    <x:row r="474" ht="21" customHeight="1">
      <x:c r="A474" s="1" t="str">
        <x:f>Source!A468</x:f>
        <x:v>C0007014</x:v>
      </x:c>
      <x:c r="B474" s="1" t="str">
        <x:f>_xlfn.IFNA(VLOOKUP(Source!B468,Advertisers!$A$5:$B$34,2,FALSE),"Missing advertiser")</x:f>
        <x:v>Synthetic advertiser 2</x:v>
      </x:c>
      <x:c r="C474" s="1" t="n">
        <x:f>Source!C468</x:f>
        <x:v>92</x:v>
      </x:c>
      <x:c r="D474" s="8" t="n">
        <x:f>Source!D468/100</x:f>
        <x:v>233.76</x:v>
      </x:c>
      <x:c r="E474" s="8" t="n">
        <x:f>Source!E468/100</x:f>
        <x:v>0</x:v>
      </x:c>
      <x:c r="F474" s="8" t="n">
        <x:f>Source!F468/100</x:f>
        <x:v>0</x:v>
      </x:c>
      <x:c r="G474" s="8" t="n">
        <x:f>Source!G468/100</x:f>
        <x:v>0</x:v>
      </x:c>
      <x:c r="H474" s="8" t="n">
        <x:f>G474-D474</x:f>
        <x:v>-233.76</x:v>
      </x:c>
      <x:c r="I474" s="1" t="str">
        <x:f>IF(H474&gt;0,"Overbilled","Shortfall")</x:f>
        <x:v>Shortfall</x:v>
      </x:c>
      <x:c r="J474" s="7"/>
      <x:c r="K474" s="7" t="str">
        <x:v>Open</x:v>
      </x:c>
      <x:c r="L474" s="7"/>
    </x:row>
    <x:row r="475" ht="21" customHeight="1">
      <x:c r="A475" s="1" t="str">
        <x:f>Source!A469</x:f>
        <x:v>C0012342</x:v>
      </x:c>
      <x:c r="B475" s="1" t="str">
        <x:f>_xlfn.IFNA(VLOOKUP(Source!B469,Advertisers!$A$5:$B$34,2,FALSE),"Missing advertiser")</x:f>
        <x:v>Synthetic advertiser 9</x:v>
      </x:c>
      <x:c r="C475" s="1" t="n">
        <x:f>Source!C469</x:f>
        <x:v>9</x:v>
      </x:c>
      <x:c r="D475" s="8" t="n">
        <x:f>Source!D469/100</x:f>
        <x:v>233.53</x:v>
      </x:c>
      <x:c r="E475" s="8" t="n">
        <x:f>Source!E469/100</x:f>
        <x:v>467.06</x:v>
      </x:c>
      <x:c r="F475" s="8" t="n">
        <x:f>Source!F469/100</x:f>
        <x:v>0</x:v>
      </x:c>
      <x:c r="G475" s="8" t="n">
        <x:f>Source!G469/100</x:f>
        <x:v>467.06</x:v>
      </x:c>
      <x:c r="H475" s="8" t="n">
        <x:f>G475-D475</x:f>
        <x:v>233.53</x:v>
      </x:c>
      <x:c r="I475" s="1" t="str">
        <x:f>IF(H475&gt;0,"Overbilled","Shortfall")</x:f>
        <x:v>Overbilled</x:v>
      </x:c>
      <x:c r="J475" s="7"/>
      <x:c r="K475" s="7" t="str">
        <x:v>Open</x:v>
      </x:c>
      <x:c r="L475" s="7"/>
    </x:row>
    <x:row r="476" ht="21" customHeight="1">
      <x:c r="A476" s="1" t="str">
        <x:f>Source!A470</x:f>
        <x:v>C0010854</x:v>
      </x:c>
      <x:c r="B476" s="1" t="str">
        <x:f>_xlfn.IFNA(VLOOKUP(Source!B470,Advertisers!$A$5:$B$34,2,FALSE),"Missing advertiser")</x:f>
        <x:v>Synthetic advertiser 9</x:v>
      </x:c>
      <x:c r="C476" s="1" t="n">
        <x:f>Source!C470</x:f>
        <x:v>9</x:v>
      </x:c>
      <x:c r="D476" s="8" t="n">
        <x:f>Source!D470/100</x:f>
        <x:v>233.53</x:v>
      </x:c>
      <x:c r="E476" s="8" t="n">
        <x:f>Source!E470/100</x:f>
        <x:v>0</x:v>
      </x:c>
      <x:c r="F476" s="8" t="n">
        <x:f>Source!F470/100</x:f>
        <x:v>0</x:v>
      </x:c>
      <x:c r="G476" s="8" t="n">
        <x:f>Source!G470/100</x:f>
        <x:v>0</x:v>
      </x:c>
      <x:c r="H476" s="8" t="n">
        <x:f>G476-D476</x:f>
        <x:v>-233.53</x:v>
      </x:c>
      <x:c r="I476" s="1" t="str">
        <x:f>IF(H476&gt;0,"Overbilled","Shortfall")</x:f>
        <x:v>Shortfall</x:v>
      </x:c>
      <x:c r="J476" s="7"/>
      <x:c r="K476" s="7" t="str">
        <x:v>Open</x:v>
      </x:c>
      <x:c r="L476" s="7"/>
    </x:row>
    <x:row r="477" ht="21" customHeight="1">
      <x:c r="A477" s="1" t="str">
        <x:f>Source!A471</x:f>
        <x:v>C0011779</x:v>
      </x:c>
      <x:c r="B477" s="1" t="str">
        <x:f>_xlfn.IFNA(VLOOKUP(Source!B471,Advertisers!$A$5:$B$34,2,FALSE),"Missing advertiser")</x:f>
        <x:v>Synthetic advertiser 9</x:v>
      </x:c>
      <x:c r="C477" s="1" t="n">
        <x:f>Source!C471</x:f>
        <x:v>9</x:v>
      </x:c>
      <x:c r="D477" s="8" t="n">
        <x:f>Source!D471/100</x:f>
        <x:v>233.53</x:v>
      </x:c>
      <x:c r="E477" s="8" t="n">
        <x:f>Source!E471/100</x:f>
        <x:v>467.06</x:v>
      </x:c>
      <x:c r="F477" s="8" t="n">
        <x:f>Source!F471/100</x:f>
        <x:v>0</x:v>
      </x:c>
      <x:c r="G477" s="8" t="n">
        <x:f>Source!G471/100</x:f>
        <x:v>467.06</x:v>
      </x:c>
      <x:c r="H477" s="8" t="n">
        <x:f>G477-D477</x:f>
        <x:v>233.53</x:v>
      </x:c>
      <x:c r="I477" s="1" t="str">
        <x:f>IF(H477&gt;0,"Overbilled","Shortfall")</x:f>
        <x:v>Overbilled</x:v>
      </x:c>
      <x:c r="J477" s="7"/>
      <x:c r="K477" s="7" t="str">
        <x:v>Open</x:v>
      </x:c>
      <x:c r="L477" s="7"/>
    </x:row>
    <x:row r="478" ht="21" customHeight="1">
      <x:c r="A478" s="1" t="str">
        <x:f>Source!A472</x:f>
        <x:v>C0007545</x:v>
      </x:c>
      <x:c r="B478" s="1" t="str">
        <x:f>_xlfn.IFNA(VLOOKUP(Source!B472,Advertisers!$A$5:$B$34,2,FALSE),"Missing advertiser")</x:f>
        <x:v>Synthetic advertiser 9</x:v>
      </x:c>
      <x:c r="C478" s="1" t="n">
        <x:f>Source!C472</x:f>
        <x:v>9</x:v>
      </x:c>
      <x:c r="D478" s="8" t="n">
        <x:f>Source!D472/100</x:f>
        <x:v>0</x:v>
      </x:c>
      <x:c r="E478" s="8" t="n">
        <x:f>Source!E472/100</x:f>
        <x:v>233.53</x:v>
      </x:c>
      <x:c r="F478" s="8" t="n">
        <x:f>Source!F472/100</x:f>
        <x:v>0</x:v>
      </x:c>
      <x:c r="G478" s="8" t="n">
        <x:f>Source!G472/100</x:f>
        <x:v>233.53</x:v>
      </x:c>
      <x:c r="H478" s="8" t="n">
        <x:f>G478-D478</x:f>
        <x:v>233.53</x:v>
      </x:c>
      <x:c r="I478" s="1" t="str">
        <x:f>IF(H478&gt;0,"Overbilled","Shortfall")</x:f>
        <x:v>Overbilled</x:v>
      </x:c>
      <x:c r="J478" s="7"/>
      <x:c r="K478" s="7" t="str">
        <x:v>Open</x:v>
      </x:c>
      <x:c r="L478" s="7"/>
    </x:row>
    <x:row r="479" ht="21" customHeight="1">
      <x:c r="A479" s="1" t="str">
        <x:f>Source!A473</x:f>
        <x:v>C0001856</x:v>
      </x:c>
      <x:c r="B479" s="1" t="str">
        <x:f>_xlfn.IFNA(VLOOKUP(Source!B473,Advertisers!$A$5:$B$34,2,FALSE),"Missing advertiser")</x:f>
        <x:v>Synthetic advertiser 9</x:v>
      </x:c>
      <x:c r="C479" s="1" t="n">
        <x:f>Source!C473</x:f>
        <x:v>9</x:v>
      </x:c>
      <x:c r="D479" s="8" t="n">
        <x:f>Source!D473/100</x:f>
        <x:v>233.53</x:v>
      </x:c>
      <x:c r="E479" s="8" t="n">
        <x:f>Source!E473/100</x:f>
        <x:v>0</x:v>
      </x:c>
      <x:c r="F479" s="8" t="n">
        <x:f>Source!F473/100</x:f>
        <x:v>0</x:v>
      </x:c>
      <x:c r="G479" s="8" t="n">
        <x:f>Source!G473/100</x:f>
        <x:v>0</x:v>
      </x:c>
      <x:c r="H479" s="8" t="n">
        <x:f>G479-D479</x:f>
        <x:v>-233.53</x:v>
      </x:c>
      <x:c r="I479" s="1" t="str">
        <x:f>IF(H479&gt;0,"Overbilled","Shortfall")</x:f>
        <x:v>Shortfall</x:v>
      </x:c>
      <x:c r="J479" s="7"/>
      <x:c r="K479" s="7" t="str">
        <x:v>Open</x:v>
      </x:c>
      <x:c r="L479" s="7"/>
    </x:row>
    <x:row r="480" ht="21" customHeight="1">
      <x:c r="A480" s="1" t="str">
        <x:f>Source!A474</x:f>
        <x:v>C0014183</x:v>
      </x:c>
      <x:c r="B480" s="1" t="str">
        <x:f>_xlfn.IFNA(VLOOKUP(Source!B474,Advertisers!$A$5:$B$34,2,FALSE),"Missing advertiser")</x:f>
        <x:v>Synthetic advertiser 9</x:v>
      </x:c>
      <x:c r="C480" s="1" t="n">
        <x:f>Source!C474</x:f>
        <x:v>9</x:v>
      </x:c>
      <x:c r="D480" s="8" t="n">
        <x:f>Source!D474/100</x:f>
        <x:v>233.53</x:v>
      </x:c>
      <x:c r="E480" s="8" t="n">
        <x:f>Source!E474/100</x:f>
        <x:v>0</x:v>
      </x:c>
      <x:c r="F480" s="8" t="n">
        <x:f>Source!F474/100</x:f>
        <x:v>0</x:v>
      </x:c>
      <x:c r="G480" s="8" t="n">
        <x:f>Source!G474/100</x:f>
        <x:v>0</x:v>
      </x:c>
      <x:c r="H480" s="8" t="n">
        <x:f>G480-D480</x:f>
        <x:v>-233.53</x:v>
      </x:c>
      <x:c r="I480" s="1" t="str">
        <x:f>IF(H480&gt;0,"Overbilled","Shortfall")</x:f>
        <x:v>Shortfall</x:v>
      </x:c>
      <x:c r="J480" s="7"/>
      <x:c r="K480" s="7" t="str">
        <x:v>Open</x:v>
      </x:c>
      <x:c r="L480" s="7"/>
    </x:row>
    <x:row r="481" ht="21" customHeight="1">
      <x:c r="A481" s="1" t="str">
        <x:f>Source!A475</x:f>
        <x:v>C0003743</x:v>
      </x:c>
      <x:c r="B481" s="1" t="str">
        <x:f>_xlfn.IFNA(VLOOKUP(Source!B475,Advertisers!$A$5:$B$34,2,FALSE),"Missing advertiser")</x:f>
        <x:v>Synthetic advertiser 9</x:v>
      </x:c>
      <x:c r="C481" s="1" t="n">
        <x:f>Source!C475</x:f>
        <x:v>9</x:v>
      </x:c>
      <x:c r="D481" s="8" t="n">
        <x:f>Source!D475/100</x:f>
        <x:v>233.53</x:v>
      </x:c>
      <x:c r="E481" s="8" t="n">
        <x:f>Source!E475/100</x:f>
        <x:v>467.06</x:v>
      </x:c>
      <x:c r="F481" s="8" t="n">
        <x:f>Source!F475/100</x:f>
        <x:v>0</x:v>
      </x:c>
      <x:c r="G481" s="8" t="n">
        <x:f>Source!G475/100</x:f>
        <x:v>467.06</x:v>
      </x:c>
      <x:c r="H481" s="8" t="n">
        <x:f>G481-D481</x:f>
        <x:v>233.53</x:v>
      </x:c>
      <x:c r="I481" s="1" t="str">
        <x:f>IF(H481&gt;0,"Overbilled","Shortfall")</x:f>
        <x:v>Overbilled</x:v>
      </x:c>
      <x:c r="J481" s="7"/>
      <x:c r="K481" s="7" t="str">
        <x:v>Open</x:v>
      </x:c>
      <x:c r="L481" s="7"/>
    </x:row>
    <x:row r="482" ht="21" customHeight="1">
      <x:c r="A482" s="1" t="str">
        <x:f>Source!A476</x:f>
        <x:v>C0008740</x:v>
      </x:c>
      <x:c r="B482" s="1" t="str">
        <x:f>_xlfn.IFNA(VLOOKUP(Source!B476,Advertisers!$A$5:$B$34,2,FALSE),"Missing advertiser")</x:f>
        <x:v>Synthetic advertiser 9</x:v>
      </x:c>
      <x:c r="C482" s="1" t="n">
        <x:f>Source!C476</x:f>
        <x:v>9</x:v>
      </x:c>
      <x:c r="D482" s="8" t="n">
        <x:f>Source!D476/100</x:f>
        <x:v>233.53</x:v>
      </x:c>
      <x:c r="E482" s="8" t="n">
        <x:f>Source!E476/100</x:f>
        <x:v>467.06</x:v>
      </x:c>
      <x:c r="F482" s="8" t="n">
        <x:f>Source!F476/100</x:f>
        <x:v>0</x:v>
      </x:c>
      <x:c r="G482" s="8" t="n">
        <x:f>Source!G476/100</x:f>
        <x:v>467.06</x:v>
      </x:c>
      <x:c r="H482" s="8" t="n">
        <x:f>G482-D482</x:f>
        <x:v>233.53</x:v>
      </x:c>
      <x:c r="I482" s="1" t="str">
        <x:f>IF(H482&gt;0,"Overbilled","Shortfall")</x:f>
        <x:v>Overbilled</x:v>
      </x:c>
      <x:c r="J482" s="7"/>
      <x:c r="K482" s="7" t="str">
        <x:v>Open</x:v>
      </x:c>
      <x:c r="L482" s="7"/>
    </x:row>
    <x:row r="483" ht="21" customHeight="1">
      <x:c r="A483" s="1" t="str">
        <x:f>Source!A477</x:f>
        <x:v>C0007369</x:v>
      </x:c>
      <x:c r="B483" s="1" t="str">
        <x:f>_xlfn.IFNA(VLOOKUP(Source!B477,Advertisers!$A$5:$B$34,2,FALSE),"Missing advertiser")</x:f>
        <x:v>Synthetic advertiser 20</x:v>
      </x:c>
      <x:c r="C483" s="1" t="n">
        <x:f>Source!C477</x:f>
        <x:v>50</x:v>
      </x:c>
      <x:c r="D483" s="8" t="n">
        <x:f>Source!D477/100</x:f>
        <x:v>232.13</x:v>
      </x:c>
      <x:c r="E483" s="8" t="n">
        <x:f>Source!E477/100</x:f>
        <x:v>0</x:v>
      </x:c>
      <x:c r="F483" s="8" t="n">
        <x:f>Source!F477/100</x:f>
        <x:v>0</x:v>
      </x:c>
      <x:c r="G483" s="8" t="n">
        <x:f>Source!G477/100</x:f>
        <x:v>0</x:v>
      </x:c>
      <x:c r="H483" s="8" t="n">
        <x:f>G483-D483</x:f>
        <x:v>-232.13</x:v>
      </x:c>
      <x:c r="I483" s="1" t="str">
        <x:f>IF(H483&gt;0,"Overbilled","Shortfall")</x:f>
        <x:v>Shortfall</x:v>
      </x:c>
      <x:c r="J483" s="7"/>
      <x:c r="K483" s="7" t="str">
        <x:v>Open</x:v>
      </x:c>
      <x:c r="L483" s="7"/>
    </x:row>
    <x:row r="484" ht="21" customHeight="1">
      <x:c r="A484" s="1" t="str">
        <x:f>Source!A478</x:f>
        <x:v>C0004454</x:v>
      </x:c>
      <x:c r="B484" s="1" t="str">
        <x:f>_xlfn.IFNA(VLOOKUP(Source!B478,Advertisers!$A$5:$B$34,2,FALSE),"Missing advertiser")</x:f>
        <x:v>Synthetic advertiser 20</x:v>
      </x:c>
      <x:c r="C484" s="1" t="n">
        <x:f>Source!C478</x:f>
        <x:v>50</x:v>
      </x:c>
      <x:c r="D484" s="8" t="n">
        <x:f>Source!D478/100</x:f>
        <x:v>232.13</x:v>
      </x:c>
      <x:c r="E484" s="8" t="n">
        <x:f>Source!E478/100</x:f>
        <x:v>464.26</x:v>
      </x:c>
      <x:c r="F484" s="8" t="n">
        <x:f>Source!F478/100</x:f>
        <x:v>0</x:v>
      </x:c>
      <x:c r="G484" s="8" t="n">
        <x:f>Source!G478/100</x:f>
        <x:v>464.26</x:v>
      </x:c>
      <x:c r="H484" s="8" t="n">
        <x:f>G484-D484</x:f>
        <x:v>232.13</x:v>
      </x:c>
      <x:c r="I484" s="1" t="str">
        <x:f>IF(H484&gt;0,"Overbilled","Shortfall")</x:f>
        <x:v>Overbilled</x:v>
      </x:c>
      <x:c r="J484" s="7"/>
      <x:c r="K484" s="7" t="str">
        <x:v>Open</x:v>
      </x:c>
      <x:c r="L484" s="7"/>
    </x:row>
    <x:row r="485" ht="21" customHeight="1">
      <x:c r="A485" s="1" t="str">
        <x:f>Source!A479</x:f>
        <x:v>C0007934</x:v>
      </x:c>
      <x:c r="B485" s="1" t="str">
        <x:f>_xlfn.IFNA(VLOOKUP(Source!B479,Advertisers!$A$5:$B$34,2,FALSE),"Missing advertiser")</x:f>
        <x:v>Synthetic advertiser 20</x:v>
      </x:c>
      <x:c r="C485" s="1" t="n">
        <x:f>Source!C479</x:f>
        <x:v>50</x:v>
      </x:c>
      <x:c r="D485" s="8" t="n">
        <x:f>Source!D479/100</x:f>
        <x:v>232.13</x:v>
      </x:c>
      <x:c r="E485" s="8" t="n">
        <x:f>Source!E479/100</x:f>
        <x:v>0</x:v>
      </x:c>
      <x:c r="F485" s="8" t="n">
        <x:f>Source!F479/100</x:f>
        <x:v>0</x:v>
      </x:c>
      <x:c r="G485" s="8" t="n">
        <x:f>Source!G479/100</x:f>
        <x:v>0</x:v>
      </x:c>
      <x:c r="H485" s="8" t="n">
        <x:f>G485-D485</x:f>
        <x:v>-232.13</x:v>
      </x:c>
      <x:c r="I485" s="1" t="str">
        <x:f>IF(H485&gt;0,"Overbilled","Shortfall")</x:f>
        <x:v>Shortfall</x:v>
      </x:c>
      <x:c r="J485" s="7"/>
      <x:c r="K485" s="7" t="str">
        <x:v>Open</x:v>
      </x:c>
      <x:c r="L485" s="7"/>
    </x:row>
    <x:row r="486" ht="21" customHeight="1">
      <x:c r="A486" s="1" t="str">
        <x:f>Source!A480</x:f>
        <x:v>C0013706</x:v>
      </x:c>
      <x:c r="B486" s="1" t="str">
        <x:f>_xlfn.IFNA(VLOOKUP(Source!B480,Advertisers!$A$5:$B$34,2,FALSE),"Missing advertiser")</x:f>
        <x:v>Synthetic advertiser 20</x:v>
      </x:c>
      <x:c r="C486" s="1" t="n">
        <x:f>Source!C480</x:f>
        <x:v>50</x:v>
      </x:c>
      <x:c r="D486" s="8" t="n">
        <x:f>Source!D480/100</x:f>
        <x:v>232.13</x:v>
      </x:c>
      <x:c r="E486" s="8" t="n">
        <x:f>Source!E480/100</x:f>
        <x:v>0</x:v>
      </x:c>
      <x:c r="F486" s="8" t="n">
        <x:f>Source!F480/100</x:f>
        <x:v>0</x:v>
      </x:c>
      <x:c r="G486" s="8" t="n">
        <x:f>Source!G480/100</x:f>
        <x:v>0</x:v>
      </x:c>
      <x:c r="H486" s="8" t="n">
        <x:f>G486-D486</x:f>
        <x:v>-232.13</x:v>
      </x:c>
      <x:c r="I486" s="1" t="str">
        <x:f>IF(H486&gt;0,"Overbilled","Shortfall")</x:f>
        <x:v>Shortfall</x:v>
      </x:c>
      <x:c r="J486" s="7"/>
      <x:c r="K486" s="7" t="str">
        <x:v>Open</x:v>
      </x:c>
      <x:c r="L486" s="7"/>
    </x:row>
    <x:row r="487" ht="21" customHeight="1">
      <x:c r="A487" s="1" t="str">
        <x:f>Source!A481</x:f>
        <x:v>C0001973</x:v>
      </x:c>
      <x:c r="B487" s="1" t="str">
        <x:f>_xlfn.IFNA(VLOOKUP(Source!B481,Advertisers!$A$5:$B$34,2,FALSE),"Missing advertiser")</x:f>
        <x:v>Synthetic advertiser 20</x:v>
      </x:c>
      <x:c r="C487" s="1" t="n">
        <x:f>Source!C481</x:f>
        <x:v>50</x:v>
      </x:c>
      <x:c r="D487" s="8" t="n">
        <x:f>Source!D481/100</x:f>
        <x:v>232.13</x:v>
      </x:c>
      <x:c r="E487" s="8" t="n">
        <x:f>Source!E481/100</x:f>
        <x:v>464.26</x:v>
      </x:c>
      <x:c r="F487" s="8" t="n">
        <x:f>Source!F481/100</x:f>
        <x:v>0</x:v>
      </x:c>
      <x:c r="G487" s="8" t="n">
        <x:f>Source!G481/100</x:f>
        <x:v>464.26</x:v>
      </x:c>
      <x:c r="H487" s="8" t="n">
        <x:f>G487-D487</x:f>
        <x:v>232.13</x:v>
      </x:c>
      <x:c r="I487" s="1" t="str">
        <x:f>IF(H487&gt;0,"Overbilled","Shortfall")</x:f>
        <x:v>Overbilled</x:v>
      </x:c>
      <x:c r="J487" s="7"/>
      <x:c r="K487" s="7" t="str">
        <x:v>Open</x:v>
      </x:c>
      <x:c r="L487" s="7"/>
    </x:row>
    <x:row r="488" ht="21" customHeight="1">
      <x:c r="A488" s="1" t="str">
        <x:f>Source!A482</x:f>
        <x:v>C0006779</x:v>
      </x:c>
      <x:c r="B488" s="1" t="str">
        <x:f>_xlfn.IFNA(VLOOKUP(Source!B482,Advertisers!$A$5:$B$34,2,FALSE),"Missing advertiser")</x:f>
        <x:v>Synthetic advertiser 20</x:v>
      </x:c>
      <x:c r="C488" s="1" t="n">
        <x:f>Source!C482</x:f>
        <x:v>50</x:v>
      </x:c>
      <x:c r="D488" s="8" t="n">
        <x:f>Source!D482/100</x:f>
        <x:v>232.13</x:v>
      </x:c>
      <x:c r="E488" s="8" t="n">
        <x:f>Source!E482/100</x:f>
        <x:v>0</x:v>
      </x:c>
      <x:c r="F488" s="8" t="n">
        <x:f>Source!F482/100</x:f>
        <x:v>0</x:v>
      </x:c>
      <x:c r="G488" s="8" t="n">
        <x:f>Source!G482/100</x:f>
        <x:v>0</x:v>
      </x:c>
      <x:c r="H488" s="8" t="n">
        <x:f>G488-D488</x:f>
        <x:v>-232.13</x:v>
      </x:c>
      <x:c r="I488" s="1" t="str">
        <x:f>IF(H488&gt;0,"Overbilled","Shortfall")</x:f>
        <x:v>Shortfall</x:v>
      </x:c>
      <x:c r="J488" s="7"/>
      <x:c r="K488" s="7" t="str">
        <x:v>Open</x:v>
      </x:c>
      <x:c r="L488" s="7"/>
    </x:row>
    <x:row r="489" ht="21" customHeight="1">
      <x:c r="A489" s="1" t="str">
        <x:f>Source!A483</x:f>
        <x:v>C0000884</x:v>
      </x:c>
      <x:c r="B489" s="1" t="str">
        <x:f>_xlfn.IFNA(VLOOKUP(Source!B483,Advertisers!$A$5:$B$34,2,FALSE),"Missing advertiser")</x:f>
        <x:v>Synthetic advertiser 20</x:v>
      </x:c>
      <x:c r="C489" s="1" t="n">
        <x:f>Source!C483</x:f>
        <x:v>50</x:v>
      </x:c>
      <x:c r="D489" s="8" t="n">
        <x:f>Source!D483/100</x:f>
        <x:v>0</x:v>
      </x:c>
      <x:c r="E489" s="8" t="n">
        <x:f>Source!E483/100</x:f>
        <x:v>232.13</x:v>
      </x:c>
      <x:c r="F489" s="8" t="n">
        <x:f>Source!F483/100</x:f>
        <x:v>0</x:v>
      </x:c>
      <x:c r="G489" s="8" t="n">
        <x:f>Source!G483/100</x:f>
        <x:v>232.13</x:v>
      </x:c>
      <x:c r="H489" s="8" t="n">
        <x:f>G489-D489</x:f>
        <x:v>232.13</x:v>
      </x:c>
      <x:c r="I489" s="1" t="str">
        <x:f>IF(H489&gt;0,"Overbilled","Shortfall")</x:f>
        <x:v>Overbilled</x:v>
      </x:c>
      <x:c r="J489" s="7"/>
      <x:c r="K489" s="7" t="str">
        <x:v>Open</x:v>
      </x:c>
      <x:c r="L489" s="7"/>
    </x:row>
    <x:row r="490" ht="21" customHeight="1">
      <x:c r="A490" s="1" t="str">
        <x:f>Source!A484</x:f>
        <x:v>C0001938</x:v>
      </x:c>
      <x:c r="B490" s="1" t="str">
        <x:f>_xlfn.IFNA(VLOOKUP(Source!B484,Advertisers!$A$5:$B$34,2,FALSE),"Missing advertiser")</x:f>
        <x:v>Synthetic advertiser 20</x:v>
      </x:c>
      <x:c r="C490" s="1" t="n">
        <x:f>Source!C484</x:f>
        <x:v>50</x:v>
      </x:c>
      <x:c r="D490" s="8" t="n">
        <x:f>Source!D484/100</x:f>
        <x:v>232.13</x:v>
      </x:c>
      <x:c r="E490" s="8" t="n">
        <x:f>Source!E484/100</x:f>
        <x:v>0</x:v>
      </x:c>
      <x:c r="F490" s="8" t="n">
        <x:f>Source!F484/100</x:f>
        <x:v>0</x:v>
      </x:c>
      <x:c r="G490" s="8" t="n">
        <x:f>Source!G484/100</x:f>
        <x:v>0</x:v>
      </x:c>
      <x:c r="H490" s="8" t="n">
        <x:f>G490-D490</x:f>
        <x:v>-232.13</x:v>
      </x:c>
      <x:c r="I490" s="1" t="str">
        <x:f>IF(H490&gt;0,"Overbilled","Shortfall")</x:f>
        <x:v>Shortfall</x:v>
      </x:c>
      <x:c r="J490" s="7"/>
      <x:c r="K490" s="7" t="str">
        <x:v>Open</x:v>
      </x:c>
      <x:c r="L490" s="7"/>
    </x:row>
    <x:row r="491" ht="21" customHeight="1">
      <x:c r="A491" s="1" t="str">
        <x:f>Source!A485</x:f>
        <x:v>C0003588</x:v>
      </x:c>
      <x:c r="B491" s="1" t="str">
        <x:f>_xlfn.IFNA(VLOOKUP(Source!B485,Advertisers!$A$5:$B$34,2,FALSE),"Missing advertiser")</x:f>
        <x:v>Synthetic advertiser 16</x:v>
      </x:c>
      <x:c r="C491" s="1" t="n">
        <x:f>Source!C485</x:f>
        <x:v>76</x:v>
      </x:c>
      <x:c r="D491" s="8" t="n">
        <x:f>Source!D485/100</x:f>
        <x:v>231.57</x:v>
      </x:c>
      <x:c r="E491" s="8" t="n">
        <x:f>Source!E485/100</x:f>
        <x:v>0</x:v>
      </x:c>
      <x:c r="F491" s="8" t="n">
        <x:f>Source!F485/100</x:f>
        <x:v>0</x:v>
      </x:c>
      <x:c r="G491" s="8" t="n">
        <x:f>Source!G485/100</x:f>
        <x:v>0</x:v>
      </x:c>
      <x:c r="H491" s="8" t="n">
        <x:f>G491-D491</x:f>
        <x:v>-231.57</x:v>
      </x:c>
      <x:c r="I491" s="1" t="str">
        <x:f>IF(H491&gt;0,"Overbilled","Shortfall")</x:f>
        <x:v>Shortfall</x:v>
      </x:c>
      <x:c r="J491" s="7"/>
      <x:c r="K491" s="7" t="str">
        <x:v>Open</x:v>
      </x:c>
      <x:c r="L491" s="7"/>
    </x:row>
    <x:row r="492" ht="21" customHeight="1">
      <x:c r="A492" s="1" t="str">
        <x:f>Source!A486</x:f>
        <x:v>C0015311</x:v>
      </x:c>
      <x:c r="B492" s="1" t="str">
        <x:f>_xlfn.IFNA(VLOOKUP(Source!B486,Advertisers!$A$5:$B$34,2,FALSE),"Missing advertiser")</x:f>
        <x:v>Synthetic advertiser 16</x:v>
      </x:c>
      <x:c r="C492" s="1" t="n">
        <x:f>Source!C486</x:f>
        <x:v>76</x:v>
      </x:c>
      <x:c r="D492" s="8" t="n">
        <x:f>Source!D486/100</x:f>
        <x:v>231.57</x:v>
      </x:c>
      <x:c r="E492" s="8" t="n">
        <x:f>Source!E486/100</x:f>
        <x:v>463.14</x:v>
      </x:c>
      <x:c r="F492" s="8" t="n">
        <x:f>Source!F486/100</x:f>
        <x:v>0</x:v>
      </x:c>
      <x:c r="G492" s="8" t="n">
        <x:f>Source!G486/100</x:f>
        <x:v>463.14</x:v>
      </x:c>
      <x:c r="H492" s="8" t="n">
        <x:f>G492-D492</x:f>
        <x:v>231.57</x:v>
      </x:c>
      <x:c r="I492" s="1" t="str">
        <x:f>IF(H492&gt;0,"Overbilled","Shortfall")</x:f>
        <x:v>Overbilled</x:v>
      </x:c>
      <x:c r="J492" s="7"/>
      <x:c r="K492" s="7" t="str">
        <x:v>Open</x:v>
      </x:c>
      <x:c r="L492" s="7"/>
    </x:row>
    <x:row r="493" ht="21" customHeight="1">
      <x:c r="A493" s="1" t="str">
        <x:f>Source!A487</x:f>
        <x:v>C0012856</x:v>
      </x:c>
      <x:c r="B493" s="1" t="str">
        <x:f>_xlfn.IFNA(VLOOKUP(Source!B487,Advertisers!$A$5:$B$34,2,FALSE),"Missing advertiser")</x:f>
        <x:v>Synthetic advertiser 16</x:v>
      </x:c>
      <x:c r="C493" s="1" t="n">
        <x:f>Source!C487</x:f>
        <x:v>76</x:v>
      </x:c>
      <x:c r="D493" s="8" t="n">
        <x:f>Source!D487/100</x:f>
        <x:v>231.57</x:v>
      </x:c>
      <x:c r="E493" s="8" t="n">
        <x:f>Source!E487/100</x:f>
        <x:v>463.14</x:v>
      </x:c>
      <x:c r="F493" s="8" t="n">
        <x:f>Source!F487/100</x:f>
        <x:v>0</x:v>
      </x:c>
      <x:c r="G493" s="8" t="n">
        <x:f>Source!G487/100</x:f>
        <x:v>463.14</x:v>
      </x:c>
      <x:c r="H493" s="8" t="n">
        <x:f>G493-D493</x:f>
        <x:v>231.57</x:v>
      </x:c>
      <x:c r="I493" s="1" t="str">
        <x:f>IF(H493&gt;0,"Overbilled","Shortfall")</x:f>
        <x:v>Overbilled</x:v>
      </x:c>
      <x:c r="J493" s="7"/>
      <x:c r="K493" s="7" t="str">
        <x:v>Open</x:v>
      </x:c>
      <x:c r="L493" s="7"/>
    </x:row>
    <x:row r="494" ht="21" customHeight="1">
      <x:c r="A494" s="1" t="str">
        <x:f>Source!A488</x:f>
        <x:v>C0009445</x:v>
      </x:c>
      <x:c r="B494" s="1" t="str">
        <x:f>_xlfn.IFNA(VLOOKUP(Source!B488,Advertisers!$A$5:$B$34,2,FALSE),"Missing advertiser")</x:f>
        <x:v>Synthetic advertiser 16</x:v>
      </x:c>
      <x:c r="C494" s="1" t="n">
        <x:f>Source!C488</x:f>
        <x:v>76</x:v>
      </x:c>
      <x:c r="D494" s="8" t="n">
        <x:f>Source!D488/100</x:f>
        <x:v>231.57</x:v>
      </x:c>
      <x:c r="E494" s="8" t="n">
        <x:f>Source!E488/100</x:f>
        <x:v>0</x:v>
      </x:c>
      <x:c r="F494" s="8" t="n">
        <x:f>Source!F488/100</x:f>
        <x:v>0</x:v>
      </x:c>
      <x:c r="G494" s="8" t="n">
        <x:f>Source!G488/100</x:f>
        <x:v>0</x:v>
      </x:c>
      <x:c r="H494" s="8" t="n">
        <x:f>G494-D494</x:f>
        <x:v>-231.57</x:v>
      </x:c>
      <x:c r="I494" s="1" t="str">
        <x:f>IF(H494&gt;0,"Overbilled","Shortfall")</x:f>
        <x:v>Shortfall</x:v>
      </x:c>
      <x:c r="J494" s="7"/>
      <x:c r="K494" s="7" t="str">
        <x:v>Open</x:v>
      </x:c>
      <x:c r="L494" s="7"/>
    </x:row>
    <x:row r="495" ht="21" customHeight="1">
      <x:c r="A495" s="1" t="str">
        <x:f>Source!A489</x:f>
        <x:v>C0016379</x:v>
      </x:c>
      <x:c r="B495" s="1" t="str">
        <x:f>_xlfn.IFNA(VLOOKUP(Source!B489,Advertisers!$A$5:$B$34,2,FALSE),"Missing advertiser")</x:f>
        <x:v>Synthetic advertiser 16</x:v>
      </x:c>
      <x:c r="C495" s="1" t="n">
        <x:f>Source!C489</x:f>
        <x:v>76</x:v>
      </x:c>
      <x:c r="D495" s="8" t="n">
        <x:f>Source!D489/100</x:f>
        <x:v>0</x:v>
      </x:c>
      <x:c r="E495" s="8" t="n">
        <x:f>Source!E489/100</x:f>
        <x:v>231.57</x:v>
      </x:c>
      <x:c r="F495" s="8" t="n">
        <x:f>Source!F489/100</x:f>
        <x:v>0</x:v>
      </x:c>
      <x:c r="G495" s="8" t="n">
        <x:f>Source!G489/100</x:f>
        <x:v>231.57</x:v>
      </x:c>
      <x:c r="H495" s="8" t="n">
        <x:f>G495-D495</x:f>
        <x:v>231.57</x:v>
      </x:c>
      <x:c r="I495" s="1" t="str">
        <x:f>IF(H495&gt;0,"Overbilled","Shortfall")</x:f>
        <x:v>Overbilled</x:v>
      </x:c>
      <x:c r="J495" s="7"/>
      <x:c r="K495" s="7" t="str">
        <x:v>Open</x:v>
      </x:c>
      <x:c r="L495" s="7"/>
    </x:row>
    <x:row r="496" ht="21" customHeight="1">
      <x:c r="A496" s="1" t="str">
        <x:f>Source!A490</x:f>
        <x:v>C0001332</x:v>
      </x:c>
      <x:c r="B496" s="1" t="str">
        <x:f>_xlfn.IFNA(VLOOKUP(Source!B490,Advertisers!$A$5:$B$34,2,FALSE),"Missing advertiser")</x:f>
        <x:v>Synthetic advertiser 1</x:v>
      </x:c>
      <x:c r="C496" s="1" t="n">
        <x:f>Source!C490</x:f>
        <x:v>61</x:v>
      </x:c>
      <x:c r="D496" s="8" t="n">
        <x:f>Source!D490/100</x:f>
        <x:v>230.56</x:v>
      </x:c>
      <x:c r="E496" s="8" t="n">
        <x:f>Source!E490/100</x:f>
        <x:v>461.12</x:v>
      </x:c>
      <x:c r="F496" s="8" t="n">
        <x:f>Source!F490/100</x:f>
        <x:v>0</x:v>
      </x:c>
      <x:c r="G496" s="8" t="n">
        <x:f>Source!G490/100</x:f>
        <x:v>461.12</x:v>
      </x:c>
      <x:c r="H496" s="8" t="n">
        <x:f>G496-D496</x:f>
        <x:v>230.56</x:v>
      </x:c>
      <x:c r="I496" s="1" t="str">
        <x:f>IF(H496&gt;0,"Overbilled","Shortfall")</x:f>
        <x:v>Overbilled</x:v>
      </x:c>
      <x:c r="J496" s="7"/>
      <x:c r="K496" s="7" t="str">
        <x:v>Open</x:v>
      </x:c>
      <x:c r="L496" s="7"/>
    </x:row>
    <x:row r="497" ht="21" customHeight="1">
      <x:c r="A497" s="1" t="str">
        <x:f>Source!A491</x:f>
        <x:v>C0005370</x:v>
      </x:c>
      <x:c r="B497" s="1" t="str">
        <x:f>_xlfn.IFNA(VLOOKUP(Source!B491,Advertisers!$A$5:$B$34,2,FALSE),"Missing advertiser")</x:f>
        <x:v>Synthetic advertiser 1</x:v>
      </x:c>
      <x:c r="C497" s="1" t="n">
        <x:f>Source!C491</x:f>
        <x:v>61</x:v>
      </x:c>
      <x:c r="D497" s="8" t="n">
        <x:f>Source!D491/100</x:f>
        <x:v>230.56</x:v>
      </x:c>
      <x:c r="E497" s="8" t="n">
        <x:f>Source!E491/100</x:f>
        <x:v>0</x:v>
      </x:c>
      <x:c r="F497" s="8" t="n">
        <x:f>Source!F491/100</x:f>
        <x:v>0</x:v>
      </x:c>
      <x:c r="G497" s="8" t="n">
        <x:f>Source!G491/100</x:f>
        <x:v>0</x:v>
      </x:c>
      <x:c r="H497" s="8" t="n">
        <x:f>G497-D497</x:f>
        <x:v>-230.56</x:v>
      </x:c>
      <x:c r="I497" s="1" t="str">
        <x:f>IF(H497&gt;0,"Overbilled","Shortfall")</x:f>
        <x:v>Shortfall</x:v>
      </x:c>
      <x:c r="J497" s="7"/>
      <x:c r="K497" s="7" t="str">
        <x:v>Open</x:v>
      </x:c>
      <x:c r="L497" s="7"/>
    </x:row>
    <x:row r="498" ht="21" customHeight="1">
      <x:c r="A498" s="1" t="str">
        <x:f>Source!A492</x:f>
        <x:v>C0004680</x:v>
      </x:c>
      <x:c r="B498" s="1" t="str">
        <x:f>_xlfn.IFNA(VLOOKUP(Source!B492,Advertisers!$A$5:$B$34,2,FALSE),"Missing advertiser")</x:f>
        <x:v>Synthetic advertiser 1</x:v>
      </x:c>
      <x:c r="C498" s="1" t="n">
        <x:f>Source!C492</x:f>
        <x:v>61</x:v>
      </x:c>
      <x:c r="D498" s="8" t="n">
        <x:f>Source!D492/100</x:f>
        <x:v>230.56</x:v>
      </x:c>
      <x:c r="E498" s="8" t="n">
        <x:f>Source!E492/100</x:f>
        <x:v>461.12</x:v>
      </x:c>
      <x:c r="F498" s="8" t="n">
        <x:f>Source!F492/100</x:f>
        <x:v>0</x:v>
      </x:c>
      <x:c r="G498" s="8" t="n">
        <x:f>Source!G492/100</x:f>
        <x:v>461.12</x:v>
      </x:c>
      <x:c r="H498" s="8" t="n">
        <x:f>G498-D498</x:f>
        <x:v>230.56</x:v>
      </x:c>
      <x:c r="I498" s="1" t="str">
        <x:f>IF(H498&gt;0,"Overbilled","Shortfall")</x:f>
        <x:v>Overbilled</x:v>
      </x:c>
      <x:c r="J498" s="7"/>
      <x:c r="K498" s="7" t="str">
        <x:v>Open</x:v>
      </x:c>
      <x:c r="L498" s="7"/>
    </x:row>
    <x:row r="499" ht="21" customHeight="1">
      <x:c r="A499" s="1" t="str">
        <x:f>Source!A493</x:f>
        <x:v>C0010952</x:v>
      </x:c>
      <x:c r="B499" s="1" t="str">
        <x:f>_xlfn.IFNA(VLOOKUP(Source!B493,Advertisers!$A$5:$B$34,2,FALSE),"Missing advertiser")</x:f>
        <x:v>Synthetic advertiser 1</x:v>
      </x:c>
      <x:c r="C499" s="1" t="n">
        <x:f>Source!C493</x:f>
        <x:v>61</x:v>
      </x:c>
      <x:c r="D499" s="8" t="n">
        <x:f>Source!D493/100</x:f>
        <x:v>230.56</x:v>
      </x:c>
      <x:c r="E499" s="8" t="n">
        <x:f>Source!E493/100</x:f>
        <x:v>0</x:v>
      </x:c>
      <x:c r="F499" s="8" t="n">
        <x:f>Source!F493/100</x:f>
        <x:v>0</x:v>
      </x:c>
      <x:c r="G499" s="8" t="n">
        <x:f>Source!G493/100</x:f>
        <x:v>0</x:v>
      </x:c>
      <x:c r="H499" s="8" t="n">
        <x:f>G499-D499</x:f>
        <x:v>-230.56</x:v>
      </x:c>
      <x:c r="I499" s="1" t="str">
        <x:f>IF(H499&gt;0,"Overbilled","Shortfall")</x:f>
        <x:v>Shortfall</x:v>
      </x:c>
      <x:c r="J499" s="7"/>
      <x:c r="K499" s="7" t="str">
        <x:v>Open</x:v>
      </x:c>
      <x:c r="L499" s="7"/>
    </x:row>
    <x:row r="500" ht="21" customHeight="1">
      <x:c r="A500" s="1" t="str">
        <x:f>Source!A494</x:f>
        <x:v>C0010321</x:v>
      </x:c>
      <x:c r="B500" s="1" t="str">
        <x:f>_xlfn.IFNA(VLOOKUP(Source!B494,Advertisers!$A$5:$B$34,2,FALSE),"Missing advertiser")</x:f>
        <x:v>Synthetic advertiser 1</x:v>
      </x:c>
      <x:c r="C500" s="1" t="n">
        <x:f>Source!C494</x:f>
        <x:v>61</x:v>
      </x:c>
      <x:c r="D500" s="8" t="n">
        <x:f>Source!D494/100</x:f>
        <x:v>230.56</x:v>
      </x:c>
      <x:c r="E500" s="8" t="n">
        <x:f>Source!E494/100</x:f>
        <x:v>0</x:v>
      </x:c>
      <x:c r="F500" s="8" t="n">
        <x:f>Source!F494/100</x:f>
        <x:v>0</x:v>
      </x:c>
      <x:c r="G500" s="8" t="n">
        <x:f>Source!G494/100</x:f>
        <x:v>0</x:v>
      </x:c>
      <x:c r="H500" s="8" t="n">
        <x:f>G500-D500</x:f>
        <x:v>-230.56</x:v>
      </x:c>
      <x:c r="I500" s="1" t="str">
        <x:f>IF(H500&gt;0,"Overbilled","Shortfall")</x:f>
        <x:v>Shortfall</x:v>
      </x:c>
      <x:c r="J500" s="7"/>
      <x:c r="K500" s="7" t="str">
        <x:v>Open</x:v>
      </x:c>
      <x:c r="L500" s="7"/>
    </x:row>
    <x:row r="501" ht="21" customHeight="1">
      <x:c r="A501" s="1" t="str">
        <x:f>Source!A495</x:f>
        <x:v>C0013802</x:v>
      </x:c>
      <x:c r="B501" s="1" t="str">
        <x:f>_xlfn.IFNA(VLOOKUP(Source!B495,Advertisers!$A$5:$B$34,2,FALSE),"Missing advertiser")</x:f>
        <x:v>Synthetic advertiser 1</x:v>
      </x:c>
      <x:c r="C501" s="1" t="n">
        <x:f>Source!C495</x:f>
        <x:v>61</x:v>
      </x:c>
      <x:c r="D501" s="8" t="n">
        <x:f>Source!D495/100</x:f>
        <x:v>230.56</x:v>
      </x:c>
      <x:c r="E501" s="8" t="n">
        <x:f>Source!E495/100</x:f>
        <x:v>461.12</x:v>
      </x:c>
      <x:c r="F501" s="8" t="n">
        <x:f>Source!F495/100</x:f>
        <x:v>0</x:v>
      </x:c>
      <x:c r="G501" s="8" t="n">
        <x:f>Source!G495/100</x:f>
        <x:v>461.12</x:v>
      </x:c>
      <x:c r="H501" s="8" t="n">
        <x:f>G501-D501</x:f>
        <x:v>230.56</x:v>
      </x:c>
      <x:c r="I501" s="1" t="str">
        <x:f>IF(H501&gt;0,"Overbilled","Shortfall")</x:f>
        <x:v>Overbilled</x:v>
      </x:c>
      <x:c r="J501" s="7"/>
      <x:c r="K501" s="7" t="str">
        <x:v>Open</x:v>
      </x:c>
      <x:c r="L501" s="7"/>
    </x:row>
    <x:row r="502" ht="21" customHeight="1">
      <x:c r="A502" s="1" t="str">
        <x:f>Source!A496</x:f>
        <x:v>C0007758</x:v>
      </x:c>
      <x:c r="B502" s="1" t="str">
        <x:f>_xlfn.IFNA(VLOOKUP(Source!B496,Advertisers!$A$5:$B$34,2,FALSE),"Missing advertiser")</x:f>
        <x:v>Synthetic advertiser 1</x:v>
      </x:c>
      <x:c r="C502" s="1" t="n">
        <x:f>Source!C496</x:f>
        <x:v>61</x:v>
      </x:c>
      <x:c r="D502" s="8" t="n">
        <x:f>Source!D496/100</x:f>
        <x:v>230.56</x:v>
      </x:c>
      <x:c r="E502" s="8" t="n">
        <x:f>Source!E496/100</x:f>
        <x:v>461.12</x:v>
      </x:c>
      <x:c r="F502" s="8" t="n">
        <x:f>Source!F496/100</x:f>
        <x:v>0</x:v>
      </x:c>
      <x:c r="G502" s="8" t="n">
        <x:f>Source!G496/100</x:f>
        <x:v>461.12</x:v>
      </x:c>
      <x:c r="H502" s="8" t="n">
        <x:f>G502-D502</x:f>
        <x:v>230.56</x:v>
      </x:c>
      <x:c r="I502" s="1" t="str">
        <x:f>IF(H502&gt;0,"Overbilled","Shortfall")</x:f>
        <x:v>Overbilled</x:v>
      </x:c>
      <x:c r="J502" s="7"/>
      <x:c r="K502" s="7" t="str">
        <x:v>Open</x:v>
      </x:c>
      <x:c r="L502" s="7"/>
    </x:row>
    <x:row r="503" ht="21" customHeight="1">
      <x:c r="A503" s="1" t="str">
        <x:f>Source!A497</x:f>
        <x:v>C0017534</x:v>
      </x:c>
      <x:c r="B503" s="1" t="str">
        <x:f>_xlfn.IFNA(VLOOKUP(Source!B497,Advertisers!$A$5:$B$34,2,FALSE),"Missing advertiser")</x:f>
        <x:v>Synthetic advertiser 1</x:v>
      </x:c>
      <x:c r="C503" s="1" t="n">
        <x:f>Source!C497</x:f>
        <x:v>61</x:v>
      </x:c>
      <x:c r="D503" s="8" t="n">
        <x:f>Source!D497/100</x:f>
        <x:v>230.56</x:v>
      </x:c>
      <x:c r="E503" s="8" t="n">
        <x:f>Source!E497/100</x:f>
        <x:v>461.12</x:v>
      </x:c>
      <x:c r="F503" s="8" t="n">
        <x:f>Source!F497/100</x:f>
        <x:v>0</x:v>
      </x:c>
      <x:c r="G503" s="8" t="n">
        <x:f>Source!G497/100</x:f>
        <x:v>461.12</x:v>
      </x:c>
      <x:c r="H503" s="8" t="n">
        <x:f>G503-D503</x:f>
        <x:v>230.56</x:v>
      </x:c>
      <x:c r="I503" s="1" t="str">
        <x:f>IF(H503&gt;0,"Overbilled","Shortfall")</x:f>
        <x:v>Overbilled</x:v>
      </x:c>
      <x:c r="J503" s="7"/>
      <x:c r="K503" s="7" t="str">
        <x:v>Open</x:v>
      </x:c>
      <x:c r="L503" s="7"/>
    </x:row>
    <x:row r="504" ht="21" customHeight="1">
      <x:c r="A504" s="1" t="str">
        <x:f>Source!A498</x:f>
        <x:v>C0014209</x:v>
      </x:c>
      <x:c r="B504" s="1" t="str">
        <x:f>_xlfn.IFNA(VLOOKUP(Source!B498,Advertisers!$A$5:$B$34,2,FALSE),"Missing advertiser")</x:f>
        <x:v>Synthetic advertiser 1</x:v>
      </x:c>
      <x:c r="C504" s="1" t="n">
        <x:f>Source!C498</x:f>
        <x:v>61</x:v>
      </x:c>
      <x:c r="D504" s="8" t="n">
        <x:f>Source!D498/100</x:f>
        <x:v>230.56</x:v>
      </x:c>
      <x:c r="E504" s="8" t="n">
        <x:f>Source!E498/100</x:f>
        <x:v>461.12</x:v>
      </x:c>
      <x:c r="F504" s="8" t="n">
        <x:f>Source!F498/100</x:f>
        <x:v>0</x:v>
      </x:c>
      <x:c r="G504" s="8" t="n">
        <x:f>Source!G498/100</x:f>
        <x:v>461.12</x:v>
      </x:c>
      <x:c r="H504" s="8" t="n">
        <x:f>G504-D504</x:f>
        <x:v>230.56</x:v>
      </x:c>
      <x:c r="I504" s="1" t="str">
        <x:f>IF(H504&gt;0,"Overbilled","Shortfall")</x:f>
        <x:v>Overbilled</x:v>
      </x:c>
      <x:c r="J504" s="7"/>
      <x:c r="K504" s="7" t="str">
        <x:v>Open</x:v>
      </x:c>
      <x:c r="L504" s="7"/>
    </x:row>
    <x:row r="505" ht="21" customHeight="1">
      <x:c r="A505" s="1" t="str">
        <x:f>Source!A499</x:f>
        <x:v>C0007946</x:v>
      </x:c>
      <x:c r="B505" s="1" t="str">
        <x:f>_xlfn.IFNA(VLOOKUP(Source!B499,Advertisers!$A$5:$B$34,2,FALSE),"Missing advertiser")</x:f>
        <x:v>Synthetic advertiser 1</x:v>
      </x:c>
      <x:c r="C505" s="1" t="n">
        <x:f>Source!C499</x:f>
        <x:v>61</x:v>
      </x:c>
      <x:c r="D505" s="8" t="n">
        <x:f>Source!D499/100</x:f>
        <x:v>230.56</x:v>
      </x:c>
      <x:c r="E505" s="8" t="n">
        <x:f>Source!E499/100</x:f>
        <x:v>0</x:v>
      </x:c>
      <x:c r="F505" s="8" t="n">
        <x:f>Source!F499/100</x:f>
        <x:v>0</x:v>
      </x:c>
      <x:c r="G505" s="8" t="n">
        <x:f>Source!G499/100</x:f>
        <x:v>0</x:v>
      </x:c>
      <x:c r="H505" s="8" t="n">
        <x:f>G505-D505</x:f>
        <x:v>-230.56</x:v>
      </x:c>
      <x:c r="I505" s="1" t="str">
        <x:f>IF(H505&gt;0,"Overbilled","Shortfall")</x:f>
        <x:v>Shortfall</x:v>
      </x:c>
      <x:c r="J505" s="7"/>
      <x:c r="K505" s="7" t="str">
        <x:v>Open</x:v>
      </x:c>
      <x:c r="L505" s="7"/>
    </x:row>
    <x:row r="506" ht="21" customHeight="1">
      <x:c r="A506" s="1" t="str">
        <x:f>Source!A500</x:f>
        <x:v>C0013769</x:v>
      </x:c>
      <x:c r="B506" s="1" t="str">
        <x:f>_xlfn.IFNA(VLOOKUP(Source!B500,Advertisers!$A$5:$B$34,2,FALSE),"Missing advertiser")</x:f>
        <x:v>Synthetic advertiser 6</x:v>
      </x:c>
      <x:c r="C506" s="1" t="n">
        <x:f>Source!C500</x:f>
        <x:v>96</x:v>
      </x:c>
      <x:c r="D506" s="8" t="n">
        <x:f>Source!D500/100</x:f>
        <x:v>0</x:v>
      </x:c>
      <x:c r="E506" s="8" t="n">
        <x:f>Source!E500/100</x:f>
        <x:v>229.46</x:v>
      </x:c>
      <x:c r="F506" s="8" t="n">
        <x:f>Source!F500/100</x:f>
        <x:v>0</x:v>
      </x:c>
      <x:c r="G506" s="8" t="n">
        <x:f>Source!G500/100</x:f>
        <x:v>229.46</x:v>
      </x:c>
      <x:c r="H506" s="8" t="n">
        <x:f>G506-D506</x:f>
        <x:v>229.46</x:v>
      </x:c>
      <x:c r="I506" s="1" t="str">
        <x:f>IF(H506&gt;0,"Overbilled","Shortfall")</x:f>
        <x:v>Overbilled</x:v>
      </x:c>
      <x:c r="J506" s="7"/>
      <x:c r="K506" s="7" t="str">
        <x:v>Open</x:v>
      </x:c>
      <x:c r="L506" s="7"/>
    </x:row>
    <x:row r="507" ht="21" customHeight="1">
      <x:c r="A507" s="1" t="str">
        <x:f>Source!A501</x:f>
        <x:v>C0000877</x:v>
      </x:c>
      <x:c r="B507" s="1" t="str">
        <x:f>_xlfn.IFNA(VLOOKUP(Source!B501,Advertisers!$A$5:$B$34,2,FALSE),"Missing advertiser")</x:f>
        <x:v>Synthetic advertiser 6</x:v>
      </x:c>
      <x:c r="C507" s="1" t="n">
        <x:f>Source!C501</x:f>
        <x:v>96</x:v>
      </x:c>
      <x:c r="D507" s="8" t="n">
        <x:f>Source!D501/100</x:f>
        <x:v>229.46</x:v>
      </x:c>
      <x:c r="E507" s="8" t="n">
        <x:f>Source!E501/100</x:f>
        <x:v>458.92</x:v>
      </x:c>
      <x:c r="F507" s="8" t="n">
        <x:f>Source!F501/100</x:f>
        <x:v>0</x:v>
      </x:c>
      <x:c r="G507" s="8" t="n">
        <x:f>Source!G501/100</x:f>
        <x:v>458.92</x:v>
      </x:c>
      <x:c r="H507" s="8" t="n">
        <x:f>G507-D507</x:f>
        <x:v>229.46</x:v>
      </x:c>
      <x:c r="I507" s="1" t="str">
        <x:f>IF(H507&gt;0,"Overbilled","Shortfall")</x:f>
        <x:v>Overbilled</x:v>
      </x:c>
      <x:c r="J507" s="7"/>
      <x:c r="K507" s="7" t="str">
        <x:v>Open</x:v>
      </x:c>
      <x:c r="L507" s="7"/>
    </x:row>
    <x:row r="508" ht="21" customHeight="1">
      <x:c r="A508" s="1" t="str">
        <x:f>Source!A502</x:f>
        <x:v>C0003616</x:v>
      </x:c>
      <x:c r="B508" s="1" t="str">
        <x:f>_xlfn.IFNA(VLOOKUP(Source!B502,Advertisers!$A$5:$B$34,2,FALSE),"Missing advertiser")</x:f>
        <x:v>Synthetic advertiser 6</x:v>
      </x:c>
      <x:c r="C508" s="1" t="n">
        <x:f>Source!C502</x:f>
        <x:v>96</x:v>
      </x:c>
      <x:c r="D508" s="8" t="n">
        <x:f>Source!D502/100</x:f>
        <x:v>229.46</x:v>
      </x:c>
      <x:c r="E508" s="8" t="n">
        <x:f>Source!E502/100</x:f>
        <x:v>458.92</x:v>
      </x:c>
      <x:c r="F508" s="8" t="n">
        <x:f>Source!F502/100</x:f>
        <x:v>0</x:v>
      </x:c>
      <x:c r="G508" s="8" t="n">
        <x:f>Source!G502/100</x:f>
        <x:v>458.92</x:v>
      </x:c>
      <x:c r="H508" s="8" t="n">
        <x:f>G508-D508</x:f>
        <x:v>229.46</x:v>
      </x:c>
      <x:c r="I508" s="1" t="str">
        <x:f>IF(H508&gt;0,"Overbilled","Shortfall")</x:f>
        <x:v>Overbilled</x:v>
      </x:c>
      <x:c r="J508" s="7"/>
      <x:c r="K508" s="7" t="str">
        <x:v>Open</x:v>
      </x:c>
      <x:c r="L508" s="7"/>
    </x:row>
    <x:row r="509" ht="21" customHeight="1">
      <x:c r="A509" s="1" t="str">
        <x:f>Source!A503</x:f>
        <x:v>C0008771</x:v>
      </x:c>
      <x:c r="B509" s="1" t="str">
        <x:f>_xlfn.IFNA(VLOOKUP(Source!B503,Advertisers!$A$5:$B$34,2,FALSE),"Missing advertiser")</x:f>
        <x:v>Synthetic advertiser 6</x:v>
      </x:c>
      <x:c r="C509" s="1" t="n">
        <x:f>Source!C503</x:f>
        <x:v>96</x:v>
      </x:c>
      <x:c r="D509" s="8" t="n">
        <x:f>Source!D503/100</x:f>
        <x:v>0</x:v>
      </x:c>
      <x:c r="E509" s="8" t="n">
        <x:f>Source!E503/100</x:f>
        <x:v>229.46</x:v>
      </x:c>
      <x:c r="F509" s="8" t="n">
        <x:f>Source!F503/100</x:f>
        <x:v>0</x:v>
      </x:c>
      <x:c r="G509" s="8" t="n">
        <x:f>Source!G503/100</x:f>
        <x:v>229.46</x:v>
      </x:c>
      <x:c r="H509" s="8" t="n">
        <x:f>G509-D509</x:f>
        <x:v>229.46</x:v>
      </x:c>
      <x:c r="I509" s="1" t="str">
        <x:f>IF(H509&gt;0,"Overbilled","Shortfall")</x:f>
        <x:v>Overbilled</x:v>
      </x:c>
      <x:c r="J509" s="7"/>
      <x:c r="K509" s="7" t="str">
        <x:v>Open</x:v>
      </x:c>
      <x:c r="L509" s="7"/>
    </x:row>
    <x:row r="510" ht="21" customHeight="1">
      <x:c r="A510" s="1" t="str">
        <x:f>Source!A504</x:f>
        <x:v>C0000146</x:v>
      </x:c>
      <x:c r="B510" s="1" t="str">
        <x:f>_xlfn.IFNA(VLOOKUP(Source!B504,Advertisers!$A$5:$B$34,2,FALSE),"Missing advertiser")</x:f>
        <x:v>Synthetic advertiser 19</x:v>
      </x:c>
      <x:c r="C510" s="1" t="n">
        <x:f>Source!C504</x:f>
        <x:v>49</x:v>
      </x:c>
      <x:c r="D510" s="8" t="n">
        <x:f>Source!D504/100</x:f>
        <x:v>229.41</x:v>
      </x:c>
      <x:c r="E510" s="8" t="n">
        <x:f>Source!E504/100</x:f>
        <x:v>458.82</x:v>
      </x:c>
      <x:c r="F510" s="8" t="n">
        <x:f>Source!F504/100</x:f>
        <x:v>0</x:v>
      </x:c>
      <x:c r="G510" s="8" t="n">
        <x:f>Source!G504/100</x:f>
        <x:v>458.82</x:v>
      </x:c>
      <x:c r="H510" s="8" t="n">
        <x:f>G510-D510</x:f>
        <x:v>229.41</x:v>
      </x:c>
      <x:c r="I510" s="1" t="str">
        <x:f>IF(H510&gt;0,"Overbilled","Shortfall")</x:f>
        <x:v>Overbilled</x:v>
      </x:c>
      <x:c r="J510" s="7"/>
      <x:c r="K510" s="7" t="str">
        <x:v>Open</x:v>
      </x:c>
      <x:c r="L510" s="7"/>
    </x:row>
    <x:row r="511" ht="21" customHeight="1">
      <x:c r="A511" s="1" t="str">
        <x:f>Source!A505</x:f>
        <x:v>C0016877</x:v>
      </x:c>
      <x:c r="B511" s="1" t="str">
        <x:f>_xlfn.IFNA(VLOOKUP(Source!B505,Advertisers!$A$5:$B$34,2,FALSE),"Missing advertiser")</x:f>
        <x:v>Synthetic advertiser 19</x:v>
      </x:c>
      <x:c r="C511" s="1" t="n">
        <x:f>Source!C505</x:f>
        <x:v>49</x:v>
      </x:c>
      <x:c r="D511" s="8" t="n">
        <x:f>Source!D505/100</x:f>
        <x:v>229.41</x:v>
      </x:c>
      <x:c r="E511" s="8" t="n">
        <x:f>Source!E505/100</x:f>
        <x:v>458.82</x:v>
      </x:c>
      <x:c r="F511" s="8" t="n">
        <x:f>Source!F505/100</x:f>
        <x:v>0</x:v>
      </x:c>
      <x:c r="G511" s="8" t="n">
        <x:f>Source!G505/100</x:f>
        <x:v>458.82</x:v>
      </x:c>
      <x:c r="H511" s="8" t="n">
        <x:f>G511-D511</x:f>
        <x:v>229.41</x:v>
      </x:c>
      <x:c r="I511" s="1" t="str">
        <x:f>IF(H511&gt;0,"Overbilled","Shortfall")</x:f>
        <x:v>Overbilled</x:v>
      </x:c>
      <x:c r="J511" s="7"/>
      <x:c r="K511" s="7" t="str">
        <x:v>Open</x:v>
      </x:c>
      <x:c r="L511" s="7"/>
    </x:row>
    <x:row r="512" ht="21" customHeight="1">
      <x:c r="A512" s="1" t="str">
        <x:f>Source!A506</x:f>
        <x:v>C0006567</x:v>
      </x:c>
      <x:c r="B512" s="1" t="str">
        <x:f>_xlfn.IFNA(VLOOKUP(Source!B506,Advertisers!$A$5:$B$34,2,FALSE),"Missing advertiser")</x:f>
        <x:v>Synthetic advertiser 19</x:v>
      </x:c>
      <x:c r="C512" s="1" t="n">
        <x:f>Source!C506</x:f>
        <x:v>49</x:v>
      </x:c>
      <x:c r="D512" s="8" t="n">
        <x:f>Source!D506/100</x:f>
        <x:v>229.41</x:v>
      </x:c>
      <x:c r="E512" s="8" t="n">
        <x:f>Source!E506/100</x:f>
        <x:v>458.82</x:v>
      </x:c>
      <x:c r="F512" s="8" t="n">
        <x:f>Source!F506/100</x:f>
        <x:v>0</x:v>
      </x:c>
      <x:c r="G512" s="8" t="n">
        <x:f>Source!G506/100</x:f>
        <x:v>458.82</x:v>
      </x:c>
      <x:c r="H512" s="8" t="n">
        <x:f>G512-D512</x:f>
        <x:v>229.41</x:v>
      </x:c>
      <x:c r="I512" s="1" t="str">
        <x:f>IF(H512&gt;0,"Overbilled","Shortfall")</x:f>
        <x:v>Overbilled</x:v>
      </x:c>
      <x:c r="J512" s="7"/>
      <x:c r="K512" s="7" t="str">
        <x:v>Open</x:v>
      </x:c>
      <x:c r="L512" s="7"/>
    </x:row>
    <x:row r="513" ht="21" customHeight="1">
      <x:c r="A513" s="1" t="str">
        <x:f>Source!A507</x:f>
        <x:v>C0001611</x:v>
      </x:c>
      <x:c r="B513" s="1" t="str">
        <x:f>_xlfn.IFNA(VLOOKUP(Source!B507,Advertisers!$A$5:$B$34,2,FALSE),"Missing advertiser")</x:f>
        <x:v>Synthetic advertiser 19</x:v>
      </x:c>
      <x:c r="C513" s="1" t="n">
        <x:f>Source!C507</x:f>
        <x:v>49</x:v>
      </x:c>
      <x:c r="D513" s="8" t="n">
        <x:f>Source!D507/100</x:f>
        <x:v>229.41</x:v>
      </x:c>
      <x:c r="E513" s="8" t="n">
        <x:f>Source!E507/100</x:f>
        <x:v>458.82</x:v>
      </x:c>
      <x:c r="F513" s="8" t="n">
        <x:f>Source!F507/100</x:f>
        <x:v>0</x:v>
      </x:c>
      <x:c r="G513" s="8" t="n">
        <x:f>Source!G507/100</x:f>
        <x:v>458.82</x:v>
      </x:c>
      <x:c r="H513" s="8" t="n">
        <x:f>G513-D513</x:f>
        <x:v>229.41</x:v>
      </x:c>
      <x:c r="I513" s="1" t="str">
        <x:f>IF(H513&gt;0,"Overbilled","Shortfall")</x:f>
        <x:v>Overbilled</x:v>
      </x:c>
      <x:c r="J513" s="7"/>
      <x:c r="K513" s="7" t="str">
        <x:v>Open</x:v>
      </x:c>
      <x:c r="L513" s="7"/>
    </x:row>
    <x:row r="514" ht="21" customHeight="1">
      <x:c r="A514" s="1" t="str">
        <x:f>Source!A508</x:f>
        <x:v>C0001635</x:v>
      </x:c>
      <x:c r="B514" s="1" t="str">
        <x:f>_xlfn.IFNA(VLOOKUP(Source!B508,Advertisers!$A$5:$B$34,2,FALSE),"Missing advertiser")</x:f>
        <x:v>Synthetic advertiser 19</x:v>
      </x:c>
      <x:c r="C514" s="1" t="n">
        <x:f>Source!C508</x:f>
        <x:v>49</x:v>
      </x:c>
      <x:c r="D514" s="8" t="n">
        <x:f>Source!D508/100</x:f>
        <x:v>229.41</x:v>
      </x:c>
      <x:c r="E514" s="8" t="n">
        <x:f>Source!E508/100</x:f>
        <x:v>458.82</x:v>
      </x:c>
      <x:c r="F514" s="8" t="n">
        <x:f>Source!F508/100</x:f>
        <x:v>0</x:v>
      </x:c>
      <x:c r="G514" s="8" t="n">
        <x:f>Source!G508/100</x:f>
        <x:v>458.82</x:v>
      </x:c>
      <x:c r="H514" s="8" t="n">
        <x:f>G514-D514</x:f>
        <x:v>229.41</x:v>
      </x:c>
      <x:c r="I514" s="1" t="str">
        <x:f>IF(H514&gt;0,"Overbilled","Shortfall")</x:f>
        <x:v>Overbilled</x:v>
      </x:c>
      <x:c r="J514" s="7"/>
      <x:c r="K514" s="7" t="str">
        <x:v>Open</x:v>
      </x:c>
      <x:c r="L514" s="7"/>
    </x:row>
    <x:row r="515" ht="21" customHeight="1">
      <x:c r="A515" s="1" t="str">
        <x:f>Source!A509</x:f>
        <x:v>C0001594</x:v>
      </x:c>
      <x:c r="B515" s="1" t="str">
        <x:f>_xlfn.IFNA(VLOOKUP(Source!B509,Advertisers!$A$5:$B$34,2,FALSE),"Missing advertiser")</x:f>
        <x:v>Synthetic advertiser 19</x:v>
      </x:c>
      <x:c r="C515" s="1" t="n">
        <x:f>Source!C509</x:f>
        <x:v>49</x:v>
      </x:c>
      <x:c r="D515" s="8" t="n">
        <x:f>Source!D509/100</x:f>
        <x:v>229.41</x:v>
      </x:c>
      <x:c r="E515" s="8" t="n">
        <x:f>Source!E509/100</x:f>
        <x:v>458.82</x:v>
      </x:c>
      <x:c r="F515" s="8" t="n">
        <x:f>Source!F509/100</x:f>
        <x:v>0</x:v>
      </x:c>
      <x:c r="G515" s="8" t="n">
        <x:f>Source!G509/100</x:f>
        <x:v>458.82</x:v>
      </x:c>
      <x:c r="H515" s="8" t="n">
        <x:f>G515-D515</x:f>
        <x:v>229.41</x:v>
      </x:c>
      <x:c r="I515" s="1" t="str">
        <x:f>IF(H515&gt;0,"Overbilled","Shortfall")</x:f>
        <x:v>Overbilled</x:v>
      </x:c>
      <x:c r="J515" s="7"/>
      <x:c r="K515" s="7" t="str">
        <x:v>Open</x:v>
      </x:c>
      <x:c r="L515" s="7"/>
    </x:row>
    <x:row r="516" ht="21" customHeight="1">
      <x:c r="A516" s="1" t="str">
        <x:f>Source!A510</x:f>
        <x:v>C0000380</x:v>
      </x:c>
      <x:c r="B516" s="1" t="str">
        <x:f>_xlfn.IFNA(VLOOKUP(Source!B510,Advertisers!$A$5:$B$34,2,FALSE),"Missing advertiser")</x:f>
        <x:v>Synthetic advertiser 19</x:v>
      </x:c>
      <x:c r="C516" s="1" t="n">
        <x:f>Source!C510</x:f>
        <x:v>49</x:v>
      </x:c>
      <x:c r="D516" s="8" t="n">
        <x:f>Source!D510/100</x:f>
        <x:v>229.41</x:v>
      </x:c>
      <x:c r="E516" s="8" t="n">
        <x:f>Source!E510/100</x:f>
        <x:v>458.82</x:v>
      </x:c>
      <x:c r="F516" s="8" t="n">
        <x:f>Source!F510/100</x:f>
        <x:v>0</x:v>
      </x:c>
      <x:c r="G516" s="8" t="n">
        <x:f>Source!G510/100</x:f>
        <x:v>458.82</x:v>
      </x:c>
      <x:c r="H516" s="8" t="n">
        <x:f>G516-D516</x:f>
        <x:v>229.41</x:v>
      </x:c>
      <x:c r="I516" s="1" t="str">
        <x:f>IF(H516&gt;0,"Overbilled","Shortfall")</x:f>
        <x:v>Overbilled</x:v>
      </x:c>
      <x:c r="J516" s="7"/>
      <x:c r="K516" s="7" t="str">
        <x:v>Open</x:v>
      </x:c>
      <x:c r="L516" s="7"/>
    </x:row>
    <x:row r="517" ht="21" customHeight="1">
      <x:c r="A517" s="1" t="str">
        <x:f>Source!A511</x:f>
        <x:v>C0007509</x:v>
      </x:c>
      <x:c r="B517" s="1" t="str">
        <x:f>_xlfn.IFNA(VLOOKUP(Source!B511,Advertisers!$A$5:$B$34,2,FALSE),"Missing advertiser")</x:f>
        <x:v>Synthetic advertiser 19</x:v>
      </x:c>
      <x:c r="C517" s="1" t="n">
        <x:f>Source!C511</x:f>
        <x:v>49</x:v>
      </x:c>
      <x:c r="D517" s="8" t="n">
        <x:f>Source!D511/100</x:f>
        <x:v>229.41</x:v>
      </x:c>
      <x:c r="E517" s="8" t="n">
        <x:f>Source!E511/100</x:f>
        <x:v>0</x:v>
      </x:c>
      <x:c r="F517" s="8" t="n">
        <x:f>Source!F511/100</x:f>
        <x:v>0</x:v>
      </x:c>
      <x:c r="G517" s="8" t="n">
        <x:f>Source!G511/100</x:f>
        <x:v>0</x:v>
      </x:c>
      <x:c r="H517" s="8" t="n">
        <x:f>G517-D517</x:f>
        <x:v>-229.41</x:v>
      </x:c>
      <x:c r="I517" s="1" t="str">
        <x:f>IF(H517&gt;0,"Overbilled","Shortfall")</x:f>
        <x:v>Shortfall</x:v>
      </x:c>
      <x:c r="J517" s="7"/>
      <x:c r="K517" s="7" t="str">
        <x:v>Open</x:v>
      </x:c>
      <x:c r="L517" s="7"/>
    </x:row>
    <x:row r="518" ht="21" customHeight="1">
      <x:c r="A518" s="1" t="str">
        <x:f>Source!A512</x:f>
        <x:v>C0016468</x:v>
      </x:c>
      <x:c r="B518" s="1" t="str">
        <x:f>_xlfn.IFNA(VLOOKUP(Source!B512,Advertisers!$A$5:$B$34,2,FALSE),"Missing advertiser")</x:f>
        <x:v>Synthetic advertiser 22</x:v>
      </x:c>
      <x:c r="C518" s="1" t="n">
        <x:f>Source!C512</x:f>
        <x:v>82</x:v>
      </x:c>
      <x:c r="D518" s="8" t="n">
        <x:f>Source!D512/100</x:f>
        <x:v>0</x:v>
      </x:c>
      <x:c r="E518" s="8" t="n">
        <x:f>Source!E512/100</x:f>
        <x:v>229.4</x:v>
      </x:c>
      <x:c r="F518" s="8" t="n">
        <x:f>Source!F512/100</x:f>
        <x:v>0</x:v>
      </x:c>
      <x:c r="G518" s="8" t="n">
        <x:f>Source!G512/100</x:f>
        <x:v>229.4</x:v>
      </x:c>
      <x:c r="H518" s="8" t="n">
        <x:f>G518-D518</x:f>
        <x:v>229.4</x:v>
      </x:c>
      <x:c r="I518" s="1" t="str">
        <x:f>IF(H518&gt;0,"Overbilled","Shortfall")</x:f>
        <x:v>Overbilled</x:v>
      </x:c>
      <x:c r="J518" s="7"/>
      <x:c r="K518" s="7" t="str">
        <x:v>Open</x:v>
      </x:c>
      <x:c r="L518" s="7"/>
    </x:row>
    <x:row r="519" ht="21" customHeight="1">
      <x:c r="A519" s="1" t="str">
        <x:f>Source!A513</x:f>
        <x:v>C0017899</x:v>
      </x:c>
      <x:c r="B519" s="1" t="str">
        <x:f>_xlfn.IFNA(VLOOKUP(Source!B513,Advertisers!$A$5:$B$34,2,FALSE),"Missing advertiser")</x:f>
        <x:v>Synthetic advertiser 22</x:v>
      </x:c>
      <x:c r="C519" s="1" t="n">
        <x:f>Source!C513</x:f>
        <x:v>82</x:v>
      </x:c>
      <x:c r="D519" s="8" t="n">
        <x:f>Source!D513/100</x:f>
        <x:v>0</x:v>
      </x:c>
      <x:c r="E519" s="8" t="n">
        <x:f>Source!E513/100</x:f>
        <x:v>229.4</x:v>
      </x:c>
      <x:c r="F519" s="8" t="n">
        <x:f>Source!F513/100</x:f>
        <x:v>0</x:v>
      </x:c>
      <x:c r="G519" s="8" t="n">
        <x:f>Source!G513/100</x:f>
        <x:v>229.4</x:v>
      </x:c>
      <x:c r="H519" s="8" t="n">
        <x:f>G519-D519</x:f>
        <x:v>229.4</x:v>
      </x:c>
      <x:c r="I519" s="1" t="str">
        <x:f>IF(H519&gt;0,"Overbilled","Shortfall")</x:f>
        <x:v>Overbilled</x:v>
      </x:c>
      <x:c r="J519" s="7"/>
      <x:c r="K519" s="7" t="str">
        <x:v>Open</x:v>
      </x:c>
      <x:c r="L519" s="7"/>
    </x:row>
    <x:row r="520" ht="21" customHeight="1">
      <x:c r="A520" s="1" t="str">
        <x:f>Source!A514</x:f>
        <x:v>C0004532</x:v>
      </x:c>
      <x:c r="B520" s="1" t="str">
        <x:f>_xlfn.IFNA(VLOOKUP(Source!B514,Advertisers!$A$5:$B$34,2,FALSE),"Missing advertiser")</x:f>
        <x:v>Synthetic advertiser 22</x:v>
      </x:c>
      <x:c r="C520" s="1" t="n">
        <x:f>Source!C514</x:f>
        <x:v>82</x:v>
      </x:c>
      <x:c r="D520" s="8" t="n">
        <x:f>Source!D514/100</x:f>
        <x:v>229.4</x:v>
      </x:c>
      <x:c r="E520" s="8" t="n">
        <x:f>Source!E514/100</x:f>
        <x:v>458.8</x:v>
      </x:c>
      <x:c r="F520" s="8" t="n">
        <x:f>Source!F514/100</x:f>
        <x:v>0</x:v>
      </x:c>
      <x:c r="G520" s="8" t="n">
        <x:f>Source!G514/100</x:f>
        <x:v>458.8</x:v>
      </x:c>
      <x:c r="H520" s="8" t="n">
        <x:f>G520-D520</x:f>
        <x:v>229.4</x:v>
      </x:c>
      <x:c r="I520" s="1" t="str">
        <x:f>IF(H520&gt;0,"Overbilled","Shortfall")</x:f>
        <x:v>Overbilled</x:v>
      </x:c>
      <x:c r="J520" s="7"/>
      <x:c r="K520" s="7" t="str">
        <x:v>Open</x:v>
      </x:c>
      <x:c r="L520" s="7"/>
    </x:row>
    <x:row r="521" ht="21" customHeight="1">
      <x:c r="A521" s="1" t="str">
        <x:f>Source!A515</x:f>
        <x:v>C0015125</x:v>
      </x:c>
      <x:c r="B521" s="1" t="str">
        <x:f>_xlfn.IFNA(VLOOKUP(Source!B515,Advertisers!$A$5:$B$34,2,FALSE),"Missing advertiser")</x:f>
        <x:v>Synthetic advertiser 22</x:v>
      </x:c>
      <x:c r="C521" s="1" t="n">
        <x:f>Source!C515</x:f>
        <x:v>82</x:v>
      </x:c>
      <x:c r="D521" s="8" t="n">
        <x:f>Source!D515/100</x:f>
        <x:v>229.4</x:v>
      </x:c>
      <x:c r="E521" s="8" t="n">
        <x:f>Source!E515/100</x:f>
        <x:v>0</x:v>
      </x:c>
      <x:c r="F521" s="8" t="n">
        <x:f>Source!F515/100</x:f>
        <x:v>0</x:v>
      </x:c>
      <x:c r="G521" s="8" t="n">
        <x:f>Source!G515/100</x:f>
        <x:v>0</x:v>
      </x:c>
      <x:c r="H521" s="8" t="n">
        <x:f>G521-D521</x:f>
        <x:v>-229.4</x:v>
      </x:c>
      <x:c r="I521" s="1" t="str">
        <x:f>IF(H521&gt;0,"Overbilled","Shortfall")</x:f>
        <x:v>Shortfall</x:v>
      </x:c>
      <x:c r="J521" s="7"/>
      <x:c r="K521" s="7" t="str">
        <x:v>Open</x:v>
      </x:c>
      <x:c r="L521" s="7"/>
    </x:row>
    <x:row r="522" ht="21" customHeight="1">
      <x:c r="A522" s="1" t="str">
        <x:f>Source!A516</x:f>
        <x:v>C0016239</x:v>
      </x:c>
      <x:c r="B522" s="1" t="str">
        <x:f>_xlfn.IFNA(VLOOKUP(Source!B516,Advertisers!$A$5:$B$34,2,FALSE),"Missing advertiser")</x:f>
        <x:v>Synthetic advertiser 17</x:v>
      </x:c>
      <x:c r="C522" s="1" t="n">
        <x:f>Source!C516</x:f>
        <x:v>77</x:v>
      </x:c>
      <x:c r="D522" s="8" t="n">
        <x:f>Source!D516/100</x:f>
        <x:v>229.13</x:v>
      </x:c>
      <x:c r="E522" s="8" t="n">
        <x:f>Source!E516/100</x:f>
        <x:v>458.26</x:v>
      </x:c>
      <x:c r="F522" s="8" t="n">
        <x:f>Source!F516/100</x:f>
        <x:v>0</x:v>
      </x:c>
      <x:c r="G522" s="8" t="n">
        <x:f>Source!G516/100</x:f>
        <x:v>458.26</x:v>
      </x:c>
      <x:c r="H522" s="8" t="n">
        <x:f>G522-D522</x:f>
        <x:v>229.13</x:v>
      </x:c>
      <x:c r="I522" s="1" t="str">
        <x:f>IF(H522&gt;0,"Overbilled","Shortfall")</x:f>
        <x:v>Overbilled</x:v>
      </x:c>
      <x:c r="J522" s="7"/>
      <x:c r="K522" s="7" t="str">
        <x:v>Open</x:v>
      </x:c>
      <x:c r="L522" s="7"/>
    </x:row>
    <x:row r="523" ht="21" customHeight="1">
      <x:c r="A523" s="1" t="str">
        <x:f>Source!A517</x:f>
        <x:v>C0013187</x:v>
      </x:c>
      <x:c r="B523" s="1" t="str">
        <x:f>_xlfn.IFNA(VLOOKUP(Source!B517,Advertisers!$A$5:$B$34,2,FALSE),"Missing advertiser")</x:f>
        <x:v>Synthetic advertiser 17</x:v>
      </x:c>
      <x:c r="C523" s="1" t="n">
        <x:f>Source!C517</x:f>
        <x:v>77</x:v>
      </x:c>
      <x:c r="D523" s="8" t="n">
        <x:f>Source!D517/100</x:f>
        <x:v>229.13</x:v>
      </x:c>
      <x:c r="E523" s="8" t="n">
        <x:f>Source!E517/100</x:f>
        <x:v>458.26</x:v>
      </x:c>
      <x:c r="F523" s="8" t="n">
        <x:f>Source!F517/100</x:f>
        <x:v>0</x:v>
      </x:c>
      <x:c r="G523" s="8" t="n">
        <x:f>Source!G517/100</x:f>
        <x:v>458.26</x:v>
      </x:c>
      <x:c r="H523" s="8" t="n">
        <x:f>G523-D523</x:f>
        <x:v>229.13</x:v>
      </x:c>
      <x:c r="I523" s="1" t="str">
        <x:f>IF(H523&gt;0,"Overbilled","Shortfall")</x:f>
        <x:v>Overbilled</x:v>
      </x:c>
      <x:c r="J523" s="7"/>
      <x:c r="K523" s="7" t="str">
        <x:v>Open</x:v>
      </x:c>
      <x:c r="L523" s="7"/>
    </x:row>
    <x:row r="524" ht="21" customHeight="1">
      <x:c r="A524" s="1" t="str">
        <x:f>Source!A518</x:f>
        <x:v>C0001870</x:v>
      </x:c>
      <x:c r="B524" s="1" t="str">
        <x:f>_xlfn.IFNA(VLOOKUP(Source!B518,Advertisers!$A$5:$B$34,2,FALSE),"Missing advertiser")</x:f>
        <x:v>Synthetic advertiser 17</x:v>
      </x:c>
      <x:c r="C524" s="1" t="n">
        <x:f>Source!C518</x:f>
        <x:v>77</x:v>
      </x:c>
      <x:c r="D524" s="8" t="n">
        <x:f>Source!D518/100</x:f>
        <x:v>229.13</x:v>
      </x:c>
      <x:c r="E524" s="8" t="n">
        <x:f>Source!E518/100</x:f>
        <x:v>458.26</x:v>
      </x:c>
      <x:c r="F524" s="8" t="n">
        <x:f>Source!F518/100</x:f>
        <x:v>0</x:v>
      </x:c>
      <x:c r="G524" s="8" t="n">
        <x:f>Source!G518/100</x:f>
        <x:v>458.26</x:v>
      </x:c>
      <x:c r="H524" s="8" t="n">
        <x:f>G524-D524</x:f>
        <x:v>229.13</x:v>
      </x:c>
      <x:c r="I524" s="1" t="str">
        <x:f>IF(H524&gt;0,"Overbilled","Shortfall")</x:f>
        <x:v>Overbilled</x:v>
      </x:c>
      <x:c r="J524" s="7"/>
      <x:c r="K524" s="7" t="str">
        <x:v>Open</x:v>
      </x:c>
      <x:c r="L524" s="7"/>
    </x:row>
    <x:row r="525" ht="21" customHeight="1">
      <x:c r="A525" s="1" t="str">
        <x:f>Source!A519</x:f>
        <x:v>C0017324</x:v>
      </x:c>
      <x:c r="B525" s="1" t="str">
        <x:f>_xlfn.IFNA(VLOOKUP(Source!B519,Advertisers!$A$5:$B$34,2,FALSE),"Missing advertiser")</x:f>
        <x:v>Synthetic advertiser 17</x:v>
      </x:c>
      <x:c r="C525" s="1" t="n">
        <x:f>Source!C519</x:f>
        <x:v>77</x:v>
      </x:c>
      <x:c r="D525" s="8" t="n">
        <x:f>Source!D519/100</x:f>
        <x:v>229.13</x:v>
      </x:c>
      <x:c r="E525" s="8" t="n">
        <x:f>Source!E519/100</x:f>
        <x:v>0</x:v>
      </x:c>
      <x:c r="F525" s="8" t="n">
        <x:f>Source!F519/100</x:f>
        <x:v>0</x:v>
      </x:c>
      <x:c r="G525" s="8" t="n">
        <x:f>Source!G519/100</x:f>
        <x:v>0</x:v>
      </x:c>
      <x:c r="H525" s="8" t="n">
        <x:f>G525-D525</x:f>
        <x:v>-229.13</x:v>
      </x:c>
      <x:c r="I525" s="1" t="str">
        <x:f>IF(H525&gt;0,"Overbilled","Shortfall")</x:f>
        <x:v>Shortfall</x:v>
      </x:c>
      <x:c r="J525" s="7"/>
      <x:c r="K525" s="7" t="str">
        <x:v>Open</x:v>
      </x:c>
      <x:c r="L525" s="7"/>
    </x:row>
    <x:row r="526" ht="21" customHeight="1">
      <x:c r="A526" s="1" t="str">
        <x:f>Source!A520</x:f>
        <x:v>C0017123</x:v>
      </x:c>
      <x:c r="B526" s="1" t="str">
        <x:f>_xlfn.IFNA(VLOOKUP(Source!B520,Advertisers!$A$5:$B$34,2,FALSE),"Missing advertiser")</x:f>
        <x:v>Synthetic advertiser 17</x:v>
      </x:c>
      <x:c r="C526" s="1" t="n">
        <x:f>Source!C520</x:f>
        <x:v>77</x:v>
      </x:c>
      <x:c r="D526" s="8" t="n">
        <x:f>Source!D520/100</x:f>
        <x:v>229.13</x:v>
      </x:c>
      <x:c r="E526" s="8" t="n">
        <x:f>Source!E520/100</x:f>
        <x:v>0</x:v>
      </x:c>
      <x:c r="F526" s="8" t="n">
        <x:f>Source!F520/100</x:f>
        <x:v>0</x:v>
      </x:c>
      <x:c r="G526" s="8" t="n">
        <x:f>Source!G520/100</x:f>
        <x:v>0</x:v>
      </x:c>
      <x:c r="H526" s="8" t="n">
        <x:f>G526-D526</x:f>
        <x:v>-229.13</x:v>
      </x:c>
      <x:c r="I526" s="1" t="str">
        <x:f>IF(H526&gt;0,"Overbilled","Shortfall")</x:f>
        <x:v>Shortfall</x:v>
      </x:c>
      <x:c r="J526" s="7"/>
      <x:c r="K526" s="7" t="str">
        <x:v>Open</x:v>
      </x:c>
      <x:c r="L526" s="7"/>
    </x:row>
    <x:row r="527" ht="21" customHeight="1">
      <x:c r="A527" s="1" t="str">
        <x:f>Source!A521</x:f>
        <x:v>C0017288</x:v>
      </x:c>
      <x:c r="B527" s="1" t="str">
        <x:f>_xlfn.IFNA(VLOOKUP(Source!B521,Advertisers!$A$5:$B$34,2,FALSE),"Missing advertiser")</x:f>
        <x:v>Synthetic advertiser 17</x:v>
      </x:c>
      <x:c r="C527" s="1" t="n">
        <x:f>Source!C521</x:f>
        <x:v>77</x:v>
      </x:c>
      <x:c r="D527" s="8" t="n">
        <x:f>Source!D521/100</x:f>
        <x:v>229.13</x:v>
      </x:c>
      <x:c r="E527" s="8" t="n">
        <x:f>Source!E521/100</x:f>
        <x:v>458.26</x:v>
      </x:c>
      <x:c r="F527" s="8" t="n">
        <x:f>Source!F521/100</x:f>
        <x:v>0</x:v>
      </x:c>
      <x:c r="G527" s="8" t="n">
        <x:f>Source!G521/100</x:f>
        <x:v>458.26</x:v>
      </x:c>
      <x:c r="H527" s="8" t="n">
        <x:f>G527-D527</x:f>
        <x:v>229.13</x:v>
      </x:c>
      <x:c r="I527" s="1" t="str">
        <x:f>IF(H527&gt;0,"Overbilled","Shortfall")</x:f>
        <x:v>Overbilled</x:v>
      </x:c>
      <x:c r="J527" s="7"/>
      <x:c r="K527" s="7" t="str">
        <x:v>Open</x:v>
      </x:c>
      <x:c r="L527" s="7"/>
    </x:row>
    <x:row r="528" ht="21" customHeight="1">
      <x:c r="A528" s="1" t="str">
        <x:f>Source!A522</x:f>
        <x:v>C0001621</x:v>
      </x:c>
      <x:c r="B528" s="1" t="str">
        <x:f>_xlfn.IFNA(VLOOKUP(Source!B522,Advertisers!$A$5:$B$34,2,FALSE),"Missing advertiser")</x:f>
        <x:v>Synthetic advertiser 17</x:v>
      </x:c>
      <x:c r="C528" s="1" t="n">
        <x:f>Source!C522</x:f>
        <x:v>77</x:v>
      </x:c>
      <x:c r="D528" s="8" t="n">
        <x:f>Source!D522/100</x:f>
        <x:v>229.13</x:v>
      </x:c>
      <x:c r="E528" s="8" t="n">
        <x:f>Source!E522/100</x:f>
        <x:v>0</x:v>
      </x:c>
      <x:c r="F528" s="8" t="n">
        <x:f>Source!F522/100</x:f>
        <x:v>0</x:v>
      </x:c>
      <x:c r="G528" s="8" t="n">
        <x:f>Source!G522/100</x:f>
        <x:v>0</x:v>
      </x:c>
      <x:c r="H528" s="8" t="n">
        <x:f>G528-D528</x:f>
        <x:v>-229.13</x:v>
      </x:c>
      <x:c r="I528" s="1" t="str">
        <x:f>IF(H528&gt;0,"Overbilled","Shortfall")</x:f>
        <x:v>Shortfall</x:v>
      </x:c>
      <x:c r="J528" s="7"/>
      <x:c r="K528" s="7" t="str">
        <x:v>Open</x:v>
      </x:c>
      <x:c r="L528" s="7"/>
    </x:row>
    <x:row r="529" ht="21" customHeight="1">
      <x:c r="A529" s="1" t="str">
        <x:f>Source!A523</x:f>
        <x:v>C0014738</x:v>
      </x:c>
      <x:c r="B529" s="1" t="str">
        <x:f>_xlfn.IFNA(VLOOKUP(Source!B523,Advertisers!$A$5:$B$34,2,FALSE),"Missing advertiser")</x:f>
        <x:v>Synthetic advertiser 17</x:v>
      </x:c>
      <x:c r="C529" s="1" t="n">
        <x:f>Source!C523</x:f>
        <x:v>77</x:v>
      </x:c>
      <x:c r="D529" s="8" t="n">
        <x:f>Source!D523/100</x:f>
        <x:v>229.13</x:v>
      </x:c>
      <x:c r="E529" s="8" t="n">
        <x:f>Source!E523/100</x:f>
        <x:v>0</x:v>
      </x:c>
      <x:c r="F529" s="8" t="n">
        <x:f>Source!F523/100</x:f>
        <x:v>0</x:v>
      </x:c>
      <x:c r="G529" s="8" t="n">
        <x:f>Source!G523/100</x:f>
        <x:v>0</x:v>
      </x:c>
      <x:c r="H529" s="8" t="n">
        <x:f>G529-D529</x:f>
        <x:v>-229.13</x:v>
      </x:c>
      <x:c r="I529" s="1" t="str">
        <x:f>IF(H529&gt;0,"Overbilled","Shortfall")</x:f>
        <x:v>Shortfall</x:v>
      </x:c>
      <x:c r="J529" s="7"/>
      <x:c r="K529" s="7" t="str">
        <x:v>Open</x:v>
      </x:c>
      <x:c r="L529" s="7"/>
    </x:row>
    <x:row r="530" ht="21" customHeight="1">
      <x:c r="A530" s="1" t="str">
        <x:f>Source!A524</x:f>
        <x:v>C0006650</x:v>
      </x:c>
      <x:c r="B530" s="1" t="str">
        <x:f>_xlfn.IFNA(VLOOKUP(Source!B524,Advertisers!$A$5:$B$34,2,FALSE),"Missing advertiser")</x:f>
        <x:v>Synthetic advertiser 17</x:v>
      </x:c>
      <x:c r="C530" s="1" t="n">
        <x:f>Source!C524</x:f>
        <x:v>77</x:v>
      </x:c>
      <x:c r="D530" s="8" t="n">
        <x:f>Source!D524/100</x:f>
        <x:v>229.13</x:v>
      </x:c>
      <x:c r="E530" s="8" t="n">
        <x:f>Source!E524/100</x:f>
        <x:v>458.26</x:v>
      </x:c>
      <x:c r="F530" s="8" t="n">
        <x:f>Source!F524/100</x:f>
        <x:v>0</x:v>
      </x:c>
      <x:c r="G530" s="8" t="n">
        <x:f>Source!G524/100</x:f>
        <x:v>458.26</x:v>
      </x:c>
      <x:c r="H530" s="8" t="n">
        <x:f>G530-D530</x:f>
        <x:v>229.13</x:v>
      </x:c>
      <x:c r="I530" s="1" t="str">
        <x:f>IF(H530&gt;0,"Overbilled","Shortfall")</x:f>
        <x:v>Overbilled</x:v>
      </x:c>
      <x:c r="J530" s="7"/>
      <x:c r="K530" s="7" t="str">
        <x:v>Open</x:v>
      </x:c>
      <x:c r="L530" s="7"/>
    </x:row>
    <x:row r="531" ht="21" customHeight="1">
      <x:c r="A531" s="1" t="str">
        <x:f>Source!A525</x:f>
        <x:v>C0011014</x:v>
      </x:c>
      <x:c r="B531" s="1" t="str">
        <x:f>_xlfn.IFNA(VLOOKUP(Source!B525,Advertisers!$A$5:$B$34,2,FALSE),"Missing advertiser")</x:f>
        <x:v>Synthetic advertiser 25</x:v>
      </x:c>
      <x:c r="C531" s="1" t="n">
        <x:f>Source!C525</x:f>
        <x:v>115</x:v>
      </x:c>
      <x:c r="D531" s="8" t="n">
        <x:f>Source!D525/100</x:f>
        <x:v>228.6</x:v>
      </x:c>
      <x:c r="E531" s="8" t="n">
        <x:f>Source!E525/100</x:f>
        <x:v>457.2</x:v>
      </x:c>
      <x:c r="F531" s="8" t="n">
        <x:f>Source!F525/100</x:f>
        <x:v>0</x:v>
      </x:c>
      <x:c r="G531" s="8" t="n">
        <x:f>Source!G525/100</x:f>
        <x:v>457.2</x:v>
      </x:c>
      <x:c r="H531" s="8" t="n">
        <x:f>G531-D531</x:f>
        <x:v>228.6</x:v>
      </x:c>
      <x:c r="I531" s="1" t="str">
        <x:f>IF(H531&gt;0,"Overbilled","Shortfall")</x:f>
        <x:v>Overbilled</x:v>
      </x:c>
      <x:c r="J531" s="7"/>
      <x:c r="K531" s="7" t="str">
        <x:v>Open</x:v>
      </x:c>
      <x:c r="L531" s="7"/>
    </x:row>
    <x:row r="532" ht="21" customHeight="1">
      <x:c r="A532" s="1" t="str">
        <x:f>Source!A526</x:f>
        <x:v>C0012533</x:v>
      </x:c>
      <x:c r="B532" s="1" t="str">
        <x:f>_xlfn.IFNA(VLOOKUP(Source!B526,Advertisers!$A$5:$B$34,2,FALSE),"Missing advertiser")</x:f>
        <x:v>Synthetic advertiser 25</x:v>
      </x:c>
      <x:c r="C532" s="1" t="n">
        <x:f>Source!C526</x:f>
        <x:v>115</x:v>
      </x:c>
      <x:c r="D532" s="8" t="n">
        <x:f>Source!D526/100</x:f>
        <x:v>228.6</x:v>
      </x:c>
      <x:c r="E532" s="8" t="n">
        <x:f>Source!E526/100</x:f>
        <x:v>457.2</x:v>
      </x:c>
      <x:c r="F532" s="8" t="n">
        <x:f>Source!F526/100</x:f>
        <x:v>0</x:v>
      </x:c>
      <x:c r="G532" s="8" t="n">
        <x:f>Source!G526/100</x:f>
        <x:v>457.2</x:v>
      </x:c>
      <x:c r="H532" s="8" t="n">
        <x:f>G532-D532</x:f>
        <x:v>228.6</x:v>
      </x:c>
      <x:c r="I532" s="1" t="str">
        <x:f>IF(H532&gt;0,"Overbilled","Shortfall")</x:f>
        <x:v>Overbilled</x:v>
      </x:c>
      <x:c r="J532" s="7"/>
      <x:c r="K532" s="7" t="str">
        <x:v>Open</x:v>
      </x:c>
      <x:c r="L532" s="7"/>
    </x:row>
    <x:row r="533" ht="21" customHeight="1">
      <x:c r="A533" s="1" t="str">
        <x:f>Source!A527</x:f>
        <x:v>C0014135</x:v>
      </x:c>
      <x:c r="B533" s="1" t="str">
        <x:f>_xlfn.IFNA(VLOOKUP(Source!B527,Advertisers!$A$5:$B$34,2,FALSE),"Missing advertiser")</x:f>
        <x:v>Synthetic advertiser 25</x:v>
      </x:c>
      <x:c r="C533" s="1" t="n">
        <x:f>Source!C527</x:f>
        <x:v>115</x:v>
      </x:c>
      <x:c r="D533" s="8" t="n">
        <x:f>Source!D527/100</x:f>
        <x:v>228.6</x:v>
      </x:c>
      <x:c r="E533" s="8" t="n">
        <x:f>Source!E527/100</x:f>
        <x:v>457.2</x:v>
      </x:c>
      <x:c r="F533" s="8" t="n">
        <x:f>Source!F527/100</x:f>
        <x:v>0</x:v>
      </x:c>
      <x:c r="G533" s="8" t="n">
        <x:f>Source!G527/100</x:f>
        <x:v>457.2</x:v>
      </x:c>
      <x:c r="H533" s="8" t="n">
        <x:f>G533-D533</x:f>
        <x:v>228.6</x:v>
      </x:c>
      <x:c r="I533" s="1" t="str">
        <x:f>IF(H533&gt;0,"Overbilled","Shortfall")</x:f>
        <x:v>Overbilled</x:v>
      </x:c>
      <x:c r="J533" s="7"/>
      <x:c r="K533" s="7" t="str">
        <x:v>Open</x:v>
      </x:c>
      <x:c r="L533" s="7"/>
    </x:row>
    <x:row r="534" ht="21" customHeight="1">
      <x:c r="A534" s="1" t="str">
        <x:f>Source!A528</x:f>
        <x:v>C0016117</x:v>
      </x:c>
      <x:c r="B534" s="1" t="str">
        <x:f>_xlfn.IFNA(VLOOKUP(Source!B528,Advertisers!$A$5:$B$34,2,FALSE),"Missing advertiser")</x:f>
        <x:v>Synthetic advertiser 25</x:v>
      </x:c>
      <x:c r="C534" s="1" t="n">
        <x:f>Source!C528</x:f>
        <x:v>115</x:v>
      </x:c>
      <x:c r="D534" s="8" t="n">
        <x:f>Source!D528/100</x:f>
        <x:v>228.6</x:v>
      </x:c>
      <x:c r="E534" s="8" t="n">
        <x:f>Source!E528/100</x:f>
        <x:v>457.2</x:v>
      </x:c>
      <x:c r="F534" s="8" t="n">
        <x:f>Source!F528/100</x:f>
        <x:v>0</x:v>
      </x:c>
      <x:c r="G534" s="8" t="n">
        <x:f>Source!G528/100</x:f>
        <x:v>457.2</x:v>
      </x:c>
      <x:c r="H534" s="8" t="n">
        <x:f>G534-D534</x:f>
        <x:v>228.6</x:v>
      </x:c>
      <x:c r="I534" s="1" t="str">
        <x:f>IF(H534&gt;0,"Overbilled","Shortfall")</x:f>
        <x:v>Overbilled</x:v>
      </x:c>
      <x:c r="J534" s="7"/>
      <x:c r="K534" s="7" t="str">
        <x:v>Open</x:v>
      </x:c>
      <x:c r="L534" s="7"/>
    </x:row>
    <x:row r="535" ht="21" customHeight="1">
      <x:c r="A535" s="1" t="str">
        <x:f>Source!A529</x:f>
        <x:v>C0000517</x:v>
      </x:c>
      <x:c r="B535" s="1" t="str">
        <x:f>_xlfn.IFNA(VLOOKUP(Source!B529,Advertisers!$A$5:$B$34,2,FALSE),"Missing advertiser")</x:f>
        <x:v>Synthetic advertiser 5</x:v>
      </x:c>
      <x:c r="C535" s="1" t="n">
        <x:f>Source!C529</x:f>
        <x:v>35</x:v>
      </x:c>
      <x:c r="D535" s="8" t="n">
        <x:f>Source!D529/100</x:f>
        <x:v>228.28</x:v>
      </x:c>
      <x:c r="E535" s="8" t="n">
        <x:f>Source!E529/100</x:f>
        <x:v>0</x:v>
      </x:c>
      <x:c r="F535" s="8" t="n">
        <x:f>Source!F529/100</x:f>
        <x:v>0</x:v>
      </x:c>
      <x:c r="G535" s="8" t="n">
        <x:f>Source!G529/100</x:f>
        <x:v>0</x:v>
      </x:c>
      <x:c r="H535" s="8" t="n">
        <x:f>G535-D535</x:f>
        <x:v>-228.28</x:v>
      </x:c>
      <x:c r="I535" s="1" t="str">
        <x:f>IF(H535&gt;0,"Overbilled","Shortfall")</x:f>
        <x:v>Shortfall</x:v>
      </x:c>
      <x:c r="J535" s="7"/>
      <x:c r="K535" s="7" t="str">
        <x:v>Open</x:v>
      </x:c>
      <x:c r="L535" s="7"/>
    </x:row>
    <x:row r="536" ht="21" customHeight="1">
      <x:c r="A536" s="1" t="str">
        <x:f>Source!A530</x:f>
        <x:v>C0000506</x:v>
      </x:c>
      <x:c r="B536" s="1" t="str">
        <x:f>_xlfn.IFNA(VLOOKUP(Source!B530,Advertisers!$A$5:$B$34,2,FALSE),"Missing advertiser")</x:f>
        <x:v>Synthetic advertiser 5</x:v>
      </x:c>
      <x:c r="C536" s="1" t="n">
        <x:f>Source!C530</x:f>
        <x:v>35</x:v>
      </x:c>
      <x:c r="D536" s="8" t="n">
        <x:f>Source!D530/100</x:f>
        <x:v>228.28</x:v>
      </x:c>
      <x:c r="E536" s="8" t="n">
        <x:f>Source!E530/100</x:f>
        <x:v>0</x:v>
      </x:c>
      <x:c r="F536" s="8" t="n">
        <x:f>Source!F530/100</x:f>
        <x:v>0</x:v>
      </x:c>
      <x:c r="G536" s="8" t="n">
        <x:f>Source!G530/100</x:f>
        <x:v>0</x:v>
      </x:c>
      <x:c r="H536" s="8" t="n">
        <x:f>G536-D536</x:f>
        <x:v>-228.28</x:v>
      </x:c>
      <x:c r="I536" s="1" t="str">
        <x:f>IF(H536&gt;0,"Overbilled","Shortfall")</x:f>
        <x:v>Shortfall</x:v>
      </x:c>
      <x:c r="J536" s="7"/>
      <x:c r="K536" s="7" t="str">
        <x:v>Open</x:v>
      </x:c>
      <x:c r="L536" s="7"/>
    </x:row>
    <x:row r="537" ht="21" customHeight="1">
      <x:c r="A537" s="1" t="str">
        <x:f>Source!A531</x:f>
        <x:v>C0008500</x:v>
      </x:c>
      <x:c r="B537" s="1" t="str">
        <x:f>_xlfn.IFNA(VLOOKUP(Source!B531,Advertisers!$A$5:$B$34,2,FALSE),"Missing advertiser")</x:f>
        <x:v>Synthetic advertiser 5</x:v>
      </x:c>
      <x:c r="C537" s="1" t="n">
        <x:f>Source!C531</x:f>
        <x:v>35</x:v>
      </x:c>
      <x:c r="D537" s="8" t="n">
        <x:f>Source!D531/100</x:f>
        <x:v>228.28</x:v>
      </x:c>
      <x:c r="E537" s="8" t="n">
        <x:f>Source!E531/100</x:f>
        <x:v>0</x:v>
      </x:c>
      <x:c r="F537" s="8" t="n">
        <x:f>Source!F531/100</x:f>
        <x:v>0</x:v>
      </x:c>
      <x:c r="G537" s="8" t="n">
        <x:f>Source!G531/100</x:f>
        <x:v>0</x:v>
      </x:c>
      <x:c r="H537" s="8" t="n">
        <x:f>G537-D537</x:f>
        <x:v>-228.28</x:v>
      </x:c>
      <x:c r="I537" s="1" t="str">
        <x:f>IF(H537&gt;0,"Overbilled","Shortfall")</x:f>
        <x:v>Shortfall</x:v>
      </x:c>
      <x:c r="J537" s="7"/>
      <x:c r="K537" s="7" t="str">
        <x:v>Open</x:v>
      </x:c>
      <x:c r="L537" s="7"/>
    </x:row>
    <x:row r="538" ht="21" customHeight="1">
      <x:c r="A538" s="1" t="str">
        <x:f>Source!A532</x:f>
        <x:v>C0000861</x:v>
      </x:c>
      <x:c r="B538" s="1" t="str">
        <x:f>_xlfn.IFNA(VLOOKUP(Source!B532,Advertisers!$A$5:$B$34,2,FALSE),"Missing advertiser")</x:f>
        <x:v>Synthetic advertiser 5</x:v>
      </x:c>
      <x:c r="C538" s="1" t="n">
        <x:f>Source!C532</x:f>
        <x:v>35</x:v>
      </x:c>
      <x:c r="D538" s="8" t="n">
        <x:f>Source!D532/100</x:f>
        <x:v>228.28</x:v>
      </x:c>
      <x:c r="E538" s="8" t="n">
        <x:f>Source!E532/100</x:f>
        <x:v>456.56</x:v>
      </x:c>
      <x:c r="F538" s="8" t="n">
        <x:f>Source!F532/100</x:f>
        <x:v>0</x:v>
      </x:c>
      <x:c r="G538" s="8" t="n">
        <x:f>Source!G532/100</x:f>
        <x:v>456.56</x:v>
      </x:c>
      <x:c r="H538" s="8" t="n">
        <x:f>G538-D538</x:f>
        <x:v>228.28</x:v>
      </x:c>
      <x:c r="I538" s="1" t="str">
        <x:f>IF(H538&gt;0,"Overbilled","Shortfall")</x:f>
        <x:v>Overbilled</x:v>
      </x:c>
      <x:c r="J538" s="7"/>
      <x:c r="K538" s="7" t="str">
        <x:v>Open</x:v>
      </x:c>
      <x:c r="L538" s="7"/>
    </x:row>
    <x:row r="539" ht="21" customHeight="1">
      <x:c r="A539" s="1" t="str">
        <x:f>Source!A533</x:f>
        <x:v>C0003045</x:v>
      </x:c>
      <x:c r="B539" s="1" t="str">
        <x:f>_xlfn.IFNA(VLOOKUP(Source!B533,Advertisers!$A$5:$B$34,2,FALSE),"Missing advertiser")</x:f>
        <x:v>Synthetic advertiser 5</x:v>
      </x:c>
      <x:c r="C539" s="1" t="n">
        <x:f>Source!C533</x:f>
        <x:v>35</x:v>
      </x:c>
      <x:c r="D539" s="8" t="n">
        <x:f>Source!D533/100</x:f>
        <x:v>228.28</x:v>
      </x:c>
      <x:c r="E539" s="8" t="n">
        <x:f>Source!E533/100</x:f>
        <x:v>0</x:v>
      </x:c>
      <x:c r="F539" s="8" t="n">
        <x:f>Source!F533/100</x:f>
        <x:v>0</x:v>
      </x:c>
      <x:c r="G539" s="8" t="n">
        <x:f>Source!G533/100</x:f>
        <x:v>0</x:v>
      </x:c>
      <x:c r="H539" s="8" t="n">
        <x:f>G539-D539</x:f>
        <x:v>-228.28</x:v>
      </x:c>
      <x:c r="I539" s="1" t="str">
        <x:f>IF(H539&gt;0,"Overbilled","Shortfall")</x:f>
        <x:v>Shortfall</x:v>
      </x:c>
      <x:c r="J539" s="7"/>
      <x:c r="K539" s="7" t="str">
        <x:v>Open</x:v>
      </x:c>
      <x:c r="L539" s="7"/>
    </x:row>
    <x:row r="540" ht="21" customHeight="1">
      <x:c r="A540" s="1" t="str">
        <x:f>Source!A534</x:f>
        <x:v>C0017688</x:v>
      </x:c>
      <x:c r="B540" s="1" t="str">
        <x:f>_xlfn.IFNA(VLOOKUP(Source!B534,Advertisers!$A$5:$B$34,2,FALSE),"Missing advertiser")</x:f>
        <x:v>Synthetic advertiser 5</x:v>
      </x:c>
      <x:c r="C540" s="1" t="n">
        <x:f>Source!C534</x:f>
        <x:v>35</x:v>
      </x:c>
      <x:c r="D540" s="8" t="n">
        <x:f>Source!D534/100</x:f>
        <x:v>0</x:v>
      </x:c>
      <x:c r="E540" s="8" t="n">
        <x:f>Source!E534/100</x:f>
        <x:v>228.28</x:v>
      </x:c>
      <x:c r="F540" s="8" t="n">
        <x:f>Source!F534/100</x:f>
        <x:v>0</x:v>
      </x:c>
      <x:c r="G540" s="8" t="n">
        <x:f>Source!G534/100</x:f>
        <x:v>228.28</x:v>
      </x:c>
      <x:c r="H540" s="8" t="n">
        <x:f>G540-D540</x:f>
        <x:v>228.28</x:v>
      </x:c>
      <x:c r="I540" s="1" t="str">
        <x:f>IF(H540&gt;0,"Overbilled","Shortfall")</x:f>
        <x:v>Overbilled</x:v>
      </x:c>
      <x:c r="J540" s="7"/>
      <x:c r="K540" s="7" t="str">
        <x:v>Open</x:v>
      </x:c>
      <x:c r="L540" s="7"/>
    </x:row>
    <x:row r="541" ht="21" customHeight="1">
      <x:c r="A541" s="1" t="str">
        <x:f>Source!A535</x:f>
        <x:v>C0012570</x:v>
      </x:c>
      <x:c r="B541" s="1" t="str">
        <x:f>_xlfn.IFNA(VLOOKUP(Source!B535,Advertisers!$A$5:$B$34,2,FALSE),"Missing advertiser")</x:f>
        <x:v>Synthetic advertiser 5</x:v>
      </x:c>
      <x:c r="C541" s="1" t="n">
        <x:f>Source!C535</x:f>
        <x:v>35</x:v>
      </x:c>
      <x:c r="D541" s="8" t="n">
        <x:f>Source!D535/100</x:f>
        <x:v>228.28</x:v>
      </x:c>
      <x:c r="E541" s="8" t="n">
        <x:f>Source!E535/100</x:f>
        <x:v>456.56</x:v>
      </x:c>
      <x:c r="F541" s="8" t="n">
        <x:f>Source!F535/100</x:f>
        <x:v>0</x:v>
      </x:c>
      <x:c r="G541" s="8" t="n">
        <x:f>Source!G535/100</x:f>
        <x:v>456.56</x:v>
      </x:c>
      <x:c r="H541" s="8" t="n">
        <x:f>G541-D541</x:f>
        <x:v>228.28</x:v>
      </x:c>
      <x:c r="I541" s="1" t="str">
        <x:f>IF(H541&gt;0,"Overbilled","Shortfall")</x:f>
        <x:v>Overbilled</x:v>
      </x:c>
      <x:c r="J541" s="7"/>
      <x:c r="K541" s="7" t="str">
        <x:v>Open</x:v>
      </x:c>
      <x:c r="L541" s="7"/>
    </x:row>
    <x:row r="542" ht="21" customHeight="1">
      <x:c r="A542" s="1" t="str">
        <x:f>Source!A536</x:f>
        <x:v>C0011801</x:v>
      </x:c>
      <x:c r="B542" s="1" t="str">
        <x:f>_xlfn.IFNA(VLOOKUP(Source!B536,Advertisers!$A$5:$B$34,2,FALSE),"Missing advertiser")</x:f>
        <x:v>Synthetic advertiser 5</x:v>
      </x:c>
      <x:c r="C542" s="1" t="n">
        <x:f>Source!C536</x:f>
        <x:v>35</x:v>
      </x:c>
      <x:c r="D542" s="8" t="n">
        <x:f>Source!D536/100</x:f>
        <x:v>0</x:v>
      </x:c>
      <x:c r="E542" s="8" t="n">
        <x:f>Source!E536/100</x:f>
        <x:v>228.28</x:v>
      </x:c>
      <x:c r="F542" s="8" t="n">
        <x:f>Source!F536/100</x:f>
        <x:v>0</x:v>
      </x:c>
      <x:c r="G542" s="8" t="n">
        <x:f>Source!G536/100</x:f>
        <x:v>228.28</x:v>
      </x:c>
      <x:c r="H542" s="8" t="n">
        <x:f>G542-D542</x:f>
        <x:v>228.28</x:v>
      </x:c>
      <x:c r="I542" s="1" t="str">
        <x:f>IF(H542&gt;0,"Overbilled","Shortfall")</x:f>
        <x:v>Overbilled</x:v>
      </x:c>
      <x:c r="J542" s="7"/>
      <x:c r="K542" s="7" t="str">
        <x:v>Open</x:v>
      </x:c>
      <x:c r="L542" s="7"/>
    </x:row>
    <x:row r="543" ht="21" customHeight="1">
      <x:c r="A543" s="1" t="str">
        <x:f>Source!A537</x:f>
        <x:v>C0001709</x:v>
      </x:c>
      <x:c r="B543" s="1" t="str">
        <x:f>_xlfn.IFNA(VLOOKUP(Source!B537,Advertisers!$A$5:$B$34,2,FALSE),"Missing advertiser")</x:f>
        <x:v>Synthetic advertiser 5</x:v>
      </x:c>
      <x:c r="C543" s="1" t="n">
        <x:f>Source!C537</x:f>
        <x:v>35</x:v>
      </x:c>
      <x:c r="D543" s="8" t="n">
        <x:f>Source!D537/100</x:f>
        <x:v>228.28</x:v>
      </x:c>
      <x:c r="E543" s="8" t="n">
        <x:f>Source!E537/100</x:f>
        <x:v>0</x:v>
      </x:c>
      <x:c r="F543" s="8" t="n">
        <x:f>Source!F537/100</x:f>
        <x:v>0</x:v>
      </x:c>
      <x:c r="G543" s="8" t="n">
        <x:f>Source!G537/100</x:f>
        <x:v>0</x:v>
      </x:c>
      <x:c r="H543" s="8" t="n">
        <x:f>G543-D543</x:f>
        <x:v>-228.28</x:v>
      </x:c>
      <x:c r="I543" s="1" t="str">
        <x:f>IF(H543&gt;0,"Overbilled","Shortfall")</x:f>
        <x:v>Shortfall</x:v>
      </x:c>
      <x:c r="J543" s="7"/>
      <x:c r="K543" s="7" t="str">
        <x:v>Open</x:v>
      </x:c>
      <x:c r="L543" s="7"/>
    </x:row>
    <x:row r="544" ht="21" customHeight="1">
      <x:c r="A544" s="1" t="str">
        <x:f>Source!A538</x:f>
        <x:v>C0010736</x:v>
      </x:c>
      <x:c r="B544" s="1" t="str">
        <x:f>_xlfn.IFNA(VLOOKUP(Source!B538,Advertisers!$A$5:$B$34,2,FALSE),"Missing advertiser")</x:f>
        <x:v>Synthetic advertiser 5</x:v>
      </x:c>
      <x:c r="C544" s="1" t="n">
        <x:f>Source!C538</x:f>
        <x:v>35</x:v>
      </x:c>
      <x:c r="D544" s="8" t="n">
        <x:f>Source!D538/100</x:f>
        <x:v>228.28</x:v>
      </x:c>
      <x:c r="E544" s="8" t="n">
        <x:f>Source!E538/100</x:f>
        <x:v>0</x:v>
      </x:c>
      <x:c r="F544" s="8" t="n">
        <x:f>Source!F538/100</x:f>
        <x:v>0</x:v>
      </x:c>
      <x:c r="G544" s="8" t="n">
        <x:f>Source!G538/100</x:f>
        <x:v>0</x:v>
      </x:c>
      <x:c r="H544" s="8" t="n">
        <x:f>G544-D544</x:f>
        <x:v>-228.28</x:v>
      </x:c>
      <x:c r="I544" s="1" t="str">
        <x:f>IF(H544&gt;0,"Overbilled","Shortfall")</x:f>
        <x:v>Shortfall</x:v>
      </x:c>
      <x:c r="J544" s="7"/>
      <x:c r="K544" s="7" t="str">
        <x:v>Open</x:v>
      </x:c>
      <x:c r="L544" s="7"/>
    </x:row>
    <x:row r="545" ht="21" customHeight="1">
      <x:c r="A545" s="1" t="str">
        <x:f>Source!A539</x:f>
        <x:v>C0006754</x:v>
      </x:c>
      <x:c r="B545" s="1" t="str">
        <x:f>_xlfn.IFNA(VLOOKUP(Source!B539,Advertisers!$A$5:$B$34,2,FALSE),"Missing advertiser")</x:f>
        <x:v>Synthetic advertiser 22</x:v>
      </x:c>
      <x:c r="C545" s="1" t="n">
        <x:f>Source!C539</x:f>
        <x:v>82</x:v>
      </x:c>
      <x:c r="D545" s="8" t="n">
        <x:f>Source!D539/100</x:f>
        <x:v>228.18</x:v>
      </x:c>
      <x:c r="E545" s="8" t="n">
        <x:f>Source!E539/100</x:f>
        <x:v>0</x:v>
      </x:c>
      <x:c r="F545" s="8" t="n">
        <x:f>Source!F539/100</x:f>
        <x:v>0</x:v>
      </x:c>
      <x:c r="G545" s="8" t="n">
        <x:f>Source!G539/100</x:f>
        <x:v>0</x:v>
      </x:c>
      <x:c r="H545" s="8" t="n">
        <x:f>G545-D545</x:f>
        <x:v>-228.18</x:v>
      </x:c>
      <x:c r="I545" s="1" t="str">
        <x:f>IF(H545&gt;0,"Overbilled","Shortfall")</x:f>
        <x:v>Shortfall</x:v>
      </x:c>
      <x:c r="J545" s="7"/>
      <x:c r="K545" s="7" t="str">
        <x:v>Open</x:v>
      </x:c>
      <x:c r="L545" s="7"/>
    </x:row>
    <x:row r="546" ht="21" customHeight="1">
      <x:c r="A546" s="1" t="str">
        <x:f>Source!A540</x:f>
        <x:v>C0003319</x:v>
      </x:c>
      <x:c r="B546" s="1" t="str">
        <x:f>_xlfn.IFNA(VLOOKUP(Source!B540,Advertisers!$A$5:$B$34,2,FALSE),"Missing advertiser")</x:f>
        <x:v>Synthetic advertiser 22</x:v>
      </x:c>
      <x:c r="C546" s="1" t="n">
        <x:f>Source!C540</x:f>
        <x:v>82</x:v>
      </x:c>
      <x:c r="D546" s="8" t="n">
        <x:f>Source!D540/100</x:f>
        <x:v>228.18</x:v>
      </x:c>
      <x:c r="E546" s="8" t="n">
        <x:f>Source!E540/100</x:f>
        <x:v>0</x:v>
      </x:c>
      <x:c r="F546" s="8" t="n">
        <x:f>Source!F540/100</x:f>
        <x:v>0</x:v>
      </x:c>
      <x:c r="G546" s="8" t="n">
        <x:f>Source!G540/100</x:f>
        <x:v>0</x:v>
      </x:c>
      <x:c r="H546" s="8" t="n">
        <x:f>G546-D546</x:f>
        <x:v>-228.18</x:v>
      </x:c>
      <x:c r="I546" s="1" t="str">
        <x:f>IF(H546&gt;0,"Overbilled","Shortfall")</x:f>
        <x:v>Shortfall</x:v>
      </x:c>
      <x:c r="J546" s="7"/>
      <x:c r="K546" s="7" t="str">
        <x:v>Open</x:v>
      </x:c>
      <x:c r="L546" s="7"/>
    </x:row>
    <x:row r="547" ht="21" customHeight="1">
      <x:c r="A547" s="1" t="str">
        <x:f>Source!A541</x:f>
        <x:v>C0007671</x:v>
      </x:c>
      <x:c r="B547" s="1" t="str">
        <x:f>_xlfn.IFNA(VLOOKUP(Source!B541,Advertisers!$A$5:$B$34,2,FALSE),"Missing advertiser")</x:f>
        <x:v>Synthetic advertiser 22</x:v>
      </x:c>
      <x:c r="C547" s="1" t="n">
        <x:f>Source!C541</x:f>
        <x:v>82</x:v>
      </x:c>
      <x:c r="D547" s="8" t="n">
        <x:f>Source!D541/100</x:f>
        <x:v>228.18</x:v>
      </x:c>
      <x:c r="E547" s="8" t="n">
        <x:f>Source!E541/100</x:f>
        <x:v>456.36</x:v>
      </x:c>
      <x:c r="F547" s="8" t="n">
        <x:f>Source!F541/100</x:f>
        <x:v>0</x:v>
      </x:c>
      <x:c r="G547" s="8" t="n">
        <x:f>Source!G541/100</x:f>
        <x:v>456.36</x:v>
      </x:c>
      <x:c r="H547" s="8" t="n">
        <x:f>G547-D547</x:f>
        <x:v>228.18</x:v>
      </x:c>
      <x:c r="I547" s="1" t="str">
        <x:f>IF(H547&gt;0,"Overbilled","Shortfall")</x:f>
        <x:v>Overbilled</x:v>
      </x:c>
      <x:c r="J547" s="7"/>
      <x:c r="K547" s="7" t="str">
        <x:v>Open</x:v>
      </x:c>
      <x:c r="L547" s="7"/>
    </x:row>
    <x:row r="548" ht="21" customHeight="1">
      <x:c r="A548" s="1" t="str">
        <x:f>Source!A542</x:f>
        <x:v>C0010021</x:v>
      </x:c>
      <x:c r="B548" s="1" t="str">
        <x:f>_xlfn.IFNA(VLOOKUP(Source!B542,Advertisers!$A$5:$B$34,2,FALSE),"Missing advertiser")</x:f>
        <x:v>Synthetic advertiser 22</x:v>
      </x:c>
      <x:c r="C548" s="1" t="n">
        <x:f>Source!C542</x:f>
        <x:v>82</x:v>
      </x:c>
      <x:c r="D548" s="8" t="n">
        <x:f>Source!D542/100</x:f>
        <x:v>228.18</x:v>
      </x:c>
      <x:c r="E548" s="8" t="n">
        <x:f>Source!E542/100</x:f>
        <x:v>456.36</x:v>
      </x:c>
      <x:c r="F548" s="8" t="n">
        <x:f>Source!F542/100</x:f>
        <x:v>0</x:v>
      </x:c>
      <x:c r="G548" s="8" t="n">
        <x:f>Source!G542/100</x:f>
        <x:v>456.36</x:v>
      </x:c>
      <x:c r="H548" s="8" t="n">
        <x:f>G548-D548</x:f>
        <x:v>228.18</x:v>
      </x:c>
      <x:c r="I548" s="1" t="str">
        <x:f>IF(H548&gt;0,"Overbilled","Shortfall")</x:f>
        <x:v>Overbilled</x:v>
      </x:c>
      <x:c r="J548" s="7"/>
      <x:c r="K548" s="7" t="str">
        <x:v>Open</x:v>
      </x:c>
      <x:c r="L548" s="7"/>
    </x:row>
    <x:row r="549" ht="21" customHeight="1">
      <x:c r="A549" s="1" t="str">
        <x:f>Source!A543</x:f>
        <x:v>C0009946</x:v>
      </x:c>
      <x:c r="B549" s="1" t="str">
        <x:f>_xlfn.IFNA(VLOOKUP(Source!B543,Advertisers!$A$5:$B$34,2,FALSE),"Missing advertiser")</x:f>
        <x:v>Synthetic advertiser 22</x:v>
      </x:c>
      <x:c r="C549" s="1" t="n">
        <x:f>Source!C543</x:f>
        <x:v>82</x:v>
      </x:c>
      <x:c r="D549" s="8" t="n">
        <x:f>Source!D543/100</x:f>
        <x:v>228.18</x:v>
      </x:c>
      <x:c r="E549" s="8" t="n">
        <x:f>Source!E543/100</x:f>
        <x:v>456.36</x:v>
      </x:c>
      <x:c r="F549" s="8" t="n">
        <x:f>Source!F543/100</x:f>
        <x:v>0</x:v>
      </x:c>
      <x:c r="G549" s="8" t="n">
        <x:f>Source!G543/100</x:f>
        <x:v>456.36</x:v>
      </x:c>
      <x:c r="H549" s="8" t="n">
        <x:f>G549-D549</x:f>
        <x:v>228.18</x:v>
      </x:c>
      <x:c r="I549" s="1" t="str">
        <x:f>IF(H549&gt;0,"Overbilled","Shortfall")</x:f>
        <x:v>Overbilled</x:v>
      </x:c>
      <x:c r="J549" s="7"/>
      <x:c r="K549" s="7" t="str">
        <x:v>Open</x:v>
      </x:c>
      <x:c r="L549" s="7"/>
    </x:row>
    <x:row r="550" ht="21" customHeight="1">
      <x:c r="A550" s="1" t="str">
        <x:f>Source!A544</x:f>
        <x:v>C0010273</x:v>
      </x:c>
      <x:c r="B550" s="1" t="str">
        <x:f>_xlfn.IFNA(VLOOKUP(Source!B544,Advertisers!$A$5:$B$34,2,FALSE),"Missing advertiser")</x:f>
        <x:v>Synthetic advertiser 22</x:v>
      </x:c>
      <x:c r="C550" s="1" t="n">
        <x:f>Source!C544</x:f>
        <x:v>82</x:v>
      </x:c>
      <x:c r="D550" s="8" t="n">
        <x:f>Source!D544/100</x:f>
        <x:v>228.18</x:v>
      </x:c>
      <x:c r="E550" s="8" t="n">
        <x:f>Source!E544/100</x:f>
        <x:v>0</x:v>
      </x:c>
      <x:c r="F550" s="8" t="n">
        <x:f>Source!F544/100</x:f>
        <x:v>0</x:v>
      </x:c>
      <x:c r="G550" s="8" t="n">
        <x:f>Source!G544/100</x:f>
        <x:v>0</x:v>
      </x:c>
      <x:c r="H550" s="8" t="n">
        <x:f>G550-D550</x:f>
        <x:v>-228.18</x:v>
      </x:c>
      <x:c r="I550" s="1" t="str">
        <x:f>IF(H550&gt;0,"Overbilled","Shortfall")</x:f>
        <x:v>Shortfall</x:v>
      </x:c>
      <x:c r="J550" s="7"/>
      <x:c r="K550" s="7" t="str">
        <x:v>Open</x:v>
      </x:c>
      <x:c r="L550" s="7"/>
    </x:row>
    <x:row r="551" ht="21" customHeight="1">
      <x:c r="A551" s="1" t="str">
        <x:f>Source!A545</x:f>
        <x:v>C0008109</x:v>
      </x:c>
      <x:c r="B551" s="1" t="str">
        <x:f>_xlfn.IFNA(VLOOKUP(Source!B545,Advertisers!$A$5:$B$34,2,FALSE),"Missing advertiser")</x:f>
        <x:v>Synthetic advertiser 22</x:v>
      </x:c>
      <x:c r="C551" s="1" t="n">
        <x:f>Source!C545</x:f>
        <x:v>82</x:v>
      </x:c>
      <x:c r="D551" s="8" t="n">
        <x:f>Source!D545/100</x:f>
        <x:v>228.18</x:v>
      </x:c>
      <x:c r="E551" s="8" t="n">
        <x:f>Source!E545/100</x:f>
        <x:v>0</x:v>
      </x:c>
      <x:c r="F551" s="8" t="n">
        <x:f>Source!F545/100</x:f>
        <x:v>0</x:v>
      </x:c>
      <x:c r="G551" s="8" t="n">
        <x:f>Source!G545/100</x:f>
        <x:v>0</x:v>
      </x:c>
      <x:c r="H551" s="8" t="n">
        <x:f>G551-D551</x:f>
        <x:v>-228.18</x:v>
      </x:c>
      <x:c r="I551" s="1" t="str">
        <x:f>IF(H551&gt;0,"Overbilled","Shortfall")</x:f>
        <x:v>Shortfall</x:v>
      </x:c>
      <x:c r="J551" s="7"/>
      <x:c r="K551" s="7" t="str">
        <x:v>Open</x:v>
      </x:c>
      <x:c r="L551" s="7"/>
    </x:row>
    <x:row r="552" ht="21" customHeight="1">
      <x:c r="A552" s="1" t="str">
        <x:f>Source!A546</x:f>
        <x:v>C0000245</x:v>
      </x:c>
      <x:c r="B552" s="1" t="str">
        <x:f>_xlfn.IFNA(VLOOKUP(Source!B546,Advertisers!$A$5:$B$34,2,FALSE),"Missing advertiser")</x:f>
        <x:v>Synthetic advertiser 22</x:v>
      </x:c>
      <x:c r="C552" s="1" t="n">
        <x:f>Source!C546</x:f>
        <x:v>82</x:v>
      </x:c>
      <x:c r="D552" s="8" t="n">
        <x:f>Source!D546/100</x:f>
        <x:v>228.18</x:v>
      </x:c>
      <x:c r="E552" s="8" t="n">
        <x:f>Source!E546/100</x:f>
        <x:v>0</x:v>
      </x:c>
      <x:c r="F552" s="8" t="n">
        <x:f>Source!F546/100</x:f>
        <x:v>0</x:v>
      </x:c>
      <x:c r="G552" s="8" t="n">
        <x:f>Source!G546/100</x:f>
        <x:v>0</x:v>
      </x:c>
      <x:c r="H552" s="8" t="n">
        <x:f>G552-D552</x:f>
        <x:v>-228.18</x:v>
      </x:c>
      <x:c r="I552" s="1" t="str">
        <x:f>IF(H552&gt;0,"Overbilled","Shortfall")</x:f>
        <x:v>Shortfall</x:v>
      </x:c>
      <x:c r="J552" s="7"/>
      <x:c r="K552" s="7" t="str">
        <x:v>Open</x:v>
      </x:c>
      <x:c r="L552" s="7"/>
    </x:row>
    <x:row r="553" ht="21" customHeight="1">
      <x:c r="A553" s="1" t="str">
        <x:f>Source!A547</x:f>
        <x:v>C0011848</x:v>
      </x:c>
      <x:c r="B553" s="1" t="str">
        <x:f>_xlfn.IFNA(VLOOKUP(Source!B547,Advertisers!$A$5:$B$34,2,FALSE),"Missing advertiser")</x:f>
        <x:v>Synthetic advertiser 22</x:v>
      </x:c>
      <x:c r="C553" s="1" t="n">
        <x:f>Source!C547</x:f>
        <x:v>82</x:v>
      </x:c>
      <x:c r="D553" s="8" t="n">
        <x:f>Source!D547/100</x:f>
        <x:v>228.18</x:v>
      </x:c>
      <x:c r="E553" s="8" t="n">
        <x:f>Source!E547/100</x:f>
        <x:v>456.36</x:v>
      </x:c>
      <x:c r="F553" s="8" t="n">
        <x:f>Source!F547/100</x:f>
        <x:v>0</x:v>
      </x:c>
      <x:c r="G553" s="8" t="n">
        <x:f>Source!G547/100</x:f>
        <x:v>456.36</x:v>
      </x:c>
      <x:c r="H553" s="8" t="n">
        <x:f>G553-D553</x:f>
        <x:v>228.18</x:v>
      </x:c>
      <x:c r="I553" s="1" t="str">
        <x:f>IF(H553&gt;0,"Overbilled","Shortfall")</x:f>
        <x:v>Overbilled</x:v>
      </x:c>
      <x:c r="J553" s="7"/>
      <x:c r="K553" s="7" t="str">
        <x:v>Open</x:v>
      </x:c>
      <x:c r="L553" s="7"/>
    </x:row>
    <x:row r="554" ht="21" customHeight="1">
      <x:c r="A554" s="1" t="str">
        <x:f>Source!A548</x:f>
        <x:v>C0014979</x:v>
      </x:c>
      <x:c r="B554" s="1" t="str">
        <x:f>_xlfn.IFNA(VLOOKUP(Source!B548,Advertisers!$A$5:$B$34,2,FALSE),"Missing advertiser")</x:f>
        <x:v>Synthetic advertiser 3</x:v>
      </x:c>
      <x:c r="C554" s="1" t="n">
        <x:f>Source!C548</x:f>
        <x:v>93</x:v>
      </x:c>
      <x:c r="D554" s="8" t="n">
        <x:f>Source!D548/100</x:f>
        <x:v>227.36</x:v>
      </x:c>
      <x:c r="E554" s="8" t="n">
        <x:f>Source!E548/100</x:f>
        <x:v>0</x:v>
      </x:c>
      <x:c r="F554" s="8" t="n">
        <x:f>Source!F548/100</x:f>
        <x:v>0</x:v>
      </x:c>
      <x:c r="G554" s="8" t="n">
        <x:f>Source!G548/100</x:f>
        <x:v>0</x:v>
      </x:c>
      <x:c r="H554" s="8" t="n">
        <x:f>G554-D554</x:f>
        <x:v>-227.36</x:v>
      </x:c>
      <x:c r="I554" s="1" t="str">
        <x:f>IF(H554&gt;0,"Overbilled","Shortfall")</x:f>
        <x:v>Shortfall</x:v>
      </x:c>
      <x:c r="J554" s="7"/>
      <x:c r="K554" s="7" t="str">
        <x:v>Open</x:v>
      </x:c>
      <x:c r="L554" s="7"/>
    </x:row>
    <x:row r="555" ht="21" customHeight="1">
      <x:c r="A555" s="1" t="str">
        <x:f>Source!A549</x:f>
        <x:v>C0006385</x:v>
      </x:c>
      <x:c r="B555" s="1" t="str">
        <x:f>_xlfn.IFNA(VLOOKUP(Source!B549,Advertisers!$A$5:$B$34,2,FALSE),"Missing advertiser")</x:f>
        <x:v>Synthetic advertiser 3</x:v>
      </x:c>
      <x:c r="C555" s="1" t="n">
        <x:f>Source!C549</x:f>
        <x:v>93</x:v>
      </x:c>
      <x:c r="D555" s="8" t="n">
        <x:f>Source!D549/100</x:f>
        <x:v>227.36</x:v>
      </x:c>
      <x:c r="E555" s="8" t="n">
        <x:f>Source!E549/100</x:f>
        <x:v>454.72</x:v>
      </x:c>
      <x:c r="F555" s="8" t="n">
        <x:f>Source!F549/100</x:f>
        <x:v>0</x:v>
      </x:c>
      <x:c r="G555" s="8" t="n">
        <x:f>Source!G549/100</x:f>
        <x:v>454.72</x:v>
      </x:c>
      <x:c r="H555" s="8" t="n">
        <x:f>G555-D555</x:f>
        <x:v>227.36</x:v>
      </x:c>
      <x:c r="I555" s="1" t="str">
        <x:f>IF(H555&gt;0,"Overbilled","Shortfall")</x:f>
        <x:v>Overbilled</x:v>
      </x:c>
      <x:c r="J555" s="7"/>
      <x:c r="K555" s="7" t="str">
        <x:v>Open</x:v>
      </x:c>
      <x:c r="L555" s="7"/>
    </x:row>
    <x:row r="556" ht="21" customHeight="1">
      <x:c r="A556" s="1" t="str">
        <x:f>Source!A550</x:f>
        <x:v>C0001477</x:v>
      </x:c>
      <x:c r="B556" s="1" t="str">
        <x:f>_xlfn.IFNA(VLOOKUP(Source!B550,Advertisers!$A$5:$B$34,2,FALSE),"Missing advertiser")</x:f>
        <x:v>Synthetic advertiser 3</x:v>
      </x:c>
      <x:c r="C556" s="1" t="n">
        <x:f>Source!C550</x:f>
        <x:v>93</x:v>
      </x:c>
      <x:c r="D556" s="8" t="n">
        <x:f>Source!D550/100</x:f>
        <x:v>227.36</x:v>
      </x:c>
      <x:c r="E556" s="8" t="n">
        <x:f>Source!E550/100</x:f>
        <x:v>0</x:v>
      </x:c>
      <x:c r="F556" s="8" t="n">
        <x:f>Source!F550/100</x:f>
        <x:v>0</x:v>
      </x:c>
      <x:c r="G556" s="8" t="n">
        <x:f>Source!G550/100</x:f>
        <x:v>0</x:v>
      </x:c>
      <x:c r="H556" s="8" t="n">
        <x:f>G556-D556</x:f>
        <x:v>-227.36</x:v>
      </x:c>
      <x:c r="I556" s="1" t="str">
        <x:f>IF(H556&gt;0,"Overbilled","Shortfall")</x:f>
        <x:v>Shortfall</x:v>
      </x:c>
      <x:c r="J556" s="7"/>
      <x:c r="K556" s="7" t="str">
        <x:v>Open</x:v>
      </x:c>
      <x:c r="L556" s="7"/>
    </x:row>
    <x:row r="557" ht="21" customHeight="1">
      <x:c r="A557" s="1" t="str">
        <x:f>Source!A551</x:f>
        <x:v>C0017190</x:v>
      </x:c>
      <x:c r="B557" s="1" t="str">
        <x:f>_xlfn.IFNA(VLOOKUP(Source!B551,Advertisers!$A$5:$B$34,2,FALSE),"Missing advertiser")</x:f>
        <x:v>Synthetic advertiser 3</x:v>
      </x:c>
      <x:c r="C557" s="1" t="n">
        <x:f>Source!C551</x:f>
        <x:v>93</x:v>
      </x:c>
      <x:c r="D557" s="8" t="n">
        <x:f>Source!D551/100</x:f>
        <x:v>0</x:v>
      </x:c>
      <x:c r="E557" s="8" t="n">
        <x:f>Source!E551/100</x:f>
        <x:v>227.36</x:v>
      </x:c>
      <x:c r="F557" s="8" t="n">
        <x:f>Source!F551/100</x:f>
        <x:v>0</x:v>
      </x:c>
      <x:c r="G557" s="8" t="n">
        <x:f>Source!G551/100</x:f>
        <x:v>227.36</x:v>
      </x:c>
      <x:c r="H557" s="8" t="n">
        <x:f>G557-D557</x:f>
        <x:v>227.36</x:v>
      </x:c>
      <x:c r="I557" s="1" t="str">
        <x:f>IF(H557&gt;0,"Overbilled","Shortfall")</x:f>
        <x:v>Overbilled</x:v>
      </x:c>
      <x:c r="J557" s="7"/>
      <x:c r="K557" s="7" t="str">
        <x:v>Open</x:v>
      </x:c>
      <x:c r="L557" s="7"/>
    </x:row>
    <x:row r="558" ht="21" customHeight="1">
      <x:c r="A558" s="1" t="str">
        <x:f>Source!A552</x:f>
        <x:v>C0010882</x:v>
      </x:c>
      <x:c r="B558" s="1" t="str">
        <x:f>_xlfn.IFNA(VLOOKUP(Source!B552,Advertisers!$A$5:$B$34,2,FALSE),"Missing advertiser")</x:f>
        <x:v>Synthetic advertiser 3</x:v>
      </x:c>
      <x:c r="C558" s="1" t="n">
        <x:f>Source!C552</x:f>
        <x:v>93</x:v>
      </x:c>
      <x:c r="D558" s="8" t="n">
        <x:f>Source!D552/100</x:f>
        <x:v>227.36</x:v>
      </x:c>
      <x:c r="E558" s="8" t="n">
        <x:f>Source!E552/100</x:f>
        <x:v>0</x:v>
      </x:c>
      <x:c r="F558" s="8" t="n">
        <x:f>Source!F552/100</x:f>
        <x:v>0</x:v>
      </x:c>
      <x:c r="G558" s="8" t="n">
        <x:f>Source!G552/100</x:f>
        <x:v>0</x:v>
      </x:c>
      <x:c r="H558" s="8" t="n">
        <x:f>G558-D558</x:f>
        <x:v>-227.36</x:v>
      </x:c>
      <x:c r="I558" s="1" t="str">
        <x:f>IF(H558&gt;0,"Overbilled","Shortfall")</x:f>
        <x:v>Shortfall</x:v>
      </x:c>
      <x:c r="J558" s="7"/>
      <x:c r="K558" s="7" t="str">
        <x:v>Open</x:v>
      </x:c>
      <x:c r="L558" s="7"/>
    </x:row>
    <x:row r="559" ht="21" customHeight="1">
      <x:c r="A559" s="1" t="str">
        <x:f>Source!A553</x:f>
        <x:v>C0009910</x:v>
      </x:c>
      <x:c r="B559" s="1" t="str">
        <x:f>_xlfn.IFNA(VLOOKUP(Source!B553,Advertisers!$A$5:$B$34,2,FALSE),"Missing advertiser")</x:f>
        <x:v>Synthetic advertiser 3</x:v>
      </x:c>
      <x:c r="C559" s="1" t="n">
        <x:f>Source!C553</x:f>
        <x:v>93</x:v>
      </x:c>
      <x:c r="D559" s="8" t="n">
        <x:f>Source!D553/100</x:f>
        <x:v>227.36</x:v>
      </x:c>
      <x:c r="E559" s="8" t="n">
        <x:f>Source!E553/100</x:f>
        <x:v>454.72</x:v>
      </x:c>
      <x:c r="F559" s="8" t="n">
        <x:f>Source!F553/100</x:f>
        <x:v>0</x:v>
      </x:c>
      <x:c r="G559" s="8" t="n">
        <x:f>Source!G553/100</x:f>
        <x:v>454.72</x:v>
      </x:c>
      <x:c r="H559" s="8" t="n">
        <x:f>G559-D559</x:f>
        <x:v>227.36</x:v>
      </x:c>
      <x:c r="I559" s="1" t="str">
        <x:f>IF(H559&gt;0,"Overbilled","Shortfall")</x:f>
        <x:v>Overbilled</x:v>
      </x:c>
      <x:c r="J559" s="7"/>
      <x:c r="K559" s="7" t="str">
        <x:v>Open</x:v>
      </x:c>
      <x:c r="L559" s="7"/>
    </x:row>
    <x:row r="560" ht="21" customHeight="1">
      <x:c r="A560" s="1" t="str">
        <x:f>Source!A554</x:f>
        <x:v>C0007382</x:v>
      </x:c>
      <x:c r="B560" s="1" t="str">
        <x:f>_xlfn.IFNA(VLOOKUP(Source!B554,Advertisers!$A$5:$B$34,2,FALSE),"Missing advertiser")</x:f>
        <x:v>Synthetic advertiser 3</x:v>
      </x:c>
      <x:c r="C560" s="1" t="n">
        <x:f>Source!C554</x:f>
        <x:v>93</x:v>
      </x:c>
      <x:c r="D560" s="8" t="n">
        <x:f>Source!D554/100</x:f>
        <x:v>0</x:v>
      </x:c>
      <x:c r="E560" s="8" t="n">
        <x:f>Source!E554/100</x:f>
        <x:v>227.36</x:v>
      </x:c>
      <x:c r="F560" s="8" t="n">
        <x:f>Source!F554/100</x:f>
        <x:v>0</x:v>
      </x:c>
      <x:c r="G560" s="8" t="n">
        <x:f>Source!G554/100</x:f>
        <x:v>227.36</x:v>
      </x:c>
      <x:c r="H560" s="8" t="n">
        <x:f>G560-D560</x:f>
        <x:v>227.36</x:v>
      </x:c>
      <x:c r="I560" s="1" t="str">
        <x:f>IF(H560&gt;0,"Overbilled","Shortfall")</x:f>
        <x:v>Overbilled</x:v>
      </x:c>
      <x:c r="J560" s="7"/>
      <x:c r="K560" s="7" t="str">
        <x:v>Open</x:v>
      </x:c>
      <x:c r="L560" s="7"/>
    </x:row>
    <x:row r="561" ht="21" customHeight="1">
      <x:c r="A561" s="1" t="str">
        <x:f>Source!A555</x:f>
        <x:v>C0001315</x:v>
      </x:c>
      <x:c r="B561" s="1" t="str">
        <x:f>_xlfn.IFNA(VLOOKUP(Source!B555,Advertisers!$A$5:$B$34,2,FALSE),"Missing advertiser")</x:f>
        <x:v>Synthetic advertiser 3</x:v>
      </x:c>
      <x:c r="C561" s="1" t="n">
        <x:f>Source!C555</x:f>
        <x:v>93</x:v>
      </x:c>
      <x:c r="D561" s="8" t="n">
        <x:f>Source!D555/100</x:f>
        <x:v>227.36</x:v>
      </x:c>
      <x:c r="E561" s="8" t="n">
        <x:f>Source!E555/100</x:f>
        <x:v>0</x:v>
      </x:c>
      <x:c r="F561" s="8" t="n">
        <x:f>Source!F555/100</x:f>
        <x:v>0</x:v>
      </x:c>
      <x:c r="G561" s="8" t="n">
        <x:f>Source!G555/100</x:f>
        <x:v>0</x:v>
      </x:c>
      <x:c r="H561" s="8" t="n">
        <x:f>G561-D561</x:f>
        <x:v>-227.36</x:v>
      </x:c>
      <x:c r="I561" s="1" t="str">
        <x:f>IF(H561&gt;0,"Overbilled","Shortfall")</x:f>
        <x:v>Shortfall</x:v>
      </x:c>
      <x:c r="J561" s="7"/>
      <x:c r="K561" s="7" t="str">
        <x:v>Open</x:v>
      </x:c>
      <x:c r="L561" s="7"/>
    </x:row>
    <x:row r="562" ht="21" customHeight="1">
      <x:c r="A562" s="1" t="str">
        <x:f>Source!A556</x:f>
        <x:v>C0013654</x:v>
      </x:c>
      <x:c r="B562" s="1" t="str">
        <x:f>_xlfn.IFNA(VLOOKUP(Source!B556,Advertisers!$A$5:$B$34,2,FALSE),"Missing advertiser")</x:f>
        <x:v>Synthetic advertiser 3</x:v>
      </x:c>
      <x:c r="C562" s="1" t="n">
        <x:f>Source!C556</x:f>
        <x:v>93</x:v>
      </x:c>
      <x:c r="D562" s="8" t="n">
        <x:f>Source!D556/100</x:f>
        <x:v>227.36</x:v>
      </x:c>
      <x:c r="E562" s="8" t="n">
        <x:f>Source!E556/100</x:f>
        <x:v>454.72</x:v>
      </x:c>
      <x:c r="F562" s="8" t="n">
        <x:f>Source!F556/100</x:f>
        <x:v>0</x:v>
      </x:c>
      <x:c r="G562" s="8" t="n">
        <x:f>Source!G556/100</x:f>
        <x:v>454.72</x:v>
      </x:c>
      <x:c r="H562" s="8" t="n">
        <x:f>G562-D562</x:f>
        <x:v>227.36</x:v>
      </x:c>
      <x:c r="I562" s="1" t="str">
        <x:f>IF(H562&gt;0,"Overbilled","Shortfall")</x:f>
        <x:v>Overbilled</x:v>
      </x:c>
      <x:c r="J562" s="7"/>
      <x:c r="K562" s="7" t="str">
        <x:v>Open</x:v>
      </x:c>
      <x:c r="L562" s="7"/>
    </x:row>
    <x:row r="563" ht="21" customHeight="1">
      <x:c r="A563" s="1" t="str">
        <x:f>Source!A557</x:f>
        <x:v>C0008188</x:v>
      </x:c>
      <x:c r="B563" s="1" t="str">
        <x:f>_xlfn.IFNA(VLOOKUP(Source!B557,Advertisers!$A$5:$B$34,2,FALSE),"Missing advertiser")</x:f>
        <x:v>Synthetic advertiser 1</x:v>
      </x:c>
      <x:c r="C563" s="1" t="n">
        <x:f>Source!C557</x:f>
        <x:v>31</x:v>
      </x:c>
      <x:c r="D563" s="8" t="n">
        <x:f>Source!D557/100</x:f>
        <x:v>226.33</x:v>
      </x:c>
      <x:c r="E563" s="8" t="n">
        <x:f>Source!E557/100</x:f>
        <x:v>452.66</x:v>
      </x:c>
      <x:c r="F563" s="8" t="n">
        <x:f>Source!F557/100</x:f>
        <x:v>0</x:v>
      </x:c>
      <x:c r="G563" s="8" t="n">
        <x:f>Source!G557/100</x:f>
        <x:v>452.66</x:v>
      </x:c>
      <x:c r="H563" s="8" t="n">
        <x:f>G563-D563</x:f>
        <x:v>226.33</x:v>
      </x:c>
      <x:c r="I563" s="1" t="str">
        <x:f>IF(H563&gt;0,"Overbilled","Shortfall")</x:f>
        <x:v>Overbilled</x:v>
      </x:c>
      <x:c r="J563" s="7"/>
      <x:c r="K563" s="7" t="str">
        <x:v>Open</x:v>
      </x:c>
      <x:c r="L563" s="7"/>
    </x:row>
    <x:row r="564" ht="21" customHeight="1">
      <x:c r="A564" s="1" t="str">
        <x:f>Source!A558</x:f>
        <x:v>C0012376</x:v>
      </x:c>
      <x:c r="B564" s="1" t="str">
        <x:f>_xlfn.IFNA(VLOOKUP(Source!B558,Advertisers!$A$5:$B$34,2,FALSE),"Missing advertiser")</x:f>
        <x:v>Synthetic advertiser 1</x:v>
      </x:c>
      <x:c r="C564" s="1" t="n">
        <x:f>Source!C558</x:f>
        <x:v>31</x:v>
      </x:c>
      <x:c r="D564" s="8" t="n">
        <x:f>Source!D558/100</x:f>
        <x:v>226.33</x:v>
      </x:c>
      <x:c r="E564" s="8" t="n">
        <x:f>Source!E558/100</x:f>
        <x:v>0</x:v>
      </x:c>
      <x:c r="F564" s="8" t="n">
        <x:f>Source!F558/100</x:f>
        <x:v>0</x:v>
      </x:c>
      <x:c r="G564" s="8" t="n">
        <x:f>Source!G558/100</x:f>
        <x:v>0</x:v>
      </x:c>
      <x:c r="H564" s="8" t="n">
        <x:f>G564-D564</x:f>
        <x:v>-226.33</x:v>
      </x:c>
      <x:c r="I564" s="1" t="str">
        <x:f>IF(H564&gt;0,"Overbilled","Shortfall")</x:f>
        <x:v>Shortfall</x:v>
      </x:c>
      <x:c r="J564" s="7"/>
      <x:c r="K564" s="7" t="str">
        <x:v>Open</x:v>
      </x:c>
      <x:c r="L564" s="7"/>
    </x:row>
    <x:row r="565" ht="21" customHeight="1">
      <x:c r="A565" s="1" t="str">
        <x:f>Source!A559</x:f>
        <x:v>C0017292</x:v>
      </x:c>
      <x:c r="B565" s="1" t="str">
        <x:f>_xlfn.IFNA(VLOOKUP(Source!B559,Advertisers!$A$5:$B$34,2,FALSE),"Missing advertiser")</x:f>
        <x:v>Synthetic advertiser 1</x:v>
      </x:c>
      <x:c r="C565" s="1" t="n">
        <x:f>Source!C559</x:f>
        <x:v>31</x:v>
      </x:c>
      <x:c r="D565" s="8" t="n">
        <x:f>Source!D559/100</x:f>
        <x:v>226.33</x:v>
      </x:c>
      <x:c r="E565" s="8" t="n">
        <x:f>Source!E559/100</x:f>
        <x:v>0</x:v>
      </x:c>
      <x:c r="F565" s="8" t="n">
        <x:f>Source!F559/100</x:f>
        <x:v>0</x:v>
      </x:c>
      <x:c r="G565" s="8" t="n">
        <x:f>Source!G559/100</x:f>
        <x:v>0</x:v>
      </x:c>
      <x:c r="H565" s="8" t="n">
        <x:f>G565-D565</x:f>
        <x:v>-226.33</x:v>
      </x:c>
      <x:c r="I565" s="1" t="str">
        <x:f>IF(H565&gt;0,"Overbilled","Shortfall")</x:f>
        <x:v>Shortfall</x:v>
      </x:c>
      <x:c r="J565" s="7"/>
      <x:c r="K565" s="7" t="str">
        <x:v>Open</x:v>
      </x:c>
      <x:c r="L565" s="7"/>
    </x:row>
    <x:row r="566" ht="21" customHeight="1">
      <x:c r="A566" s="1" t="str">
        <x:f>Source!A560</x:f>
        <x:v>C0000091</x:v>
      </x:c>
      <x:c r="B566" s="1" t="str">
        <x:f>_xlfn.IFNA(VLOOKUP(Source!B560,Advertisers!$A$5:$B$34,2,FALSE),"Missing advertiser")</x:f>
        <x:v>Synthetic advertiser 1</x:v>
      </x:c>
      <x:c r="C566" s="1" t="n">
        <x:f>Source!C560</x:f>
        <x:v>31</x:v>
      </x:c>
      <x:c r="D566" s="8" t="n">
        <x:f>Source!D560/100</x:f>
        <x:v>226.33</x:v>
      </x:c>
      <x:c r="E566" s="8" t="n">
        <x:f>Source!E560/100</x:f>
        <x:v>452.66</x:v>
      </x:c>
      <x:c r="F566" s="8" t="n">
        <x:f>Source!F560/100</x:f>
        <x:v>0</x:v>
      </x:c>
      <x:c r="G566" s="8" t="n">
        <x:f>Source!G560/100</x:f>
        <x:v>452.66</x:v>
      </x:c>
      <x:c r="H566" s="8" t="n">
        <x:f>G566-D566</x:f>
        <x:v>226.33</x:v>
      </x:c>
      <x:c r="I566" s="1" t="str">
        <x:f>IF(H566&gt;0,"Overbilled","Shortfall")</x:f>
        <x:v>Overbilled</x:v>
      </x:c>
      <x:c r="J566" s="7"/>
      <x:c r="K566" s="7" t="str">
        <x:v>Open</x:v>
      </x:c>
      <x:c r="L566" s="7"/>
    </x:row>
    <x:row r="567" ht="21" customHeight="1">
      <x:c r="A567" s="1" t="str">
        <x:f>Source!A561</x:f>
        <x:v>C0011076</x:v>
      </x:c>
      <x:c r="B567" s="1" t="str">
        <x:f>_xlfn.IFNA(VLOOKUP(Source!B561,Advertisers!$A$5:$B$34,2,FALSE),"Missing advertiser")</x:f>
        <x:v>Synthetic advertiser 16</x:v>
      </x:c>
      <x:c r="C567" s="1" t="n">
        <x:f>Source!C561</x:f>
        <x:v>106</x:v>
      </x:c>
      <x:c r="D567" s="8" t="n">
        <x:f>Source!D561/100</x:f>
        <x:v>226.21</x:v>
      </x:c>
      <x:c r="E567" s="8" t="n">
        <x:f>Source!E561/100</x:f>
        <x:v>0</x:v>
      </x:c>
      <x:c r="F567" s="8" t="n">
        <x:f>Source!F561/100</x:f>
        <x:v>0</x:v>
      </x:c>
      <x:c r="G567" s="8" t="n">
        <x:f>Source!G561/100</x:f>
        <x:v>0</x:v>
      </x:c>
      <x:c r="H567" s="8" t="n">
        <x:f>G567-D567</x:f>
        <x:v>-226.21</x:v>
      </x:c>
      <x:c r="I567" s="1" t="str">
        <x:f>IF(H567&gt;0,"Overbilled","Shortfall")</x:f>
        <x:v>Shortfall</x:v>
      </x:c>
      <x:c r="J567" s="7"/>
      <x:c r="K567" s="7" t="str">
        <x:v>Open</x:v>
      </x:c>
      <x:c r="L567" s="7"/>
    </x:row>
    <x:row r="568" ht="21" customHeight="1">
      <x:c r="A568" s="1" t="str">
        <x:f>Source!A562</x:f>
        <x:v>C0017242</x:v>
      </x:c>
      <x:c r="B568" s="1" t="str">
        <x:f>_xlfn.IFNA(VLOOKUP(Source!B562,Advertisers!$A$5:$B$34,2,FALSE),"Missing advertiser")</x:f>
        <x:v>Synthetic advertiser 16</x:v>
      </x:c>
      <x:c r="C568" s="1" t="n">
        <x:f>Source!C562</x:f>
        <x:v>106</x:v>
      </x:c>
      <x:c r="D568" s="8" t="n">
        <x:f>Source!D562/100</x:f>
        <x:v>226.21</x:v>
      </x:c>
      <x:c r="E568" s="8" t="n">
        <x:f>Source!E562/100</x:f>
        <x:v>452.42</x:v>
      </x:c>
      <x:c r="F568" s="8" t="n">
        <x:f>Source!F562/100</x:f>
        <x:v>0</x:v>
      </x:c>
      <x:c r="G568" s="8" t="n">
        <x:f>Source!G562/100</x:f>
        <x:v>452.42</x:v>
      </x:c>
      <x:c r="H568" s="8" t="n">
        <x:f>G568-D568</x:f>
        <x:v>226.21</x:v>
      </x:c>
      <x:c r="I568" s="1" t="str">
        <x:f>IF(H568&gt;0,"Overbilled","Shortfall")</x:f>
        <x:v>Overbilled</x:v>
      </x:c>
      <x:c r="J568" s="7"/>
      <x:c r="K568" s="7" t="str">
        <x:v>Open</x:v>
      </x:c>
      <x:c r="L568" s="7"/>
    </x:row>
    <x:row r="569" ht="21" customHeight="1">
      <x:c r="A569" s="1" t="str">
        <x:f>Source!A563</x:f>
        <x:v>C0005816</x:v>
      </x:c>
      <x:c r="B569" s="1" t="str">
        <x:f>_xlfn.IFNA(VLOOKUP(Source!B563,Advertisers!$A$5:$B$34,2,FALSE),"Missing advertiser")</x:f>
        <x:v>Synthetic advertiser 16</x:v>
      </x:c>
      <x:c r="C569" s="1" t="n">
        <x:f>Source!C563</x:f>
        <x:v>106</x:v>
      </x:c>
      <x:c r="D569" s="8" t="n">
        <x:f>Source!D563/100</x:f>
        <x:v>226.21</x:v>
      </x:c>
      <x:c r="E569" s="8" t="n">
        <x:f>Source!E563/100</x:f>
        <x:v>0</x:v>
      </x:c>
      <x:c r="F569" s="8" t="n">
        <x:f>Source!F563/100</x:f>
        <x:v>0</x:v>
      </x:c>
      <x:c r="G569" s="8" t="n">
        <x:f>Source!G563/100</x:f>
        <x:v>0</x:v>
      </x:c>
      <x:c r="H569" s="8" t="n">
        <x:f>G569-D569</x:f>
        <x:v>-226.21</x:v>
      </x:c>
      <x:c r="I569" s="1" t="str">
        <x:f>IF(H569&gt;0,"Overbilled","Shortfall")</x:f>
        <x:v>Shortfall</x:v>
      </x:c>
      <x:c r="J569" s="7"/>
      <x:c r="K569" s="7" t="str">
        <x:v>Open</x:v>
      </x:c>
      <x:c r="L569" s="7"/>
    </x:row>
    <x:row r="570" ht="21" customHeight="1">
      <x:c r="A570" s="1" t="str">
        <x:f>Source!A564</x:f>
        <x:v>C0013431</x:v>
      </x:c>
      <x:c r="B570" s="1" t="str">
        <x:f>_xlfn.IFNA(VLOOKUP(Source!B564,Advertisers!$A$5:$B$34,2,FALSE),"Missing advertiser")</x:f>
        <x:v>Synthetic advertiser 16</x:v>
      </x:c>
      <x:c r="C570" s="1" t="n">
        <x:f>Source!C564</x:f>
        <x:v>106</x:v>
      </x:c>
      <x:c r="D570" s="8" t="n">
        <x:f>Source!D564/100</x:f>
        <x:v>226.21</x:v>
      </x:c>
      <x:c r="E570" s="8" t="n">
        <x:f>Source!E564/100</x:f>
        <x:v>0</x:v>
      </x:c>
      <x:c r="F570" s="8" t="n">
        <x:f>Source!F564/100</x:f>
        <x:v>0</x:v>
      </x:c>
      <x:c r="G570" s="8" t="n">
        <x:f>Source!G564/100</x:f>
        <x:v>0</x:v>
      </x:c>
      <x:c r="H570" s="8" t="n">
        <x:f>G570-D570</x:f>
        <x:v>-226.21</x:v>
      </x:c>
      <x:c r="I570" s="1" t="str">
        <x:f>IF(H570&gt;0,"Overbilled","Shortfall")</x:f>
        <x:v>Shortfall</x:v>
      </x:c>
      <x:c r="J570" s="7"/>
      <x:c r="K570" s="7" t="str">
        <x:v>Open</x:v>
      </x:c>
      <x:c r="L570" s="7"/>
    </x:row>
    <x:row r="571" ht="21" customHeight="1">
      <x:c r="A571" s="1" t="str">
        <x:f>Source!A565</x:f>
        <x:v>C0006987</x:v>
      </x:c>
      <x:c r="B571" s="1" t="str">
        <x:f>_xlfn.IFNA(VLOOKUP(Source!B565,Advertisers!$A$5:$B$34,2,FALSE),"Missing advertiser")</x:f>
        <x:v>Synthetic advertiser 16</x:v>
      </x:c>
      <x:c r="C571" s="1" t="n">
        <x:f>Source!C565</x:f>
        <x:v>106</x:v>
      </x:c>
      <x:c r="D571" s="8" t="n">
        <x:f>Source!D565/100</x:f>
        <x:v>226.21</x:v>
      </x:c>
      <x:c r="E571" s="8" t="n">
        <x:f>Source!E565/100</x:f>
        <x:v>452.42</x:v>
      </x:c>
      <x:c r="F571" s="8" t="n">
        <x:f>Source!F565/100</x:f>
        <x:v>0</x:v>
      </x:c>
      <x:c r="G571" s="8" t="n">
        <x:f>Source!G565/100</x:f>
        <x:v>452.42</x:v>
      </x:c>
      <x:c r="H571" s="8" t="n">
        <x:f>G571-D571</x:f>
        <x:v>226.21</x:v>
      </x:c>
      <x:c r="I571" s="1" t="str">
        <x:f>IF(H571&gt;0,"Overbilled","Shortfall")</x:f>
        <x:v>Overbilled</x:v>
      </x:c>
      <x:c r="J571" s="7"/>
      <x:c r="K571" s="7" t="str">
        <x:v>Open</x:v>
      </x:c>
      <x:c r="L571" s="7"/>
    </x:row>
    <x:row r="572" ht="21" customHeight="1">
      <x:c r="A572" s="1" t="str">
        <x:f>Source!A566</x:f>
        <x:v>C0011121</x:v>
      </x:c>
      <x:c r="B572" s="1" t="str">
        <x:f>_xlfn.IFNA(VLOOKUP(Source!B566,Advertisers!$A$5:$B$34,2,FALSE),"Missing advertiser")</x:f>
        <x:v>Synthetic advertiser 16</x:v>
      </x:c>
      <x:c r="C572" s="1" t="n">
        <x:f>Source!C566</x:f>
        <x:v>106</x:v>
      </x:c>
      <x:c r="D572" s="8" t="n">
        <x:f>Source!D566/100</x:f>
        <x:v>226.21</x:v>
      </x:c>
      <x:c r="E572" s="8" t="n">
        <x:f>Source!E566/100</x:f>
        <x:v>452.42</x:v>
      </x:c>
      <x:c r="F572" s="8" t="n">
        <x:f>Source!F566/100</x:f>
        <x:v>0</x:v>
      </x:c>
      <x:c r="G572" s="8" t="n">
        <x:f>Source!G566/100</x:f>
        <x:v>452.42</x:v>
      </x:c>
      <x:c r="H572" s="8" t="n">
        <x:f>G572-D572</x:f>
        <x:v>226.21</x:v>
      </x:c>
      <x:c r="I572" s="1" t="str">
        <x:f>IF(H572&gt;0,"Overbilled","Shortfall")</x:f>
        <x:v>Overbilled</x:v>
      </x:c>
      <x:c r="J572" s="7"/>
      <x:c r="K572" s="7" t="str">
        <x:v>Open</x:v>
      </x:c>
      <x:c r="L572" s="7"/>
    </x:row>
    <x:row r="573" ht="21" customHeight="1">
      <x:c r="A573" s="1" t="str">
        <x:f>Source!A567</x:f>
        <x:v>C0007447</x:v>
      </x:c>
      <x:c r="B573" s="1" t="str">
        <x:f>_xlfn.IFNA(VLOOKUP(Source!B567,Advertisers!$A$5:$B$34,2,FALSE),"Missing advertiser")</x:f>
        <x:v>Synthetic advertiser 16</x:v>
      </x:c>
      <x:c r="C573" s="1" t="n">
        <x:f>Source!C567</x:f>
        <x:v>106</x:v>
      </x:c>
      <x:c r="D573" s="8" t="n">
        <x:f>Source!D567/100</x:f>
        <x:v>226.21</x:v>
      </x:c>
      <x:c r="E573" s="8" t="n">
        <x:f>Source!E567/100</x:f>
        <x:v>452.42</x:v>
      </x:c>
      <x:c r="F573" s="8" t="n">
        <x:f>Source!F567/100</x:f>
        <x:v>0</x:v>
      </x:c>
      <x:c r="G573" s="8" t="n">
        <x:f>Source!G567/100</x:f>
        <x:v>452.42</x:v>
      </x:c>
      <x:c r="H573" s="8" t="n">
        <x:f>G573-D573</x:f>
        <x:v>226.21</x:v>
      </x:c>
      <x:c r="I573" s="1" t="str">
        <x:f>IF(H573&gt;0,"Overbilled","Shortfall")</x:f>
        <x:v>Overbilled</x:v>
      </x:c>
      <x:c r="J573" s="7"/>
      <x:c r="K573" s="7" t="str">
        <x:v>Open</x:v>
      </x:c>
      <x:c r="L573" s="7"/>
    </x:row>
    <x:row r="574" ht="21" customHeight="1">
      <x:c r="A574" s="1" t="str">
        <x:f>Source!A568</x:f>
        <x:v>C0000706</x:v>
      </x:c>
      <x:c r="B574" s="1" t="str">
        <x:f>_xlfn.IFNA(VLOOKUP(Source!B568,Advertisers!$A$5:$B$34,2,FALSE),"Missing advertiser")</x:f>
        <x:v>Synthetic advertiser 16</x:v>
      </x:c>
      <x:c r="C574" s="1" t="n">
        <x:f>Source!C568</x:f>
        <x:v>106</x:v>
      </x:c>
      <x:c r="D574" s="8" t="n">
        <x:f>Source!D568/100</x:f>
        <x:v>226.21</x:v>
      </x:c>
      <x:c r="E574" s="8" t="n">
        <x:f>Source!E568/100</x:f>
        <x:v>452.42</x:v>
      </x:c>
      <x:c r="F574" s="8" t="n">
        <x:f>Source!F568/100</x:f>
        <x:v>0</x:v>
      </x:c>
      <x:c r="G574" s="8" t="n">
        <x:f>Source!G568/100</x:f>
        <x:v>452.42</x:v>
      </x:c>
      <x:c r="H574" s="8" t="n">
        <x:f>G574-D574</x:f>
        <x:v>226.21</x:v>
      </x:c>
      <x:c r="I574" s="1" t="str">
        <x:f>IF(H574&gt;0,"Overbilled","Shortfall")</x:f>
        <x:v>Overbilled</x:v>
      </x:c>
      <x:c r="J574" s="7"/>
      <x:c r="K574" s="7" t="str">
        <x:v>Open</x:v>
      </x:c>
      <x:c r="L574" s="7"/>
    </x:row>
    <x:row r="575" ht="21" customHeight="1">
      <x:c r="A575" s="1" t="str">
        <x:f>Source!A569</x:f>
        <x:v>C0014002</x:v>
      </x:c>
      <x:c r="B575" s="1" t="str">
        <x:f>_xlfn.IFNA(VLOOKUP(Source!B569,Advertisers!$A$5:$B$34,2,FALSE),"Missing advertiser")</x:f>
        <x:v>Synthetic advertiser 16</x:v>
      </x:c>
      <x:c r="C575" s="1" t="n">
        <x:f>Source!C569</x:f>
        <x:v>106</x:v>
      </x:c>
      <x:c r="D575" s="8" t="n">
        <x:f>Source!D569/100</x:f>
        <x:v>226.21</x:v>
      </x:c>
      <x:c r="E575" s="8" t="n">
        <x:f>Source!E569/100</x:f>
        <x:v>452.42</x:v>
      </x:c>
      <x:c r="F575" s="8" t="n">
        <x:f>Source!F569/100</x:f>
        <x:v>0</x:v>
      </x:c>
      <x:c r="G575" s="8" t="n">
        <x:f>Source!G569/100</x:f>
        <x:v>452.42</x:v>
      </x:c>
      <x:c r="H575" s="8" t="n">
        <x:f>G575-D575</x:f>
        <x:v>226.21</x:v>
      </x:c>
      <x:c r="I575" s="1" t="str">
        <x:f>IF(H575&gt;0,"Overbilled","Shortfall")</x:f>
        <x:v>Overbilled</x:v>
      </x:c>
      <x:c r="J575" s="7"/>
      <x:c r="K575" s="7" t="str">
        <x:v>Open</x:v>
      </x:c>
      <x:c r="L575" s="7"/>
    </x:row>
    <x:row r="576" ht="21" customHeight="1">
      <x:c r="A576" s="1" t="str">
        <x:f>Source!A570</x:f>
        <x:v>C0000353</x:v>
      </x:c>
      <x:c r="B576" s="1" t="str">
        <x:f>_xlfn.IFNA(VLOOKUP(Source!B570,Advertisers!$A$5:$B$34,2,FALSE),"Missing advertiser")</x:f>
        <x:v>Synthetic advertiser 28</x:v>
      </x:c>
      <x:c r="C576" s="1" t="n">
        <x:f>Source!C570</x:f>
        <x:v>118</x:v>
      </x:c>
      <x:c r="D576" s="8" t="n">
        <x:f>Source!D570/100</x:f>
        <x:v>225.63</x:v>
      </x:c>
      <x:c r="E576" s="8" t="n">
        <x:f>Source!E570/100</x:f>
        <x:v>0</x:v>
      </x:c>
      <x:c r="F576" s="8" t="n">
        <x:f>Source!F570/100</x:f>
        <x:v>0</x:v>
      </x:c>
      <x:c r="G576" s="8" t="n">
        <x:f>Source!G570/100</x:f>
        <x:v>0</x:v>
      </x:c>
      <x:c r="H576" s="8" t="n">
        <x:f>G576-D576</x:f>
        <x:v>-225.63</x:v>
      </x:c>
      <x:c r="I576" s="1" t="str">
        <x:f>IF(H576&gt;0,"Overbilled","Shortfall")</x:f>
        <x:v>Shortfall</x:v>
      </x:c>
      <x:c r="J576" s="7"/>
      <x:c r="K576" s="7" t="str">
        <x:v>Open</x:v>
      </x:c>
      <x:c r="L576" s="7"/>
    </x:row>
    <x:row r="577" ht="21" customHeight="1">
      <x:c r="A577" s="1" t="str">
        <x:f>Source!A571</x:f>
        <x:v>C0007048</x:v>
      </x:c>
      <x:c r="B577" s="1" t="str">
        <x:f>_xlfn.IFNA(VLOOKUP(Source!B571,Advertisers!$A$5:$B$34,2,FALSE),"Missing advertiser")</x:f>
        <x:v>Synthetic advertiser 28</x:v>
      </x:c>
      <x:c r="C577" s="1" t="n">
        <x:f>Source!C571</x:f>
        <x:v>118</x:v>
      </x:c>
      <x:c r="D577" s="8" t="n">
        <x:f>Source!D571/100</x:f>
        <x:v>225.63</x:v>
      </x:c>
      <x:c r="E577" s="8" t="n">
        <x:f>Source!E571/100</x:f>
        <x:v>451.26</x:v>
      </x:c>
      <x:c r="F577" s="8" t="n">
        <x:f>Source!F571/100</x:f>
        <x:v>0</x:v>
      </x:c>
      <x:c r="G577" s="8" t="n">
        <x:f>Source!G571/100</x:f>
        <x:v>451.26</x:v>
      </x:c>
      <x:c r="H577" s="8" t="n">
        <x:f>G577-D577</x:f>
        <x:v>225.63</x:v>
      </x:c>
      <x:c r="I577" s="1" t="str">
        <x:f>IF(H577&gt;0,"Overbilled","Shortfall")</x:f>
        <x:v>Overbilled</x:v>
      </x:c>
      <x:c r="J577" s="7"/>
      <x:c r="K577" s="7" t="str">
        <x:v>Open</x:v>
      </x:c>
      <x:c r="L577" s="7"/>
    </x:row>
    <x:row r="578" ht="21" customHeight="1">
      <x:c r="A578" s="1" t="str">
        <x:f>Source!A572</x:f>
        <x:v>C0004041</x:v>
      </x:c>
      <x:c r="B578" s="1" t="str">
        <x:f>_xlfn.IFNA(VLOOKUP(Source!B572,Advertisers!$A$5:$B$34,2,FALSE),"Missing advertiser")</x:f>
        <x:v>Synthetic advertiser 28</x:v>
      </x:c>
      <x:c r="C578" s="1" t="n">
        <x:f>Source!C572</x:f>
        <x:v>118</x:v>
      </x:c>
      <x:c r="D578" s="8" t="n">
        <x:f>Source!D572/100</x:f>
        <x:v>225.63</x:v>
      </x:c>
      <x:c r="E578" s="8" t="n">
        <x:f>Source!E572/100</x:f>
        <x:v>0</x:v>
      </x:c>
      <x:c r="F578" s="8" t="n">
        <x:f>Source!F572/100</x:f>
        <x:v>0</x:v>
      </x:c>
      <x:c r="G578" s="8" t="n">
        <x:f>Source!G572/100</x:f>
        <x:v>0</x:v>
      </x:c>
      <x:c r="H578" s="8" t="n">
        <x:f>G578-D578</x:f>
        <x:v>-225.63</x:v>
      </x:c>
      <x:c r="I578" s="1" t="str">
        <x:f>IF(H578&gt;0,"Overbilled","Shortfall")</x:f>
        <x:v>Shortfall</x:v>
      </x:c>
      <x:c r="J578" s="7"/>
      <x:c r="K578" s="7" t="str">
        <x:v>Open</x:v>
      </x:c>
      <x:c r="L578" s="7"/>
    </x:row>
    <x:row r="579" ht="21" customHeight="1">
      <x:c r="A579" s="1" t="str">
        <x:f>Source!A573</x:f>
        <x:v>C0001746</x:v>
      </x:c>
      <x:c r="B579" s="1" t="str">
        <x:f>_xlfn.IFNA(VLOOKUP(Source!B573,Advertisers!$A$5:$B$34,2,FALSE),"Missing advertiser")</x:f>
        <x:v>Synthetic advertiser 28</x:v>
      </x:c>
      <x:c r="C579" s="1" t="n">
        <x:f>Source!C573</x:f>
        <x:v>118</x:v>
      </x:c>
      <x:c r="D579" s="8" t="n">
        <x:f>Source!D573/100</x:f>
        <x:v>225.63</x:v>
      </x:c>
      <x:c r="E579" s="8" t="n">
        <x:f>Source!E573/100</x:f>
        <x:v>0</x:v>
      </x:c>
      <x:c r="F579" s="8" t="n">
        <x:f>Source!F573/100</x:f>
        <x:v>0</x:v>
      </x:c>
      <x:c r="G579" s="8" t="n">
        <x:f>Source!G573/100</x:f>
        <x:v>0</x:v>
      </x:c>
      <x:c r="H579" s="8" t="n">
        <x:f>G579-D579</x:f>
        <x:v>-225.63</x:v>
      </x:c>
      <x:c r="I579" s="1" t="str">
        <x:f>IF(H579&gt;0,"Overbilled","Shortfall")</x:f>
        <x:v>Shortfall</x:v>
      </x:c>
      <x:c r="J579" s="7"/>
      <x:c r="K579" s="7" t="str">
        <x:v>Open</x:v>
      </x:c>
      <x:c r="L579" s="7"/>
    </x:row>
    <x:row r="580" ht="21" customHeight="1">
      <x:c r="A580" s="1" t="str">
        <x:f>Source!A574</x:f>
        <x:v>C0013617</x:v>
      </x:c>
      <x:c r="B580" s="1" t="str">
        <x:f>_xlfn.IFNA(VLOOKUP(Source!B574,Advertisers!$A$5:$B$34,2,FALSE),"Missing advertiser")</x:f>
        <x:v>Synthetic advertiser 28</x:v>
      </x:c>
      <x:c r="C580" s="1" t="n">
        <x:f>Source!C574</x:f>
        <x:v>118</x:v>
      </x:c>
      <x:c r="D580" s="8" t="n">
        <x:f>Source!D574/100</x:f>
        <x:v>225.63</x:v>
      </x:c>
      <x:c r="E580" s="8" t="n">
        <x:f>Source!E574/100</x:f>
        <x:v>451.26</x:v>
      </x:c>
      <x:c r="F580" s="8" t="n">
        <x:f>Source!F574/100</x:f>
        <x:v>0</x:v>
      </x:c>
      <x:c r="G580" s="8" t="n">
        <x:f>Source!G574/100</x:f>
        <x:v>451.26</x:v>
      </x:c>
      <x:c r="H580" s="8" t="n">
        <x:f>G580-D580</x:f>
        <x:v>225.63</x:v>
      </x:c>
      <x:c r="I580" s="1" t="str">
        <x:f>IF(H580&gt;0,"Overbilled","Shortfall")</x:f>
        <x:v>Overbilled</x:v>
      </x:c>
      <x:c r="J580" s="7"/>
      <x:c r="K580" s="7" t="str">
        <x:v>Open</x:v>
      </x:c>
      <x:c r="L580" s="7"/>
    </x:row>
    <x:row r="581" ht="21" customHeight="1">
      <x:c r="A581" s="1" t="str">
        <x:f>Source!A575</x:f>
        <x:v>C0010309</x:v>
      </x:c>
      <x:c r="B581" s="1" t="str">
        <x:f>_xlfn.IFNA(VLOOKUP(Source!B575,Advertisers!$A$5:$B$34,2,FALSE),"Missing advertiser")</x:f>
        <x:v>Synthetic advertiser 28</x:v>
      </x:c>
      <x:c r="C581" s="1" t="n">
        <x:f>Source!C575</x:f>
        <x:v>118</x:v>
      </x:c>
      <x:c r="D581" s="8" t="n">
        <x:f>Source!D575/100</x:f>
        <x:v>225.63</x:v>
      </x:c>
      <x:c r="E581" s="8" t="n">
        <x:f>Source!E575/100</x:f>
        <x:v>0</x:v>
      </x:c>
      <x:c r="F581" s="8" t="n">
        <x:f>Source!F575/100</x:f>
        <x:v>0</x:v>
      </x:c>
      <x:c r="G581" s="8" t="n">
        <x:f>Source!G575/100</x:f>
        <x:v>0</x:v>
      </x:c>
      <x:c r="H581" s="8" t="n">
        <x:f>G581-D581</x:f>
        <x:v>-225.63</x:v>
      </x:c>
      <x:c r="I581" s="1" t="str">
        <x:f>IF(H581&gt;0,"Overbilled","Shortfall")</x:f>
        <x:v>Shortfall</x:v>
      </x:c>
      <x:c r="J581" s="7"/>
      <x:c r="K581" s="7" t="str">
        <x:v>Open</x:v>
      </x:c>
      <x:c r="L581" s="7"/>
    </x:row>
    <x:row r="582" ht="21" customHeight="1">
      <x:c r="A582" s="1" t="str">
        <x:f>Source!A576</x:f>
        <x:v>C0007414</x:v>
      </x:c>
      <x:c r="B582" s="1" t="str">
        <x:f>_xlfn.IFNA(VLOOKUP(Source!B576,Advertisers!$A$5:$B$34,2,FALSE),"Missing advertiser")</x:f>
        <x:v>Synthetic advertiser 28</x:v>
      </x:c>
      <x:c r="C582" s="1" t="n">
        <x:f>Source!C576</x:f>
        <x:v>118</x:v>
      </x:c>
      <x:c r="D582" s="8" t="n">
        <x:f>Source!D576/100</x:f>
        <x:v>225.63</x:v>
      </x:c>
      <x:c r="E582" s="8" t="n">
        <x:f>Source!E576/100</x:f>
        <x:v>0</x:v>
      </x:c>
      <x:c r="F582" s="8" t="n">
        <x:f>Source!F576/100</x:f>
        <x:v>0</x:v>
      </x:c>
      <x:c r="G582" s="8" t="n">
        <x:f>Source!G576/100</x:f>
        <x:v>0</x:v>
      </x:c>
      <x:c r="H582" s="8" t="n">
        <x:f>G582-D582</x:f>
        <x:v>-225.63</x:v>
      </x:c>
      <x:c r="I582" s="1" t="str">
        <x:f>IF(H582&gt;0,"Overbilled","Shortfall")</x:f>
        <x:v>Shortfall</x:v>
      </x:c>
      <x:c r="J582" s="7"/>
      <x:c r="K582" s="7" t="str">
        <x:v>Open</x:v>
      </x:c>
      <x:c r="L582" s="7"/>
    </x:row>
    <x:row r="583" ht="21" customHeight="1">
      <x:c r="A583" s="1" t="str">
        <x:f>Source!A577</x:f>
        <x:v>C0009106</x:v>
      </x:c>
      <x:c r="B583" s="1" t="str">
        <x:f>_xlfn.IFNA(VLOOKUP(Source!B577,Advertisers!$A$5:$B$34,2,FALSE),"Missing advertiser")</x:f>
        <x:v>Synthetic advertiser 28</x:v>
      </x:c>
      <x:c r="C583" s="1" t="n">
        <x:f>Source!C577</x:f>
        <x:v>118</x:v>
      </x:c>
      <x:c r="D583" s="8" t="n">
        <x:f>Source!D577/100</x:f>
        <x:v>225.63</x:v>
      </x:c>
      <x:c r="E583" s="8" t="n">
        <x:f>Source!E577/100</x:f>
        <x:v>451.26</x:v>
      </x:c>
      <x:c r="F583" s="8" t="n">
        <x:f>Source!F577/100</x:f>
        <x:v>0</x:v>
      </x:c>
      <x:c r="G583" s="8" t="n">
        <x:f>Source!G577/100</x:f>
        <x:v>451.26</x:v>
      </x:c>
      <x:c r="H583" s="8" t="n">
        <x:f>G583-D583</x:f>
        <x:v>225.63</x:v>
      </x:c>
      <x:c r="I583" s="1" t="str">
        <x:f>IF(H583&gt;0,"Overbilled","Shortfall")</x:f>
        <x:v>Overbilled</x:v>
      </x:c>
      <x:c r="J583" s="7"/>
      <x:c r="K583" s="7" t="str">
        <x:v>Open</x:v>
      </x:c>
      <x:c r="L583" s="7"/>
    </x:row>
    <x:row r="584" ht="21" customHeight="1">
      <x:c r="A584" s="1" t="str">
        <x:f>Source!A578</x:f>
        <x:v>C0010204</x:v>
      </x:c>
      <x:c r="B584" s="1" t="str">
        <x:f>_xlfn.IFNA(VLOOKUP(Source!B578,Advertisers!$A$5:$B$34,2,FALSE),"Missing advertiser")</x:f>
        <x:v>Synthetic advertiser 12</x:v>
      </x:c>
      <x:c r="C584" s="1" t="n">
        <x:f>Source!C578</x:f>
        <x:v>72</x:v>
      </x:c>
      <x:c r="D584" s="8" t="n">
        <x:f>Source!D578/100</x:f>
        <x:v>223.36</x:v>
      </x:c>
      <x:c r="E584" s="8" t="n">
        <x:f>Source!E578/100</x:f>
        <x:v>446.72</x:v>
      </x:c>
      <x:c r="F584" s="8" t="n">
        <x:f>Source!F578/100</x:f>
        <x:v>0</x:v>
      </x:c>
      <x:c r="G584" s="8" t="n">
        <x:f>Source!G578/100</x:f>
        <x:v>446.72</x:v>
      </x:c>
      <x:c r="H584" s="8" t="n">
        <x:f>G584-D584</x:f>
        <x:v>223.36</x:v>
      </x:c>
      <x:c r="I584" s="1" t="str">
        <x:f>IF(H584&gt;0,"Overbilled","Shortfall")</x:f>
        <x:v>Overbilled</x:v>
      </x:c>
      <x:c r="J584" s="7"/>
      <x:c r="K584" s="7" t="str">
        <x:v>Open</x:v>
      </x:c>
      <x:c r="L584" s="7"/>
    </x:row>
    <x:row r="585" ht="21" customHeight="1">
      <x:c r="A585" s="1" t="str">
        <x:f>Source!A579</x:f>
        <x:v>C0016197</x:v>
      </x:c>
      <x:c r="B585" s="1" t="str">
        <x:f>_xlfn.IFNA(VLOOKUP(Source!B579,Advertisers!$A$5:$B$34,2,FALSE),"Missing advertiser")</x:f>
        <x:v>Synthetic advertiser 12</x:v>
      </x:c>
      <x:c r="C585" s="1" t="n">
        <x:f>Source!C579</x:f>
        <x:v>72</x:v>
      </x:c>
      <x:c r="D585" s="8" t="n">
        <x:f>Source!D579/100</x:f>
        <x:v>223.36</x:v>
      </x:c>
      <x:c r="E585" s="8" t="n">
        <x:f>Source!E579/100</x:f>
        <x:v>446.72</x:v>
      </x:c>
      <x:c r="F585" s="8" t="n">
        <x:f>Source!F579/100</x:f>
        <x:v>0</x:v>
      </x:c>
      <x:c r="G585" s="8" t="n">
        <x:f>Source!G579/100</x:f>
        <x:v>446.72</x:v>
      </x:c>
      <x:c r="H585" s="8" t="n">
        <x:f>G585-D585</x:f>
        <x:v>223.36</x:v>
      </x:c>
      <x:c r="I585" s="1" t="str">
        <x:f>IF(H585&gt;0,"Overbilled","Shortfall")</x:f>
        <x:v>Overbilled</x:v>
      </x:c>
      <x:c r="J585" s="7"/>
      <x:c r="K585" s="7" t="str">
        <x:v>Open</x:v>
      </x:c>
      <x:c r="L585" s="7"/>
    </x:row>
    <x:row r="586" ht="21" customHeight="1">
      <x:c r="A586" s="1" t="str">
        <x:f>Source!A580</x:f>
        <x:v>C0009067</x:v>
      </x:c>
      <x:c r="B586" s="1" t="str">
        <x:f>_xlfn.IFNA(VLOOKUP(Source!B580,Advertisers!$A$5:$B$34,2,FALSE),"Missing advertiser")</x:f>
        <x:v>Synthetic advertiser 12</x:v>
      </x:c>
      <x:c r="C586" s="1" t="n">
        <x:f>Source!C580</x:f>
        <x:v>72</x:v>
      </x:c>
      <x:c r="D586" s="8" t="n">
        <x:f>Source!D580/100</x:f>
        <x:v>223.36</x:v>
      </x:c>
      <x:c r="E586" s="8" t="n">
        <x:f>Source!E580/100</x:f>
        <x:v>446.72</x:v>
      </x:c>
      <x:c r="F586" s="8" t="n">
        <x:f>Source!F580/100</x:f>
        <x:v>0</x:v>
      </x:c>
      <x:c r="G586" s="8" t="n">
        <x:f>Source!G580/100</x:f>
        <x:v>446.72</x:v>
      </x:c>
      <x:c r="H586" s="8" t="n">
        <x:f>G586-D586</x:f>
        <x:v>223.36</x:v>
      </x:c>
      <x:c r="I586" s="1" t="str">
        <x:f>IF(H586&gt;0,"Overbilled","Shortfall")</x:f>
        <x:v>Overbilled</x:v>
      </x:c>
      <x:c r="J586" s="7"/>
      <x:c r="K586" s="7" t="str">
        <x:v>Open</x:v>
      </x:c>
      <x:c r="L586" s="7"/>
    </x:row>
    <x:row r="587" ht="21" customHeight="1">
      <x:c r="A587" s="1" t="str">
        <x:f>Source!A581</x:f>
        <x:v>C0015912</x:v>
      </x:c>
      <x:c r="B587" s="1" t="str">
        <x:f>_xlfn.IFNA(VLOOKUP(Source!B581,Advertisers!$A$5:$B$34,2,FALSE),"Missing advertiser")</x:f>
        <x:v>Synthetic advertiser 12</x:v>
      </x:c>
      <x:c r="C587" s="1" t="n">
        <x:f>Source!C581</x:f>
        <x:v>72</x:v>
      </x:c>
      <x:c r="D587" s="8" t="n">
        <x:f>Source!D581/100</x:f>
        <x:v>223.36</x:v>
      </x:c>
      <x:c r="E587" s="8" t="n">
        <x:f>Source!E581/100</x:f>
        <x:v>446.72</x:v>
      </x:c>
      <x:c r="F587" s="8" t="n">
        <x:f>Source!F581/100</x:f>
        <x:v>0</x:v>
      </x:c>
      <x:c r="G587" s="8" t="n">
        <x:f>Source!G581/100</x:f>
        <x:v>446.72</x:v>
      </x:c>
      <x:c r="H587" s="8" t="n">
        <x:f>G587-D587</x:f>
        <x:v>223.36</x:v>
      </x:c>
      <x:c r="I587" s="1" t="str">
        <x:f>IF(H587&gt;0,"Overbilled","Shortfall")</x:f>
        <x:v>Overbilled</x:v>
      </x:c>
      <x:c r="J587" s="7"/>
      <x:c r="K587" s="7" t="str">
        <x:v>Open</x:v>
      </x:c>
      <x:c r="L587" s="7"/>
    </x:row>
    <x:row r="588" ht="21" customHeight="1">
      <x:c r="A588" s="1" t="str">
        <x:f>Source!A582</x:f>
        <x:v>C0005715</x:v>
      </x:c>
      <x:c r="B588" s="1" t="str">
        <x:f>_xlfn.IFNA(VLOOKUP(Source!B582,Advertisers!$A$5:$B$34,2,FALSE),"Missing advertiser")</x:f>
        <x:v>Synthetic advertiser 12</x:v>
      </x:c>
      <x:c r="C588" s="1" t="n">
        <x:f>Source!C582</x:f>
        <x:v>72</x:v>
      </x:c>
      <x:c r="D588" s="8" t="n">
        <x:f>Source!D582/100</x:f>
        <x:v>223.36</x:v>
      </x:c>
      <x:c r="E588" s="8" t="n">
        <x:f>Source!E582/100</x:f>
        <x:v>446.72</x:v>
      </x:c>
      <x:c r="F588" s="8" t="n">
        <x:f>Source!F582/100</x:f>
        <x:v>0</x:v>
      </x:c>
      <x:c r="G588" s="8" t="n">
        <x:f>Source!G582/100</x:f>
        <x:v>446.72</x:v>
      </x:c>
      <x:c r="H588" s="8" t="n">
        <x:f>G588-D588</x:f>
        <x:v>223.36</x:v>
      </x:c>
      <x:c r="I588" s="1" t="str">
        <x:f>IF(H588&gt;0,"Overbilled","Shortfall")</x:f>
        <x:v>Overbilled</x:v>
      </x:c>
      <x:c r="J588" s="7"/>
      <x:c r="K588" s="7" t="str">
        <x:v>Open</x:v>
      </x:c>
      <x:c r="L588" s="7"/>
    </x:row>
    <x:row r="589" ht="21" customHeight="1">
      <x:c r="A589" s="1" t="str">
        <x:f>Source!A583</x:f>
        <x:v>C0002275</x:v>
      </x:c>
      <x:c r="B589" s="1" t="str">
        <x:f>_xlfn.IFNA(VLOOKUP(Source!B583,Advertisers!$A$5:$B$34,2,FALSE),"Missing advertiser")</x:f>
        <x:v>Synthetic advertiser 12</x:v>
      </x:c>
      <x:c r="C589" s="1" t="n">
        <x:f>Source!C583</x:f>
        <x:v>72</x:v>
      </x:c>
      <x:c r="D589" s="8" t="n">
        <x:f>Source!D583/100</x:f>
        <x:v>223.36</x:v>
      </x:c>
      <x:c r="E589" s="8" t="n">
        <x:f>Source!E583/100</x:f>
        <x:v>446.72</x:v>
      </x:c>
      <x:c r="F589" s="8" t="n">
        <x:f>Source!F583/100</x:f>
        <x:v>0</x:v>
      </x:c>
      <x:c r="G589" s="8" t="n">
        <x:f>Source!G583/100</x:f>
        <x:v>446.72</x:v>
      </x:c>
      <x:c r="H589" s="8" t="n">
        <x:f>G589-D589</x:f>
        <x:v>223.36</x:v>
      </x:c>
      <x:c r="I589" s="1" t="str">
        <x:f>IF(H589&gt;0,"Overbilled","Shortfall")</x:f>
        <x:v>Overbilled</x:v>
      </x:c>
      <x:c r="J589" s="7"/>
      <x:c r="K589" s="7" t="str">
        <x:v>Open</x:v>
      </x:c>
      <x:c r="L589" s="7"/>
    </x:row>
    <x:row r="590" ht="21" customHeight="1">
      <x:c r="A590" s="1" t="str">
        <x:f>Source!A584</x:f>
        <x:v>C0016812</x:v>
      </x:c>
      <x:c r="B590" s="1" t="str">
        <x:f>_xlfn.IFNA(VLOOKUP(Source!B584,Advertisers!$A$5:$B$34,2,FALSE),"Missing advertiser")</x:f>
        <x:v>Synthetic advertiser 12</x:v>
      </x:c>
      <x:c r="C590" s="1" t="n">
        <x:f>Source!C584</x:f>
        <x:v>72</x:v>
      </x:c>
      <x:c r="D590" s="8" t="n">
        <x:f>Source!D584/100</x:f>
        <x:v>223.36</x:v>
      </x:c>
      <x:c r="E590" s="8" t="n">
        <x:f>Source!E584/100</x:f>
        <x:v>0</x:v>
      </x:c>
      <x:c r="F590" s="8" t="n">
        <x:f>Source!F584/100</x:f>
        <x:v>0</x:v>
      </x:c>
      <x:c r="G590" s="8" t="n">
        <x:f>Source!G584/100</x:f>
        <x:v>0</x:v>
      </x:c>
      <x:c r="H590" s="8" t="n">
        <x:f>G590-D590</x:f>
        <x:v>-223.36</x:v>
      </x:c>
      <x:c r="I590" s="1" t="str">
        <x:f>IF(H590&gt;0,"Overbilled","Shortfall")</x:f>
        <x:v>Shortfall</x:v>
      </x:c>
      <x:c r="J590" s="7"/>
      <x:c r="K590" s="7" t="str">
        <x:v>Open</x:v>
      </x:c>
      <x:c r="L590" s="7"/>
    </x:row>
    <x:row r="591" ht="21" customHeight="1">
      <x:c r="A591" s="1" t="str">
        <x:f>Source!A585</x:f>
        <x:v>C0002145</x:v>
      </x:c>
      <x:c r="B591" s="1" t="str">
        <x:f>_xlfn.IFNA(VLOOKUP(Source!B585,Advertisers!$A$5:$B$34,2,FALSE),"Missing advertiser")</x:f>
        <x:v>Synthetic advertiser 12</x:v>
      </x:c>
      <x:c r="C591" s="1" t="n">
        <x:f>Source!C585</x:f>
        <x:v>72</x:v>
      </x:c>
      <x:c r="D591" s="8" t="n">
        <x:f>Source!D585/100</x:f>
        <x:v>223.36</x:v>
      </x:c>
      <x:c r="E591" s="8" t="n">
        <x:f>Source!E585/100</x:f>
        <x:v>446.72</x:v>
      </x:c>
      <x:c r="F591" s="8" t="n">
        <x:f>Source!F585/100</x:f>
        <x:v>0</x:v>
      </x:c>
      <x:c r="G591" s="8" t="n">
        <x:f>Source!G585/100</x:f>
        <x:v>446.72</x:v>
      </x:c>
      <x:c r="H591" s="8" t="n">
        <x:f>G591-D591</x:f>
        <x:v>223.36</x:v>
      </x:c>
      <x:c r="I591" s="1" t="str">
        <x:f>IF(H591&gt;0,"Overbilled","Shortfall")</x:f>
        <x:v>Overbilled</x:v>
      </x:c>
      <x:c r="J591" s="7"/>
      <x:c r="K591" s="7" t="str">
        <x:v>Open</x:v>
      </x:c>
      <x:c r="L591" s="7"/>
    </x:row>
    <x:row r="592" ht="21" customHeight="1">
      <x:c r="A592" s="1" t="str">
        <x:f>Source!A586</x:f>
        <x:v>C0004135</x:v>
      </x:c>
      <x:c r="B592" s="1" t="str">
        <x:f>_xlfn.IFNA(VLOOKUP(Source!B586,Advertisers!$A$5:$B$34,2,FALSE),"Missing advertiser")</x:f>
        <x:v>Synthetic advertiser 12</x:v>
      </x:c>
      <x:c r="C592" s="1" t="n">
        <x:f>Source!C586</x:f>
        <x:v>72</x:v>
      </x:c>
      <x:c r="D592" s="8" t="n">
        <x:f>Source!D586/100</x:f>
        <x:v>223.36</x:v>
      </x:c>
      <x:c r="E592" s="8" t="n">
        <x:f>Source!E586/100</x:f>
        <x:v>0</x:v>
      </x:c>
      <x:c r="F592" s="8" t="n">
        <x:f>Source!F586/100</x:f>
        <x:v>0</x:v>
      </x:c>
      <x:c r="G592" s="8" t="n">
        <x:f>Source!G586/100</x:f>
        <x:v>0</x:v>
      </x:c>
      <x:c r="H592" s="8" t="n">
        <x:f>G592-D592</x:f>
        <x:v>-223.36</x:v>
      </x:c>
      <x:c r="I592" s="1" t="str">
        <x:f>IF(H592&gt;0,"Overbilled","Shortfall")</x:f>
        <x:v>Shortfall</x:v>
      </x:c>
      <x:c r="J592" s="7"/>
      <x:c r="K592" s="7" t="str">
        <x:v>Open</x:v>
      </x:c>
      <x:c r="L592" s="7"/>
    </x:row>
    <x:row r="593" ht="21" customHeight="1">
      <x:c r="A593" s="1" t="str">
        <x:f>Source!A587</x:f>
        <x:v>C0004365</x:v>
      </x:c>
      <x:c r="B593" s="1" t="str">
        <x:f>_xlfn.IFNA(VLOOKUP(Source!B587,Advertisers!$A$5:$B$34,2,FALSE),"Missing advertiser")</x:f>
        <x:v>Synthetic advertiser 12</x:v>
      </x:c>
      <x:c r="C593" s="1" t="n">
        <x:f>Source!C587</x:f>
        <x:v>72</x:v>
      </x:c>
      <x:c r="D593" s="8" t="n">
        <x:f>Source!D587/100</x:f>
        <x:v>223.36</x:v>
      </x:c>
      <x:c r="E593" s="8" t="n">
        <x:f>Source!E587/100</x:f>
        <x:v>446.72</x:v>
      </x:c>
      <x:c r="F593" s="8" t="n">
        <x:f>Source!F587/100</x:f>
        <x:v>0</x:v>
      </x:c>
      <x:c r="G593" s="8" t="n">
        <x:f>Source!G587/100</x:f>
        <x:v>446.72</x:v>
      </x:c>
      <x:c r="H593" s="8" t="n">
        <x:f>G593-D593</x:f>
        <x:v>223.36</x:v>
      </x:c>
      <x:c r="I593" s="1" t="str">
        <x:f>IF(H593&gt;0,"Overbilled","Shortfall")</x:f>
        <x:v>Overbilled</x:v>
      </x:c>
      <x:c r="J593" s="7"/>
      <x:c r="K593" s="7" t="str">
        <x:v>Open</x:v>
      </x:c>
      <x:c r="L593" s="7"/>
    </x:row>
    <x:row r="594" ht="21" customHeight="1">
      <x:c r="A594" s="1" t="str">
        <x:f>Source!A588</x:f>
        <x:v>C0014884</x:v>
      </x:c>
      <x:c r="B594" s="1" t="str">
        <x:f>_xlfn.IFNA(VLOOKUP(Source!B588,Advertisers!$A$5:$B$34,2,FALSE),"Missing advertiser")</x:f>
        <x:v>Synthetic advertiser 12</x:v>
      </x:c>
      <x:c r="C594" s="1" t="n">
        <x:f>Source!C588</x:f>
        <x:v>72</x:v>
      </x:c>
      <x:c r="D594" s="8" t="n">
        <x:f>Source!D588/100</x:f>
        <x:v>223.36</x:v>
      </x:c>
      <x:c r="E594" s="8" t="n">
        <x:f>Source!E588/100</x:f>
        <x:v>0</x:v>
      </x:c>
      <x:c r="F594" s="8" t="n">
        <x:f>Source!F588/100</x:f>
        <x:v>0</x:v>
      </x:c>
      <x:c r="G594" s="8" t="n">
        <x:f>Source!G588/100</x:f>
        <x:v>0</x:v>
      </x:c>
      <x:c r="H594" s="8" t="n">
        <x:f>G594-D594</x:f>
        <x:v>-223.36</x:v>
      </x:c>
      <x:c r="I594" s="1" t="str">
        <x:f>IF(H594&gt;0,"Overbilled","Shortfall")</x:f>
        <x:v>Shortfall</x:v>
      </x:c>
      <x:c r="J594" s="7"/>
      <x:c r="K594" s="7" t="str">
        <x:v>Open</x:v>
      </x:c>
      <x:c r="L594" s="7"/>
    </x:row>
    <x:row r="595" ht="21" customHeight="1">
      <x:c r="A595" s="1" t="str">
        <x:f>Source!A589</x:f>
        <x:v>C0010866</x:v>
      </x:c>
      <x:c r="B595" s="1" t="str">
        <x:f>_xlfn.IFNA(VLOOKUP(Source!B589,Advertisers!$A$5:$B$34,2,FALSE),"Missing advertiser")</x:f>
        <x:v>Synthetic advertiser 12</x:v>
      </x:c>
      <x:c r="C595" s="1" t="n">
        <x:f>Source!C589</x:f>
        <x:v>72</x:v>
      </x:c>
      <x:c r="D595" s="8" t="n">
        <x:f>Source!D589/100</x:f>
        <x:v>0</x:v>
      </x:c>
      <x:c r="E595" s="8" t="n">
        <x:f>Source!E589/100</x:f>
        <x:v>223.36</x:v>
      </x:c>
      <x:c r="F595" s="8" t="n">
        <x:f>Source!F589/100</x:f>
        <x:v>0</x:v>
      </x:c>
      <x:c r="G595" s="8" t="n">
        <x:f>Source!G589/100</x:f>
        <x:v>223.36</x:v>
      </x:c>
      <x:c r="H595" s="8" t="n">
        <x:f>G595-D595</x:f>
        <x:v>223.36</x:v>
      </x:c>
      <x:c r="I595" s="1" t="str">
        <x:f>IF(H595&gt;0,"Overbilled","Shortfall")</x:f>
        <x:v>Overbilled</x:v>
      </x:c>
      <x:c r="J595" s="7"/>
      <x:c r="K595" s="7" t="str">
        <x:v>Open</x:v>
      </x:c>
      <x:c r="L595" s="7"/>
    </x:row>
    <x:row r="596" ht="21" customHeight="1">
      <x:c r="A596" s="1" t="str">
        <x:f>Source!A590</x:f>
        <x:v>C0011845</x:v>
      </x:c>
      <x:c r="B596" s="1" t="str">
        <x:f>_xlfn.IFNA(VLOOKUP(Source!B590,Advertisers!$A$5:$B$34,2,FALSE),"Missing advertiser")</x:f>
        <x:v>Synthetic advertiser 12</x:v>
      </x:c>
      <x:c r="C596" s="1" t="n">
        <x:f>Source!C590</x:f>
        <x:v>72</x:v>
      </x:c>
      <x:c r="D596" s="8" t="n">
        <x:f>Source!D590/100</x:f>
        <x:v>223.36</x:v>
      </x:c>
      <x:c r="E596" s="8" t="n">
        <x:f>Source!E590/100</x:f>
        <x:v>0</x:v>
      </x:c>
      <x:c r="F596" s="8" t="n">
        <x:f>Source!F590/100</x:f>
        <x:v>0</x:v>
      </x:c>
      <x:c r="G596" s="8" t="n">
        <x:f>Source!G590/100</x:f>
        <x:v>0</x:v>
      </x:c>
      <x:c r="H596" s="8" t="n">
        <x:f>G596-D596</x:f>
        <x:v>-223.36</x:v>
      </x:c>
      <x:c r="I596" s="1" t="str">
        <x:f>IF(H596&gt;0,"Overbilled","Shortfall")</x:f>
        <x:v>Shortfall</x:v>
      </x:c>
      <x:c r="J596" s="7"/>
      <x:c r="K596" s="7" t="str">
        <x:v>Open</x:v>
      </x:c>
      <x:c r="L596" s="7"/>
    </x:row>
    <x:row r="597" ht="21" customHeight="1">
      <x:c r="A597" s="1" t="str">
        <x:f>Source!A591</x:f>
        <x:v>C0003455</x:v>
      </x:c>
      <x:c r="B597" s="1" t="str">
        <x:f>_xlfn.IFNA(VLOOKUP(Source!B591,Advertisers!$A$5:$B$34,2,FALSE),"Missing advertiser")</x:f>
        <x:v>Synthetic advertiser 28</x:v>
      </x:c>
      <x:c r="C597" s="1" t="n">
        <x:f>Source!C591</x:f>
        <x:v>88</x:v>
      </x:c>
      <x:c r="D597" s="8" t="n">
        <x:f>Source!D591/100</x:f>
        <x:v>222.56</x:v>
      </x:c>
      <x:c r="E597" s="8" t="n">
        <x:f>Source!E591/100</x:f>
        <x:v>445.12</x:v>
      </x:c>
      <x:c r="F597" s="8" t="n">
        <x:f>Source!F591/100</x:f>
        <x:v>0</x:v>
      </x:c>
      <x:c r="G597" s="8" t="n">
        <x:f>Source!G591/100</x:f>
        <x:v>445.12</x:v>
      </x:c>
      <x:c r="H597" s="8" t="n">
        <x:f>G597-D597</x:f>
        <x:v>222.56</x:v>
      </x:c>
      <x:c r="I597" s="1" t="str">
        <x:f>IF(H597&gt;0,"Overbilled","Shortfall")</x:f>
        <x:v>Overbilled</x:v>
      </x:c>
      <x:c r="J597" s="7"/>
      <x:c r="K597" s="7" t="str">
        <x:v>Open</x:v>
      </x:c>
      <x:c r="L597" s="7"/>
    </x:row>
    <x:row r="598" ht="21" customHeight="1">
      <x:c r="A598" s="1" t="str">
        <x:f>Source!A592</x:f>
        <x:v>C0014548</x:v>
      </x:c>
      <x:c r="B598" s="1" t="str">
        <x:f>_xlfn.IFNA(VLOOKUP(Source!B592,Advertisers!$A$5:$B$34,2,FALSE),"Missing advertiser")</x:f>
        <x:v>Synthetic advertiser 28</x:v>
      </x:c>
      <x:c r="C598" s="1" t="n">
        <x:f>Source!C592</x:f>
        <x:v>88</x:v>
      </x:c>
      <x:c r="D598" s="8" t="n">
        <x:f>Source!D592/100</x:f>
        <x:v>222.56</x:v>
      </x:c>
      <x:c r="E598" s="8" t="n">
        <x:f>Source!E592/100</x:f>
        <x:v>445.12</x:v>
      </x:c>
      <x:c r="F598" s="8" t="n">
        <x:f>Source!F592/100</x:f>
        <x:v>0</x:v>
      </x:c>
      <x:c r="G598" s="8" t="n">
        <x:f>Source!G592/100</x:f>
        <x:v>445.12</x:v>
      </x:c>
      <x:c r="H598" s="8" t="n">
        <x:f>G598-D598</x:f>
        <x:v>222.56</x:v>
      </x:c>
      <x:c r="I598" s="1" t="str">
        <x:f>IF(H598&gt;0,"Overbilled","Shortfall")</x:f>
        <x:v>Overbilled</x:v>
      </x:c>
      <x:c r="J598" s="7"/>
      <x:c r="K598" s="7" t="str">
        <x:v>Open</x:v>
      </x:c>
      <x:c r="L598" s="7"/>
    </x:row>
    <x:row r="599" ht="21" customHeight="1">
      <x:c r="A599" s="1" t="str">
        <x:f>Source!A593</x:f>
        <x:v>C0016863</x:v>
      </x:c>
      <x:c r="B599" s="1" t="str">
        <x:f>_xlfn.IFNA(VLOOKUP(Source!B593,Advertisers!$A$5:$B$34,2,FALSE),"Missing advertiser")</x:f>
        <x:v>Synthetic advertiser 28</x:v>
      </x:c>
      <x:c r="C599" s="1" t="n">
        <x:f>Source!C593</x:f>
        <x:v>88</x:v>
      </x:c>
      <x:c r="D599" s="8" t="n">
        <x:f>Source!D593/100</x:f>
        <x:v>222.56</x:v>
      </x:c>
      <x:c r="E599" s="8" t="n">
        <x:f>Source!E593/100</x:f>
        <x:v>445.12</x:v>
      </x:c>
      <x:c r="F599" s="8" t="n">
        <x:f>Source!F593/100</x:f>
        <x:v>0</x:v>
      </x:c>
      <x:c r="G599" s="8" t="n">
        <x:f>Source!G593/100</x:f>
        <x:v>445.12</x:v>
      </x:c>
      <x:c r="H599" s="8" t="n">
        <x:f>G599-D599</x:f>
        <x:v>222.56</x:v>
      </x:c>
      <x:c r="I599" s="1" t="str">
        <x:f>IF(H599&gt;0,"Overbilled","Shortfall")</x:f>
        <x:v>Overbilled</x:v>
      </x:c>
      <x:c r="J599" s="7"/>
      <x:c r="K599" s="7" t="str">
        <x:v>Open</x:v>
      </x:c>
      <x:c r="L599" s="7"/>
    </x:row>
    <x:row r="600" ht="21" customHeight="1">
      <x:c r="A600" s="1" t="str">
        <x:f>Source!A594</x:f>
        <x:v>C0008348</x:v>
      </x:c>
      <x:c r="B600" s="1" t="str">
        <x:f>_xlfn.IFNA(VLOOKUP(Source!B594,Advertisers!$A$5:$B$34,2,FALSE),"Missing advertiser")</x:f>
        <x:v>Synthetic advertiser 28</x:v>
      </x:c>
      <x:c r="C600" s="1" t="n">
        <x:f>Source!C594</x:f>
        <x:v>88</x:v>
      </x:c>
      <x:c r="D600" s="8" t="n">
        <x:f>Source!D594/100</x:f>
        <x:v>222.56</x:v>
      </x:c>
      <x:c r="E600" s="8" t="n">
        <x:f>Source!E594/100</x:f>
        <x:v>0</x:v>
      </x:c>
      <x:c r="F600" s="8" t="n">
        <x:f>Source!F594/100</x:f>
        <x:v>0</x:v>
      </x:c>
      <x:c r="G600" s="8" t="n">
        <x:f>Source!G594/100</x:f>
        <x:v>0</x:v>
      </x:c>
      <x:c r="H600" s="8" t="n">
        <x:f>G600-D600</x:f>
        <x:v>-222.56</x:v>
      </x:c>
      <x:c r="I600" s="1" t="str">
        <x:f>IF(H600&gt;0,"Overbilled","Shortfall")</x:f>
        <x:v>Shortfall</x:v>
      </x:c>
      <x:c r="J600" s="7"/>
      <x:c r="K600" s="7" t="str">
        <x:v>Open</x:v>
      </x:c>
      <x:c r="L600" s="7"/>
    </x:row>
    <x:row r="601" ht="21" customHeight="1">
      <x:c r="A601" s="1" t="str">
        <x:f>Source!A595</x:f>
        <x:v>C0010872</x:v>
      </x:c>
      <x:c r="B601" s="1" t="str">
        <x:f>_xlfn.IFNA(VLOOKUP(Source!B595,Advertisers!$A$5:$B$34,2,FALSE),"Missing advertiser")</x:f>
        <x:v>Synthetic advertiser 28</x:v>
      </x:c>
      <x:c r="C601" s="1" t="n">
        <x:f>Source!C595</x:f>
        <x:v>88</x:v>
      </x:c>
      <x:c r="D601" s="8" t="n">
        <x:f>Source!D595/100</x:f>
        <x:v>222.56</x:v>
      </x:c>
      <x:c r="E601" s="8" t="n">
        <x:f>Source!E595/100</x:f>
        <x:v>445.12</x:v>
      </x:c>
      <x:c r="F601" s="8" t="n">
        <x:f>Source!F595/100</x:f>
        <x:v>0</x:v>
      </x:c>
      <x:c r="G601" s="8" t="n">
        <x:f>Source!G595/100</x:f>
        <x:v>445.12</x:v>
      </x:c>
      <x:c r="H601" s="8" t="n">
        <x:f>G601-D601</x:f>
        <x:v>222.56</x:v>
      </x:c>
      <x:c r="I601" s="1" t="str">
        <x:f>IF(H601&gt;0,"Overbilled","Shortfall")</x:f>
        <x:v>Overbilled</x:v>
      </x:c>
      <x:c r="J601" s="7"/>
      <x:c r="K601" s="7" t="str">
        <x:v>Open</x:v>
      </x:c>
      <x:c r="L601" s="7"/>
    </x:row>
    <x:row r="602" ht="21" customHeight="1">
      <x:c r="A602" s="1" t="str">
        <x:f>Source!A596</x:f>
        <x:v>C0013854</x:v>
      </x:c>
      <x:c r="B602" s="1" t="str">
        <x:f>_xlfn.IFNA(VLOOKUP(Source!B596,Advertisers!$A$5:$B$34,2,FALSE),"Missing advertiser")</x:f>
        <x:v>Synthetic advertiser 28</x:v>
      </x:c>
      <x:c r="C602" s="1" t="n">
        <x:f>Source!C596</x:f>
        <x:v>88</x:v>
      </x:c>
      <x:c r="D602" s="8" t="n">
        <x:f>Source!D596/100</x:f>
        <x:v>222.56</x:v>
      </x:c>
      <x:c r="E602" s="8" t="n">
        <x:f>Source!E596/100</x:f>
        <x:v>445.12</x:v>
      </x:c>
      <x:c r="F602" s="8" t="n">
        <x:f>Source!F596/100</x:f>
        <x:v>0</x:v>
      </x:c>
      <x:c r="G602" s="8" t="n">
        <x:f>Source!G596/100</x:f>
        <x:v>445.12</x:v>
      </x:c>
      <x:c r="H602" s="8" t="n">
        <x:f>G602-D602</x:f>
        <x:v>222.56</x:v>
      </x:c>
      <x:c r="I602" s="1" t="str">
        <x:f>IF(H602&gt;0,"Overbilled","Shortfall")</x:f>
        <x:v>Overbilled</x:v>
      </x:c>
      <x:c r="J602" s="7"/>
      <x:c r="K602" s="7" t="str">
        <x:v>Open</x:v>
      </x:c>
      <x:c r="L602" s="7"/>
    </x:row>
    <x:row r="603" ht="21" customHeight="1">
      <x:c r="A603" s="1" t="str">
        <x:f>Source!A597</x:f>
        <x:v>C0013658</x:v>
      </x:c>
      <x:c r="B603" s="1" t="str">
        <x:f>_xlfn.IFNA(VLOOKUP(Source!B597,Advertisers!$A$5:$B$34,2,FALSE),"Missing advertiser")</x:f>
        <x:v>Synthetic advertiser 16</x:v>
      </x:c>
      <x:c r="C603" s="1" t="n">
        <x:f>Source!C597</x:f>
        <x:v>76</x:v>
      </x:c>
      <x:c r="D603" s="8" t="n">
        <x:f>Source!D597/100</x:f>
        <x:v>221.63</x:v>
      </x:c>
      <x:c r="E603" s="8" t="n">
        <x:f>Source!E597/100</x:f>
        <x:v>0</x:v>
      </x:c>
      <x:c r="F603" s="8" t="n">
        <x:f>Source!F597/100</x:f>
        <x:v>0</x:v>
      </x:c>
      <x:c r="G603" s="8" t="n">
        <x:f>Source!G597/100</x:f>
        <x:v>0</x:v>
      </x:c>
      <x:c r="H603" s="8" t="n">
        <x:f>G603-D603</x:f>
        <x:v>-221.63</x:v>
      </x:c>
      <x:c r="I603" s="1" t="str">
        <x:f>IF(H603&gt;0,"Overbilled","Shortfall")</x:f>
        <x:v>Shortfall</x:v>
      </x:c>
      <x:c r="J603" s="7"/>
      <x:c r="K603" s="7" t="str">
        <x:v>Open</x:v>
      </x:c>
      <x:c r="L603" s="7"/>
    </x:row>
    <x:row r="604" ht="21" customHeight="1">
      <x:c r="A604" s="1" t="str">
        <x:f>Source!A598</x:f>
        <x:v>C0007213</x:v>
      </x:c>
      <x:c r="B604" s="1" t="str">
        <x:f>_xlfn.IFNA(VLOOKUP(Source!B598,Advertisers!$A$5:$B$34,2,FALSE),"Missing advertiser")</x:f>
        <x:v>Synthetic advertiser 23</x:v>
      </x:c>
      <x:c r="C604" s="1" t="n">
        <x:f>Source!C598</x:f>
        <x:v>83</x:v>
      </x:c>
      <x:c r="D604" s="8" t="n">
        <x:f>Source!D598/100</x:f>
        <x:v>220.93</x:v>
      </x:c>
      <x:c r="E604" s="8" t="n">
        <x:f>Source!E598/100</x:f>
        <x:v>441.86</x:v>
      </x:c>
      <x:c r="F604" s="8" t="n">
        <x:f>Source!F598/100</x:f>
        <x:v>0</x:v>
      </x:c>
      <x:c r="G604" s="8" t="n">
        <x:f>Source!G598/100</x:f>
        <x:v>441.86</x:v>
      </x:c>
      <x:c r="H604" s="8" t="n">
        <x:f>G604-D604</x:f>
        <x:v>220.93</x:v>
      </x:c>
      <x:c r="I604" s="1" t="str">
        <x:f>IF(H604&gt;0,"Overbilled","Shortfall")</x:f>
        <x:v>Overbilled</x:v>
      </x:c>
      <x:c r="J604" s="7"/>
      <x:c r="K604" s="7" t="str">
        <x:v>Open</x:v>
      </x:c>
      <x:c r="L604" s="7"/>
    </x:row>
    <x:row r="605" ht="21" customHeight="1">
      <x:c r="A605" s="1" t="str">
        <x:f>Source!A599</x:f>
        <x:v>C0013483</x:v>
      </x:c>
      <x:c r="B605" s="1" t="str">
        <x:f>_xlfn.IFNA(VLOOKUP(Source!B599,Advertisers!$A$5:$B$34,2,FALSE),"Missing advertiser")</x:f>
        <x:v>Synthetic advertiser 23</x:v>
      </x:c>
      <x:c r="C605" s="1" t="n">
        <x:f>Source!C599</x:f>
        <x:v>83</x:v>
      </x:c>
      <x:c r="D605" s="8" t="n">
        <x:f>Source!D599/100</x:f>
        <x:v>220.93</x:v>
      </x:c>
      <x:c r="E605" s="8" t="n">
        <x:f>Source!E599/100</x:f>
        <x:v>441.86</x:v>
      </x:c>
      <x:c r="F605" s="8" t="n">
        <x:f>Source!F599/100</x:f>
        <x:v>0</x:v>
      </x:c>
      <x:c r="G605" s="8" t="n">
        <x:f>Source!G599/100</x:f>
        <x:v>441.86</x:v>
      </x:c>
      <x:c r="H605" s="8" t="n">
        <x:f>G605-D605</x:f>
        <x:v>220.93</x:v>
      </x:c>
      <x:c r="I605" s="1" t="str">
        <x:f>IF(H605&gt;0,"Overbilled","Shortfall")</x:f>
        <x:v>Overbilled</x:v>
      </x:c>
      <x:c r="J605" s="7"/>
      <x:c r="K605" s="7" t="str">
        <x:v>Open</x:v>
      </x:c>
      <x:c r="L605" s="7"/>
    </x:row>
    <x:row r="606" ht="21" customHeight="1">
      <x:c r="A606" s="1" t="str">
        <x:f>Source!A600</x:f>
        <x:v>C0015556</x:v>
      </x:c>
      <x:c r="B606" s="1" t="str">
        <x:f>_xlfn.IFNA(VLOOKUP(Source!B600,Advertisers!$A$5:$B$34,2,FALSE),"Missing advertiser")</x:f>
        <x:v>Synthetic advertiser 23</x:v>
      </x:c>
      <x:c r="C606" s="1" t="n">
        <x:f>Source!C600</x:f>
        <x:v>83</x:v>
      </x:c>
      <x:c r="D606" s="8" t="n">
        <x:f>Source!D600/100</x:f>
        <x:v>220.93</x:v>
      </x:c>
      <x:c r="E606" s="8" t="n">
        <x:f>Source!E600/100</x:f>
        <x:v>0</x:v>
      </x:c>
      <x:c r="F606" s="8" t="n">
        <x:f>Source!F600/100</x:f>
        <x:v>0</x:v>
      </x:c>
      <x:c r="G606" s="8" t="n">
        <x:f>Source!G600/100</x:f>
        <x:v>0</x:v>
      </x:c>
      <x:c r="H606" s="8" t="n">
        <x:f>G606-D606</x:f>
        <x:v>-220.93</x:v>
      </x:c>
      <x:c r="I606" s="1" t="str">
        <x:f>IF(H606&gt;0,"Overbilled","Shortfall")</x:f>
        <x:v>Shortfall</x:v>
      </x:c>
      <x:c r="J606" s="7"/>
      <x:c r="K606" s="7" t="str">
        <x:v>Open</x:v>
      </x:c>
      <x:c r="L606" s="7"/>
    </x:row>
    <x:row r="607" ht="21" customHeight="1">
      <x:c r="A607" s="1" t="str">
        <x:f>Source!A601</x:f>
        <x:v>C0009242</x:v>
      </x:c>
      <x:c r="B607" s="1" t="str">
        <x:f>_xlfn.IFNA(VLOOKUP(Source!B601,Advertisers!$A$5:$B$34,2,FALSE),"Missing advertiser")</x:f>
        <x:v>Synthetic advertiser 23</x:v>
      </x:c>
      <x:c r="C607" s="1" t="n">
        <x:f>Source!C601</x:f>
        <x:v>83</x:v>
      </x:c>
      <x:c r="D607" s="8" t="n">
        <x:f>Source!D601/100</x:f>
        <x:v>220.93</x:v>
      </x:c>
      <x:c r="E607" s="8" t="n">
        <x:f>Source!E601/100</x:f>
        <x:v>441.86</x:v>
      </x:c>
      <x:c r="F607" s="8" t="n">
        <x:f>Source!F601/100</x:f>
        <x:v>0</x:v>
      </x:c>
      <x:c r="G607" s="8" t="n">
        <x:f>Source!G601/100</x:f>
        <x:v>441.86</x:v>
      </x:c>
      <x:c r="H607" s="8" t="n">
        <x:f>G607-D607</x:f>
        <x:v>220.93</x:v>
      </x:c>
      <x:c r="I607" s="1" t="str">
        <x:f>IF(H607&gt;0,"Overbilled","Shortfall")</x:f>
        <x:v>Overbilled</x:v>
      </x:c>
      <x:c r="J607" s="7"/>
      <x:c r="K607" s="7" t="str">
        <x:v>Open</x:v>
      </x:c>
      <x:c r="L607" s="7"/>
    </x:row>
    <x:row r="608" ht="21" customHeight="1">
      <x:c r="A608" s="1" t="str">
        <x:f>Source!A602</x:f>
        <x:v>C0009665</x:v>
      </x:c>
      <x:c r="B608" s="1" t="str">
        <x:f>_xlfn.IFNA(VLOOKUP(Source!B602,Advertisers!$A$5:$B$34,2,FALSE),"Missing advertiser")</x:f>
        <x:v>Synthetic advertiser 23</x:v>
      </x:c>
      <x:c r="C608" s="1" t="n">
        <x:f>Source!C602</x:f>
        <x:v>83</x:v>
      </x:c>
      <x:c r="D608" s="8" t="n">
        <x:f>Source!D602/100</x:f>
        <x:v>220.93</x:v>
      </x:c>
      <x:c r="E608" s="8" t="n">
        <x:f>Source!E602/100</x:f>
        <x:v>0</x:v>
      </x:c>
      <x:c r="F608" s="8" t="n">
        <x:f>Source!F602/100</x:f>
        <x:v>0</x:v>
      </x:c>
      <x:c r="G608" s="8" t="n">
        <x:f>Source!G602/100</x:f>
        <x:v>0</x:v>
      </x:c>
      <x:c r="H608" s="8" t="n">
        <x:f>G608-D608</x:f>
        <x:v>-220.93</x:v>
      </x:c>
      <x:c r="I608" s="1" t="str">
        <x:f>IF(H608&gt;0,"Overbilled","Shortfall")</x:f>
        <x:v>Shortfall</x:v>
      </x:c>
      <x:c r="J608" s="7"/>
      <x:c r="K608" s="7" t="str">
        <x:v>Open</x:v>
      </x:c>
      <x:c r="L608" s="7"/>
    </x:row>
    <x:row r="609" ht="21" customHeight="1">
      <x:c r="A609" s="1" t="str">
        <x:f>Source!A603</x:f>
        <x:v>C0001464</x:v>
      </x:c>
      <x:c r="B609" s="1" t="str">
        <x:f>_xlfn.IFNA(VLOOKUP(Source!B603,Advertisers!$A$5:$B$34,2,FALSE),"Missing advertiser")</x:f>
        <x:v>Synthetic advertiser 9</x:v>
      </x:c>
      <x:c r="C609" s="1" t="n">
        <x:f>Source!C603</x:f>
        <x:v>69</x:v>
      </x:c>
      <x:c r="D609" s="8" t="n">
        <x:f>Source!D603/100</x:f>
        <x:v>219.6</x:v>
      </x:c>
      <x:c r="E609" s="8" t="n">
        <x:f>Source!E603/100</x:f>
        <x:v>0</x:v>
      </x:c>
      <x:c r="F609" s="8" t="n">
        <x:f>Source!F603/100</x:f>
        <x:v>0</x:v>
      </x:c>
      <x:c r="G609" s="8" t="n">
        <x:f>Source!G603/100</x:f>
        <x:v>0</x:v>
      </x:c>
      <x:c r="H609" s="8" t="n">
        <x:f>G609-D609</x:f>
        <x:v>-219.6</x:v>
      </x:c>
      <x:c r="I609" s="1" t="str">
        <x:f>IF(H609&gt;0,"Overbilled","Shortfall")</x:f>
        <x:v>Shortfall</x:v>
      </x:c>
      <x:c r="J609" s="7"/>
      <x:c r="K609" s="7" t="str">
        <x:v>Open</x:v>
      </x:c>
      <x:c r="L609" s="7"/>
    </x:row>
    <x:row r="610" ht="21" customHeight="1">
      <x:c r="A610" s="1" t="str">
        <x:f>Source!A604</x:f>
        <x:v>C0014439</x:v>
      </x:c>
      <x:c r="B610" s="1" t="str">
        <x:f>_xlfn.IFNA(VLOOKUP(Source!B604,Advertisers!$A$5:$B$34,2,FALSE),"Missing advertiser")</x:f>
        <x:v>Synthetic advertiser 9</x:v>
      </x:c>
      <x:c r="C610" s="1" t="n">
        <x:f>Source!C604</x:f>
        <x:v>69</x:v>
      </x:c>
      <x:c r="D610" s="8" t="n">
        <x:f>Source!D604/100</x:f>
        <x:v>219.6</x:v>
      </x:c>
      <x:c r="E610" s="8" t="n">
        <x:f>Source!E604/100</x:f>
        <x:v>0</x:v>
      </x:c>
      <x:c r="F610" s="8" t="n">
        <x:f>Source!F604/100</x:f>
        <x:v>0</x:v>
      </x:c>
      <x:c r="G610" s="8" t="n">
        <x:f>Source!G604/100</x:f>
        <x:v>0</x:v>
      </x:c>
      <x:c r="H610" s="8" t="n">
        <x:f>G610-D610</x:f>
        <x:v>-219.6</x:v>
      </x:c>
      <x:c r="I610" s="1" t="str">
        <x:f>IF(H610&gt;0,"Overbilled","Shortfall")</x:f>
        <x:v>Shortfall</x:v>
      </x:c>
      <x:c r="J610" s="7"/>
      <x:c r="K610" s="7" t="str">
        <x:v>Open</x:v>
      </x:c>
      <x:c r="L610" s="7"/>
    </x:row>
    <x:row r="611" ht="21" customHeight="1">
      <x:c r="A611" s="1" t="str">
        <x:f>Source!A605</x:f>
        <x:v>C0010008</x:v>
      </x:c>
      <x:c r="B611" s="1" t="str">
        <x:f>_xlfn.IFNA(VLOOKUP(Source!B605,Advertisers!$A$5:$B$34,2,FALSE),"Missing advertiser")</x:f>
        <x:v>Synthetic advertiser 9</x:v>
      </x:c>
      <x:c r="C611" s="1" t="n">
        <x:f>Source!C605</x:f>
        <x:v>69</x:v>
      </x:c>
      <x:c r="D611" s="8" t="n">
        <x:f>Source!D605/100</x:f>
        <x:v>219.6</x:v>
      </x:c>
      <x:c r="E611" s="8" t="n">
        <x:f>Source!E605/100</x:f>
        <x:v>439.2</x:v>
      </x:c>
      <x:c r="F611" s="8" t="n">
        <x:f>Source!F605/100</x:f>
        <x:v>0</x:v>
      </x:c>
      <x:c r="G611" s="8" t="n">
        <x:f>Source!G605/100</x:f>
        <x:v>439.2</x:v>
      </x:c>
      <x:c r="H611" s="8" t="n">
        <x:f>G611-D611</x:f>
        <x:v>219.6</x:v>
      </x:c>
      <x:c r="I611" s="1" t="str">
        <x:f>IF(H611&gt;0,"Overbilled","Shortfall")</x:f>
        <x:v>Overbilled</x:v>
      </x:c>
      <x:c r="J611" s="7"/>
      <x:c r="K611" s="7" t="str">
        <x:v>Open</x:v>
      </x:c>
      <x:c r="L611" s="7"/>
    </x:row>
    <x:row r="612" ht="21" customHeight="1">
      <x:c r="A612" s="1" t="str">
        <x:f>Source!A606</x:f>
        <x:v>C0006750</x:v>
      </x:c>
      <x:c r="B612" s="1" t="str">
        <x:f>_xlfn.IFNA(VLOOKUP(Source!B606,Advertisers!$A$5:$B$34,2,FALSE),"Missing advertiser")</x:f>
        <x:v>Synthetic advertiser 9</x:v>
      </x:c>
      <x:c r="C612" s="1" t="n">
        <x:f>Source!C606</x:f>
        <x:v>69</x:v>
      </x:c>
      <x:c r="D612" s="8" t="n">
        <x:f>Source!D606/100</x:f>
        <x:v>219.6</x:v>
      </x:c>
      <x:c r="E612" s="8" t="n">
        <x:f>Source!E606/100</x:f>
        <x:v>0</x:v>
      </x:c>
      <x:c r="F612" s="8" t="n">
        <x:f>Source!F606/100</x:f>
        <x:v>0</x:v>
      </x:c>
      <x:c r="G612" s="8" t="n">
        <x:f>Source!G606/100</x:f>
        <x:v>0</x:v>
      </x:c>
      <x:c r="H612" s="8" t="n">
        <x:f>G612-D612</x:f>
        <x:v>-219.6</x:v>
      </x:c>
      <x:c r="I612" s="1" t="str">
        <x:f>IF(H612&gt;0,"Overbilled","Shortfall")</x:f>
        <x:v>Shortfall</x:v>
      </x:c>
      <x:c r="J612" s="7"/>
      <x:c r="K612" s="7" t="str">
        <x:v>Open</x:v>
      </x:c>
      <x:c r="L612" s="7"/>
    </x:row>
    <x:row r="613" ht="21" customHeight="1">
      <x:c r="A613" s="1" t="str">
        <x:f>Source!A607</x:f>
        <x:v>C0011268</x:v>
      </x:c>
      <x:c r="B613" s="1" t="str">
        <x:f>_xlfn.IFNA(VLOOKUP(Source!B607,Advertisers!$A$5:$B$34,2,FALSE),"Missing advertiser")</x:f>
        <x:v>Synthetic advertiser 9</x:v>
      </x:c>
      <x:c r="C613" s="1" t="n">
        <x:f>Source!C607</x:f>
        <x:v>69</x:v>
      </x:c>
      <x:c r="D613" s="8" t="n">
        <x:f>Source!D607/100</x:f>
        <x:v>219.6</x:v>
      </x:c>
      <x:c r="E613" s="8" t="n">
        <x:f>Source!E607/100</x:f>
        <x:v>439.2</x:v>
      </x:c>
      <x:c r="F613" s="8" t="n">
        <x:f>Source!F607/100</x:f>
        <x:v>0</x:v>
      </x:c>
      <x:c r="G613" s="8" t="n">
        <x:f>Source!G607/100</x:f>
        <x:v>439.2</x:v>
      </x:c>
      <x:c r="H613" s="8" t="n">
        <x:f>G613-D613</x:f>
        <x:v>219.6</x:v>
      </x:c>
      <x:c r="I613" s="1" t="str">
        <x:f>IF(H613&gt;0,"Overbilled","Shortfall")</x:f>
        <x:v>Overbilled</x:v>
      </x:c>
      <x:c r="J613" s="7"/>
      <x:c r="K613" s="7" t="str">
        <x:v>Open</x:v>
      </x:c>
      <x:c r="L613" s="7"/>
    </x:row>
    <x:row r="614" ht="21" customHeight="1">
      <x:c r="A614" s="1" t="str">
        <x:f>Source!A608</x:f>
        <x:v>C0000205</x:v>
      </x:c>
      <x:c r="B614" s="1" t="str">
        <x:f>_xlfn.IFNA(VLOOKUP(Source!B608,Advertisers!$A$5:$B$34,2,FALSE),"Missing advertiser")</x:f>
        <x:v>Synthetic advertiser 9</x:v>
      </x:c>
      <x:c r="C614" s="1" t="n">
        <x:f>Source!C608</x:f>
        <x:v>69</x:v>
      </x:c>
      <x:c r="D614" s="8" t="n">
        <x:f>Source!D608/100</x:f>
        <x:v>0</x:v>
      </x:c>
      <x:c r="E614" s="8" t="n">
        <x:f>Source!E608/100</x:f>
        <x:v>219.6</x:v>
      </x:c>
      <x:c r="F614" s="8" t="n">
        <x:f>Source!F608/100</x:f>
        <x:v>0</x:v>
      </x:c>
      <x:c r="G614" s="8" t="n">
        <x:f>Source!G608/100</x:f>
        <x:v>219.6</x:v>
      </x:c>
      <x:c r="H614" s="8" t="n">
        <x:f>G614-D614</x:f>
        <x:v>219.6</x:v>
      </x:c>
      <x:c r="I614" s="1" t="str">
        <x:f>IF(H614&gt;0,"Overbilled","Shortfall")</x:f>
        <x:v>Overbilled</x:v>
      </x:c>
      <x:c r="J614" s="7"/>
      <x:c r="K614" s="7" t="str">
        <x:v>Open</x:v>
      </x:c>
      <x:c r="L614" s="7"/>
    </x:row>
    <x:row r="615" ht="21" customHeight="1">
      <x:c r="A615" s="1" t="str">
        <x:f>Source!A609</x:f>
        <x:v>C0004416</x:v>
      </x:c>
      <x:c r="B615" s="1" t="str">
        <x:f>_xlfn.IFNA(VLOOKUP(Source!B609,Advertisers!$A$5:$B$34,2,FALSE),"Missing advertiser")</x:f>
        <x:v>Synthetic advertiser 18</x:v>
      </x:c>
      <x:c r="C615" s="1" t="n">
        <x:f>Source!C609</x:f>
        <x:v>78</x:v>
      </x:c>
      <x:c r="D615" s="8" t="n">
        <x:f>Source!D609/100</x:f>
        <x:v>219.58</x:v>
      </x:c>
      <x:c r="E615" s="8" t="n">
        <x:f>Source!E609/100</x:f>
        <x:v>439.16</x:v>
      </x:c>
      <x:c r="F615" s="8" t="n">
        <x:f>Source!F609/100</x:f>
        <x:v>0</x:v>
      </x:c>
      <x:c r="G615" s="8" t="n">
        <x:f>Source!G609/100</x:f>
        <x:v>439.16</x:v>
      </x:c>
      <x:c r="H615" s="8" t="n">
        <x:f>G615-D615</x:f>
        <x:v>219.58</x:v>
      </x:c>
      <x:c r="I615" s="1" t="str">
        <x:f>IF(H615&gt;0,"Overbilled","Shortfall")</x:f>
        <x:v>Overbilled</x:v>
      </x:c>
      <x:c r="J615" s="7"/>
      <x:c r="K615" s="7" t="str">
        <x:v>Open</x:v>
      </x:c>
      <x:c r="L615" s="7"/>
    </x:row>
    <x:row r="616" ht="21" customHeight="1">
      <x:c r="A616" s="1" t="str">
        <x:f>Source!A610</x:f>
        <x:v>C0010959</x:v>
      </x:c>
      <x:c r="B616" s="1" t="str">
        <x:f>_xlfn.IFNA(VLOOKUP(Source!B610,Advertisers!$A$5:$B$34,2,FALSE),"Missing advertiser")</x:f>
        <x:v>Synthetic advertiser 18</x:v>
      </x:c>
      <x:c r="C616" s="1" t="n">
        <x:f>Source!C610</x:f>
        <x:v>78</x:v>
      </x:c>
      <x:c r="D616" s="8" t="n">
        <x:f>Source!D610/100</x:f>
        <x:v>0</x:v>
      </x:c>
      <x:c r="E616" s="8" t="n">
        <x:f>Source!E610/100</x:f>
        <x:v>219.58</x:v>
      </x:c>
      <x:c r="F616" s="8" t="n">
        <x:f>Source!F610/100</x:f>
        <x:v>0</x:v>
      </x:c>
      <x:c r="G616" s="8" t="n">
        <x:f>Source!G610/100</x:f>
        <x:v>219.58</x:v>
      </x:c>
      <x:c r="H616" s="8" t="n">
        <x:f>G616-D616</x:f>
        <x:v>219.58</x:v>
      </x:c>
      <x:c r="I616" s="1" t="str">
        <x:f>IF(H616&gt;0,"Overbilled","Shortfall")</x:f>
        <x:v>Overbilled</x:v>
      </x:c>
      <x:c r="J616" s="7"/>
      <x:c r="K616" s="7" t="str">
        <x:v>Open</x:v>
      </x:c>
      <x:c r="L616" s="7"/>
    </x:row>
    <x:row r="617" ht="21" customHeight="1">
      <x:c r="A617" s="1" t="str">
        <x:f>Source!A611</x:f>
        <x:v>C0003426</x:v>
      </x:c>
      <x:c r="B617" s="1" t="str">
        <x:f>_xlfn.IFNA(VLOOKUP(Source!B611,Advertisers!$A$5:$B$34,2,FALSE),"Missing advertiser")</x:f>
        <x:v>Synthetic advertiser 18</x:v>
      </x:c>
      <x:c r="C617" s="1" t="n">
        <x:f>Source!C611</x:f>
        <x:v>78</x:v>
      </x:c>
      <x:c r="D617" s="8" t="n">
        <x:f>Source!D611/100</x:f>
        <x:v>219.58</x:v>
      </x:c>
      <x:c r="E617" s="8" t="n">
        <x:f>Source!E611/100</x:f>
        <x:v>0</x:v>
      </x:c>
      <x:c r="F617" s="8" t="n">
        <x:f>Source!F611/100</x:f>
        <x:v>0</x:v>
      </x:c>
      <x:c r="G617" s="8" t="n">
        <x:f>Source!G611/100</x:f>
        <x:v>0</x:v>
      </x:c>
      <x:c r="H617" s="8" t="n">
        <x:f>G617-D617</x:f>
        <x:v>-219.58</x:v>
      </x:c>
      <x:c r="I617" s="1" t="str">
        <x:f>IF(H617&gt;0,"Overbilled","Shortfall")</x:f>
        <x:v>Shortfall</x:v>
      </x:c>
      <x:c r="J617" s="7"/>
      <x:c r="K617" s="7" t="str">
        <x:v>Open</x:v>
      </x:c>
      <x:c r="L617" s="7"/>
    </x:row>
    <x:row r="618" ht="21" customHeight="1">
      <x:c r="A618" s="1" t="str">
        <x:f>Source!A612</x:f>
        <x:v>C0012190</x:v>
      </x:c>
      <x:c r="B618" s="1" t="str">
        <x:f>_xlfn.IFNA(VLOOKUP(Source!B612,Advertisers!$A$5:$B$34,2,FALSE),"Missing advertiser")</x:f>
        <x:v>Synthetic advertiser 18</x:v>
      </x:c>
      <x:c r="C618" s="1" t="n">
        <x:f>Source!C612</x:f>
        <x:v>78</x:v>
      </x:c>
      <x:c r="D618" s="8" t="n">
        <x:f>Source!D612/100</x:f>
        <x:v>219.58</x:v>
      </x:c>
      <x:c r="E618" s="8" t="n">
        <x:f>Source!E612/100</x:f>
        <x:v>0</x:v>
      </x:c>
      <x:c r="F618" s="8" t="n">
        <x:f>Source!F612/100</x:f>
        <x:v>0</x:v>
      </x:c>
      <x:c r="G618" s="8" t="n">
        <x:f>Source!G612/100</x:f>
        <x:v>0</x:v>
      </x:c>
      <x:c r="H618" s="8" t="n">
        <x:f>G618-D618</x:f>
        <x:v>-219.58</x:v>
      </x:c>
      <x:c r="I618" s="1" t="str">
        <x:f>IF(H618&gt;0,"Overbilled","Shortfall")</x:f>
        <x:v>Shortfall</x:v>
      </x:c>
      <x:c r="J618" s="7"/>
      <x:c r="K618" s="7" t="str">
        <x:v>Open</x:v>
      </x:c>
      <x:c r="L618" s="7"/>
    </x:row>
    <x:row r="619" ht="21" customHeight="1">
      <x:c r="A619" s="1" t="str">
        <x:f>Source!A613</x:f>
        <x:v>C0007552</x:v>
      </x:c>
      <x:c r="B619" s="1" t="str">
        <x:f>_xlfn.IFNA(VLOOKUP(Source!B613,Advertisers!$A$5:$B$34,2,FALSE),"Missing advertiser")</x:f>
        <x:v>Synthetic advertiser 5</x:v>
      </x:c>
      <x:c r="C619" s="1" t="n">
        <x:f>Source!C613</x:f>
        <x:v>35</x:v>
      </x:c>
      <x:c r="D619" s="8" t="n">
        <x:f>Source!D613/100</x:f>
        <x:v>218.72</x:v>
      </x:c>
      <x:c r="E619" s="8" t="n">
        <x:f>Source!E613/100</x:f>
        <x:v>437.44</x:v>
      </x:c>
      <x:c r="F619" s="8" t="n">
        <x:f>Source!F613/100</x:f>
        <x:v>0</x:v>
      </x:c>
      <x:c r="G619" s="8" t="n">
        <x:f>Source!G613/100</x:f>
        <x:v>437.44</x:v>
      </x:c>
      <x:c r="H619" s="8" t="n">
        <x:f>G619-D619</x:f>
        <x:v>218.72</x:v>
      </x:c>
      <x:c r="I619" s="1" t="str">
        <x:f>IF(H619&gt;0,"Overbilled","Shortfall")</x:f>
        <x:v>Overbilled</x:v>
      </x:c>
      <x:c r="J619" s="7"/>
      <x:c r="K619" s="7" t="str">
        <x:v>Open</x:v>
      </x:c>
      <x:c r="L619" s="7"/>
    </x:row>
    <x:row r="620" ht="21" customHeight="1">
      <x:c r="A620" s="1" t="str">
        <x:f>Source!A614</x:f>
        <x:v>C0012234</x:v>
      </x:c>
      <x:c r="B620" s="1" t="str">
        <x:f>_xlfn.IFNA(VLOOKUP(Source!B614,Advertisers!$A$5:$B$34,2,FALSE),"Missing advertiser")</x:f>
        <x:v>Synthetic advertiser 5</x:v>
      </x:c>
      <x:c r="C620" s="1" t="n">
        <x:f>Source!C614</x:f>
        <x:v>35</x:v>
      </x:c>
      <x:c r="D620" s="8" t="n">
        <x:f>Source!D614/100</x:f>
        <x:v>218.72</x:v>
      </x:c>
      <x:c r="E620" s="8" t="n">
        <x:f>Source!E614/100</x:f>
        <x:v>437.44</x:v>
      </x:c>
      <x:c r="F620" s="8" t="n">
        <x:f>Source!F614/100</x:f>
        <x:v>0</x:v>
      </x:c>
      <x:c r="G620" s="8" t="n">
        <x:f>Source!G614/100</x:f>
        <x:v>437.44</x:v>
      </x:c>
      <x:c r="H620" s="8" t="n">
        <x:f>G620-D620</x:f>
        <x:v>218.72</x:v>
      </x:c>
      <x:c r="I620" s="1" t="str">
        <x:f>IF(H620&gt;0,"Overbilled","Shortfall")</x:f>
        <x:v>Overbilled</x:v>
      </x:c>
      <x:c r="J620" s="7"/>
      <x:c r="K620" s="7" t="str">
        <x:v>Open</x:v>
      </x:c>
      <x:c r="L620" s="7"/>
    </x:row>
    <x:row r="621" ht="21" customHeight="1">
      <x:c r="A621" s="1" t="str">
        <x:f>Source!A615</x:f>
        <x:v>C0016392</x:v>
      </x:c>
      <x:c r="B621" s="1" t="str">
        <x:f>_xlfn.IFNA(VLOOKUP(Source!B615,Advertisers!$A$5:$B$34,2,FALSE),"Missing advertiser")</x:f>
        <x:v>Synthetic advertiser 5</x:v>
      </x:c>
      <x:c r="C621" s="1" t="n">
        <x:f>Source!C615</x:f>
        <x:v>35</x:v>
      </x:c>
      <x:c r="D621" s="8" t="n">
        <x:f>Source!D615/100</x:f>
        <x:v>218.72</x:v>
      </x:c>
      <x:c r="E621" s="8" t="n">
        <x:f>Source!E615/100</x:f>
        <x:v>0</x:v>
      </x:c>
      <x:c r="F621" s="8" t="n">
        <x:f>Source!F615/100</x:f>
        <x:v>0</x:v>
      </x:c>
      <x:c r="G621" s="8" t="n">
        <x:f>Source!G615/100</x:f>
        <x:v>0</x:v>
      </x:c>
      <x:c r="H621" s="8" t="n">
        <x:f>G621-D621</x:f>
        <x:v>-218.72</x:v>
      </x:c>
      <x:c r="I621" s="1" t="str">
        <x:f>IF(H621&gt;0,"Overbilled","Shortfall")</x:f>
        <x:v>Shortfall</x:v>
      </x:c>
      <x:c r="J621" s="7"/>
      <x:c r="K621" s="7" t="str">
        <x:v>Open</x:v>
      </x:c>
      <x:c r="L621" s="7"/>
    </x:row>
    <x:row r="622" ht="21" customHeight="1">
      <x:c r="A622" s="1" t="str">
        <x:f>Source!A616</x:f>
        <x:v>C0009039</x:v>
      </x:c>
      <x:c r="B622" s="1" t="str">
        <x:f>_xlfn.IFNA(VLOOKUP(Source!B616,Advertisers!$A$5:$B$34,2,FALSE),"Missing advertiser")</x:f>
        <x:v>Synthetic advertiser 5</x:v>
      </x:c>
      <x:c r="C622" s="1" t="n">
        <x:f>Source!C616</x:f>
        <x:v>35</x:v>
      </x:c>
      <x:c r="D622" s="8" t="n">
        <x:f>Source!D616/100</x:f>
        <x:v>218.72</x:v>
      </x:c>
      <x:c r="E622" s="8" t="n">
        <x:f>Source!E616/100</x:f>
        <x:v>437.44</x:v>
      </x:c>
      <x:c r="F622" s="8" t="n">
        <x:f>Source!F616/100</x:f>
        <x:v>0</x:v>
      </x:c>
      <x:c r="G622" s="8" t="n">
        <x:f>Source!G616/100</x:f>
        <x:v>437.44</x:v>
      </x:c>
      <x:c r="H622" s="8" t="n">
        <x:f>G622-D622</x:f>
        <x:v>218.72</x:v>
      </x:c>
      <x:c r="I622" s="1" t="str">
        <x:f>IF(H622&gt;0,"Overbilled","Shortfall")</x:f>
        <x:v>Overbilled</x:v>
      </x:c>
      <x:c r="J622" s="7"/>
      <x:c r="K622" s="7" t="str">
        <x:v>Open</x:v>
      </x:c>
      <x:c r="L622" s="7"/>
    </x:row>
    <x:row r="623" ht="21" customHeight="1">
      <x:c r="A623" s="1" t="str">
        <x:f>Source!A617</x:f>
        <x:v>C0010458</x:v>
      </x:c>
      <x:c r="B623" s="1" t="str">
        <x:f>_xlfn.IFNA(VLOOKUP(Source!B617,Advertisers!$A$5:$B$34,2,FALSE),"Missing advertiser")</x:f>
        <x:v>Synthetic advertiser 5</x:v>
      </x:c>
      <x:c r="C623" s="1" t="n">
        <x:f>Source!C617</x:f>
        <x:v>35</x:v>
      </x:c>
      <x:c r="D623" s="8" t="n">
        <x:f>Source!D617/100</x:f>
        <x:v>218.72</x:v>
      </x:c>
      <x:c r="E623" s="8" t="n">
        <x:f>Source!E617/100</x:f>
        <x:v>0</x:v>
      </x:c>
      <x:c r="F623" s="8" t="n">
        <x:f>Source!F617/100</x:f>
        <x:v>0</x:v>
      </x:c>
      <x:c r="G623" s="8" t="n">
        <x:f>Source!G617/100</x:f>
        <x:v>0</x:v>
      </x:c>
      <x:c r="H623" s="8" t="n">
        <x:f>G623-D623</x:f>
        <x:v>-218.72</x:v>
      </x:c>
      <x:c r="I623" s="1" t="str">
        <x:f>IF(H623&gt;0,"Overbilled","Shortfall")</x:f>
        <x:v>Shortfall</x:v>
      </x:c>
      <x:c r="J623" s="7"/>
      <x:c r="K623" s="7" t="str">
        <x:v>Open</x:v>
      </x:c>
      <x:c r="L623" s="7"/>
    </x:row>
    <x:row r="624" ht="21" customHeight="1">
      <x:c r="A624" s="1" t="str">
        <x:f>Source!A618</x:f>
        <x:v>C0014243</x:v>
      </x:c>
      <x:c r="B624" s="1" t="str">
        <x:f>_xlfn.IFNA(VLOOKUP(Source!B618,Advertisers!$A$5:$B$34,2,FALSE),"Missing advertiser")</x:f>
        <x:v>Synthetic advertiser 5</x:v>
      </x:c>
      <x:c r="C624" s="1" t="n">
        <x:f>Source!C618</x:f>
        <x:v>35</x:v>
      </x:c>
      <x:c r="D624" s="8" t="n">
        <x:f>Source!D618/100</x:f>
        <x:v>218.72</x:v>
      </x:c>
      <x:c r="E624" s="8" t="n">
        <x:f>Source!E618/100</x:f>
        <x:v>0</x:v>
      </x:c>
      <x:c r="F624" s="8" t="n">
        <x:f>Source!F618/100</x:f>
        <x:v>0</x:v>
      </x:c>
      <x:c r="G624" s="8" t="n">
        <x:f>Source!G618/100</x:f>
        <x:v>0</x:v>
      </x:c>
      <x:c r="H624" s="8" t="n">
        <x:f>G624-D624</x:f>
        <x:v>-218.72</x:v>
      </x:c>
      <x:c r="I624" s="1" t="str">
        <x:f>IF(H624&gt;0,"Overbilled","Shortfall")</x:f>
        <x:v>Shortfall</x:v>
      </x:c>
      <x:c r="J624" s="7"/>
      <x:c r="K624" s="7" t="str">
        <x:v>Open</x:v>
      </x:c>
      <x:c r="L624" s="7"/>
    </x:row>
    <x:row r="625" ht="21" customHeight="1">
      <x:c r="A625" s="1" t="str">
        <x:f>Source!A619</x:f>
        <x:v>C0003962</x:v>
      </x:c>
      <x:c r="B625" s="1" t="str">
        <x:f>_xlfn.IFNA(VLOOKUP(Source!B619,Advertisers!$A$5:$B$34,2,FALSE),"Missing advertiser")</x:f>
        <x:v>Synthetic advertiser 5</x:v>
      </x:c>
      <x:c r="C625" s="1" t="n">
        <x:f>Source!C619</x:f>
        <x:v>35</x:v>
      </x:c>
      <x:c r="D625" s="8" t="n">
        <x:f>Source!D619/100</x:f>
        <x:v>218.72</x:v>
      </x:c>
      <x:c r="E625" s="8" t="n">
        <x:f>Source!E619/100</x:f>
        <x:v>0</x:v>
      </x:c>
      <x:c r="F625" s="8" t="n">
        <x:f>Source!F619/100</x:f>
        <x:v>0</x:v>
      </x:c>
      <x:c r="G625" s="8" t="n">
        <x:f>Source!G619/100</x:f>
        <x:v>0</x:v>
      </x:c>
      <x:c r="H625" s="8" t="n">
        <x:f>G625-D625</x:f>
        <x:v>-218.72</x:v>
      </x:c>
      <x:c r="I625" s="1" t="str">
        <x:f>IF(H625&gt;0,"Overbilled","Shortfall")</x:f>
        <x:v>Shortfall</x:v>
      </x:c>
      <x:c r="J625" s="7"/>
      <x:c r="K625" s="7" t="str">
        <x:v>Open</x:v>
      </x:c>
      <x:c r="L625" s="7"/>
    </x:row>
    <x:row r="626" ht="21" customHeight="1">
      <x:c r="A626" s="1" t="str">
        <x:f>Source!A620</x:f>
        <x:v>C0010475</x:v>
      </x:c>
      <x:c r="B626" s="1" t="str">
        <x:f>_xlfn.IFNA(VLOOKUP(Source!B620,Advertisers!$A$5:$B$34,2,FALSE),"Missing advertiser")</x:f>
        <x:v>Synthetic advertiser 19</x:v>
      </x:c>
      <x:c r="C626" s="1" t="n">
        <x:f>Source!C620</x:f>
        <x:v>79</x:v>
      </x:c>
      <x:c r="D626" s="8" t="n">
        <x:f>Source!D620/100</x:f>
        <x:v>218.54</x:v>
      </x:c>
      <x:c r="E626" s="8" t="n">
        <x:f>Source!E620/100</x:f>
        <x:v>0</x:v>
      </x:c>
      <x:c r="F626" s="8" t="n">
        <x:f>Source!F620/100</x:f>
        <x:v>0</x:v>
      </x:c>
      <x:c r="G626" s="8" t="n">
        <x:f>Source!G620/100</x:f>
        <x:v>0</x:v>
      </x:c>
      <x:c r="H626" s="8" t="n">
        <x:f>G626-D626</x:f>
        <x:v>-218.54</x:v>
      </x:c>
      <x:c r="I626" s="1" t="str">
        <x:f>IF(H626&gt;0,"Overbilled","Shortfall")</x:f>
        <x:v>Shortfall</x:v>
      </x:c>
      <x:c r="J626" s="7"/>
      <x:c r="K626" s="7" t="str">
        <x:v>Open</x:v>
      </x:c>
      <x:c r="L626" s="7"/>
    </x:row>
    <x:row r="627" ht="21" customHeight="1">
      <x:c r="A627" s="1" t="str">
        <x:f>Source!A621</x:f>
        <x:v>C0001250</x:v>
      </x:c>
      <x:c r="B627" s="1" t="str">
        <x:f>_xlfn.IFNA(VLOOKUP(Source!B621,Advertisers!$A$5:$B$34,2,FALSE),"Missing advertiser")</x:f>
        <x:v>Synthetic advertiser 19</x:v>
      </x:c>
      <x:c r="C627" s="1" t="n">
        <x:f>Source!C621</x:f>
        <x:v>79</x:v>
      </x:c>
      <x:c r="D627" s="8" t="n">
        <x:f>Source!D621/100</x:f>
        <x:v>218.54</x:v>
      </x:c>
      <x:c r="E627" s="8" t="n">
        <x:f>Source!E621/100</x:f>
        <x:v>437.08</x:v>
      </x:c>
      <x:c r="F627" s="8" t="n">
        <x:f>Source!F621/100</x:f>
        <x:v>0</x:v>
      </x:c>
      <x:c r="G627" s="8" t="n">
        <x:f>Source!G621/100</x:f>
        <x:v>437.08</x:v>
      </x:c>
      <x:c r="H627" s="8" t="n">
        <x:f>G627-D627</x:f>
        <x:v>218.54</x:v>
      </x:c>
      <x:c r="I627" s="1" t="str">
        <x:f>IF(H627&gt;0,"Overbilled","Shortfall")</x:f>
        <x:v>Overbilled</x:v>
      </x:c>
      <x:c r="J627" s="7"/>
      <x:c r="K627" s="7" t="str">
        <x:v>Open</x:v>
      </x:c>
      <x:c r="L627" s="7"/>
    </x:row>
    <x:row r="628" ht="21" customHeight="1">
      <x:c r="A628" s="1" t="str">
        <x:f>Source!A622</x:f>
        <x:v>C0008812</x:v>
      </x:c>
      <x:c r="B628" s="1" t="str">
        <x:f>_xlfn.IFNA(VLOOKUP(Source!B622,Advertisers!$A$5:$B$34,2,FALSE),"Missing advertiser")</x:f>
        <x:v>Synthetic advertiser 19</x:v>
      </x:c>
      <x:c r="C628" s="1" t="n">
        <x:f>Source!C622</x:f>
        <x:v>79</x:v>
      </x:c>
      <x:c r="D628" s="8" t="n">
        <x:f>Source!D622/100</x:f>
        <x:v>218.54</x:v>
      </x:c>
      <x:c r="E628" s="8" t="n">
        <x:f>Source!E622/100</x:f>
        <x:v>437.08</x:v>
      </x:c>
      <x:c r="F628" s="8" t="n">
        <x:f>Source!F622/100</x:f>
        <x:v>0</x:v>
      </x:c>
      <x:c r="G628" s="8" t="n">
        <x:f>Source!G622/100</x:f>
        <x:v>437.08</x:v>
      </x:c>
      <x:c r="H628" s="8" t="n">
        <x:f>G628-D628</x:f>
        <x:v>218.54</x:v>
      </x:c>
      <x:c r="I628" s="1" t="str">
        <x:f>IF(H628&gt;0,"Overbilled","Shortfall")</x:f>
        <x:v>Overbilled</x:v>
      </x:c>
      <x:c r="J628" s="7"/>
      <x:c r="K628" s="7" t="str">
        <x:v>Open</x:v>
      </x:c>
      <x:c r="L628" s="7"/>
    </x:row>
    <x:row r="629" ht="21" customHeight="1">
      <x:c r="A629" s="1" t="str">
        <x:f>Source!A623</x:f>
        <x:v>C0008333</x:v>
      </x:c>
      <x:c r="B629" s="1" t="str">
        <x:f>_xlfn.IFNA(VLOOKUP(Source!B623,Advertisers!$A$5:$B$34,2,FALSE),"Missing advertiser")</x:f>
        <x:v>Synthetic advertiser 19</x:v>
      </x:c>
      <x:c r="C629" s="1" t="n">
        <x:f>Source!C623</x:f>
        <x:v>79</x:v>
      </x:c>
      <x:c r="D629" s="8" t="n">
        <x:f>Source!D623/100</x:f>
        <x:v>218.54</x:v>
      </x:c>
      <x:c r="E629" s="8" t="n">
        <x:f>Source!E623/100</x:f>
        <x:v>437.08</x:v>
      </x:c>
      <x:c r="F629" s="8" t="n">
        <x:f>Source!F623/100</x:f>
        <x:v>0</x:v>
      </x:c>
      <x:c r="G629" s="8" t="n">
        <x:f>Source!G623/100</x:f>
        <x:v>437.08</x:v>
      </x:c>
      <x:c r="H629" s="8" t="n">
        <x:f>G629-D629</x:f>
        <x:v>218.54</x:v>
      </x:c>
      <x:c r="I629" s="1" t="str">
        <x:f>IF(H629&gt;0,"Overbilled","Shortfall")</x:f>
        <x:v>Overbilled</x:v>
      </x:c>
      <x:c r="J629" s="7"/>
      <x:c r="K629" s="7" t="str">
        <x:v>Open</x:v>
      </x:c>
      <x:c r="L629" s="7"/>
    </x:row>
    <x:row r="630" ht="21" customHeight="1">
      <x:c r="A630" s="1" t="str">
        <x:f>Source!A624</x:f>
        <x:v>C0007108</x:v>
      </x:c>
      <x:c r="B630" s="1" t="str">
        <x:f>_xlfn.IFNA(VLOOKUP(Source!B624,Advertisers!$A$5:$B$34,2,FALSE),"Missing advertiser")</x:f>
        <x:v>Synthetic advertiser 19</x:v>
      </x:c>
      <x:c r="C630" s="1" t="n">
        <x:f>Source!C624</x:f>
        <x:v>79</x:v>
      </x:c>
      <x:c r="D630" s="8" t="n">
        <x:f>Source!D624/100</x:f>
        <x:v>218.54</x:v>
      </x:c>
      <x:c r="E630" s="8" t="n">
        <x:f>Source!E624/100</x:f>
        <x:v>0</x:v>
      </x:c>
      <x:c r="F630" s="8" t="n">
        <x:f>Source!F624/100</x:f>
        <x:v>0</x:v>
      </x:c>
      <x:c r="G630" s="8" t="n">
        <x:f>Source!G624/100</x:f>
        <x:v>0</x:v>
      </x:c>
      <x:c r="H630" s="8" t="n">
        <x:f>G630-D630</x:f>
        <x:v>-218.54</x:v>
      </x:c>
      <x:c r="I630" s="1" t="str">
        <x:f>IF(H630&gt;0,"Overbilled","Shortfall")</x:f>
        <x:v>Shortfall</x:v>
      </x:c>
      <x:c r="J630" s="7"/>
      <x:c r="K630" s="7" t="str">
        <x:v>Open</x:v>
      </x:c>
      <x:c r="L630" s="7"/>
    </x:row>
    <x:row r="631" ht="21" customHeight="1">
      <x:c r="A631" s="1" t="str">
        <x:f>Source!A625</x:f>
        <x:v>C0005857</x:v>
      </x:c>
      <x:c r="B631" s="1" t="str">
        <x:f>_xlfn.IFNA(VLOOKUP(Source!B625,Advertisers!$A$5:$B$34,2,FALSE),"Missing advertiser")</x:f>
        <x:v>Synthetic advertiser 27</x:v>
      </x:c>
      <x:c r="C631" s="1" t="n">
        <x:f>Source!C625</x:f>
        <x:v>27</x:v>
      </x:c>
      <x:c r="D631" s="8" t="n">
        <x:f>Source!D625/100</x:f>
        <x:v>218.16</x:v>
      </x:c>
      <x:c r="E631" s="8" t="n">
        <x:f>Source!E625/100</x:f>
        <x:v>436.32</x:v>
      </x:c>
      <x:c r="F631" s="8" t="n">
        <x:f>Source!F625/100</x:f>
        <x:v>0</x:v>
      </x:c>
      <x:c r="G631" s="8" t="n">
        <x:f>Source!G625/100</x:f>
        <x:v>436.32</x:v>
      </x:c>
      <x:c r="H631" s="8" t="n">
        <x:f>G631-D631</x:f>
        <x:v>218.16</x:v>
      </x:c>
      <x:c r="I631" s="1" t="str">
        <x:f>IF(H631&gt;0,"Overbilled","Shortfall")</x:f>
        <x:v>Overbilled</x:v>
      </x:c>
      <x:c r="J631" s="7"/>
      <x:c r="K631" s="7" t="str">
        <x:v>Open</x:v>
      </x:c>
      <x:c r="L631" s="7"/>
    </x:row>
    <x:row r="632" ht="21" customHeight="1">
      <x:c r="A632" s="1" t="str">
        <x:f>Source!A626</x:f>
        <x:v>C0002202</x:v>
      </x:c>
      <x:c r="B632" s="1" t="str">
        <x:f>_xlfn.IFNA(VLOOKUP(Source!B626,Advertisers!$A$5:$B$34,2,FALSE),"Missing advertiser")</x:f>
        <x:v>Synthetic advertiser 27</x:v>
      </x:c>
      <x:c r="C632" s="1" t="n">
        <x:f>Source!C626</x:f>
        <x:v>27</x:v>
      </x:c>
      <x:c r="D632" s="8" t="n">
        <x:f>Source!D626/100</x:f>
        <x:v>0</x:v>
      </x:c>
      <x:c r="E632" s="8" t="n">
        <x:f>Source!E626/100</x:f>
        <x:v>218.16</x:v>
      </x:c>
      <x:c r="F632" s="8" t="n">
        <x:f>Source!F626/100</x:f>
        <x:v>0</x:v>
      </x:c>
      <x:c r="G632" s="8" t="n">
        <x:f>Source!G626/100</x:f>
        <x:v>218.16</x:v>
      </x:c>
      <x:c r="H632" s="8" t="n">
        <x:f>G632-D632</x:f>
        <x:v>218.16</x:v>
      </x:c>
      <x:c r="I632" s="1" t="str">
        <x:f>IF(H632&gt;0,"Overbilled","Shortfall")</x:f>
        <x:v>Overbilled</x:v>
      </x:c>
      <x:c r="J632" s="7"/>
      <x:c r="K632" s="7" t="str">
        <x:v>Open</x:v>
      </x:c>
      <x:c r="L632" s="7"/>
    </x:row>
    <x:row r="633" ht="21" customHeight="1">
      <x:c r="A633" s="1" t="str">
        <x:f>Source!A627</x:f>
        <x:v>C0014687</x:v>
      </x:c>
      <x:c r="B633" s="1" t="str">
        <x:f>_xlfn.IFNA(VLOOKUP(Source!B627,Advertisers!$A$5:$B$34,2,FALSE),"Missing advertiser")</x:f>
        <x:v>Synthetic advertiser 27</x:v>
      </x:c>
      <x:c r="C633" s="1" t="n">
        <x:f>Source!C627</x:f>
        <x:v>27</x:v>
      </x:c>
      <x:c r="D633" s="8" t="n">
        <x:f>Source!D627/100</x:f>
        <x:v>0</x:v>
      </x:c>
      <x:c r="E633" s="8" t="n">
        <x:f>Source!E627/100</x:f>
        <x:v>218.16</x:v>
      </x:c>
      <x:c r="F633" s="8" t="n">
        <x:f>Source!F627/100</x:f>
        <x:v>0</x:v>
      </x:c>
      <x:c r="G633" s="8" t="n">
        <x:f>Source!G627/100</x:f>
        <x:v>218.16</x:v>
      </x:c>
      <x:c r="H633" s="8" t="n">
        <x:f>G633-D633</x:f>
        <x:v>218.16</x:v>
      </x:c>
      <x:c r="I633" s="1" t="str">
        <x:f>IF(H633&gt;0,"Overbilled","Shortfall")</x:f>
        <x:v>Overbilled</x:v>
      </x:c>
      <x:c r="J633" s="7"/>
      <x:c r="K633" s="7" t="str">
        <x:v>Open</x:v>
      </x:c>
      <x:c r="L633" s="7"/>
    </x:row>
    <x:row r="634" ht="21" customHeight="1">
      <x:c r="A634" s="1" t="str">
        <x:f>Source!A628</x:f>
        <x:v>C0015782</x:v>
      </x:c>
      <x:c r="B634" s="1" t="str">
        <x:f>_xlfn.IFNA(VLOOKUP(Source!B628,Advertisers!$A$5:$B$34,2,FALSE),"Missing advertiser")</x:f>
        <x:v>Synthetic advertiser 27</x:v>
      </x:c>
      <x:c r="C634" s="1" t="n">
        <x:f>Source!C628</x:f>
        <x:v>27</x:v>
      </x:c>
      <x:c r="D634" s="8" t="n">
        <x:f>Source!D628/100</x:f>
        <x:v>218.16</x:v>
      </x:c>
      <x:c r="E634" s="8" t="n">
        <x:f>Source!E628/100</x:f>
        <x:v>436.32</x:v>
      </x:c>
      <x:c r="F634" s="8" t="n">
        <x:f>Source!F628/100</x:f>
        <x:v>0</x:v>
      </x:c>
      <x:c r="G634" s="8" t="n">
        <x:f>Source!G628/100</x:f>
        <x:v>436.32</x:v>
      </x:c>
      <x:c r="H634" s="8" t="n">
        <x:f>G634-D634</x:f>
        <x:v>218.16</x:v>
      </x:c>
      <x:c r="I634" s="1" t="str">
        <x:f>IF(H634&gt;0,"Overbilled","Shortfall")</x:f>
        <x:v>Overbilled</x:v>
      </x:c>
      <x:c r="J634" s="7"/>
      <x:c r="K634" s="7" t="str">
        <x:v>Open</x:v>
      </x:c>
      <x:c r="L634" s="7"/>
    </x:row>
    <x:row r="635" ht="21" customHeight="1">
      <x:c r="A635" s="1" t="str">
        <x:f>Source!A629</x:f>
        <x:v>C0011589</x:v>
      </x:c>
      <x:c r="B635" s="1" t="str">
        <x:f>_xlfn.IFNA(VLOOKUP(Source!B629,Advertisers!$A$5:$B$34,2,FALSE),"Missing advertiser")</x:f>
        <x:v>Synthetic advertiser 27</x:v>
      </x:c>
      <x:c r="C635" s="1" t="n">
        <x:f>Source!C629</x:f>
        <x:v>27</x:v>
      </x:c>
      <x:c r="D635" s="8" t="n">
        <x:f>Source!D629/100</x:f>
        <x:v>218.16</x:v>
      </x:c>
      <x:c r="E635" s="8" t="n">
        <x:f>Source!E629/100</x:f>
        <x:v>436.32</x:v>
      </x:c>
      <x:c r="F635" s="8" t="n">
        <x:f>Source!F629/100</x:f>
        <x:v>0</x:v>
      </x:c>
      <x:c r="G635" s="8" t="n">
        <x:f>Source!G629/100</x:f>
        <x:v>436.32</x:v>
      </x:c>
      <x:c r="H635" s="8" t="n">
        <x:f>G635-D635</x:f>
        <x:v>218.16</x:v>
      </x:c>
      <x:c r="I635" s="1" t="str">
        <x:f>IF(H635&gt;0,"Overbilled","Shortfall")</x:f>
        <x:v>Overbilled</x:v>
      </x:c>
      <x:c r="J635" s="7"/>
      <x:c r="K635" s="7" t="str">
        <x:v>Open</x:v>
      </x:c>
      <x:c r="L635" s="7"/>
    </x:row>
    <x:row r="636" ht="21" customHeight="1">
      <x:c r="A636" s="1" t="str">
        <x:f>Source!A630</x:f>
        <x:v>C0016015</x:v>
      </x:c>
      <x:c r="B636" s="1" t="str">
        <x:f>_xlfn.IFNA(VLOOKUP(Source!B630,Advertisers!$A$5:$B$34,2,FALSE),"Missing advertiser")</x:f>
        <x:v>Synthetic advertiser 27</x:v>
      </x:c>
      <x:c r="C636" s="1" t="n">
        <x:f>Source!C630</x:f>
        <x:v>27</x:v>
      </x:c>
      <x:c r="D636" s="8" t="n">
        <x:f>Source!D630/100</x:f>
        <x:v>218.16</x:v>
      </x:c>
      <x:c r="E636" s="8" t="n">
        <x:f>Source!E630/100</x:f>
        <x:v>436.32</x:v>
      </x:c>
      <x:c r="F636" s="8" t="n">
        <x:f>Source!F630/100</x:f>
        <x:v>0</x:v>
      </x:c>
      <x:c r="G636" s="8" t="n">
        <x:f>Source!G630/100</x:f>
        <x:v>436.32</x:v>
      </x:c>
      <x:c r="H636" s="8" t="n">
        <x:f>G636-D636</x:f>
        <x:v>218.16</x:v>
      </x:c>
      <x:c r="I636" s="1" t="str">
        <x:f>IF(H636&gt;0,"Overbilled","Shortfall")</x:f>
        <x:v>Overbilled</x:v>
      </x:c>
      <x:c r="J636" s="7"/>
      <x:c r="K636" s="7" t="str">
        <x:v>Open</x:v>
      </x:c>
      <x:c r="L636" s="7"/>
    </x:row>
    <x:row r="637" ht="21" customHeight="1">
      <x:c r="A637" s="1" t="str">
        <x:f>Source!A631</x:f>
        <x:v>C0012171</x:v>
      </x:c>
      <x:c r="B637" s="1" t="str">
        <x:f>_xlfn.IFNA(VLOOKUP(Source!B631,Advertisers!$A$5:$B$34,2,FALSE),"Missing advertiser")</x:f>
        <x:v>Synthetic advertiser 27</x:v>
      </x:c>
      <x:c r="C637" s="1" t="n">
        <x:f>Source!C631</x:f>
        <x:v>27</x:v>
      </x:c>
      <x:c r="D637" s="8" t="n">
        <x:f>Source!D631/100</x:f>
        <x:v>218.16</x:v>
      </x:c>
      <x:c r="E637" s="8" t="n">
        <x:f>Source!E631/100</x:f>
        <x:v>436.32</x:v>
      </x:c>
      <x:c r="F637" s="8" t="n">
        <x:f>Source!F631/100</x:f>
        <x:v>0</x:v>
      </x:c>
      <x:c r="G637" s="8" t="n">
        <x:f>Source!G631/100</x:f>
        <x:v>436.32</x:v>
      </x:c>
      <x:c r="H637" s="8" t="n">
        <x:f>G637-D637</x:f>
        <x:v>218.16</x:v>
      </x:c>
      <x:c r="I637" s="1" t="str">
        <x:f>IF(H637&gt;0,"Overbilled","Shortfall")</x:f>
        <x:v>Overbilled</x:v>
      </x:c>
      <x:c r="J637" s="7"/>
      <x:c r="K637" s="7" t="str">
        <x:v>Open</x:v>
      </x:c>
      <x:c r="L637" s="7"/>
    </x:row>
    <x:row r="638" ht="21" customHeight="1">
      <x:c r="A638" s="1" t="str">
        <x:f>Source!A632</x:f>
        <x:v>C0013198</x:v>
      </x:c>
      <x:c r="B638" s="1" t="str">
        <x:f>_xlfn.IFNA(VLOOKUP(Source!B632,Advertisers!$A$5:$B$34,2,FALSE),"Missing advertiser")</x:f>
        <x:v>Synthetic advertiser 27</x:v>
      </x:c>
      <x:c r="C638" s="1" t="n">
        <x:f>Source!C632</x:f>
        <x:v>27</x:v>
      </x:c>
      <x:c r="D638" s="8" t="n">
        <x:f>Source!D632/100</x:f>
        <x:v>218.16</x:v>
      </x:c>
      <x:c r="E638" s="8" t="n">
        <x:f>Source!E632/100</x:f>
        <x:v>0</x:v>
      </x:c>
      <x:c r="F638" s="8" t="n">
        <x:f>Source!F632/100</x:f>
        <x:v>0</x:v>
      </x:c>
      <x:c r="G638" s="8" t="n">
        <x:f>Source!G632/100</x:f>
        <x:v>0</x:v>
      </x:c>
      <x:c r="H638" s="8" t="n">
        <x:f>G638-D638</x:f>
        <x:v>-218.16</x:v>
      </x:c>
      <x:c r="I638" s="1" t="str">
        <x:f>IF(H638&gt;0,"Overbilled","Shortfall")</x:f>
        <x:v>Shortfall</x:v>
      </x:c>
      <x:c r="J638" s="7"/>
      <x:c r="K638" s="7" t="str">
        <x:v>Open</x:v>
      </x:c>
      <x:c r="L638" s="7"/>
    </x:row>
    <x:row r="639" ht="21" customHeight="1">
      <x:c r="A639" s="1" t="str">
        <x:f>Source!A633</x:f>
        <x:v>C0017930</x:v>
      </x:c>
      <x:c r="B639" s="1" t="str">
        <x:f>_xlfn.IFNA(VLOOKUP(Source!B633,Advertisers!$A$5:$B$34,2,FALSE),"Missing advertiser")</x:f>
        <x:v>Synthetic advertiser 27</x:v>
      </x:c>
      <x:c r="C639" s="1" t="n">
        <x:f>Source!C633</x:f>
        <x:v>27</x:v>
      </x:c>
      <x:c r="D639" s="8" t="n">
        <x:f>Source!D633/100</x:f>
        <x:v>218.16</x:v>
      </x:c>
      <x:c r="E639" s="8" t="n">
        <x:f>Source!E633/100</x:f>
        <x:v>0</x:v>
      </x:c>
      <x:c r="F639" s="8" t="n">
        <x:f>Source!F633/100</x:f>
        <x:v>0</x:v>
      </x:c>
      <x:c r="G639" s="8" t="n">
        <x:f>Source!G633/100</x:f>
        <x:v>0</x:v>
      </x:c>
      <x:c r="H639" s="8" t="n">
        <x:f>G639-D639</x:f>
        <x:v>-218.16</x:v>
      </x:c>
      <x:c r="I639" s="1" t="str">
        <x:f>IF(H639&gt;0,"Overbilled","Shortfall")</x:f>
        <x:v>Shortfall</x:v>
      </x:c>
      <x:c r="J639" s="7"/>
      <x:c r="K639" s="7" t="str">
        <x:v>Open</x:v>
      </x:c>
      <x:c r="L639" s="7"/>
    </x:row>
    <x:row r="640" ht="21" customHeight="1">
      <x:c r="A640" s="1" t="str">
        <x:f>Source!A634</x:f>
        <x:v>C0011242</x:v>
      </x:c>
      <x:c r="B640" s="1" t="str">
        <x:f>_xlfn.IFNA(VLOOKUP(Source!B634,Advertisers!$A$5:$B$34,2,FALSE),"Missing advertiser")</x:f>
        <x:v>Synthetic advertiser 27</x:v>
      </x:c>
      <x:c r="C640" s="1" t="n">
        <x:f>Source!C634</x:f>
        <x:v>27</x:v>
      </x:c>
      <x:c r="D640" s="8" t="n">
        <x:f>Source!D634/100</x:f>
        <x:v>218.16</x:v>
      </x:c>
      <x:c r="E640" s="8" t="n">
        <x:f>Source!E634/100</x:f>
        <x:v>0</x:v>
      </x:c>
      <x:c r="F640" s="8" t="n">
        <x:f>Source!F634/100</x:f>
        <x:v>0</x:v>
      </x:c>
      <x:c r="G640" s="8" t="n">
        <x:f>Source!G634/100</x:f>
        <x:v>0</x:v>
      </x:c>
      <x:c r="H640" s="8" t="n">
        <x:f>G640-D640</x:f>
        <x:v>-218.16</x:v>
      </x:c>
      <x:c r="I640" s="1" t="str">
        <x:f>IF(H640&gt;0,"Overbilled","Shortfall")</x:f>
        <x:v>Shortfall</x:v>
      </x:c>
      <x:c r="J640" s="7"/>
      <x:c r="K640" s="7" t="str">
        <x:v>Open</x:v>
      </x:c>
      <x:c r="L640" s="7"/>
    </x:row>
    <x:row r="641" ht="21" customHeight="1">
      <x:c r="A641" s="1" t="str">
        <x:f>Source!A635</x:f>
        <x:v>C0002061</x:v>
      </x:c>
      <x:c r="B641" s="1" t="str">
        <x:f>_xlfn.IFNA(VLOOKUP(Source!B635,Advertisers!$A$5:$B$34,2,FALSE),"Missing advertiser")</x:f>
        <x:v>Synthetic advertiser 27</x:v>
      </x:c>
      <x:c r="C641" s="1" t="n">
        <x:f>Source!C635</x:f>
        <x:v>27</x:v>
      </x:c>
      <x:c r="D641" s="8" t="n">
        <x:f>Source!D635/100</x:f>
        <x:v>218.16</x:v>
      </x:c>
      <x:c r="E641" s="8" t="n">
        <x:f>Source!E635/100</x:f>
        <x:v>436.32</x:v>
      </x:c>
      <x:c r="F641" s="8" t="n">
        <x:f>Source!F635/100</x:f>
        <x:v>0</x:v>
      </x:c>
      <x:c r="G641" s="8" t="n">
        <x:f>Source!G635/100</x:f>
        <x:v>436.32</x:v>
      </x:c>
      <x:c r="H641" s="8" t="n">
        <x:f>G641-D641</x:f>
        <x:v>218.16</x:v>
      </x:c>
      <x:c r="I641" s="1" t="str">
        <x:f>IF(H641&gt;0,"Overbilled","Shortfall")</x:f>
        <x:v>Overbilled</x:v>
      </x:c>
      <x:c r="J641" s="7"/>
      <x:c r="K641" s="7" t="str">
        <x:v>Open</x:v>
      </x:c>
      <x:c r="L641" s="7"/>
    </x:row>
    <x:row r="642" ht="21" customHeight="1">
      <x:c r="A642" s="1" t="str">
        <x:f>Source!A636</x:f>
        <x:v>C0005489</x:v>
      </x:c>
      <x:c r="B642" s="1" t="str">
        <x:f>_xlfn.IFNA(VLOOKUP(Source!B636,Advertisers!$A$5:$B$34,2,FALSE),"Missing advertiser")</x:f>
        <x:v>Synthetic advertiser 18</x:v>
      </x:c>
      <x:c r="C642" s="1" t="n">
        <x:f>Source!C636</x:f>
        <x:v>48</x:v>
      </x:c>
      <x:c r="D642" s="8" t="n">
        <x:f>Source!D636/100</x:f>
        <x:v>217.38</x:v>
      </x:c>
      <x:c r="E642" s="8" t="n">
        <x:f>Source!E636/100</x:f>
        <x:v>0</x:v>
      </x:c>
      <x:c r="F642" s="8" t="n">
        <x:f>Source!F636/100</x:f>
        <x:v>0</x:v>
      </x:c>
      <x:c r="G642" s="8" t="n">
        <x:f>Source!G636/100</x:f>
        <x:v>0</x:v>
      </x:c>
      <x:c r="H642" s="8" t="n">
        <x:f>G642-D642</x:f>
        <x:v>-217.38</x:v>
      </x:c>
      <x:c r="I642" s="1" t="str">
        <x:f>IF(H642&gt;0,"Overbilled","Shortfall")</x:f>
        <x:v>Shortfall</x:v>
      </x:c>
      <x:c r="J642" s="7"/>
      <x:c r="K642" s="7" t="str">
        <x:v>Open</x:v>
      </x:c>
      <x:c r="L642" s="7"/>
    </x:row>
    <x:row r="643" ht="21" customHeight="1">
      <x:c r="A643" s="1" t="str">
        <x:f>Source!A637</x:f>
        <x:v>C0016386</x:v>
      </x:c>
      <x:c r="B643" s="1" t="str">
        <x:f>_xlfn.IFNA(VLOOKUP(Source!B637,Advertisers!$A$5:$B$34,2,FALSE),"Missing advertiser")</x:f>
        <x:v>Synthetic advertiser 18</x:v>
      </x:c>
      <x:c r="C643" s="1" t="n">
        <x:f>Source!C637</x:f>
        <x:v>48</x:v>
      </x:c>
      <x:c r="D643" s="8" t="n">
        <x:f>Source!D637/100</x:f>
        <x:v>217.38</x:v>
      </x:c>
      <x:c r="E643" s="8" t="n">
        <x:f>Source!E637/100</x:f>
        <x:v>0</x:v>
      </x:c>
      <x:c r="F643" s="8" t="n">
        <x:f>Source!F637/100</x:f>
        <x:v>0</x:v>
      </x:c>
      <x:c r="G643" s="8" t="n">
        <x:f>Source!G637/100</x:f>
        <x:v>0</x:v>
      </x:c>
      <x:c r="H643" s="8" t="n">
        <x:f>G643-D643</x:f>
        <x:v>-217.38</x:v>
      </x:c>
      <x:c r="I643" s="1" t="str">
        <x:f>IF(H643&gt;0,"Overbilled","Shortfall")</x:f>
        <x:v>Shortfall</x:v>
      </x:c>
      <x:c r="J643" s="7"/>
      <x:c r="K643" s="7" t="str">
        <x:v>Open</x:v>
      </x:c>
      <x:c r="L643" s="7"/>
    </x:row>
    <x:row r="644" ht="21" customHeight="1">
      <x:c r="A644" s="1" t="str">
        <x:f>Source!A638</x:f>
        <x:v>C0017465</x:v>
      </x:c>
      <x:c r="B644" s="1" t="str">
        <x:f>_xlfn.IFNA(VLOOKUP(Source!B638,Advertisers!$A$5:$B$34,2,FALSE),"Missing advertiser")</x:f>
        <x:v>Synthetic advertiser 18</x:v>
      </x:c>
      <x:c r="C644" s="1" t="n">
        <x:f>Source!C638</x:f>
        <x:v>48</x:v>
      </x:c>
      <x:c r="D644" s="8" t="n">
        <x:f>Source!D638/100</x:f>
        <x:v>217.38</x:v>
      </x:c>
      <x:c r="E644" s="8" t="n">
        <x:f>Source!E638/100</x:f>
        <x:v>434.76</x:v>
      </x:c>
      <x:c r="F644" s="8" t="n">
        <x:f>Source!F638/100</x:f>
        <x:v>0</x:v>
      </x:c>
      <x:c r="G644" s="8" t="n">
        <x:f>Source!G638/100</x:f>
        <x:v>434.76</x:v>
      </x:c>
      <x:c r="H644" s="8" t="n">
        <x:f>G644-D644</x:f>
        <x:v>217.38</x:v>
      </x:c>
      <x:c r="I644" s="1" t="str">
        <x:f>IF(H644&gt;0,"Overbilled","Shortfall")</x:f>
        <x:v>Overbilled</x:v>
      </x:c>
      <x:c r="J644" s="7"/>
      <x:c r="K644" s="7" t="str">
        <x:v>Open</x:v>
      </x:c>
      <x:c r="L644" s="7"/>
    </x:row>
    <x:row r="645" ht="21" customHeight="1">
      <x:c r="A645" s="1" t="str">
        <x:f>Source!A639</x:f>
        <x:v>C0003363</x:v>
      </x:c>
      <x:c r="B645" s="1" t="str">
        <x:f>_xlfn.IFNA(VLOOKUP(Source!B639,Advertisers!$A$5:$B$34,2,FALSE),"Missing advertiser")</x:f>
        <x:v>Synthetic advertiser 18</x:v>
      </x:c>
      <x:c r="C645" s="1" t="n">
        <x:f>Source!C639</x:f>
        <x:v>48</x:v>
      </x:c>
      <x:c r="D645" s="8" t="n">
        <x:f>Source!D639/100</x:f>
        <x:v>217.38</x:v>
      </x:c>
      <x:c r="E645" s="8" t="n">
        <x:f>Source!E639/100</x:f>
        <x:v>0</x:v>
      </x:c>
      <x:c r="F645" s="8" t="n">
        <x:f>Source!F639/100</x:f>
        <x:v>0</x:v>
      </x:c>
      <x:c r="G645" s="8" t="n">
        <x:f>Source!G639/100</x:f>
        <x:v>0</x:v>
      </x:c>
      <x:c r="H645" s="8" t="n">
        <x:f>G645-D645</x:f>
        <x:v>-217.38</x:v>
      </x:c>
      <x:c r="I645" s="1" t="str">
        <x:f>IF(H645&gt;0,"Overbilled","Shortfall")</x:f>
        <x:v>Shortfall</x:v>
      </x:c>
      <x:c r="J645" s="7"/>
      <x:c r="K645" s="7" t="str">
        <x:v>Open</x:v>
      </x:c>
      <x:c r="L645" s="7"/>
    </x:row>
    <x:row r="646" ht="21" customHeight="1">
      <x:c r="A646" s="1" t="str">
        <x:f>Source!A640</x:f>
        <x:v>C0016053</x:v>
      </x:c>
      <x:c r="B646" s="1" t="str">
        <x:f>_xlfn.IFNA(VLOOKUP(Source!B640,Advertisers!$A$5:$B$34,2,FALSE),"Missing advertiser")</x:f>
        <x:v>Synthetic advertiser 18</x:v>
      </x:c>
      <x:c r="C646" s="1" t="n">
        <x:f>Source!C640</x:f>
        <x:v>48</x:v>
      </x:c>
      <x:c r="D646" s="8" t="n">
        <x:f>Source!D640/100</x:f>
        <x:v>217.38</x:v>
      </x:c>
      <x:c r="E646" s="8" t="n">
        <x:f>Source!E640/100</x:f>
        <x:v>434.76</x:v>
      </x:c>
      <x:c r="F646" s="8" t="n">
        <x:f>Source!F640/100</x:f>
        <x:v>0</x:v>
      </x:c>
      <x:c r="G646" s="8" t="n">
        <x:f>Source!G640/100</x:f>
        <x:v>434.76</x:v>
      </x:c>
      <x:c r="H646" s="8" t="n">
        <x:f>G646-D646</x:f>
        <x:v>217.38</x:v>
      </x:c>
      <x:c r="I646" s="1" t="str">
        <x:f>IF(H646&gt;0,"Overbilled","Shortfall")</x:f>
        <x:v>Overbilled</x:v>
      </x:c>
      <x:c r="J646" s="7"/>
      <x:c r="K646" s="7" t="str">
        <x:v>Open</x:v>
      </x:c>
      <x:c r="L646" s="7"/>
    </x:row>
    <x:row r="647" ht="21" customHeight="1">
      <x:c r="A647" s="1" t="str">
        <x:f>Source!A641</x:f>
        <x:v>C0007520</x:v>
      </x:c>
      <x:c r="B647" s="1" t="str">
        <x:f>_xlfn.IFNA(VLOOKUP(Source!B641,Advertisers!$A$5:$B$34,2,FALSE),"Missing advertiser")</x:f>
        <x:v>Synthetic advertiser 18</x:v>
      </x:c>
      <x:c r="C647" s="1" t="n">
        <x:f>Source!C641</x:f>
        <x:v>48</x:v>
      </x:c>
      <x:c r="D647" s="8" t="n">
        <x:f>Source!D641/100</x:f>
        <x:v>217.38</x:v>
      </x:c>
      <x:c r="E647" s="8" t="n">
        <x:f>Source!E641/100</x:f>
        <x:v>0</x:v>
      </x:c>
      <x:c r="F647" s="8" t="n">
        <x:f>Source!F641/100</x:f>
        <x:v>0</x:v>
      </x:c>
      <x:c r="G647" s="8" t="n">
        <x:f>Source!G641/100</x:f>
        <x:v>0</x:v>
      </x:c>
      <x:c r="H647" s="8" t="n">
        <x:f>G647-D647</x:f>
        <x:v>-217.38</x:v>
      </x:c>
      <x:c r="I647" s="1" t="str">
        <x:f>IF(H647&gt;0,"Overbilled","Shortfall")</x:f>
        <x:v>Shortfall</x:v>
      </x:c>
      <x:c r="J647" s="7"/>
      <x:c r="K647" s="7" t="str">
        <x:v>Open</x:v>
      </x:c>
      <x:c r="L647" s="7"/>
    </x:row>
    <x:row r="648" ht="21" customHeight="1">
      <x:c r="A648" s="1" t="str">
        <x:f>Source!A642</x:f>
        <x:v>C0013678</x:v>
      </x:c>
      <x:c r="B648" s="1" t="str">
        <x:f>_xlfn.IFNA(VLOOKUP(Source!B642,Advertisers!$A$5:$B$34,2,FALSE),"Missing advertiser")</x:f>
        <x:v>Synthetic advertiser 20</x:v>
      </x:c>
      <x:c r="C648" s="1" t="n">
        <x:f>Source!C642</x:f>
        <x:v>110</x:v>
      </x:c>
      <x:c r="D648" s="8" t="n">
        <x:f>Source!D642/100</x:f>
        <x:v>217.04</x:v>
      </x:c>
      <x:c r="E648" s="8" t="n">
        <x:f>Source!E642/100</x:f>
        <x:v>0</x:v>
      </x:c>
      <x:c r="F648" s="8" t="n">
        <x:f>Source!F642/100</x:f>
        <x:v>0</x:v>
      </x:c>
      <x:c r="G648" s="8" t="n">
        <x:f>Source!G642/100</x:f>
        <x:v>0</x:v>
      </x:c>
      <x:c r="H648" s="8" t="n">
        <x:f>G648-D648</x:f>
        <x:v>-217.04</x:v>
      </x:c>
      <x:c r="I648" s="1" t="str">
        <x:f>IF(H648&gt;0,"Overbilled","Shortfall")</x:f>
        <x:v>Shortfall</x:v>
      </x:c>
      <x:c r="J648" s="7"/>
      <x:c r="K648" s="7" t="str">
        <x:v>Open</x:v>
      </x:c>
      <x:c r="L648" s="7"/>
    </x:row>
    <x:row r="649" ht="21" customHeight="1">
      <x:c r="A649" s="1" t="str">
        <x:f>Source!A643</x:f>
        <x:v>C0000329</x:v>
      </x:c>
      <x:c r="B649" s="1" t="str">
        <x:f>_xlfn.IFNA(VLOOKUP(Source!B643,Advertisers!$A$5:$B$34,2,FALSE),"Missing advertiser")</x:f>
        <x:v>Synthetic advertiser 20</x:v>
      </x:c>
      <x:c r="C649" s="1" t="n">
        <x:f>Source!C643</x:f>
        <x:v>110</x:v>
      </x:c>
      <x:c r="D649" s="8" t="n">
        <x:f>Source!D643/100</x:f>
        <x:v>217.04</x:v>
      </x:c>
      <x:c r="E649" s="8" t="n">
        <x:f>Source!E643/100</x:f>
        <x:v>434.08</x:v>
      </x:c>
      <x:c r="F649" s="8" t="n">
        <x:f>Source!F643/100</x:f>
        <x:v>0</x:v>
      </x:c>
      <x:c r="G649" s="8" t="n">
        <x:f>Source!G643/100</x:f>
        <x:v>434.08</x:v>
      </x:c>
      <x:c r="H649" s="8" t="n">
        <x:f>G649-D649</x:f>
        <x:v>217.04</x:v>
      </x:c>
      <x:c r="I649" s="1" t="str">
        <x:f>IF(H649&gt;0,"Overbilled","Shortfall")</x:f>
        <x:v>Overbilled</x:v>
      </x:c>
      <x:c r="J649" s="7"/>
      <x:c r="K649" s="7" t="str">
        <x:v>Open</x:v>
      </x:c>
      <x:c r="L649" s="7"/>
    </x:row>
    <x:row r="650" ht="21" customHeight="1">
      <x:c r="A650" s="1" t="str">
        <x:f>Source!A644</x:f>
        <x:v>C0002569</x:v>
      </x:c>
      <x:c r="B650" s="1" t="str">
        <x:f>_xlfn.IFNA(VLOOKUP(Source!B644,Advertisers!$A$5:$B$34,2,FALSE),"Missing advertiser")</x:f>
        <x:v>Synthetic advertiser 20</x:v>
      </x:c>
      <x:c r="C650" s="1" t="n">
        <x:f>Source!C644</x:f>
        <x:v>110</x:v>
      </x:c>
      <x:c r="D650" s="8" t="n">
        <x:f>Source!D644/100</x:f>
        <x:v>217.04</x:v>
      </x:c>
      <x:c r="E650" s="8" t="n">
        <x:f>Source!E644/100</x:f>
        <x:v>0</x:v>
      </x:c>
      <x:c r="F650" s="8" t="n">
        <x:f>Source!F644/100</x:f>
        <x:v>0</x:v>
      </x:c>
      <x:c r="G650" s="8" t="n">
        <x:f>Source!G644/100</x:f>
        <x:v>0</x:v>
      </x:c>
      <x:c r="H650" s="8" t="n">
        <x:f>G650-D650</x:f>
        <x:v>-217.04</x:v>
      </x:c>
      <x:c r="I650" s="1" t="str">
        <x:f>IF(H650&gt;0,"Overbilled","Shortfall")</x:f>
        <x:v>Shortfall</x:v>
      </x:c>
      <x:c r="J650" s="7"/>
      <x:c r="K650" s="7" t="str">
        <x:v>Open</x:v>
      </x:c>
      <x:c r="L650" s="7"/>
    </x:row>
    <x:row r="651" ht="21" customHeight="1">
      <x:c r="A651" s="1" t="str">
        <x:f>Source!A645</x:f>
        <x:v>C0013058</x:v>
      </x:c>
      <x:c r="B651" s="1" t="str">
        <x:f>_xlfn.IFNA(VLOOKUP(Source!B645,Advertisers!$A$5:$B$34,2,FALSE),"Missing advertiser")</x:f>
        <x:v>Synthetic advertiser 20</x:v>
      </x:c>
      <x:c r="C651" s="1" t="n">
        <x:f>Source!C645</x:f>
        <x:v>110</x:v>
      </x:c>
      <x:c r="D651" s="8" t="n">
        <x:f>Source!D645/100</x:f>
        <x:v>217.04</x:v>
      </x:c>
      <x:c r="E651" s="8" t="n">
        <x:f>Source!E645/100</x:f>
        <x:v>0</x:v>
      </x:c>
      <x:c r="F651" s="8" t="n">
        <x:f>Source!F645/100</x:f>
        <x:v>0</x:v>
      </x:c>
      <x:c r="G651" s="8" t="n">
        <x:f>Source!G645/100</x:f>
        <x:v>0</x:v>
      </x:c>
      <x:c r="H651" s="8" t="n">
        <x:f>G651-D651</x:f>
        <x:v>-217.04</x:v>
      </x:c>
      <x:c r="I651" s="1" t="str">
        <x:f>IF(H651&gt;0,"Overbilled","Shortfall")</x:f>
        <x:v>Shortfall</x:v>
      </x:c>
      <x:c r="J651" s="7"/>
      <x:c r="K651" s="7" t="str">
        <x:v>Open</x:v>
      </x:c>
      <x:c r="L651" s="7"/>
    </x:row>
    <x:row r="652" ht="21" customHeight="1">
      <x:c r="A652" s="1" t="str">
        <x:f>Source!A646</x:f>
        <x:v>C0012892</x:v>
      </x:c>
      <x:c r="B652" s="1" t="str">
        <x:f>_xlfn.IFNA(VLOOKUP(Source!B646,Advertisers!$A$5:$B$34,2,FALSE),"Missing advertiser")</x:f>
        <x:v>Synthetic advertiser 20</x:v>
      </x:c>
      <x:c r="C652" s="1" t="n">
        <x:f>Source!C646</x:f>
        <x:v>110</x:v>
      </x:c>
      <x:c r="D652" s="8" t="n">
        <x:f>Source!D646/100</x:f>
        <x:v>217.04</x:v>
      </x:c>
      <x:c r="E652" s="8" t="n">
        <x:f>Source!E646/100</x:f>
        <x:v>0</x:v>
      </x:c>
      <x:c r="F652" s="8" t="n">
        <x:f>Source!F646/100</x:f>
        <x:v>0</x:v>
      </x:c>
      <x:c r="G652" s="8" t="n">
        <x:f>Source!G646/100</x:f>
        <x:v>0</x:v>
      </x:c>
      <x:c r="H652" s="8" t="n">
        <x:f>G652-D652</x:f>
        <x:v>-217.04</x:v>
      </x:c>
      <x:c r="I652" s="1" t="str">
        <x:f>IF(H652&gt;0,"Overbilled","Shortfall")</x:f>
        <x:v>Shortfall</x:v>
      </x:c>
      <x:c r="J652" s="7"/>
      <x:c r="K652" s="7" t="str">
        <x:v>Open</x:v>
      </x:c>
      <x:c r="L652" s="7"/>
    </x:row>
    <x:row r="653" ht="21" customHeight="1">
      <x:c r="A653" s="1" t="str">
        <x:f>Source!A647</x:f>
        <x:v>C0007496</x:v>
      </x:c>
      <x:c r="B653" s="1" t="str">
        <x:f>_xlfn.IFNA(VLOOKUP(Source!B647,Advertisers!$A$5:$B$34,2,FALSE),"Missing advertiser")</x:f>
        <x:v>Synthetic advertiser 20</x:v>
      </x:c>
      <x:c r="C653" s="1" t="n">
        <x:f>Source!C647</x:f>
        <x:v>110</x:v>
      </x:c>
      <x:c r="D653" s="8" t="n">
        <x:f>Source!D647/100</x:f>
        <x:v>217.04</x:v>
      </x:c>
      <x:c r="E653" s="8" t="n">
        <x:f>Source!E647/100</x:f>
        <x:v>434.08</x:v>
      </x:c>
      <x:c r="F653" s="8" t="n">
        <x:f>Source!F647/100</x:f>
        <x:v>0</x:v>
      </x:c>
      <x:c r="G653" s="8" t="n">
        <x:f>Source!G647/100</x:f>
        <x:v>434.08</x:v>
      </x:c>
      <x:c r="H653" s="8" t="n">
        <x:f>G653-D653</x:f>
        <x:v>217.04</x:v>
      </x:c>
      <x:c r="I653" s="1" t="str">
        <x:f>IF(H653&gt;0,"Overbilled","Shortfall")</x:f>
        <x:v>Overbilled</x:v>
      </x:c>
      <x:c r="J653" s="7"/>
      <x:c r="K653" s="7" t="str">
        <x:v>Open</x:v>
      </x:c>
      <x:c r="L653" s="7"/>
    </x:row>
    <x:row r="654" ht="21" customHeight="1">
      <x:c r="A654" s="1" t="str">
        <x:f>Source!A648</x:f>
        <x:v>C0003231</x:v>
      </x:c>
      <x:c r="B654" s="1" t="str">
        <x:f>_xlfn.IFNA(VLOOKUP(Source!B648,Advertisers!$A$5:$B$34,2,FALSE),"Missing advertiser")</x:f>
        <x:v>Synthetic advertiser 24</x:v>
      </x:c>
      <x:c r="C654" s="1" t="n">
        <x:f>Source!C648</x:f>
        <x:v>114</x:v>
      </x:c>
      <x:c r="D654" s="8" t="n">
        <x:f>Source!D648/100</x:f>
        <x:v>216.86</x:v>
      </x:c>
      <x:c r="E654" s="8" t="n">
        <x:f>Source!E648/100</x:f>
        <x:v>433.72</x:v>
      </x:c>
      <x:c r="F654" s="8" t="n">
        <x:f>Source!F648/100</x:f>
        <x:v>0</x:v>
      </x:c>
      <x:c r="G654" s="8" t="n">
        <x:f>Source!G648/100</x:f>
        <x:v>433.72</x:v>
      </x:c>
      <x:c r="H654" s="8" t="n">
        <x:f>G654-D654</x:f>
        <x:v>216.86</x:v>
      </x:c>
      <x:c r="I654" s="1" t="str">
        <x:f>IF(H654&gt;0,"Overbilled","Shortfall")</x:f>
        <x:v>Overbilled</x:v>
      </x:c>
      <x:c r="J654" s="7"/>
      <x:c r="K654" s="7" t="str">
        <x:v>Open</x:v>
      </x:c>
      <x:c r="L654" s="7"/>
    </x:row>
    <x:row r="655" ht="21" customHeight="1">
      <x:c r="A655" s="1" t="str">
        <x:f>Source!A649</x:f>
        <x:v>C0014563</x:v>
      </x:c>
      <x:c r="B655" s="1" t="str">
        <x:f>_xlfn.IFNA(VLOOKUP(Source!B649,Advertisers!$A$5:$B$34,2,FALSE),"Missing advertiser")</x:f>
        <x:v>Synthetic advertiser 24</x:v>
      </x:c>
      <x:c r="C655" s="1" t="n">
        <x:f>Source!C649</x:f>
        <x:v>114</x:v>
      </x:c>
      <x:c r="D655" s="8" t="n">
        <x:f>Source!D649/100</x:f>
        <x:v>216.86</x:v>
      </x:c>
      <x:c r="E655" s="8" t="n">
        <x:f>Source!E649/100</x:f>
        <x:v>433.72</x:v>
      </x:c>
      <x:c r="F655" s="8" t="n">
        <x:f>Source!F649/100</x:f>
        <x:v>0</x:v>
      </x:c>
      <x:c r="G655" s="8" t="n">
        <x:f>Source!G649/100</x:f>
        <x:v>433.72</x:v>
      </x:c>
      <x:c r="H655" s="8" t="n">
        <x:f>G655-D655</x:f>
        <x:v>216.86</x:v>
      </x:c>
      <x:c r="I655" s="1" t="str">
        <x:f>IF(H655&gt;0,"Overbilled","Shortfall")</x:f>
        <x:v>Overbilled</x:v>
      </x:c>
      <x:c r="J655" s="7"/>
      <x:c r="K655" s="7" t="str">
        <x:v>Open</x:v>
      </x:c>
      <x:c r="L655" s="7"/>
    </x:row>
    <x:row r="656" ht="21" customHeight="1">
      <x:c r="A656" s="1" t="str">
        <x:f>Source!A650</x:f>
        <x:v>C0003821</x:v>
      </x:c>
      <x:c r="B656" s="1" t="str">
        <x:f>_xlfn.IFNA(VLOOKUP(Source!B650,Advertisers!$A$5:$B$34,2,FALSE),"Missing advertiser")</x:f>
        <x:v>Synthetic advertiser 24</x:v>
      </x:c>
      <x:c r="C656" s="1" t="n">
        <x:f>Source!C650</x:f>
        <x:v>114</x:v>
      </x:c>
      <x:c r="D656" s="8" t="n">
        <x:f>Source!D650/100</x:f>
        <x:v>216.86</x:v>
      </x:c>
      <x:c r="E656" s="8" t="n">
        <x:f>Source!E650/100</x:f>
        <x:v>0</x:v>
      </x:c>
      <x:c r="F656" s="8" t="n">
        <x:f>Source!F650/100</x:f>
        <x:v>0</x:v>
      </x:c>
      <x:c r="G656" s="8" t="n">
        <x:f>Source!G650/100</x:f>
        <x:v>0</x:v>
      </x:c>
      <x:c r="H656" s="8" t="n">
        <x:f>G656-D656</x:f>
        <x:v>-216.86</x:v>
      </x:c>
      <x:c r="I656" s="1" t="str">
        <x:f>IF(H656&gt;0,"Overbilled","Shortfall")</x:f>
        <x:v>Shortfall</x:v>
      </x:c>
      <x:c r="J656" s="7"/>
      <x:c r="K656" s="7" t="str">
        <x:v>Open</x:v>
      </x:c>
      <x:c r="L656" s="7"/>
    </x:row>
    <x:row r="657" ht="21" customHeight="1">
      <x:c r="A657" s="1" t="str">
        <x:f>Source!A651</x:f>
        <x:v>C0014546</x:v>
      </x:c>
      <x:c r="B657" s="1" t="str">
        <x:f>_xlfn.IFNA(VLOOKUP(Source!B651,Advertisers!$A$5:$B$34,2,FALSE),"Missing advertiser")</x:f>
        <x:v>Synthetic advertiser 24</x:v>
      </x:c>
      <x:c r="C657" s="1" t="n">
        <x:f>Source!C651</x:f>
        <x:v>114</x:v>
      </x:c>
      <x:c r="D657" s="8" t="n">
        <x:f>Source!D651/100</x:f>
        <x:v>216.86</x:v>
      </x:c>
      <x:c r="E657" s="8" t="n">
        <x:f>Source!E651/100</x:f>
        <x:v>0</x:v>
      </x:c>
      <x:c r="F657" s="8" t="n">
        <x:f>Source!F651/100</x:f>
        <x:v>0</x:v>
      </x:c>
      <x:c r="G657" s="8" t="n">
        <x:f>Source!G651/100</x:f>
        <x:v>0</x:v>
      </x:c>
      <x:c r="H657" s="8" t="n">
        <x:f>G657-D657</x:f>
        <x:v>-216.86</x:v>
      </x:c>
      <x:c r="I657" s="1" t="str">
        <x:f>IF(H657&gt;0,"Overbilled","Shortfall")</x:f>
        <x:v>Shortfall</x:v>
      </x:c>
      <x:c r="J657" s="7"/>
      <x:c r="K657" s="7" t="str">
        <x:v>Open</x:v>
      </x:c>
      <x:c r="L657" s="7"/>
    </x:row>
    <x:row r="658" ht="21" customHeight="1">
      <x:c r="A658" s="1" t="str">
        <x:f>Source!A652</x:f>
        <x:v>C0002442</x:v>
      </x:c>
      <x:c r="B658" s="1" t="str">
        <x:f>_xlfn.IFNA(VLOOKUP(Source!B652,Advertisers!$A$5:$B$34,2,FALSE),"Missing advertiser")</x:f>
        <x:v>Synthetic advertiser 24</x:v>
      </x:c>
      <x:c r="C658" s="1" t="n">
        <x:f>Source!C652</x:f>
        <x:v>114</x:v>
      </x:c>
      <x:c r="D658" s="8" t="n">
        <x:f>Source!D652/100</x:f>
        <x:v>216.86</x:v>
      </x:c>
      <x:c r="E658" s="8" t="n">
        <x:f>Source!E652/100</x:f>
        <x:v>0</x:v>
      </x:c>
      <x:c r="F658" s="8" t="n">
        <x:f>Source!F652/100</x:f>
        <x:v>0</x:v>
      </x:c>
      <x:c r="G658" s="8" t="n">
        <x:f>Source!G652/100</x:f>
        <x:v>0</x:v>
      </x:c>
      <x:c r="H658" s="8" t="n">
        <x:f>G658-D658</x:f>
        <x:v>-216.86</x:v>
      </x:c>
      <x:c r="I658" s="1" t="str">
        <x:f>IF(H658&gt;0,"Overbilled","Shortfall")</x:f>
        <x:v>Shortfall</x:v>
      </x:c>
      <x:c r="J658" s="7"/>
      <x:c r="K658" s="7" t="str">
        <x:v>Open</x:v>
      </x:c>
      <x:c r="L658" s="7"/>
    </x:row>
    <x:row r="659" ht="21" customHeight="1">
      <x:c r="A659" s="1" t="str">
        <x:f>Source!A653</x:f>
        <x:v>C0003726</x:v>
      </x:c>
      <x:c r="B659" s="1" t="str">
        <x:f>_xlfn.IFNA(VLOOKUP(Source!B653,Advertisers!$A$5:$B$34,2,FALSE),"Missing advertiser")</x:f>
        <x:v>Synthetic advertiser 17</x:v>
      </x:c>
      <x:c r="C659" s="1" t="n">
        <x:f>Source!C653</x:f>
        <x:v>47</x:v>
      </x:c>
      <x:c r="D659" s="8" t="n">
        <x:f>Source!D653/100</x:f>
        <x:v>215.08</x:v>
      </x:c>
      <x:c r="E659" s="8" t="n">
        <x:f>Source!E653/100</x:f>
        <x:v>0</x:v>
      </x:c>
      <x:c r="F659" s="8" t="n">
        <x:f>Source!F653/100</x:f>
        <x:v>0</x:v>
      </x:c>
      <x:c r="G659" s="8" t="n">
        <x:f>Source!G653/100</x:f>
        <x:v>0</x:v>
      </x:c>
      <x:c r="H659" s="8" t="n">
        <x:f>G659-D659</x:f>
        <x:v>-215.08</x:v>
      </x:c>
      <x:c r="I659" s="1" t="str">
        <x:f>IF(H659&gt;0,"Overbilled","Shortfall")</x:f>
        <x:v>Shortfall</x:v>
      </x:c>
      <x:c r="J659" s="7"/>
      <x:c r="K659" s="7" t="str">
        <x:v>Open</x:v>
      </x:c>
      <x:c r="L659" s="7"/>
    </x:row>
    <x:row r="660" ht="21" customHeight="1">
      <x:c r="A660" s="1" t="str">
        <x:f>Source!A654</x:f>
        <x:v>C0012942</x:v>
      </x:c>
      <x:c r="B660" s="1" t="str">
        <x:f>_xlfn.IFNA(VLOOKUP(Source!B654,Advertisers!$A$5:$B$34,2,FALSE),"Missing advertiser")</x:f>
        <x:v>Synthetic advertiser 17</x:v>
      </x:c>
      <x:c r="C660" s="1" t="n">
        <x:f>Source!C654</x:f>
        <x:v>47</x:v>
      </x:c>
      <x:c r="D660" s="8" t="n">
        <x:f>Source!D654/100</x:f>
        <x:v>215.08</x:v>
      </x:c>
      <x:c r="E660" s="8" t="n">
        <x:f>Source!E654/100</x:f>
        <x:v>0</x:v>
      </x:c>
      <x:c r="F660" s="8" t="n">
        <x:f>Source!F654/100</x:f>
        <x:v>0</x:v>
      </x:c>
      <x:c r="G660" s="8" t="n">
        <x:f>Source!G654/100</x:f>
        <x:v>0</x:v>
      </x:c>
      <x:c r="H660" s="8" t="n">
        <x:f>G660-D660</x:f>
        <x:v>-215.08</x:v>
      </x:c>
      <x:c r="I660" s="1" t="str">
        <x:f>IF(H660&gt;0,"Overbilled","Shortfall")</x:f>
        <x:v>Shortfall</x:v>
      </x:c>
      <x:c r="J660" s="7"/>
      <x:c r="K660" s="7" t="str">
        <x:v>Open</x:v>
      </x:c>
      <x:c r="L660" s="7"/>
    </x:row>
    <x:row r="661" ht="21" customHeight="1">
      <x:c r="A661" s="1" t="str">
        <x:f>Source!A655</x:f>
        <x:v>C0005472</x:v>
      </x:c>
      <x:c r="B661" s="1" t="str">
        <x:f>_xlfn.IFNA(VLOOKUP(Source!B655,Advertisers!$A$5:$B$34,2,FALSE),"Missing advertiser")</x:f>
        <x:v>Synthetic advertiser 17</x:v>
      </x:c>
      <x:c r="C661" s="1" t="n">
        <x:f>Source!C655</x:f>
        <x:v>47</x:v>
      </x:c>
      <x:c r="D661" s="8" t="n">
        <x:f>Source!D655/100</x:f>
        <x:v>215.08</x:v>
      </x:c>
      <x:c r="E661" s="8" t="n">
        <x:f>Source!E655/100</x:f>
        <x:v>0</x:v>
      </x:c>
      <x:c r="F661" s="8" t="n">
        <x:f>Source!F655/100</x:f>
        <x:v>0</x:v>
      </x:c>
      <x:c r="G661" s="8" t="n">
        <x:f>Source!G655/100</x:f>
        <x:v>0</x:v>
      </x:c>
      <x:c r="H661" s="8" t="n">
        <x:f>G661-D661</x:f>
        <x:v>-215.08</x:v>
      </x:c>
      <x:c r="I661" s="1" t="str">
        <x:f>IF(H661&gt;0,"Overbilled","Shortfall")</x:f>
        <x:v>Shortfall</x:v>
      </x:c>
      <x:c r="J661" s="7"/>
      <x:c r="K661" s="7" t="str">
        <x:v>Open</x:v>
      </x:c>
      <x:c r="L661" s="7"/>
    </x:row>
    <x:row r="662" ht="21" customHeight="1">
      <x:c r="A662" s="1" t="str">
        <x:f>Source!A656</x:f>
        <x:v>C0016069</x:v>
      </x:c>
      <x:c r="B662" s="1" t="str">
        <x:f>_xlfn.IFNA(VLOOKUP(Source!B656,Advertisers!$A$5:$B$34,2,FALSE),"Missing advertiser")</x:f>
        <x:v>Synthetic advertiser 17</x:v>
      </x:c>
      <x:c r="C662" s="1" t="n">
        <x:f>Source!C656</x:f>
        <x:v>47</x:v>
      </x:c>
      <x:c r="D662" s="8" t="n">
        <x:f>Source!D656/100</x:f>
        <x:v>215.08</x:v>
      </x:c>
      <x:c r="E662" s="8" t="n">
        <x:f>Source!E656/100</x:f>
        <x:v>430.16</x:v>
      </x:c>
      <x:c r="F662" s="8" t="n">
        <x:f>Source!F656/100</x:f>
        <x:v>0</x:v>
      </x:c>
      <x:c r="G662" s="8" t="n">
        <x:f>Source!G656/100</x:f>
        <x:v>430.16</x:v>
      </x:c>
      <x:c r="H662" s="8" t="n">
        <x:f>G662-D662</x:f>
        <x:v>215.08</x:v>
      </x:c>
      <x:c r="I662" s="1" t="str">
        <x:f>IF(H662&gt;0,"Overbilled","Shortfall")</x:f>
        <x:v>Overbilled</x:v>
      </x:c>
      <x:c r="J662" s="7"/>
      <x:c r="K662" s="7" t="str">
        <x:v>Open</x:v>
      </x:c>
      <x:c r="L662" s="7"/>
    </x:row>
    <x:row r="663" ht="21" customHeight="1">
      <x:c r="A663" s="1" t="str">
        <x:f>Source!A657</x:f>
        <x:v>C0001343</x:v>
      </x:c>
      <x:c r="B663" s="1" t="str">
        <x:f>_xlfn.IFNA(VLOOKUP(Source!B657,Advertisers!$A$5:$B$34,2,FALSE),"Missing advertiser")</x:f>
        <x:v>Synthetic advertiser 17</x:v>
      </x:c>
      <x:c r="C663" s="1" t="n">
        <x:f>Source!C657</x:f>
        <x:v>47</x:v>
      </x:c>
      <x:c r="D663" s="8" t="n">
        <x:f>Source!D657/100</x:f>
        <x:v>215.08</x:v>
      </x:c>
      <x:c r="E663" s="8" t="n">
        <x:f>Source!E657/100</x:f>
        <x:v>430.16</x:v>
      </x:c>
      <x:c r="F663" s="8" t="n">
        <x:f>Source!F657/100</x:f>
        <x:v>0</x:v>
      </x:c>
      <x:c r="G663" s="8" t="n">
        <x:f>Source!G657/100</x:f>
        <x:v>430.16</x:v>
      </x:c>
      <x:c r="H663" s="8" t="n">
        <x:f>G663-D663</x:f>
        <x:v>215.08</x:v>
      </x:c>
      <x:c r="I663" s="1" t="str">
        <x:f>IF(H663&gt;0,"Overbilled","Shortfall")</x:f>
        <x:v>Overbilled</x:v>
      </x:c>
      <x:c r="J663" s="7"/>
      <x:c r="K663" s="7" t="str">
        <x:v>Open</x:v>
      </x:c>
      <x:c r="L663" s="7"/>
    </x:row>
    <x:row r="664" ht="21" customHeight="1">
      <x:c r="A664" s="1" t="str">
        <x:f>Source!A658</x:f>
        <x:v>C0003703</x:v>
      </x:c>
      <x:c r="B664" s="1" t="str">
        <x:f>_xlfn.IFNA(VLOOKUP(Source!B658,Advertisers!$A$5:$B$34,2,FALSE),"Missing advertiser")</x:f>
        <x:v>Synthetic advertiser 17</x:v>
      </x:c>
      <x:c r="C664" s="1" t="n">
        <x:f>Source!C658</x:f>
        <x:v>47</x:v>
      </x:c>
      <x:c r="D664" s="8" t="n">
        <x:f>Source!D658/100</x:f>
        <x:v>215.08</x:v>
      </x:c>
      <x:c r="E664" s="8" t="n">
        <x:f>Source!E658/100</x:f>
        <x:v>0</x:v>
      </x:c>
      <x:c r="F664" s="8" t="n">
        <x:f>Source!F658/100</x:f>
        <x:v>0</x:v>
      </x:c>
      <x:c r="G664" s="8" t="n">
        <x:f>Source!G658/100</x:f>
        <x:v>0</x:v>
      </x:c>
      <x:c r="H664" s="8" t="n">
        <x:f>G664-D664</x:f>
        <x:v>-215.08</x:v>
      </x:c>
      <x:c r="I664" s="1" t="str">
        <x:f>IF(H664&gt;0,"Overbilled","Shortfall")</x:f>
        <x:v>Shortfall</x:v>
      </x:c>
      <x:c r="J664" s="7"/>
      <x:c r="K664" s="7" t="str">
        <x:v>Open</x:v>
      </x:c>
      <x:c r="L664" s="7"/>
    </x:row>
    <x:row r="665" ht="21" customHeight="1">
      <x:c r="A665" s="1" t="str">
        <x:f>Source!A659</x:f>
        <x:v>C0016300</x:v>
      </x:c>
      <x:c r="B665" s="1" t="str">
        <x:f>_xlfn.IFNA(VLOOKUP(Source!B659,Advertisers!$A$5:$B$34,2,FALSE),"Missing advertiser")</x:f>
        <x:v>Synthetic advertiser 17</x:v>
      </x:c>
      <x:c r="C665" s="1" t="n">
        <x:f>Source!C659</x:f>
        <x:v>47</x:v>
      </x:c>
      <x:c r="D665" s="8" t="n">
        <x:f>Source!D659/100</x:f>
        <x:v>215.08</x:v>
      </x:c>
      <x:c r="E665" s="8" t="n">
        <x:f>Source!E659/100</x:f>
        <x:v>430.16</x:v>
      </x:c>
      <x:c r="F665" s="8" t="n">
        <x:f>Source!F659/100</x:f>
        <x:v>0</x:v>
      </x:c>
      <x:c r="G665" s="8" t="n">
        <x:f>Source!G659/100</x:f>
        <x:v>430.16</x:v>
      </x:c>
      <x:c r="H665" s="8" t="n">
        <x:f>G665-D665</x:f>
        <x:v>215.08</x:v>
      </x:c>
      <x:c r="I665" s="1" t="str">
        <x:f>IF(H665&gt;0,"Overbilled","Shortfall")</x:f>
        <x:v>Overbilled</x:v>
      </x:c>
      <x:c r="J665" s="7"/>
      <x:c r="K665" s="7" t="str">
        <x:v>Open</x:v>
      </x:c>
      <x:c r="L665" s="7"/>
    </x:row>
    <x:row r="666" ht="21" customHeight="1">
      <x:c r="A666" s="1" t="str">
        <x:f>Source!A660</x:f>
        <x:v>C0010263</x:v>
      </x:c>
      <x:c r="B666" s="1" t="str">
        <x:f>_xlfn.IFNA(VLOOKUP(Source!B660,Advertisers!$A$5:$B$34,2,FALSE),"Missing advertiser")</x:f>
        <x:v>Synthetic advertiser 17</x:v>
      </x:c>
      <x:c r="C666" s="1" t="n">
        <x:f>Source!C660</x:f>
        <x:v>47</x:v>
      </x:c>
      <x:c r="D666" s="8" t="n">
        <x:f>Source!D660/100</x:f>
        <x:v>215.08</x:v>
      </x:c>
      <x:c r="E666" s="8" t="n">
        <x:f>Source!E660/100</x:f>
        <x:v>0</x:v>
      </x:c>
      <x:c r="F666" s="8" t="n">
        <x:f>Source!F660/100</x:f>
        <x:v>0</x:v>
      </x:c>
      <x:c r="G666" s="8" t="n">
        <x:f>Source!G660/100</x:f>
        <x:v>0</x:v>
      </x:c>
      <x:c r="H666" s="8" t="n">
        <x:f>G666-D666</x:f>
        <x:v>-215.08</x:v>
      </x:c>
      <x:c r="I666" s="1" t="str">
        <x:f>IF(H666&gt;0,"Overbilled","Shortfall")</x:f>
        <x:v>Shortfall</x:v>
      </x:c>
      <x:c r="J666" s="7"/>
      <x:c r="K666" s="7" t="str">
        <x:v>Open</x:v>
      </x:c>
      <x:c r="L666" s="7"/>
    </x:row>
    <x:row r="667" ht="21" customHeight="1">
      <x:c r="A667" s="1" t="str">
        <x:f>Source!A661</x:f>
        <x:v>C0010412</x:v>
      </x:c>
      <x:c r="B667" s="1" t="str">
        <x:f>_xlfn.IFNA(VLOOKUP(Source!B661,Advertisers!$A$5:$B$34,2,FALSE),"Missing advertiser")</x:f>
        <x:v>Synthetic advertiser 17</x:v>
      </x:c>
      <x:c r="C667" s="1" t="n">
        <x:f>Source!C661</x:f>
        <x:v>47</x:v>
      </x:c>
      <x:c r="D667" s="8" t="n">
        <x:f>Source!D661/100</x:f>
        <x:v>215.08</x:v>
      </x:c>
      <x:c r="E667" s="8" t="n">
        <x:f>Source!E661/100</x:f>
        <x:v>430.16</x:v>
      </x:c>
      <x:c r="F667" s="8" t="n">
        <x:f>Source!F661/100</x:f>
        <x:v>0</x:v>
      </x:c>
      <x:c r="G667" s="8" t="n">
        <x:f>Source!G661/100</x:f>
        <x:v>430.16</x:v>
      </x:c>
      <x:c r="H667" s="8" t="n">
        <x:f>G667-D667</x:f>
        <x:v>215.08</x:v>
      </x:c>
      <x:c r="I667" s="1" t="str">
        <x:f>IF(H667&gt;0,"Overbilled","Shortfall")</x:f>
        <x:v>Overbilled</x:v>
      </x:c>
      <x:c r="J667" s="7"/>
      <x:c r="K667" s="7" t="str">
        <x:v>Open</x:v>
      </x:c>
      <x:c r="L667" s="7"/>
    </x:row>
    <x:row r="668" ht="21" customHeight="1">
      <x:c r="A668" s="1" t="str">
        <x:f>Source!A662</x:f>
        <x:v>C0014538</x:v>
      </x:c>
      <x:c r="B668" s="1" t="str">
        <x:f>_xlfn.IFNA(VLOOKUP(Source!B662,Advertisers!$A$5:$B$34,2,FALSE),"Missing advertiser")</x:f>
        <x:v>Synthetic advertiser 13</x:v>
      </x:c>
      <x:c r="C668" s="1" t="n">
        <x:f>Source!C662</x:f>
        <x:v>73</x:v>
      </x:c>
      <x:c r="D668" s="8" t="n">
        <x:f>Source!D662/100</x:f>
        <x:v>214.3</x:v>
      </x:c>
      <x:c r="E668" s="8" t="n">
        <x:f>Source!E662/100</x:f>
        <x:v>428.6</x:v>
      </x:c>
      <x:c r="F668" s="8" t="n">
        <x:f>Source!F662/100</x:f>
        <x:v>0</x:v>
      </x:c>
      <x:c r="G668" s="8" t="n">
        <x:f>Source!G662/100</x:f>
        <x:v>428.6</x:v>
      </x:c>
      <x:c r="H668" s="8" t="n">
        <x:f>G668-D668</x:f>
        <x:v>214.3</x:v>
      </x:c>
      <x:c r="I668" s="1" t="str">
        <x:f>IF(H668&gt;0,"Overbilled","Shortfall")</x:f>
        <x:v>Overbilled</x:v>
      </x:c>
      <x:c r="J668" s="7"/>
      <x:c r="K668" s="7" t="str">
        <x:v>Open</x:v>
      </x:c>
      <x:c r="L668" s="7"/>
    </x:row>
    <x:row r="669" ht="21" customHeight="1">
      <x:c r="A669" s="1" t="str">
        <x:f>Source!A663</x:f>
        <x:v>C0004650</x:v>
      </x:c>
      <x:c r="B669" s="1" t="str">
        <x:f>_xlfn.IFNA(VLOOKUP(Source!B663,Advertisers!$A$5:$B$34,2,FALSE),"Missing advertiser")</x:f>
        <x:v>Synthetic advertiser 13</x:v>
      </x:c>
      <x:c r="C669" s="1" t="n">
        <x:f>Source!C663</x:f>
        <x:v>73</x:v>
      </x:c>
      <x:c r="D669" s="8" t="n">
        <x:f>Source!D663/100</x:f>
        <x:v>214.3</x:v>
      </x:c>
      <x:c r="E669" s="8" t="n">
        <x:f>Source!E663/100</x:f>
        <x:v>0</x:v>
      </x:c>
      <x:c r="F669" s="8" t="n">
        <x:f>Source!F663/100</x:f>
        <x:v>0</x:v>
      </x:c>
      <x:c r="G669" s="8" t="n">
        <x:f>Source!G663/100</x:f>
        <x:v>0</x:v>
      </x:c>
      <x:c r="H669" s="8" t="n">
        <x:f>G669-D669</x:f>
        <x:v>-214.3</x:v>
      </x:c>
      <x:c r="I669" s="1" t="str">
        <x:f>IF(H669&gt;0,"Overbilled","Shortfall")</x:f>
        <x:v>Shortfall</x:v>
      </x:c>
      <x:c r="J669" s="7"/>
      <x:c r="K669" s="7" t="str">
        <x:v>Open</x:v>
      </x:c>
      <x:c r="L669" s="7"/>
    </x:row>
    <x:row r="670" ht="21" customHeight="1">
      <x:c r="A670" s="1" t="str">
        <x:f>Source!A664</x:f>
        <x:v>C0011484</x:v>
      </x:c>
      <x:c r="B670" s="1" t="str">
        <x:f>_xlfn.IFNA(VLOOKUP(Source!B664,Advertisers!$A$5:$B$34,2,FALSE),"Missing advertiser")</x:f>
        <x:v>Synthetic advertiser 13</x:v>
      </x:c>
      <x:c r="C670" s="1" t="n">
        <x:f>Source!C664</x:f>
        <x:v>73</x:v>
      </x:c>
      <x:c r="D670" s="8" t="n">
        <x:f>Source!D664/100</x:f>
        <x:v>214.3</x:v>
      </x:c>
      <x:c r="E670" s="8" t="n">
        <x:f>Source!E664/100</x:f>
        <x:v>0</x:v>
      </x:c>
      <x:c r="F670" s="8" t="n">
        <x:f>Source!F664/100</x:f>
        <x:v>0</x:v>
      </x:c>
      <x:c r="G670" s="8" t="n">
        <x:f>Source!G664/100</x:f>
        <x:v>0</x:v>
      </x:c>
      <x:c r="H670" s="8" t="n">
        <x:f>G670-D670</x:f>
        <x:v>-214.3</x:v>
      </x:c>
      <x:c r="I670" s="1" t="str">
        <x:f>IF(H670&gt;0,"Overbilled","Shortfall")</x:f>
        <x:v>Shortfall</x:v>
      </x:c>
      <x:c r="J670" s="7"/>
      <x:c r="K670" s="7" t="str">
        <x:v>Open</x:v>
      </x:c>
      <x:c r="L670" s="7"/>
    </x:row>
    <x:row r="671" ht="21" customHeight="1">
      <x:c r="A671" s="1" t="str">
        <x:f>Source!A665</x:f>
        <x:v>C0002630</x:v>
      </x:c>
      <x:c r="B671" s="1" t="str">
        <x:f>_xlfn.IFNA(VLOOKUP(Source!B665,Advertisers!$A$5:$B$34,2,FALSE),"Missing advertiser")</x:f>
        <x:v>Synthetic advertiser 13</x:v>
      </x:c>
      <x:c r="C671" s="1" t="n">
        <x:f>Source!C665</x:f>
        <x:v>73</x:v>
      </x:c>
      <x:c r="D671" s="8" t="n">
        <x:f>Source!D665/100</x:f>
        <x:v>0</x:v>
      </x:c>
      <x:c r="E671" s="8" t="n">
        <x:f>Source!E665/100</x:f>
        <x:v>214.3</x:v>
      </x:c>
      <x:c r="F671" s="8" t="n">
        <x:f>Source!F665/100</x:f>
        <x:v>0</x:v>
      </x:c>
      <x:c r="G671" s="8" t="n">
        <x:f>Source!G665/100</x:f>
        <x:v>214.3</x:v>
      </x:c>
      <x:c r="H671" s="8" t="n">
        <x:f>G671-D671</x:f>
        <x:v>214.3</x:v>
      </x:c>
      <x:c r="I671" s="1" t="str">
        <x:f>IF(H671&gt;0,"Overbilled","Shortfall")</x:f>
        <x:v>Overbilled</x:v>
      </x:c>
      <x:c r="J671" s="7"/>
      <x:c r="K671" s="7" t="str">
        <x:v>Open</x:v>
      </x:c>
      <x:c r="L671" s="7"/>
    </x:row>
    <x:row r="672" ht="21" customHeight="1">
      <x:c r="A672" s="1" t="str">
        <x:f>Source!A666</x:f>
        <x:v>C0016870</x:v>
      </x:c>
      <x:c r="B672" s="1" t="str">
        <x:f>_xlfn.IFNA(VLOOKUP(Source!B666,Advertisers!$A$5:$B$34,2,FALSE),"Missing advertiser")</x:f>
        <x:v>Synthetic advertiser 13</x:v>
      </x:c>
      <x:c r="C672" s="1" t="n">
        <x:f>Source!C666</x:f>
        <x:v>73</x:v>
      </x:c>
      <x:c r="D672" s="8" t="n">
        <x:f>Source!D666/100</x:f>
        <x:v>214.3</x:v>
      </x:c>
      <x:c r="E672" s="8" t="n">
        <x:f>Source!E666/100</x:f>
        <x:v>428.6</x:v>
      </x:c>
      <x:c r="F672" s="8" t="n">
        <x:f>Source!F666/100</x:f>
        <x:v>0</x:v>
      </x:c>
      <x:c r="G672" s="8" t="n">
        <x:f>Source!G666/100</x:f>
        <x:v>428.6</x:v>
      </x:c>
      <x:c r="H672" s="8" t="n">
        <x:f>G672-D672</x:f>
        <x:v>214.3</x:v>
      </x:c>
      <x:c r="I672" s="1" t="str">
        <x:f>IF(H672&gt;0,"Overbilled","Shortfall")</x:f>
        <x:v>Overbilled</x:v>
      </x:c>
      <x:c r="J672" s="7"/>
      <x:c r="K672" s="7" t="str">
        <x:v>Open</x:v>
      </x:c>
      <x:c r="L672" s="7"/>
    </x:row>
    <x:row r="673" ht="21" customHeight="1">
      <x:c r="A673" s="1" t="str">
        <x:f>Source!A667</x:f>
        <x:v>C0015916</x:v>
      </x:c>
      <x:c r="B673" s="1" t="str">
        <x:f>_xlfn.IFNA(VLOOKUP(Source!B667,Advertisers!$A$5:$B$34,2,FALSE),"Missing advertiser")</x:f>
        <x:v>Synthetic advertiser 13</x:v>
      </x:c>
      <x:c r="C673" s="1" t="n">
        <x:f>Source!C667</x:f>
        <x:v>73</x:v>
      </x:c>
      <x:c r="D673" s="8" t="n">
        <x:f>Source!D667/100</x:f>
        <x:v>214.3</x:v>
      </x:c>
      <x:c r="E673" s="8" t="n">
        <x:f>Source!E667/100</x:f>
        <x:v>0</x:v>
      </x:c>
      <x:c r="F673" s="8" t="n">
        <x:f>Source!F667/100</x:f>
        <x:v>0</x:v>
      </x:c>
      <x:c r="G673" s="8" t="n">
        <x:f>Source!G667/100</x:f>
        <x:v>0</x:v>
      </x:c>
      <x:c r="H673" s="8" t="n">
        <x:f>G673-D673</x:f>
        <x:v>-214.3</x:v>
      </x:c>
      <x:c r="I673" s="1" t="str">
        <x:f>IF(H673&gt;0,"Overbilled","Shortfall")</x:f>
        <x:v>Shortfall</x:v>
      </x:c>
      <x:c r="J673" s="7"/>
      <x:c r="K673" s="7" t="str">
        <x:v>Open</x:v>
      </x:c>
      <x:c r="L673" s="7"/>
    </x:row>
    <x:row r="674" ht="21" customHeight="1">
      <x:c r="A674" s="1" t="str">
        <x:f>Source!A668</x:f>
        <x:v>C0017716</x:v>
      </x:c>
      <x:c r="B674" s="1" t="str">
        <x:f>_xlfn.IFNA(VLOOKUP(Source!B668,Advertisers!$A$5:$B$34,2,FALSE),"Missing advertiser")</x:f>
        <x:v>Synthetic advertiser 21</x:v>
      </x:c>
      <x:c r="C674" s="1" t="n">
        <x:f>Source!C668</x:f>
        <x:v>51</x:v>
      </x:c>
      <x:c r="D674" s="8" t="n">
        <x:f>Source!D668/100</x:f>
        <x:v>213.96</x:v>
      </x:c>
      <x:c r="E674" s="8" t="n">
        <x:f>Source!E668/100</x:f>
        <x:v>0</x:v>
      </x:c>
      <x:c r="F674" s="8" t="n">
        <x:f>Source!F668/100</x:f>
        <x:v>0</x:v>
      </x:c>
      <x:c r="G674" s="8" t="n">
        <x:f>Source!G668/100</x:f>
        <x:v>0</x:v>
      </x:c>
      <x:c r="H674" s="8" t="n">
        <x:f>G674-D674</x:f>
        <x:v>-213.96</x:v>
      </x:c>
      <x:c r="I674" s="1" t="str">
        <x:f>IF(H674&gt;0,"Overbilled","Shortfall")</x:f>
        <x:v>Shortfall</x:v>
      </x:c>
      <x:c r="J674" s="7"/>
      <x:c r="K674" s="7" t="str">
        <x:v>Open</x:v>
      </x:c>
      <x:c r="L674" s="7"/>
    </x:row>
    <x:row r="675" ht="21" customHeight="1">
      <x:c r="A675" s="1" t="str">
        <x:f>Source!A669</x:f>
        <x:v>C0013830</x:v>
      </x:c>
      <x:c r="B675" s="1" t="str">
        <x:f>_xlfn.IFNA(VLOOKUP(Source!B669,Advertisers!$A$5:$B$34,2,FALSE),"Missing advertiser")</x:f>
        <x:v>Synthetic advertiser 21</x:v>
      </x:c>
      <x:c r="C675" s="1" t="n">
        <x:f>Source!C669</x:f>
        <x:v>51</x:v>
      </x:c>
      <x:c r="D675" s="8" t="n">
        <x:f>Source!D669/100</x:f>
        <x:v>213.96</x:v>
      </x:c>
      <x:c r="E675" s="8" t="n">
        <x:f>Source!E669/100</x:f>
        <x:v>427.92</x:v>
      </x:c>
      <x:c r="F675" s="8" t="n">
        <x:f>Source!F669/100</x:f>
        <x:v>0</x:v>
      </x:c>
      <x:c r="G675" s="8" t="n">
        <x:f>Source!G669/100</x:f>
        <x:v>427.92</x:v>
      </x:c>
      <x:c r="H675" s="8" t="n">
        <x:f>G675-D675</x:f>
        <x:v>213.96</x:v>
      </x:c>
      <x:c r="I675" s="1" t="str">
        <x:f>IF(H675&gt;0,"Overbilled","Shortfall")</x:f>
        <x:v>Overbilled</x:v>
      </x:c>
      <x:c r="J675" s="7"/>
      <x:c r="K675" s="7" t="str">
        <x:v>Open</x:v>
      </x:c>
      <x:c r="L675" s="7"/>
    </x:row>
    <x:row r="676" ht="21" customHeight="1">
      <x:c r="A676" s="1" t="str">
        <x:f>Source!A670</x:f>
        <x:v>C0010465</x:v>
      </x:c>
      <x:c r="B676" s="1" t="str">
        <x:f>_xlfn.IFNA(VLOOKUP(Source!B670,Advertisers!$A$5:$B$34,2,FALSE),"Missing advertiser")</x:f>
        <x:v>Synthetic advertiser 21</x:v>
      </x:c>
      <x:c r="C676" s="1" t="n">
        <x:f>Source!C670</x:f>
        <x:v>51</x:v>
      </x:c>
      <x:c r="D676" s="8" t="n">
        <x:f>Source!D670/100</x:f>
        <x:v>213.96</x:v>
      </x:c>
      <x:c r="E676" s="8" t="n">
        <x:f>Source!E670/100</x:f>
        <x:v>0</x:v>
      </x:c>
      <x:c r="F676" s="8" t="n">
        <x:f>Source!F670/100</x:f>
        <x:v>0</x:v>
      </x:c>
      <x:c r="G676" s="8" t="n">
        <x:f>Source!G670/100</x:f>
        <x:v>0</x:v>
      </x:c>
      <x:c r="H676" s="8" t="n">
        <x:f>G676-D676</x:f>
        <x:v>-213.96</x:v>
      </x:c>
      <x:c r="I676" s="1" t="str">
        <x:f>IF(H676&gt;0,"Overbilled","Shortfall")</x:f>
        <x:v>Shortfall</x:v>
      </x:c>
      <x:c r="J676" s="7"/>
      <x:c r="K676" s="7" t="str">
        <x:v>Open</x:v>
      </x:c>
      <x:c r="L676" s="7"/>
    </x:row>
    <x:row r="677" ht="21" customHeight="1">
      <x:c r="A677" s="1" t="str">
        <x:f>Source!A671</x:f>
        <x:v>C0016500</x:v>
      </x:c>
      <x:c r="B677" s="1" t="str">
        <x:f>_xlfn.IFNA(VLOOKUP(Source!B671,Advertisers!$A$5:$B$34,2,FALSE),"Missing advertiser")</x:f>
        <x:v>Synthetic advertiser 21</x:v>
      </x:c>
      <x:c r="C677" s="1" t="n">
        <x:f>Source!C671</x:f>
        <x:v>51</x:v>
      </x:c>
      <x:c r="D677" s="8" t="n">
        <x:f>Source!D671/100</x:f>
        <x:v>213.96</x:v>
      </x:c>
      <x:c r="E677" s="8" t="n">
        <x:f>Source!E671/100</x:f>
        <x:v>427.92</x:v>
      </x:c>
      <x:c r="F677" s="8" t="n">
        <x:f>Source!F671/100</x:f>
        <x:v>0</x:v>
      </x:c>
      <x:c r="G677" s="8" t="n">
        <x:f>Source!G671/100</x:f>
        <x:v>427.92</x:v>
      </x:c>
      <x:c r="H677" s="8" t="n">
        <x:f>G677-D677</x:f>
        <x:v>213.96</x:v>
      </x:c>
      <x:c r="I677" s="1" t="str">
        <x:f>IF(H677&gt;0,"Overbilled","Shortfall")</x:f>
        <x:v>Overbilled</x:v>
      </x:c>
      <x:c r="J677" s="7"/>
      <x:c r="K677" s="7" t="str">
        <x:v>Open</x:v>
      </x:c>
      <x:c r="L677" s="7"/>
    </x:row>
    <x:row r="678" ht="21" customHeight="1">
      <x:c r="A678" s="1" t="str">
        <x:f>Source!A672</x:f>
        <x:v>C0000596</x:v>
      </x:c>
      <x:c r="B678" s="1" t="str">
        <x:f>_xlfn.IFNA(VLOOKUP(Source!B672,Advertisers!$A$5:$B$34,2,FALSE),"Missing advertiser")</x:f>
        <x:v>Synthetic advertiser 21</x:v>
      </x:c>
      <x:c r="C678" s="1" t="n">
        <x:f>Source!C672</x:f>
        <x:v>51</x:v>
      </x:c>
      <x:c r="D678" s="8" t="n">
        <x:f>Source!D672/100</x:f>
        <x:v>0</x:v>
      </x:c>
      <x:c r="E678" s="8" t="n">
        <x:f>Source!E672/100</x:f>
        <x:v>213.96</x:v>
      </x:c>
      <x:c r="F678" s="8" t="n">
        <x:f>Source!F672/100</x:f>
        <x:v>0</x:v>
      </x:c>
      <x:c r="G678" s="8" t="n">
        <x:f>Source!G672/100</x:f>
        <x:v>213.96</x:v>
      </x:c>
      <x:c r="H678" s="8" t="n">
        <x:f>G678-D678</x:f>
        <x:v>213.96</x:v>
      </x:c>
      <x:c r="I678" s="1" t="str">
        <x:f>IF(H678&gt;0,"Overbilled","Shortfall")</x:f>
        <x:v>Overbilled</x:v>
      </x:c>
      <x:c r="J678" s="7"/>
      <x:c r="K678" s="7" t="str">
        <x:v>Open</x:v>
      </x:c>
      <x:c r="L678" s="7"/>
    </x:row>
    <x:row r="679" ht="21" customHeight="1">
      <x:c r="A679" s="1" t="str">
        <x:f>Source!A673</x:f>
        <x:v>C0008836</x:v>
      </x:c>
      <x:c r="B679" s="1" t="str">
        <x:f>_xlfn.IFNA(VLOOKUP(Source!B673,Advertisers!$A$5:$B$34,2,FALSE),"Missing advertiser")</x:f>
        <x:v>Synthetic advertiser 21</x:v>
      </x:c>
      <x:c r="C679" s="1" t="n">
        <x:f>Source!C673</x:f>
        <x:v>51</x:v>
      </x:c>
      <x:c r="D679" s="8" t="n">
        <x:f>Source!D673/100</x:f>
        <x:v>0</x:v>
      </x:c>
      <x:c r="E679" s="8" t="n">
        <x:f>Source!E673/100</x:f>
        <x:v>213.96</x:v>
      </x:c>
      <x:c r="F679" s="8" t="n">
        <x:f>Source!F673/100</x:f>
        <x:v>0</x:v>
      </x:c>
      <x:c r="G679" s="8" t="n">
        <x:f>Source!G673/100</x:f>
        <x:v>213.96</x:v>
      </x:c>
      <x:c r="H679" s="8" t="n">
        <x:f>G679-D679</x:f>
        <x:v>213.96</x:v>
      </x:c>
      <x:c r="I679" s="1" t="str">
        <x:f>IF(H679&gt;0,"Overbilled","Shortfall")</x:f>
        <x:v>Overbilled</x:v>
      </x:c>
      <x:c r="J679" s="7"/>
      <x:c r="K679" s="7" t="str">
        <x:v>Open</x:v>
      </x:c>
      <x:c r="L679" s="7"/>
    </x:row>
    <x:row r="680" ht="21" customHeight="1">
      <x:c r="A680" s="1" t="str">
        <x:f>Source!A674</x:f>
        <x:v>C0001014</x:v>
      </x:c>
      <x:c r="B680" s="1" t="str">
        <x:f>_xlfn.IFNA(VLOOKUP(Source!B674,Advertisers!$A$5:$B$34,2,FALSE),"Missing advertiser")</x:f>
        <x:v>Synthetic advertiser 21</x:v>
      </x:c>
      <x:c r="C680" s="1" t="n">
        <x:f>Source!C674</x:f>
        <x:v>51</x:v>
      </x:c>
      <x:c r="D680" s="8" t="n">
        <x:f>Source!D674/100</x:f>
        <x:v>213.96</x:v>
      </x:c>
      <x:c r="E680" s="8" t="n">
        <x:f>Source!E674/100</x:f>
        <x:v>427.92</x:v>
      </x:c>
      <x:c r="F680" s="8" t="n">
        <x:f>Source!F674/100</x:f>
        <x:v>0</x:v>
      </x:c>
      <x:c r="G680" s="8" t="n">
        <x:f>Source!G674/100</x:f>
        <x:v>427.92</x:v>
      </x:c>
      <x:c r="H680" s="8" t="n">
        <x:f>G680-D680</x:f>
        <x:v>213.96</x:v>
      </x:c>
      <x:c r="I680" s="1" t="str">
        <x:f>IF(H680&gt;0,"Overbilled","Shortfall")</x:f>
        <x:v>Overbilled</x:v>
      </x:c>
      <x:c r="J680" s="7"/>
      <x:c r="K680" s="7" t="str">
        <x:v>Open</x:v>
      </x:c>
      <x:c r="L680" s="7"/>
    </x:row>
    <x:row r="681" ht="21" customHeight="1">
      <x:c r="A681" s="1" t="str">
        <x:f>Source!A675</x:f>
        <x:v>C0016836</x:v>
      </x:c>
      <x:c r="B681" s="1" t="str">
        <x:f>_xlfn.IFNA(VLOOKUP(Source!B675,Advertisers!$A$5:$B$34,2,FALSE),"Missing advertiser")</x:f>
        <x:v>Synthetic advertiser 19</x:v>
      </x:c>
      <x:c r="C681" s="1" t="n">
        <x:f>Source!C675</x:f>
        <x:v>109</x:v>
      </x:c>
      <x:c r="D681" s="8" t="n">
        <x:f>Source!D675/100</x:f>
        <x:v>213.3</x:v>
      </x:c>
      <x:c r="E681" s="8" t="n">
        <x:f>Source!E675/100</x:f>
        <x:v>0</x:v>
      </x:c>
      <x:c r="F681" s="8" t="n">
        <x:f>Source!F675/100</x:f>
        <x:v>0</x:v>
      </x:c>
      <x:c r="G681" s="8" t="n">
        <x:f>Source!G675/100</x:f>
        <x:v>0</x:v>
      </x:c>
      <x:c r="H681" s="8" t="n">
        <x:f>G681-D681</x:f>
        <x:v>-213.3</x:v>
      </x:c>
      <x:c r="I681" s="1" t="str">
        <x:f>IF(H681&gt;0,"Overbilled","Shortfall")</x:f>
        <x:v>Shortfall</x:v>
      </x:c>
      <x:c r="J681" s="7"/>
      <x:c r="K681" s="7" t="str">
        <x:v>Open</x:v>
      </x:c>
      <x:c r="L681" s="7"/>
    </x:row>
    <x:row r="682" ht="21" customHeight="1">
      <x:c r="A682" s="1" t="str">
        <x:f>Source!A676</x:f>
        <x:v>C0013474</x:v>
      </x:c>
      <x:c r="B682" s="1" t="str">
        <x:f>_xlfn.IFNA(VLOOKUP(Source!B676,Advertisers!$A$5:$B$34,2,FALSE),"Missing advertiser")</x:f>
        <x:v>Synthetic advertiser 19</x:v>
      </x:c>
      <x:c r="C682" s="1" t="n">
        <x:f>Source!C676</x:f>
        <x:v>109</x:v>
      </x:c>
      <x:c r="D682" s="8" t="n">
        <x:f>Source!D676/100</x:f>
        <x:v>213.3</x:v>
      </x:c>
      <x:c r="E682" s="8" t="n">
        <x:f>Source!E676/100</x:f>
        <x:v>0</x:v>
      </x:c>
      <x:c r="F682" s="8" t="n">
        <x:f>Source!F676/100</x:f>
        <x:v>0</x:v>
      </x:c>
      <x:c r="G682" s="8" t="n">
        <x:f>Source!G676/100</x:f>
        <x:v>0</x:v>
      </x:c>
      <x:c r="H682" s="8" t="n">
        <x:f>G682-D682</x:f>
        <x:v>-213.3</x:v>
      </x:c>
      <x:c r="I682" s="1" t="str">
        <x:f>IF(H682&gt;0,"Overbilled","Shortfall")</x:f>
        <x:v>Shortfall</x:v>
      </x:c>
      <x:c r="J682" s="7"/>
      <x:c r="K682" s="7" t="str">
        <x:v>Open</x:v>
      </x:c>
      <x:c r="L682" s="7"/>
    </x:row>
    <x:row r="683" ht="21" customHeight="1">
      <x:c r="A683" s="1" t="str">
        <x:f>Source!A677</x:f>
        <x:v>C0012992</x:v>
      </x:c>
      <x:c r="B683" s="1" t="str">
        <x:f>_xlfn.IFNA(VLOOKUP(Source!B677,Advertisers!$A$5:$B$34,2,FALSE),"Missing advertiser")</x:f>
        <x:v>Synthetic advertiser 19</x:v>
      </x:c>
      <x:c r="C683" s="1" t="n">
        <x:f>Source!C677</x:f>
        <x:v>109</x:v>
      </x:c>
      <x:c r="D683" s="8" t="n">
        <x:f>Source!D677/100</x:f>
        <x:v>213.3</x:v>
      </x:c>
      <x:c r="E683" s="8" t="n">
        <x:f>Source!E677/100</x:f>
        <x:v>0</x:v>
      </x:c>
      <x:c r="F683" s="8" t="n">
        <x:f>Source!F677/100</x:f>
        <x:v>0</x:v>
      </x:c>
      <x:c r="G683" s="8" t="n">
        <x:f>Source!G677/100</x:f>
        <x:v>0</x:v>
      </x:c>
      <x:c r="H683" s="8" t="n">
        <x:f>G683-D683</x:f>
        <x:v>-213.3</x:v>
      </x:c>
      <x:c r="I683" s="1" t="str">
        <x:f>IF(H683&gt;0,"Overbilled","Shortfall")</x:f>
        <x:v>Shortfall</x:v>
      </x:c>
      <x:c r="J683" s="7"/>
      <x:c r="K683" s="7" t="str">
        <x:v>Open</x:v>
      </x:c>
      <x:c r="L683" s="7"/>
    </x:row>
    <x:row r="684" ht="21" customHeight="1">
      <x:c r="A684" s="1" t="str">
        <x:f>Source!A678</x:f>
        <x:v>C0003301</x:v>
      </x:c>
      <x:c r="B684" s="1" t="str">
        <x:f>_xlfn.IFNA(VLOOKUP(Source!B678,Advertisers!$A$5:$B$34,2,FALSE),"Missing advertiser")</x:f>
        <x:v>Synthetic advertiser 19</x:v>
      </x:c>
      <x:c r="C684" s="1" t="n">
        <x:f>Source!C678</x:f>
        <x:v>109</x:v>
      </x:c>
      <x:c r="D684" s="8" t="n">
        <x:f>Source!D678/100</x:f>
        <x:v>0</x:v>
      </x:c>
      <x:c r="E684" s="8" t="n">
        <x:f>Source!E678/100</x:f>
        <x:v>213.3</x:v>
      </x:c>
      <x:c r="F684" s="8" t="n">
        <x:f>Source!F678/100</x:f>
        <x:v>0</x:v>
      </x:c>
      <x:c r="G684" s="8" t="n">
        <x:f>Source!G678/100</x:f>
        <x:v>213.3</x:v>
      </x:c>
      <x:c r="H684" s="8" t="n">
        <x:f>G684-D684</x:f>
        <x:v>213.3</x:v>
      </x:c>
      <x:c r="I684" s="1" t="str">
        <x:f>IF(H684&gt;0,"Overbilled","Shortfall")</x:f>
        <x:v>Overbilled</x:v>
      </x:c>
      <x:c r="J684" s="7"/>
      <x:c r="K684" s="7" t="str">
        <x:v>Open</x:v>
      </x:c>
      <x:c r="L684" s="7"/>
    </x:row>
    <x:row r="685" ht="21" customHeight="1">
      <x:c r="A685" s="1" t="str">
        <x:f>Source!A679</x:f>
        <x:v>C0004547</x:v>
      </x:c>
      <x:c r="B685" s="1" t="str">
        <x:f>_xlfn.IFNA(VLOOKUP(Source!B679,Advertisers!$A$5:$B$34,2,FALSE),"Missing advertiser")</x:f>
        <x:v>Synthetic advertiser 12</x:v>
      </x:c>
      <x:c r="C685" s="1" t="n">
        <x:f>Source!C679</x:f>
        <x:v>72</x:v>
      </x:c>
      <x:c r="D685" s="8" t="n">
        <x:f>Source!D679/100</x:f>
        <x:v>211.85</x:v>
      </x:c>
      <x:c r="E685" s="8" t="n">
        <x:f>Source!E679/100</x:f>
        <x:v>0</x:v>
      </x:c>
      <x:c r="F685" s="8" t="n">
        <x:f>Source!F679/100</x:f>
        <x:v>0</x:v>
      </x:c>
      <x:c r="G685" s="8" t="n">
        <x:f>Source!G679/100</x:f>
        <x:v>0</x:v>
      </x:c>
      <x:c r="H685" s="8" t="n">
        <x:f>G685-D685</x:f>
        <x:v>-211.85</x:v>
      </x:c>
      <x:c r="I685" s="1" t="str">
        <x:f>IF(H685&gt;0,"Overbilled","Shortfall")</x:f>
        <x:v>Shortfall</x:v>
      </x:c>
      <x:c r="J685" s="7"/>
      <x:c r="K685" s="7" t="str">
        <x:v>Open</x:v>
      </x:c>
      <x:c r="L685" s="7"/>
    </x:row>
    <x:row r="686" ht="21" customHeight="1">
      <x:c r="A686" s="1" t="str">
        <x:f>Source!A680</x:f>
        <x:v>C0015089</x:v>
      </x:c>
      <x:c r="B686" s="1" t="str">
        <x:f>_xlfn.IFNA(VLOOKUP(Source!B680,Advertisers!$A$5:$B$34,2,FALSE),"Missing advertiser")</x:f>
        <x:v>Synthetic advertiser 12</x:v>
      </x:c>
      <x:c r="C686" s="1" t="n">
        <x:f>Source!C680</x:f>
        <x:v>72</x:v>
      </x:c>
      <x:c r="D686" s="8" t="n">
        <x:f>Source!D680/100</x:f>
        <x:v>211.85</x:v>
      </x:c>
      <x:c r="E686" s="8" t="n">
        <x:f>Source!E680/100</x:f>
        <x:v>423.7</x:v>
      </x:c>
      <x:c r="F686" s="8" t="n">
        <x:f>Source!F680/100</x:f>
        <x:v>0</x:v>
      </x:c>
      <x:c r="G686" s="8" t="n">
        <x:f>Source!G680/100</x:f>
        <x:v>423.7</x:v>
      </x:c>
      <x:c r="H686" s="8" t="n">
        <x:f>G686-D686</x:f>
        <x:v>211.85</x:v>
      </x:c>
      <x:c r="I686" s="1" t="str">
        <x:f>IF(H686&gt;0,"Overbilled","Shortfall")</x:f>
        <x:v>Overbilled</x:v>
      </x:c>
      <x:c r="J686" s="7"/>
      <x:c r="K686" s="7" t="str">
        <x:v>Open</x:v>
      </x:c>
      <x:c r="L686" s="7"/>
    </x:row>
    <x:row r="687" ht="21" customHeight="1">
      <x:c r="A687" s="1" t="str">
        <x:f>Source!A681</x:f>
        <x:v>C0008206</x:v>
      </x:c>
      <x:c r="B687" s="1" t="str">
        <x:f>_xlfn.IFNA(VLOOKUP(Source!B681,Advertisers!$A$5:$B$34,2,FALSE),"Missing advertiser")</x:f>
        <x:v>Synthetic advertiser 12</x:v>
      </x:c>
      <x:c r="C687" s="1" t="n">
        <x:f>Source!C681</x:f>
        <x:v>72</x:v>
      </x:c>
      <x:c r="D687" s="8" t="n">
        <x:f>Source!D681/100</x:f>
        <x:v>211.85</x:v>
      </x:c>
      <x:c r="E687" s="8" t="n">
        <x:f>Source!E681/100</x:f>
        <x:v>0</x:v>
      </x:c>
      <x:c r="F687" s="8" t="n">
        <x:f>Source!F681/100</x:f>
        <x:v>0</x:v>
      </x:c>
      <x:c r="G687" s="8" t="n">
        <x:f>Source!G681/100</x:f>
        <x:v>0</x:v>
      </x:c>
      <x:c r="H687" s="8" t="n">
        <x:f>G687-D687</x:f>
        <x:v>-211.85</x:v>
      </x:c>
      <x:c r="I687" s="1" t="str">
        <x:f>IF(H687&gt;0,"Overbilled","Shortfall")</x:f>
        <x:v>Shortfall</x:v>
      </x:c>
      <x:c r="J687" s="7"/>
      <x:c r="K687" s="7" t="str">
        <x:v>Open</x:v>
      </x:c>
      <x:c r="L687" s="7"/>
    </x:row>
    <x:row r="688" ht="21" customHeight="1">
      <x:c r="A688" s="1" t="str">
        <x:f>Source!A682</x:f>
        <x:v>C0004603</x:v>
      </x:c>
      <x:c r="B688" s="1" t="str">
        <x:f>_xlfn.IFNA(VLOOKUP(Source!B682,Advertisers!$A$5:$B$34,2,FALSE),"Missing advertiser")</x:f>
        <x:v>Synthetic advertiser 12</x:v>
      </x:c>
      <x:c r="C688" s="1" t="n">
        <x:f>Source!C682</x:f>
        <x:v>72</x:v>
      </x:c>
      <x:c r="D688" s="8" t="n">
        <x:f>Source!D682/100</x:f>
        <x:v>0</x:v>
      </x:c>
      <x:c r="E688" s="8" t="n">
        <x:f>Source!E682/100</x:f>
        <x:v>211.85</x:v>
      </x:c>
      <x:c r="F688" s="8" t="n">
        <x:f>Source!F682/100</x:f>
        <x:v>0</x:v>
      </x:c>
      <x:c r="G688" s="8" t="n">
        <x:f>Source!G682/100</x:f>
        <x:v>211.85</x:v>
      </x:c>
      <x:c r="H688" s="8" t="n">
        <x:f>G688-D688</x:f>
        <x:v>211.85</x:v>
      </x:c>
      <x:c r="I688" s="1" t="str">
        <x:f>IF(H688&gt;0,"Overbilled","Shortfall")</x:f>
        <x:v>Overbilled</x:v>
      </x:c>
      <x:c r="J688" s="7"/>
      <x:c r="K688" s="7" t="str">
        <x:v>Open</x:v>
      </x:c>
      <x:c r="L688" s="7"/>
    </x:row>
    <x:row r="689" ht="21" customHeight="1">
      <x:c r="A689" s="1" t="str">
        <x:f>Source!A683</x:f>
        <x:v>C0017957</x:v>
      </x:c>
      <x:c r="B689" s="1" t="str">
        <x:f>_xlfn.IFNA(VLOOKUP(Source!B683,Advertisers!$A$5:$B$34,2,FALSE),"Missing advertiser")</x:f>
        <x:v>Synthetic advertiser 12</x:v>
      </x:c>
      <x:c r="C689" s="1" t="n">
        <x:f>Source!C683</x:f>
        <x:v>72</x:v>
      </x:c>
      <x:c r="D689" s="8" t="n">
        <x:f>Source!D683/100</x:f>
        <x:v>211.85</x:v>
      </x:c>
      <x:c r="E689" s="8" t="n">
        <x:f>Source!E683/100</x:f>
        <x:v>0</x:v>
      </x:c>
      <x:c r="F689" s="8" t="n">
        <x:f>Source!F683/100</x:f>
        <x:v>0</x:v>
      </x:c>
      <x:c r="G689" s="8" t="n">
        <x:f>Source!G683/100</x:f>
        <x:v>0</x:v>
      </x:c>
      <x:c r="H689" s="8" t="n">
        <x:f>G689-D689</x:f>
        <x:v>-211.85</x:v>
      </x:c>
      <x:c r="I689" s="1" t="str">
        <x:f>IF(H689&gt;0,"Overbilled","Shortfall")</x:f>
        <x:v>Shortfall</x:v>
      </x:c>
      <x:c r="J689" s="7"/>
      <x:c r="K689" s="7" t="str">
        <x:v>Open</x:v>
      </x:c>
      <x:c r="L689" s="7"/>
    </x:row>
    <x:row r="690" ht="21" customHeight="1">
      <x:c r="A690" s="1" t="str">
        <x:f>Source!A684</x:f>
        <x:v>C0005199</x:v>
      </x:c>
      <x:c r="B690" s="1" t="str">
        <x:f>_xlfn.IFNA(VLOOKUP(Source!B684,Advertisers!$A$5:$B$34,2,FALSE),"Missing advertiser")</x:f>
        <x:v>Synthetic advertiser 12</x:v>
      </x:c>
      <x:c r="C690" s="1" t="n">
        <x:f>Source!C684</x:f>
        <x:v>72</x:v>
      </x:c>
      <x:c r="D690" s="8" t="n">
        <x:f>Source!D684/100</x:f>
        <x:v>211.85</x:v>
      </x:c>
      <x:c r="E690" s="8" t="n">
        <x:f>Source!E684/100</x:f>
        <x:v>423.7</x:v>
      </x:c>
      <x:c r="F690" s="8" t="n">
        <x:f>Source!F684/100</x:f>
        <x:v>0</x:v>
      </x:c>
      <x:c r="G690" s="8" t="n">
        <x:f>Source!G684/100</x:f>
        <x:v>423.7</x:v>
      </x:c>
      <x:c r="H690" s="8" t="n">
        <x:f>G690-D690</x:f>
        <x:v>211.85</x:v>
      </x:c>
      <x:c r="I690" s="1" t="str">
        <x:f>IF(H690&gt;0,"Overbilled","Shortfall")</x:f>
        <x:v>Overbilled</x:v>
      </x:c>
      <x:c r="J690" s="7"/>
      <x:c r="K690" s="7" t="str">
        <x:v>Open</x:v>
      </x:c>
      <x:c r="L690" s="7"/>
    </x:row>
    <x:row r="691" ht="21" customHeight="1">
      <x:c r="A691" s="1" t="str">
        <x:f>Source!A685</x:f>
        <x:v>C0015882</x:v>
      </x:c>
      <x:c r="B691" s="1" t="str">
        <x:f>_xlfn.IFNA(VLOOKUP(Source!B685,Advertisers!$A$5:$B$34,2,FALSE),"Missing advertiser")</x:f>
        <x:v>Synthetic advertiser 12</x:v>
      </x:c>
      <x:c r="C691" s="1" t="n">
        <x:f>Source!C685</x:f>
        <x:v>72</x:v>
      </x:c>
      <x:c r="D691" s="8" t="n">
        <x:f>Source!D685/100</x:f>
        <x:v>211.85</x:v>
      </x:c>
      <x:c r="E691" s="8" t="n">
        <x:f>Source!E685/100</x:f>
        <x:v>423.7</x:v>
      </x:c>
      <x:c r="F691" s="8" t="n">
        <x:f>Source!F685/100</x:f>
        <x:v>0</x:v>
      </x:c>
      <x:c r="G691" s="8" t="n">
        <x:f>Source!G685/100</x:f>
        <x:v>423.7</x:v>
      </x:c>
      <x:c r="H691" s="8" t="n">
        <x:f>G691-D691</x:f>
        <x:v>211.85</x:v>
      </x:c>
      <x:c r="I691" s="1" t="str">
        <x:f>IF(H691&gt;0,"Overbilled","Shortfall")</x:f>
        <x:v>Overbilled</x:v>
      </x:c>
      <x:c r="J691" s="7"/>
      <x:c r="K691" s="7" t="str">
        <x:v>Open</x:v>
      </x:c>
      <x:c r="L691" s="7"/>
    </x:row>
    <x:row r="692" ht="21" customHeight="1">
      <x:c r="A692" s="1" t="str">
        <x:f>Source!A686</x:f>
        <x:v>C0011796</x:v>
      </x:c>
      <x:c r="B692" s="1" t="str">
        <x:f>_xlfn.IFNA(VLOOKUP(Source!B686,Advertisers!$A$5:$B$34,2,FALSE),"Missing advertiser")</x:f>
        <x:v>Synthetic advertiser 12</x:v>
      </x:c>
      <x:c r="C692" s="1" t="n">
        <x:f>Source!C686</x:f>
        <x:v>72</x:v>
      </x:c>
      <x:c r="D692" s="8" t="n">
        <x:f>Source!D686/100</x:f>
        <x:v>211.85</x:v>
      </x:c>
      <x:c r="E692" s="8" t="n">
        <x:f>Source!E686/100</x:f>
        <x:v>423.7</x:v>
      </x:c>
      <x:c r="F692" s="8" t="n">
        <x:f>Source!F686/100</x:f>
        <x:v>0</x:v>
      </x:c>
      <x:c r="G692" s="8" t="n">
        <x:f>Source!G686/100</x:f>
        <x:v>423.7</x:v>
      </x:c>
      <x:c r="H692" s="8" t="n">
        <x:f>G692-D692</x:f>
        <x:v>211.85</x:v>
      </x:c>
      <x:c r="I692" s="1" t="str">
        <x:f>IF(H692&gt;0,"Overbilled","Shortfall")</x:f>
        <x:v>Overbilled</x:v>
      </x:c>
      <x:c r="J692" s="7"/>
      <x:c r="K692" s="7" t="str">
        <x:v>Open</x:v>
      </x:c>
      <x:c r="L692" s="7"/>
    </x:row>
    <x:row r="693" ht="21" customHeight="1">
      <x:c r="A693" s="1" t="str">
        <x:f>Source!A687</x:f>
        <x:v>C0008361</x:v>
      </x:c>
      <x:c r="B693" s="1" t="str">
        <x:f>_xlfn.IFNA(VLOOKUP(Source!B687,Advertisers!$A$5:$B$34,2,FALSE),"Missing advertiser")</x:f>
        <x:v>Synthetic advertiser 12</x:v>
      </x:c>
      <x:c r="C693" s="1" t="n">
        <x:f>Source!C687</x:f>
        <x:v>72</x:v>
      </x:c>
      <x:c r="D693" s="8" t="n">
        <x:f>Source!D687/100</x:f>
        <x:v>211.85</x:v>
      </x:c>
      <x:c r="E693" s="8" t="n">
        <x:f>Source!E687/100</x:f>
        <x:v>0</x:v>
      </x:c>
      <x:c r="F693" s="8" t="n">
        <x:f>Source!F687/100</x:f>
        <x:v>0</x:v>
      </x:c>
      <x:c r="G693" s="8" t="n">
        <x:f>Source!G687/100</x:f>
        <x:v>0</x:v>
      </x:c>
      <x:c r="H693" s="8" t="n">
        <x:f>G693-D693</x:f>
        <x:v>-211.85</x:v>
      </x:c>
      <x:c r="I693" s="1" t="str">
        <x:f>IF(H693&gt;0,"Overbilled","Shortfall")</x:f>
        <x:v>Shortfall</x:v>
      </x:c>
      <x:c r="J693" s="7"/>
      <x:c r="K693" s="7" t="str">
        <x:v>Open</x:v>
      </x:c>
      <x:c r="L693" s="7"/>
    </x:row>
    <x:row r="694" ht="21" customHeight="1">
      <x:c r="A694" s="1" t="str">
        <x:f>Source!A688</x:f>
        <x:v>C0003956</x:v>
      </x:c>
      <x:c r="B694" s="1" t="str">
        <x:f>_xlfn.IFNA(VLOOKUP(Source!B688,Advertisers!$A$5:$B$34,2,FALSE),"Missing advertiser")</x:f>
        <x:v>Synthetic advertiser 12</x:v>
      </x:c>
      <x:c r="C694" s="1" t="n">
        <x:f>Source!C688</x:f>
        <x:v>72</x:v>
      </x:c>
      <x:c r="D694" s="8" t="n">
        <x:f>Source!D688/100</x:f>
        <x:v>211.85</x:v>
      </x:c>
      <x:c r="E694" s="8" t="n">
        <x:f>Source!E688/100</x:f>
        <x:v>0</x:v>
      </x:c>
      <x:c r="F694" s="8" t="n">
        <x:f>Source!F688/100</x:f>
        <x:v>0</x:v>
      </x:c>
      <x:c r="G694" s="8" t="n">
        <x:f>Source!G688/100</x:f>
        <x:v>0</x:v>
      </x:c>
      <x:c r="H694" s="8" t="n">
        <x:f>G694-D694</x:f>
        <x:v>-211.85</x:v>
      </x:c>
      <x:c r="I694" s="1" t="str">
        <x:f>IF(H694&gt;0,"Overbilled","Shortfall")</x:f>
        <x:v>Shortfall</x:v>
      </x:c>
      <x:c r="J694" s="7"/>
      <x:c r="K694" s="7" t="str">
        <x:v>Open</x:v>
      </x:c>
      <x:c r="L694" s="7"/>
    </x:row>
    <x:row r="695" ht="21" customHeight="1">
      <x:c r="A695" s="1" t="str">
        <x:f>Source!A689</x:f>
        <x:v>C0010190</x:v>
      </x:c>
      <x:c r="B695" s="1" t="str">
        <x:f>_xlfn.IFNA(VLOOKUP(Source!B689,Advertisers!$A$5:$B$34,2,FALSE),"Missing advertiser")</x:f>
        <x:v>Synthetic advertiser 3</x:v>
      </x:c>
      <x:c r="C695" s="1" t="n">
        <x:f>Source!C689</x:f>
        <x:v>33</x:v>
      </x:c>
      <x:c r="D695" s="8" t="n">
        <x:f>Source!D689/100</x:f>
        <x:v>210.62</x:v>
      </x:c>
      <x:c r="E695" s="8" t="n">
        <x:f>Source!E689/100</x:f>
        <x:v>421.24</x:v>
      </x:c>
      <x:c r="F695" s="8" t="n">
        <x:f>Source!F689/100</x:f>
        <x:v>0</x:v>
      </x:c>
      <x:c r="G695" s="8" t="n">
        <x:f>Source!G689/100</x:f>
        <x:v>421.24</x:v>
      </x:c>
      <x:c r="H695" s="8" t="n">
        <x:f>G695-D695</x:f>
        <x:v>210.62</x:v>
      </x:c>
      <x:c r="I695" s="1" t="str">
        <x:f>IF(H695&gt;0,"Overbilled","Shortfall")</x:f>
        <x:v>Overbilled</x:v>
      </x:c>
      <x:c r="J695" s="7"/>
      <x:c r="K695" s="7" t="str">
        <x:v>Open</x:v>
      </x:c>
      <x:c r="L695" s="7"/>
    </x:row>
    <x:row r="696" ht="21" customHeight="1">
      <x:c r="A696" s="1" t="str">
        <x:f>Source!A690</x:f>
        <x:v>C0015227</x:v>
      </x:c>
      <x:c r="B696" s="1" t="str">
        <x:f>_xlfn.IFNA(VLOOKUP(Source!B690,Advertisers!$A$5:$B$34,2,FALSE),"Missing advertiser")</x:f>
        <x:v>Synthetic advertiser 3</x:v>
      </x:c>
      <x:c r="C696" s="1" t="n">
        <x:f>Source!C690</x:f>
        <x:v>33</x:v>
      </x:c>
      <x:c r="D696" s="8" t="n">
        <x:f>Source!D690/100</x:f>
        <x:v>210.62</x:v>
      </x:c>
      <x:c r="E696" s="8" t="n">
        <x:f>Source!E690/100</x:f>
        <x:v>0</x:v>
      </x:c>
      <x:c r="F696" s="8" t="n">
        <x:f>Source!F690/100</x:f>
        <x:v>0</x:v>
      </x:c>
      <x:c r="G696" s="8" t="n">
        <x:f>Source!G690/100</x:f>
        <x:v>0</x:v>
      </x:c>
      <x:c r="H696" s="8" t="n">
        <x:f>G696-D696</x:f>
        <x:v>-210.62</x:v>
      </x:c>
      <x:c r="I696" s="1" t="str">
        <x:f>IF(H696&gt;0,"Overbilled","Shortfall")</x:f>
        <x:v>Shortfall</x:v>
      </x:c>
      <x:c r="J696" s="7"/>
      <x:c r="K696" s="7" t="str">
        <x:v>Open</x:v>
      </x:c>
      <x:c r="L696" s="7"/>
    </x:row>
    <x:row r="697" ht="21" customHeight="1">
      <x:c r="A697" s="1" t="str">
        <x:f>Source!A691</x:f>
        <x:v>C0017181</x:v>
      </x:c>
      <x:c r="B697" s="1" t="str">
        <x:f>_xlfn.IFNA(VLOOKUP(Source!B691,Advertisers!$A$5:$B$34,2,FALSE),"Missing advertiser")</x:f>
        <x:v>Synthetic advertiser 3</x:v>
      </x:c>
      <x:c r="C697" s="1" t="n">
        <x:f>Source!C691</x:f>
        <x:v>33</x:v>
      </x:c>
      <x:c r="D697" s="8" t="n">
        <x:f>Source!D691/100</x:f>
        <x:v>210.62</x:v>
      </x:c>
      <x:c r="E697" s="8" t="n">
        <x:f>Source!E691/100</x:f>
        <x:v>0</x:v>
      </x:c>
      <x:c r="F697" s="8" t="n">
        <x:f>Source!F691/100</x:f>
        <x:v>0</x:v>
      </x:c>
      <x:c r="G697" s="8" t="n">
        <x:f>Source!G691/100</x:f>
        <x:v>0</x:v>
      </x:c>
      <x:c r="H697" s="8" t="n">
        <x:f>G697-D697</x:f>
        <x:v>-210.62</x:v>
      </x:c>
      <x:c r="I697" s="1" t="str">
        <x:f>IF(H697&gt;0,"Overbilled","Shortfall")</x:f>
        <x:v>Shortfall</x:v>
      </x:c>
      <x:c r="J697" s="7"/>
      <x:c r="K697" s="7" t="str">
        <x:v>Open</x:v>
      </x:c>
      <x:c r="L697" s="7"/>
    </x:row>
    <x:row r="698" ht="21" customHeight="1">
      <x:c r="A698" s="1" t="str">
        <x:f>Source!A692</x:f>
        <x:v>C0013035</x:v>
      </x:c>
      <x:c r="B698" s="1" t="str">
        <x:f>_xlfn.IFNA(VLOOKUP(Source!B692,Advertisers!$A$5:$B$34,2,FALSE),"Missing advertiser")</x:f>
        <x:v>Synthetic advertiser 3</x:v>
      </x:c>
      <x:c r="C698" s="1" t="n">
        <x:f>Source!C692</x:f>
        <x:v>33</x:v>
      </x:c>
      <x:c r="D698" s="8" t="n">
        <x:f>Source!D692/100</x:f>
        <x:v>210.62</x:v>
      </x:c>
      <x:c r="E698" s="8" t="n">
        <x:f>Source!E692/100</x:f>
        <x:v>0</x:v>
      </x:c>
      <x:c r="F698" s="8" t="n">
        <x:f>Source!F692/100</x:f>
        <x:v>0</x:v>
      </x:c>
      <x:c r="G698" s="8" t="n">
        <x:f>Source!G692/100</x:f>
        <x:v>0</x:v>
      </x:c>
      <x:c r="H698" s="8" t="n">
        <x:f>G698-D698</x:f>
        <x:v>-210.62</x:v>
      </x:c>
      <x:c r="I698" s="1" t="str">
        <x:f>IF(H698&gt;0,"Overbilled","Shortfall")</x:f>
        <x:v>Shortfall</x:v>
      </x:c>
      <x:c r="J698" s="7"/>
      <x:c r="K698" s="7" t="str">
        <x:v>Open</x:v>
      </x:c>
      <x:c r="L698" s="7"/>
    </x:row>
    <x:row r="699" ht="21" customHeight="1">
      <x:c r="A699" s="1" t="str">
        <x:f>Source!A693</x:f>
        <x:v>C0002074</x:v>
      </x:c>
      <x:c r="B699" s="1" t="str">
        <x:f>_xlfn.IFNA(VLOOKUP(Source!B693,Advertisers!$A$5:$B$34,2,FALSE),"Missing advertiser")</x:f>
        <x:v>Synthetic advertiser 3</x:v>
      </x:c>
      <x:c r="C699" s="1" t="n">
        <x:f>Source!C693</x:f>
        <x:v>33</x:v>
      </x:c>
      <x:c r="D699" s="8" t="n">
        <x:f>Source!D693/100</x:f>
        <x:v>210.62</x:v>
      </x:c>
      <x:c r="E699" s="8" t="n">
        <x:f>Source!E693/100</x:f>
        <x:v>0</x:v>
      </x:c>
      <x:c r="F699" s="8" t="n">
        <x:f>Source!F693/100</x:f>
        <x:v>0</x:v>
      </x:c>
      <x:c r="G699" s="8" t="n">
        <x:f>Source!G693/100</x:f>
        <x:v>0</x:v>
      </x:c>
      <x:c r="H699" s="8" t="n">
        <x:f>G699-D699</x:f>
        <x:v>-210.62</x:v>
      </x:c>
      <x:c r="I699" s="1" t="str">
        <x:f>IF(H699&gt;0,"Overbilled","Shortfall")</x:f>
        <x:v>Shortfall</x:v>
      </x:c>
      <x:c r="J699" s="7"/>
      <x:c r="K699" s="7" t="str">
        <x:v>Open</x:v>
      </x:c>
      <x:c r="L699" s="7"/>
    </x:row>
    <x:row r="700" ht="21" customHeight="1">
      <x:c r="A700" s="1" t="str">
        <x:f>Source!A694</x:f>
        <x:v>C0005618</x:v>
      </x:c>
      <x:c r="B700" s="1" t="str">
        <x:f>_xlfn.IFNA(VLOOKUP(Source!B694,Advertisers!$A$5:$B$34,2,FALSE),"Missing advertiser")</x:f>
        <x:v>Synthetic advertiser 30</x:v>
      </x:c>
      <x:c r="C700" s="1" t="n">
        <x:f>Source!C694</x:f>
        <x:v>30</x:v>
      </x:c>
      <x:c r="D700" s="8" t="n">
        <x:f>Source!D694/100</x:f>
        <x:v>209.62</x:v>
      </x:c>
      <x:c r="E700" s="8" t="n">
        <x:f>Source!E694/100</x:f>
        <x:v>419.24</x:v>
      </x:c>
      <x:c r="F700" s="8" t="n">
        <x:f>Source!F694/100</x:f>
        <x:v>0</x:v>
      </x:c>
      <x:c r="G700" s="8" t="n">
        <x:f>Source!G694/100</x:f>
        <x:v>419.24</x:v>
      </x:c>
      <x:c r="H700" s="8" t="n">
        <x:f>G700-D700</x:f>
        <x:v>209.62</x:v>
      </x:c>
      <x:c r="I700" s="1" t="str">
        <x:f>IF(H700&gt;0,"Overbilled","Shortfall")</x:f>
        <x:v>Overbilled</x:v>
      </x:c>
      <x:c r="J700" s="7"/>
      <x:c r="K700" s="7" t="str">
        <x:v>Open</x:v>
      </x:c>
      <x:c r="L700" s="7"/>
    </x:row>
    <x:row r="701" ht="21" customHeight="1">
      <x:c r="A701" s="1" t="str">
        <x:f>Source!A695</x:f>
        <x:v>C0001802</x:v>
      </x:c>
      <x:c r="B701" s="1" t="str">
        <x:f>_xlfn.IFNA(VLOOKUP(Source!B695,Advertisers!$A$5:$B$34,2,FALSE),"Missing advertiser")</x:f>
        <x:v>Synthetic advertiser 30</x:v>
      </x:c>
      <x:c r="C701" s="1" t="n">
        <x:f>Source!C695</x:f>
        <x:v>30</x:v>
      </x:c>
      <x:c r="D701" s="8" t="n">
        <x:f>Source!D695/100</x:f>
        <x:v>209.62</x:v>
      </x:c>
      <x:c r="E701" s="8" t="n">
        <x:f>Source!E695/100</x:f>
        <x:v>419.24</x:v>
      </x:c>
      <x:c r="F701" s="8" t="n">
        <x:f>Source!F695/100</x:f>
        <x:v>0</x:v>
      </x:c>
      <x:c r="G701" s="8" t="n">
        <x:f>Source!G695/100</x:f>
        <x:v>419.24</x:v>
      </x:c>
      <x:c r="H701" s="8" t="n">
        <x:f>G701-D701</x:f>
        <x:v>209.62</x:v>
      </x:c>
      <x:c r="I701" s="1" t="str">
        <x:f>IF(H701&gt;0,"Overbilled","Shortfall")</x:f>
        <x:v>Overbilled</x:v>
      </x:c>
      <x:c r="J701" s="7"/>
      <x:c r="K701" s="7" t="str">
        <x:v>Open</x:v>
      </x:c>
      <x:c r="L701" s="7"/>
    </x:row>
    <x:row r="702" ht="21" customHeight="1">
      <x:c r="A702" s="1" t="str">
        <x:f>Source!A696</x:f>
        <x:v>C0016108</x:v>
      </x:c>
      <x:c r="B702" s="1" t="str">
        <x:f>_xlfn.IFNA(VLOOKUP(Source!B696,Advertisers!$A$5:$B$34,2,FALSE),"Missing advertiser")</x:f>
        <x:v>Synthetic advertiser 30</x:v>
      </x:c>
      <x:c r="C702" s="1" t="n">
        <x:f>Source!C696</x:f>
        <x:v>30</x:v>
      </x:c>
      <x:c r="D702" s="8" t="n">
        <x:f>Source!D696/100</x:f>
        <x:v>0</x:v>
      </x:c>
      <x:c r="E702" s="8" t="n">
        <x:f>Source!E696/100</x:f>
        <x:v>209.62</x:v>
      </x:c>
      <x:c r="F702" s="8" t="n">
        <x:f>Source!F696/100</x:f>
        <x:v>0</x:v>
      </x:c>
      <x:c r="G702" s="8" t="n">
        <x:f>Source!G696/100</x:f>
        <x:v>209.62</x:v>
      </x:c>
      <x:c r="H702" s="8" t="n">
        <x:f>G702-D702</x:f>
        <x:v>209.62</x:v>
      </x:c>
      <x:c r="I702" s="1" t="str">
        <x:f>IF(H702&gt;0,"Overbilled","Shortfall")</x:f>
        <x:v>Overbilled</x:v>
      </x:c>
      <x:c r="J702" s="7"/>
      <x:c r="K702" s="7" t="str">
        <x:v>Open</x:v>
      </x:c>
      <x:c r="L702" s="7"/>
    </x:row>
    <x:row r="703" ht="21" customHeight="1">
      <x:c r="A703" s="1" t="str">
        <x:f>Source!A697</x:f>
        <x:v>C0002819</x:v>
      </x:c>
      <x:c r="B703" s="1" t="str">
        <x:f>_xlfn.IFNA(VLOOKUP(Source!B697,Advertisers!$A$5:$B$34,2,FALSE),"Missing advertiser")</x:f>
        <x:v>Synthetic advertiser 30</x:v>
      </x:c>
      <x:c r="C703" s="1" t="n">
        <x:f>Source!C697</x:f>
        <x:v>30</x:v>
      </x:c>
      <x:c r="D703" s="8" t="n">
        <x:f>Source!D697/100</x:f>
        <x:v>209.62</x:v>
      </x:c>
      <x:c r="E703" s="8" t="n">
        <x:f>Source!E697/100</x:f>
        <x:v>419.24</x:v>
      </x:c>
      <x:c r="F703" s="8" t="n">
        <x:f>Source!F697/100</x:f>
        <x:v>0</x:v>
      </x:c>
      <x:c r="G703" s="8" t="n">
        <x:f>Source!G697/100</x:f>
        <x:v>419.24</x:v>
      </x:c>
      <x:c r="H703" s="8" t="n">
        <x:f>G703-D703</x:f>
        <x:v>209.62</x:v>
      </x:c>
      <x:c r="I703" s="1" t="str">
        <x:f>IF(H703&gt;0,"Overbilled","Shortfall")</x:f>
        <x:v>Overbilled</x:v>
      </x:c>
      <x:c r="J703" s="7"/>
      <x:c r="K703" s="7" t="str">
        <x:v>Open</x:v>
      </x:c>
      <x:c r="L703" s="7"/>
    </x:row>
    <x:row r="704" ht="21" customHeight="1">
      <x:c r="A704" s="1" t="str">
        <x:f>Source!A698</x:f>
        <x:v>C0005647</x:v>
      </x:c>
      <x:c r="B704" s="1" t="str">
        <x:f>_xlfn.IFNA(VLOOKUP(Source!B698,Advertisers!$A$5:$B$34,2,FALSE),"Missing advertiser")</x:f>
        <x:v>Synthetic advertiser 30</x:v>
      </x:c>
      <x:c r="C704" s="1" t="n">
        <x:f>Source!C698</x:f>
        <x:v>30</x:v>
      </x:c>
      <x:c r="D704" s="8" t="n">
        <x:f>Source!D698/100</x:f>
        <x:v>209.62</x:v>
      </x:c>
      <x:c r="E704" s="8" t="n">
        <x:f>Source!E698/100</x:f>
        <x:v>419.24</x:v>
      </x:c>
      <x:c r="F704" s="8" t="n">
        <x:f>Source!F698/100</x:f>
        <x:v>0</x:v>
      </x:c>
      <x:c r="G704" s="8" t="n">
        <x:f>Source!G698/100</x:f>
        <x:v>419.24</x:v>
      </x:c>
      <x:c r="H704" s="8" t="n">
        <x:f>G704-D704</x:f>
        <x:v>209.62</x:v>
      </x:c>
      <x:c r="I704" s="1" t="str">
        <x:f>IF(H704&gt;0,"Overbilled","Shortfall")</x:f>
        <x:v>Overbilled</x:v>
      </x:c>
      <x:c r="J704" s="7"/>
      <x:c r="K704" s="7" t="str">
        <x:v>Open</x:v>
      </x:c>
      <x:c r="L704" s="7"/>
    </x:row>
    <x:row r="705" ht="21" customHeight="1">
      <x:c r="A705" s="1" t="str">
        <x:f>Source!A699</x:f>
        <x:v>C0011663</x:v>
      </x:c>
      <x:c r="B705" s="1" t="str">
        <x:f>_xlfn.IFNA(VLOOKUP(Source!B699,Advertisers!$A$5:$B$34,2,FALSE),"Missing advertiser")</x:f>
        <x:v>Synthetic advertiser 30</x:v>
      </x:c>
      <x:c r="C705" s="1" t="n">
        <x:f>Source!C699</x:f>
        <x:v>30</x:v>
      </x:c>
      <x:c r="D705" s="8" t="n">
        <x:f>Source!D699/100</x:f>
        <x:v>209.62</x:v>
      </x:c>
      <x:c r="E705" s="8" t="n">
        <x:f>Source!E699/100</x:f>
        <x:v>0</x:v>
      </x:c>
      <x:c r="F705" s="8" t="n">
        <x:f>Source!F699/100</x:f>
        <x:v>0</x:v>
      </x:c>
      <x:c r="G705" s="8" t="n">
        <x:f>Source!G699/100</x:f>
        <x:v>0</x:v>
      </x:c>
      <x:c r="H705" s="8" t="n">
        <x:f>G705-D705</x:f>
        <x:v>-209.62</x:v>
      </x:c>
      <x:c r="I705" s="1" t="str">
        <x:f>IF(H705&gt;0,"Overbilled","Shortfall")</x:f>
        <x:v>Shortfall</x:v>
      </x:c>
      <x:c r="J705" s="7"/>
      <x:c r="K705" s="7" t="str">
        <x:v>Open</x:v>
      </x:c>
      <x:c r="L705" s="7"/>
    </x:row>
    <x:row r="706" ht="21" customHeight="1">
      <x:c r="A706" s="1" t="str">
        <x:f>Source!A700</x:f>
        <x:v>C0003648</x:v>
      </x:c>
      <x:c r="B706" s="1" t="str">
        <x:f>_xlfn.IFNA(VLOOKUP(Source!B700,Advertisers!$A$5:$B$34,2,FALSE),"Missing advertiser")</x:f>
        <x:v>Synthetic advertiser 30</x:v>
      </x:c>
      <x:c r="C706" s="1" t="n">
        <x:f>Source!C700</x:f>
        <x:v>30</x:v>
      </x:c>
      <x:c r="D706" s="8" t="n">
        <x:f>Source!D700/100</x:f>
        <x:v>209.62</x:v>
      </x:c>
      <x:c r="E706" s="8" t="n">
        <x:f>Source!E700/100</x:f>
        <x:v>419.24</x:v>
      </x:c>
      <x:c r="F706" s="8" t="n">
        <x:f>Source!F700/100</x:f>
        <x:v>0</x:v>
      </x:c>
      <x:c r="G706" s="8" t="n">
        <x:f>Source!G700/100</x:f>
        <x:v>419.24</x:v>
      </x:c>
      <x:c r="H706" s="8" t="n">
        <x:f>G706-D706</x:f>
        <x:v>209.62</x:v>
      </x:c>
      <x:c r="I706" s="1" t="str">
        <x:f>IF(H706&gt;0,"Overbilled","Shortfall")</x:f>
        <x:v>Overbilled</x:v>
      </x:c>
      <x:c r="J706" s="7"/>
      <x:c r="K706" s="7" t="str">
        <x:v>Open</x:v>
      </x:c>
      <x:c r="L706" s="7"/>
    </x:row>
    <x:row r="707" ht="21" customHeight="1">
      <x:c r="A707" s="1" t="str">
        <x:f>Source!A701</x:f>
        <x:v>C0004705</x:v>
      </x:c>
      <x:c r="B707" s="1" t="str">
        <x:f>_xlfn.IFNA(VLOOKUP(Source!B701,Advertisers!$A$5:$B$34,2,FALSE),"Missing advertiser")</x:f>
        <x:v>Synthetic advertiser 30</x:v>
      </x:c>
      <x:c r="C707" s="1" t="n">
        <x:f>Source!C701</x:f>
        <x:v>30</x:v>
      </x:c>
      <x:c r="D707" s="8" t="n">
        <x:f>Source!D701/100</x:f>
        <x:v>209.62</x:v>
      </x:c>
      <x:c r="E707" s="8" t="n">
        <x:f>Source!E701/100</x:f>
        <x:v>419.24</x:v>
      </x:c>
      <x:c r="F707" s="8" t="n">
        <x:f>Source!F701/100</x:f>
        <x:v>0</x:v>
      </x:c>
      <x:c r="G707" s="8" t="n">
        <x:f>Source!G701/100</x:f>
        <x:v>419.24</x:v>
      </x:c>
      <x:c r="H707" s="8" t="n">
        <x:f>G707-D707</x:f>
        <x:v>209.62</x:v>
      </x:c>
      <x:c r="I707" s="1" t="str">
        <x:f>IF(H707&gt;0,"Overbilled","Shortfall")</x:f>
        <x:v>Overbilled</x:v>
      </x:c>
      <x:c r="J707" s="7"/>
      <x:c r="K707" s="7" t="str">
        <x:v>Open</x:v>
      </x:c>
      <x:c r="L707" s="7"/>
    </x:row>
    <x:row r="708" ht="21" customHeight="1">
      <x:c r="A708" s="1" t="str">
        <x:f>Source!A702</x:f>
        <x:v>C0005347</x:v>
      </x:c>
      <x:c r="B708" s="1" t="str">
        <x:f>_xlfn.IFNA(VLOOKUP(Source!B702,Advertisers!$A$5:$B$34,2,FALSE),"Missing advertiser")</x:f>
        <x:v>Synthetic advertiser 30</x:v>
      </x:c>
      <x:c r="C708" s="1" t="n">
        <x:f>Source!C702</x:f>
        <x:v>30</x:v>
      </x:c>
      <x:c r="D708" s="8" t="n">
        <x:f>Source!D702/100</x:f>
        <x:v>209.62</x:v>
      </x:c>
      <x:c r="E708" s="8" t="n">
        <x:f>Source!E702/100</x:f>
        <x:v>0</x:v>
      </x:c>
      <x:c r="F708" s="8" t="n">
        <x:f>Source!F702/100</x:f>
        <x:v>0</x:v>
      </x:c>
      <x:c r="G708" s="8" t="n">
        <x:f>Source!G702/100</x:f>
        <x:v>0</x:v>
      </x:c>
      <x:c r="H708" s="8" t="n">
        <x:f>G708-D708</x:f>
        <x:v>-209.62</x:v>
      </x:c>
      <x:c r="I708" s="1" t="str">
        <x:f>IF(H708&gt;0,"Overbilled","Shortfall")</x:f>
        <x:v>Shortfall</x:v>
      </x:c>
      <x:c r="J708" s="7"/>
      <x:c r="K708" s="7" t="str">
        <x:v>Open</x:v>
      </x:c>
      <x:c r="L708" s="7"/>
    </x:row>
    <x:row r="709" ht="21" customHeight="1">
      <x:c r="A709" s="1" t="str">
        <x:f>Source!A703</x:f>
        <x:v>C0008687</x:v>
      </x:c>
      <x:c r="B709" s="1" t="str">
        <x:f>_xlfn.IFNA(VLOOKUP(Source!B703,Advertisers!$A$5:$B$34,2,FALSE),"Missing advertiser")</x:f>
        <x:v>Synthetic advertiser 30</x:v>
      </x:c>
      <x:c r="C709" s="1" t="n">
        <x:f>Source!C703</x:f>
        <x:v>30</x:v>
      </x:c>
      <x:c r="D709" s="8" t="n">
        <x:f>Source!D703/100</x:f>
        <x:v>209.62</x:v>
      </x:c>
      <x:c r="E709" s="8" t="n">
        <x:f>Source!E703/100</x:f>
        <x:v>0</x:v>
      </x:c>
      <x:c r="F709" s="8" t="n">
        <x:f>Source!F703/100</x:f>
        <x:v>0</x:v>
      </x:c>
      <x:c r="G709" s="8" t="n">
        <x:f>Source!G703/100</x:f>
        <x:v>0</x:v>
      </x:c>
      <x:c r="H709" s="8" t="n">
        <x:f>G709-D709</x:f>
        <x:v>-209.62</x:v>
      </x:c>
      <x:c r="I709" s="1" t="str">
        <x:f>IF(H709&gt;0,"Overbilled","Shortfall")</x:f>
        <x:v>Shortfall</x:v>
      </x:c>
      <x:c r="J709" s="7"/>
      <x:c r="K709" s="7" t="str">
        <x:v>Open</x:v>
      </x:c>
      <x:c r="L709" s="7"/>
    </x:row>
    <x:row r="710" ht="21" customHeight="1">
      <x:c r="A710" s="1" t="str">
        <x:f>Source!A704</x:f>
        <x:v>C0014765</x:v>
      </x:c>
      <x:c r="B710" s="1" t="str">
        <x:f>_xlfn.IFNA(VLOOKUP(Source!B704,Advertisers!$A$5:$B$34,2,FALSE),"Missing advertiser")</x:f>
        <x:v>Synthetic advertiser 11</x:v>
      </x:c>
      <x:c r="C710" s="1" t="n">
        <x:f>Source!C704</x:f>
        <x:v>41</x:v>
      </x:c>
      <x:c r="D710" s="8" t="n">
        <x:f>Source!D704/100</x:f>
        <x:v>209.03</x:v>
      </x:c>
      <x:c r="E710" s="8" t="n">
        <x:f>Source!E704/100</x:f>
        <x:v>418.06</x:v>
      </x:c>
      <x:c r="F710" s="8" t="n">
        <x:f>Source!F704/100</x:f>
        <x:v>0</x:v>
      </x:c>
      <x:c r="G710" s="8" t="n">
        <x:f>Source!G704/100</x:f>
        <x:v>418.06</x:v>
      </x:c>
      <x:c r="H710" s="8" t="n">
        <x:f>G710-D710</x:f>
        <x:v>209.03</x:v>
      </x:c>
      <x:c r="I710" s="1" t="str">
        <x:f>IF(H710&gt;0,"Overbilled","Shortfall")</x:f>
        <x:v>Overbilled</x:v>
      </x:c>
      <x:c r="J710" s="7"/>
      <x:c r="K710" s="7" t="str">
        <x:v>Open</x:v>
      </x:c>
      <x:c r="L710" s="7"/>
    </x:row>
    <x:row r="711" ht="21" customHeight="1">
      <x:c r="A711" s="1" t="str">
        <x:f>Source!A705</x:f>
        <x:v>C0000122</x:v>
      </x:c>
      <x:c r="B711" s="1" t="str">
        <x:f>_xlfn.IFNA(VLOOKUP(Source!B705,Advertisers!$A$5:$B$34,2,FALSE),"Missing advertiser")</x:f>
        <x:v>Synthetic advertiser 11</x:v>
      </x:c>
      <x:c r="C711" s="1" t="n">
        <x:f>Source!C705</x:f>
        <x:v>41</x:v>
      </x:c>
      <x:c r="D711" s="8" t="n">
        <x:f>Source!D705/100</x:f>
        <x:v>209.03</x:v>
      </x:c>
      <x:c r="E711" s="8" t="n">
        <x:f>Source!E705/100</x:f>
        <x:v>0</x:v>
      </x:c>
      <x:c r="F711" s="8" t="n">
        <x:f>Source!F705/100</x:f>
        <x:v>0</x:v>
      </x:c>
      <x:c r="G711" s="8" t="n">
        <x:f>Source!G705/100</x:f>
        <x:v>0</x:v>
      </x:c>
      <x:c r="H711" s="8" t="n">
        <x:f>G711-D711</x:f>
        <x:v>-209.03</x:v>
      </x:c>
      <x:c r="I711" s="1" t="str">
        <x:f>IF(H711&gt;0,"Overbilled","Shortfall")</x:f>
        <x:v>Shortfall</x:v>
      </x:c>
      <x:c r="J711" s="7"/>
      <x:c r="K711" s="7" t="str">
        <x:v>Open</x:v>
      </x:c>
      <x:c r="L711" s="7"/>
    </x:row>
    <x:row r="712" ht="21" customHeight="1">
      <x:c r="A712" s="1" t="str">
        <x:f>Source!A706</x:f>
        <x:v>C0016382</x:v>
      </x:c>
      <x:c r="B712" s="1" t="str">
        <x:f>_xlfn.IFNA(VLOOKUP(Source!B706,Advertisers!$A$5:$B$34,2,FALSE),"Missing advertiser")</x:f>
        <x:v>Synthetic advertiser 11</x:v>
      </x:c>
      <x:c r="C712" s="1" t="n">
        <x:f>Source!C706</x:f>
        <x:v>41</x:v>
      </x:c>
      <x:c r="D712" s="8" t="n">
        <x:f>Source!D706/100</x:f>
        <x:v>209.03</x:v>
      </x:c>
      <x:c r="E712" s="8" t="n">
        <x:f>Source!E706/100</x:f>
        <x:v>418.06</x:v>
      </x:c>
      <x:c r="F712" s="8" t="n">
        <x:f>Source!F706/100</x:f>
        <x:v>0</x:v>
      </x:c>
      <x:c r="G712" s="8" t="n">
        <x:f>Source!G706/100</x:f>
        <x:v>418.06</x:v>
      </x:c>
      <x:c r="H712" s="8" t="n">
        <x:f>G712-D712</x:f>
        <x:v>209.03</x:v>
      </x:c>
      <x:c r="I712" s="1" t="str">
        <x:f>IF(H712&gt;0,"Overbilled","Shortfall")</x:f>
        <x:v>Overbilled</x:v>
      </x:c>
      <x:c r="J712" s="7"/>
      <x:c r="K712" s="7" t="str">
        <x:v>Open</x:v>
      </x:c>
      <x:c r="L712" s="7"/>
    </x:row>
    <x:row r="713" ht="21" customHeight="1">
      <x:c r="A713" s="1" t="str">
        <x:f>Source!A707</x:f>
        <x:v>C0013992</x:v>
      </x:c>
      <x:c r="B713" s="1" t="str">
        <x:f>_xlfn.IFNA(VLOOKUP(Source!B707,Advertisers!$A$5:$B$34,2,FALSE),"Missing advertiser")</x:f>
        <x:v>Synthetic advertiser 11</x:v>
      </x:c>
      <x:c r="C713" s="1" t="n">
        <x:f>Source!C707</x:f>
        <x:v>41</x:v>
      </x:c>
      <x:c r="D713" s="8" t="n">
        <x:f>Source!D707/100</x:f>
        <x:v>0</x:v>
      </x:c>
      <x:c r="E713" s="8" t="n">
        <x:f>Source!E707/100</x:f>
        <x:v>209.03</x:v>
      </x:c>
      <x:c r="F713" s="8" t="n">
        <x:f>Source!F707/100</x:f>
        <x:v>0</x:v>
      </x:c>
      <x:c r="G713" s="8" t="n">
        <x:f>Source!G707/100</x:f>
        <x:v>209.03</x:v>
      </x:c>
      <x:c r="H713" s="8" t="n">
        <x:f>G713-D713</x:f>
        <x:v>209.03</x:v>
      </x:c>
      <x:c r="I713" s="1" t="str">
        <x:f>IF(H713&gt;0,"Overbilled","Shortfall")</x:f>
        <x:v>Overbilled</x:v>
      </x:c>
      <x:c r="J713" s="7"/>
      <x:c r="K713" s="7" t="str">
        <x:v>Open</x:v>
      </x:c>
      <x:c r="L713" s="7"/>
    </x:row>
    <x:row r="714" ht="21" customHeight="1">
      <x:c r="A714" s="1" t="str">
        <x:f>Source!A708</x:f>
        <x:v>C0006755</x:v>
      </x:c>
      <x:c r="B714" s="1" t="str">
        <x:f>_xlfn.IFNA(VLOOKUP(Source!B708,Advertisers!$A$5:$B$34,2,FALSE),"Missing advertiser")</x:f>
        <x:v>Synthetic advertiser 11</x:v>
      </x:c>
      <x:c r="C714" s="1" t="n">
        <x:f>Source!C708</x:f>
        <x:v>41</x:v>
      </x:c>
      <x:c r="D714" s="8" t="n">
        <x:f>Source!D708/100</x:f>
        <x:v>209.03</x:v>
      </x:c>
      <x:c r="E714" s="8" t="n">
        <x:f>Source!E708/100</x:f>
        <x:v>418.06</x:v>
      </x:c>
      <x:c r="F714" s="8" t="n">
        <x:f>Source!F708/100</x:f>
        <x:v>0</x:v>
      </x:c>
      <x:c r="G714" s="8" t="n">
        <x:f>Source!G708/100</x:f>
        <x:v>418.06</x:v>
      </x:c>
      <x:c r="H714" s="8" t="n">
        <x:f>G714-D714</x:f>
        <x:v>209.03</x:v>
      </x:c>
      <x:c r="I714" s="1" t="str">
        <x:f>IF(H714&gt;0,"Overbilled","Shortfall")</x:f>
        <x:v>Overbilled</x:v>
      </x:c>
      <x:c r="J714" s="7"/>
      <x:c r="K714" s="7" t="str">
        <x:v>Open</x:v>
      </x:c>
      <x:c r="L714" s="7"/>
    </x:row>
    <x:row r="715" ht="21" customHeight="1">
      <x:c r="A715" s="1" t="str">
        <x:f>Source!A709</x:f>
        <x:v>C0001571</x:v>
      </x:c>
      <x:c r="B715" s="1" t="str">
        <x:f>_xlfn.IFNA(VLOOKUP(Source!B709,Advertisers!$A$5:$B$34,2,FALSE),"Missing advertiser")</x:f>
        <x:v>Synthetic advertiser 11</x:v>
      </x:c>
      <x:c r="C715" s="1" t="n">
        <x:f>Source!C709</x:f>
        <x:v>41</x:v>
      </x:c>
      <x:c r="D715" s="8" t="n">
        <x:f>Source!D709/100</x:f>
        <x:v>209.03</x:v>
      </x:c>
      <x:c r="E715" s="8" t="n">
        <x:f>Source!E709/100</x:f>
        <x:v>0</x:v>
      </x:c>
      <x:c r="F715" s="8" t="n">
        <x:f>Source!F709/100</x:f>
        <x:v>0</x:v>
      </x:c>
      <x:c r="G715" s="8" t="n">
        <x:f>Source!G709/100</x:f>
        <x:v>0</x:v>
      </x:c>
      <x:c r="H715" s="8" t="n">
        <x:f>G715-D715</x:f>
        <x:v>-209.03</x:v>
      </x:c>
      <x:c r="I715" s="1" t="str">
        <x:f>IF(H715&gt;0,"Overbilled","Shortfall")</x:f>
        <x:v>Shortfall</x:v>
      </x:c>
      <x:c r="J715" s="7"/>
      <x:c r="K715" s="7" t="str">
        <x:v>Open</x:v>
      </x:c>
      <x:c r="L715" s="7"/>
    </x:row>
    <x:row r="716" ht="21" customHeight="1">
      <x:c r="A716" s="1" t="str">
        <x:f>Source!A710</x:f>
        <x:v>C0005212</x:v>
      </x:c>
      <x:c r="B716" s="1" t="str">
        <x:f>_xlfn.IFNA(VLOOKUP(Source!B710,Advertisers!$A$5:$B$34,2,FALSE),"Missing advertiser")</x:f>
        <x:v>Synthetic advertiser 11</x:v>
      </x:c>
      <x:c r="C716" s="1" t="n">
        <x:f>Source!C710</x:f>
        <x:v>41</x:v>
      </x:c>
      <x:c r="D716" s="8" t="n">
        <x:f>Source!D710/100</x:f>
        <x:v>209.03</x:v>
      </x:c>
      <x:c r="E716" s="8" t="n">
        <x:f>Source!E710/100</x:f>
        <x:v>0</x:v>
      </x:c>
      <x:c r="F716" s="8" t="n">
        <x:f>Source!F710/100</x:f>
        <x:v>0</x:v>
      </x:c>
      <x:c r="G716" s="8" t="n">
        <x:f>Source!G710/100</x:f>
        <x:v>0</x:v>
      </x:c>
      <x:c r="H716" s="8" t="n">
        <x:f>G716-D716</x:f>
        <x:v>-209.03</x:v>
      </x:c>
      <x:c r="I716" s="1" t="str">
        <x:f>IF(H716&gt;0,"Overbilled","Shortfall")</x:f>
        <x:v>Shortfall</x:v>
      </x:c>
      <x:c r="J716" s="7"/>
      <x:c r="K716" s="7" t="str">
        <x:v>Open</x:v>
      </x:c>
      <x:c r="L716" s="7"/>
    </x:row>
    <x:row r="717" ht="21" customHeight="1">
      <x:c r="A717" s="1" t="str">
        <x:f>Source!A711</x:f>
        <x:v>C0012603</x:v>
      </x:c>
      <x:c r="B717" s="1" t="str">
        <x:f>_xlfn.IFNA(VLOOKUP(Source!B711,Advertisers!$A$5:$B$34,2,FALSE),"Missing advertiser")</x:f>
        <x:v>Synthetic advertiser 11</x:v>
      </x:c>
      <x:c r="C717" s="1" t="n">
        <x:f>Source!C711</x:f>
        <x:v>41</x:v>
      </x:c>
      <x:c r="D717" s="8" t="n">
        <x:f>Source!D711/100</x:f>
        <x:v>209.03</x:v>
      </x:c>
      <x:c r="E717" s="8" t="n">
        <x:f>Source!E711/100</x:f>
        <x:v>418.06</x:v>
      </x:c>
      <x:c r="F717" s="8" t="n">
        <x:f>Source!F711/100</x:f>
        <x:v>0</x:v>
      </x:c>
      <x:c r="G717" s="8" t="n">
        <x:f>Source!G711/100</x:f>
        <x:v>418.06</x:v>
      </x:c>
      <x:c r="H717" s="8" t="n">
        <x:f>G717-D717</x:f>
        <x:v>209.03</x:v>
      </x:c>
      <x:c r="I717" s="1" t="str">
        <x:f>IF(H717&gt;0,"Overbilled","Shortfall")</x:f>
        <x:v>Overbilled</x:v>
      </x:c>
      <x:c r="J717" s="7"/>
      <x:c r="K717" s="7" t="str">
        <x:v>Open</x:v>
      </x:c>
      <x:c r="L717" s="7"/>
    </x:row>
    <x:row r="718" ht="21" customHeight="1">
      <x:c r="A718" s="1" t="str">
        <x:f>Source!A712</x:f>
        <x:v>C0014444</x:v>
      </x:c>
      <x:c r="B718" s="1" t="str">
        <x:f>_xlfn.IFNA(VLOOKUP(Source!B712,Advertisers!$A$5:$B$34,2,FALSE),"Missing advertiser")</x:f>
        <x:v>Synthetic advertiser 28</x:v>
      </x:c>
      <x:c r="C718" s="1" t="n">
        <x:f>Source!C712</x:f>
        <x:v>28</x:v>
      </x:c>
      <x:c r="D718" s="8" t="n">
        <x:f>Source!D712/100</x:f>
        <x:v>206.96</x:v>
      </x:c>
      <x:c r="E718" s="8" t="n">
        <x:f>Source!E712/100</x:f>
        <x:v>413.92</x:v>
      </x:c>
      <x:c r="F718" s="8" t="n">
        <x:f>Source!F712/100</x:f>
        <x:v>0</x:v>
      </x:c>
      <x:c r="G718" s="8" t="n">
        <x:f>Source!G712/100</x:f>
        <x:v>413.92</x:v>
      </x:c>
      <x:c r="H718" s="8" t="n">
        <x:f>G718-D718</x:f>
        <x:v>206.96</x:v>
      </x:c>
      <x:c r="I718" s="1" t="str">
        <x:f>IF(H718&gt;0,"Overbilled","Shortfall")</x:f>
        <x:v>Overbilled</x:v>
      </x:c>
      <x:c r="J718" s="7"/>
      <x:c r="K718" s="7" t="str">
        <x:v>Open</x:v>
      </x:c>
      <x:c r="L718" s="7"/>
    </x:row>
    <x:row r="719" ht="21" customHeight="1">
      <x:c r="A719" s="1" t="str">
        <x:f>Source!A713</x:f>
        <x:v>C0002231</x:v>
      </x:c>
      <x:c r="B719" s="1" t="str">
        <x:f>_xlfn.IFNA(VLOOKUP(Source!B713,Advertisers!$A$5:$B$34,2,FALSE),"Missing advertiser")</x:f>
        <x:v>Synthetic advertiser 28</x:v>
      </x:c>
      <x:c r="C719" s="1" t="n">
        <x:f>Source!C713</x:f>
        <x:v>28</x:v>
      </x:c>
      <x:c r="D719" s="8" t="n">
        <x:f>Source!D713/100</x:f>
        <x:v>206.96</x:v>
      </x:c>
      <x:c r="E719" s="8" t="n">
        <x:f>Source!E713/100</x:f>
        <x:v>413.92</x:v>
      </x:c>
      <x:c r="F719" s="8" t="n">
        <x:f>Source!F713/100</x:f>
        <x:v>0</x:v>
      </x:c>
      <x:c r="G719" s="8" t="n">
        <x:f>Source!G713/100</x:f>
        <x:v>413.92</x:v>
      </x:c>
      <x:c r="H719" s="8" t="n">
        <x:f>G719-D719</x:f>
        <x:v>206.96</x:v>
      </x:c>
      <x:c r="I719" s="1" t="str">
        <x:f>IF(H719&gt;0,"Overbilled","Shortfall")</x:f>
        <x:v>Overbilled</x:v>
      </x:c>
      <x:c r="J719" s="7"/>
      <x:c r="K719" s="7" t="str">
        <x:v>Open</x:v>
      </x:c>
      <x:c r="L719" s="7"/>
    </x:row>
    <x:row r="720" ht="21" customHeight="1">
      <x:c r="A720" s="1" t="str">
        <x:f>Source!A714</x:f>
        <x:v>C0012941</x:v>
      </x:c>
      <x:c r="B720" s="1" t="str">
        <x:f>_xlfn.IFNA(VLOOKUP(Source!B714,Advertisers!$A$5:$B$34,2,FALSE),"Missing advertiser")</x:f>
        <x:v>Synthetic advertiser 28</x:v>
      </x:c>
      <x:c r="C720" s="1" t="n">
        <x:f>Source!C714</x:f>
        <x:v>28</x:v>
      </x:c>
      <x:c r="D720" s="8" t="n">
        <x:f>Source!D714/100</x:f>
        <x:v>206.96</x:v>
      </x:c>
      <x:c r="E720" s="8" t="n">
        <x:f>Source!E714/100</x:f>
        <x:v>413.92</x:v>
      </x:c>
      <x:c r="F720" s="8" t="n">
        <x:f>Source!F714/100</x:f>
        <x:v>0</x:v>
      </x:c>
      <x:c r="G720" s="8" t="n">
        <x:f>Source!G714/100</x:f>
        <x:v>413.92</x:v>
      </x:c>
      <x:c r="H720" s="8" t="n">
        <x:f>G720-D720</x:f>
        <x:v>206.96</x:v>
      </x:c>
      <x:c r="I720" s="1" t="str">
        <x:f>IF(H720&gt;0,"Overbilled","Shortfall")</x:f>
        <x:v>Overbilled</x:v>
      </x:c>
      <x:c r="J720" s="7"/>
      <x:c r="K720" s="7" t="str">
        <x:v>Open</x:v>
      </x:c>
      <x:c r="L720" s="7"/>
    </x:row>
    <x:row r="721" ht="21" customHeight="1">
      <x:c r="A721" s="1" t="str">
        <x:f>Source!A715</x:f>
        <x:v>C0005313</x:v>
      </x:c>
      <x:c r="B721" s="1" t="str">
        <x:f>_xlfn.IFNA(VLOOKUP(Source!B715,Advertisers!$A$5:$B$34,2,FALSE),"Missing advertiser")</x:f>
        <x:v>Synthetic advertiser 28</x:v>
      </x:c>
      <x:c r="C721" s="1" t="n">
        <x:f>Source!C715</x:f>
        <x:v>28</x:v>
      </x:c>
      <x:c r="D721" s="8" t="n">
        <x:f>Source!D715/100</x:f>
        <x:v>206.96</x:v>
      </x:c>
      <x:c r="E721" s="8" t="n">
        <x:f>Source!E715/100</x:f>
        <x:v>0</x:v>
      </x:c>
      <x:c r="F721" s="8" t="n">
        <x:f>Source!F715/100</x:f>
        <x:v>0</x:v>
      </x:c>
      <x:c r="G721" s="8" t="n">
        <x:f>Source!G715/100</x:f>
        <x:v>0</x:v>
      </x:c>
      <x:c r="H721" s="8" t="n">
        <x:f>G721-D721</x:f>
        <x:v>-206.96</x:v>
      </x:c>
      <x:c r="I721" s="1" t="str">
        <x:f>IF(H721&gt;0,"Overbilled","Shortfall")</x:f>
        <x:v>Shortfall</x:v>
      </x:c>
      <x:c r="J721" s="7"/>
      <x:c r="K721" s="7" t="str">
        <x:v>Open</x:v>
      </x:c>
      <x:c r="L721" s="7"/>
    </x:row>
    <x:row r="722" ht="21" customHeight="1">
      <x:c r="A722" s="1" t="str">
        <x:f>Source!A716</x:f>
        <x:v>C0000495</x:v>
      </x:c>
      <x:c r="B722" s="1" t="str">
        <x:f>_xlfn.IFNA(VLOOKUP(Source!B716,Advertisers!$A$5:$B$34,2,FALSE),"Missing advertiser")</x:f>
        <x:v>Synthetic advertiser 28</x:v>
      </x:c>
      <x:c r="C722" s="1" t="n">
        <x:f>Source!C716</x:f>
        <x:v>28</x:v>
      </x:c>
      <x:c r="D722" s="8" t="n">
        <x:f>Source!D716/100</x:f>
        <x:v>206.96</x:v>
      </x:c>
      <x:c r="E722" s="8" t="n">
        <x:f>Source!E716/100</x:f>
        <x:v>413.92</x:v>
      </x:c>
      <x:c r="F722" s="8" t="n">
        <x:f>Source!F716/100</x:f>
        <x:v>0</x:v>
      </x:c>
      <x:c r="G722" s="8" t="n">
        <x:f>Source!G716/100</x:f>
        <x:v>413.92</x:v>
      </x:c>
      <x:c r="H722" s="8" t="n">
        <x:f>G722-D722</x:f>
        <x:v>206.96</x:v>
      </x:c>
      <x:c r="I722" s="1" t="str">
        <x:f>IF(H722&gt;0,"Overbilled","Shortfall")</x:f>
        <x:v>Overbilled</x:v>
      </x:c>
      <x:c r="J722" s="7"/>
      <x:c r="K722" s="7" t="str">
        <x:v>Open</x:v>
      </x:c>
      <x:c r="L722" s="7"/>
    </x:row>
    <x:row r="723" ht="21" customHeight="1">
      <x:c r="A723" s="1" t="str">
        <x:f>Source!A717</x:f>
        <x:v>C0012871</x:v>
      </x:c>
      <x:c r="B723" s="1" t="str">
        <x:f>_xlfn.IFNA(VLOOKUP(Source!B717,Advertisers!$A$5:$B$34,2,FALSE),"Missing advertiser")</x:f>
        <x:v>Synthetic advertiser 28</x:v>
      </x:c>
      <x:c r="C723" s="1" t="n">
        <x:f>Source!C717</x:f>
        <x:v>28</x:v>
      </x:c>
      <x:c r="D723" s="8" t="n">
        <x:f>Source!D717/100</x:f>
        <x:v>206.96</x:v>
      </x:c>
      <x:c r="E723" s="8" t="n">
        <x:f>Source!E717/100</x:f>
        <x:v>0</x:v>
      </x:c>
      <x:c r="F723" s="8" t="n">
        <x:f>Source!F717/100</x:f>
        <x:v>0</x:v>
      </x:c>
      <x:c r="G723" s="8" t="n">
        <x:f>Source!G717/100</x:f>
        <x:v>0</x:v>
      </x:c>
      <x:c r="H723" s="8" t="n">
        <x:f>G723-D723</x:f>
        <x:v>-206.96</x:v>
      </x:c>
      <x:c r="I723" s="1" t="str">
        <x:f>IF(H723&gt;0,"Overbilled","Shortfall")</x:f>
        <x:v>Shortfall</x:v>
      </x:c>
      <x:c r="J723" s="7"/>
      <x:c r="K723" s="7" t="str">
        <x:v>Open</x:v>
      </x:c>
      <x:c r="L723" s="7"/>
    </x:row>
    <x:row r="724" ht="21" customHeight="1">
      <x:c r="A724" s="1" t="str">
        <x:f>Source!A718</x:f>
        <x:v>C0014318</x:v>
      </x:c>
      <x:c r="B724" s="1" t="str">
        <x:f>_xlfn.IFNA(VLOOKUP(Source!B718,Advertisers!$A$5:$B$34,2,FALSE),"Missing advertiser")</x:f>
        <x:v>Synthetic advertiser 28</x:v>
      </x:c>
      <x:c r="C724" s="1" t="n">
        <x:f>Source!C718</x:f>
        <x:v>28</x:v>
      </x:c>
      <x:c r="D724" s="8" t="n">
        <x:f>Source!D718/100</x:f>
        <x:v>206.96</x:v>
      </x:c>
      <x:c r="E724" s="8" t="n">
        <x:f>Source!E718/100</x:f>
        <x:v>413.92</x:v>
      </x:c>
      <x:c r="F724" s="8" t="n">
        <x:f>Source!F718/100</x:f>
        <x:v>0</x:v>
      </x:c>
      <x:c r="G724" s="8" t="n">
        <x:f>Source!G718/100</x:f>
        <x:v>413.92</x:v>
      </x:c>
      <x:c r="H724" s="8" t="n">
        <x:f>G724-D724</x:f>
        <x:v>206.96</x:v>
      </x:c>
      <x:c r="I724" s="1" t="str">
        <x:f>IF(H724&gt;0,"Overbilled","Shortfall")</x:f>
        <x:v>Overbilled</x:v>
      </x:c>
      <x:c r="J724" s="7"/>
      <x:c r="K724" s="7" t="str">
        <x:v>Open</x:v>
      </x:c>
      <x:c r="L724" s="7"/>
    </x:row>
    <x:row r="725" ht="21" customHeight="1">
      <x:c r="A725" s="1" t="str">
        <x:f>Source!A719</x:f>
        <x:v>C0015272</x:v>
      </x:c>
      <x:c r="B725" s="1" t="str">
        <x:f>_xlfn.IFNA(VLOOKUP(Source!B719,Advertisers!$A$5:$B$34,2,FALSE),"Missing advertiser")</x:f>
        <x:v>Synthetic advertiser 28</x:v>
      </x:c>
      <x:c r="C725" s="1" t="n">
        <x:f>Source!C719</x:f>
        <x:v>28</x:v>
      </x:c>
      <x:c r="D725" s="8" t="n">
        <x:f>Source!D719/100</x:f>
        <x:v>206.96</x:v>
      </x:c>
      <x:c r="E725" s="8" t="n">
        <x:f>Source!E719/100</x:f>
        <x:v>413.92</x:v>
      </x:c>
      <x:c r="F725" s="8" t="n">
        <x:f>Source!F719/100</x:f>
        <x:v>0</x:v>
      </x:c>
      <x:c r="G725" s="8" t="n">
        <x:f>Source!G719/100</x:f>
        <x:v>413.92</x:v>
      </x:c>
      <x:c r="H725" s="8" t="n">
        <x:f>G725-D725</x:f>
        <x:v>206.96</x:v>
      </x:c>
      <x:c r="I725" s="1" t="str">
        <x:f>IF(H725&gt;0,"Overbilled","Shortfall")</x:f>
        <x:v>Overbilled</x:v>
      </x:c>
      <x:c r="J725" s="7"/>
      <x:c r="K725" s="7" t="str">
        <x:v>Open</x:v>
      </x:c>
      <x:c r="L725" s="7"/>
    </x:row>
    <x:row r="726" ht="21" customHeight="1">
      <x:c r="A726" s="1" t="str">
        <x:f>Source!A720</x:f>
        <x:v>C0004793</x:v>
      </x:c>
      <x:c r="B726" s="1" t="str">
        <x:f>_xlfn.IFNA(VLOOKUP(Source!B720,Advertisers!$A$5:$B$34,2,FALSE),"Missing advertiser")</x:f>
        <x:v>Synthetic advertiser 24</x:v>
      </x:c>
      <x:c r="C726" s="1" t="n">
        <x:f>Source!C720</x:f>
        <x:v>54</x:v>
      </x:c>
      <x:c r="D726" s="8" t="n">
        <x:f>Source!D720/100</x:f>
        <x:v>206.82</x:v>
      </x:c>
      <x:c r="E726" s="8" t="n">
        <x:f>Source!E720/100</x:f>
        <x:v>0</x:v>
      </x:c>
      <x:c r="F726" s="8" t="n">
        <x:f>Source!F720/100</x:f>
        <x:v>0</x:v>
      </x:c>
      <x:c r="G726" s="8" t="n">
        <x:f>Source!G720/100</x:f>
        <x:v>0</x:v>
      </x:c>
      <x:c r="H726" s="8" t="n">
        <x:f>G726-D726</x:f>
        <x:v>-206.82</x:v>
      </x:c>
      <x:c r="I726" s="1" t="str">
        <x:f>IF(H726&gt;0,"Overbilled","Shortfall")</x:f>
        <x:v>Shortfall</x:v>
      </x:c>
      <x:c r="J726" s="7"/>
      <x:c r="K726" s="7" t="str">
        <x:v>Open</x:v>
      </x:c>
      <x:c r="L726" s="7"/>
    </x:row>
    <x:row r="727" ht="21" customHeight="1">
      <x:c r="A727" s="1" t="str">
        <x:f>Source!A721</x:f>
        <x:v>C0006746</x:v>
      </x:c>
      <x:c r="B727" s="1" t="str">
        <x:f>_xlfn.IFNA(VLOOKUP(Source!B721,Advertisers!$A$5:$B$34,2,FALSE),"Missing advertiser")</x:f>
        <x:v>Synthetic advertiser 24</x:v>
      </x:c>
      <x:c r="C727" s="1" t="n">
        <x:f>Source!C721</x:f>
        <x:v>54</x:v>
      </x:c>
      <x:c r="D727" s="8" t="n">
        <x:f>Source!D721/100</x:f>
        <x:v>206.82</x:v>
      </x:c>
      <x:c r="E727" s="8" t="n">
        <x:f>Source!E721/100</x:f>
        <x:v>0</x:v>
      </x:c>
      <x:c r="F727" s="8" t="n">
        <x:f>Source!F721/100</x:f>
        <x:v>0</x:v>
      </x:c>
      <x:c r="G727" s="8" t="n">
        <x:f>Source!G721/100</x:f>
        <x:v>0</x:v>
      </x:c>
      <x:c r="H727" s="8" t="n">
        <x:f>G727-D727</x:f>
        <x:v>-206.82</x:v>
      </x:c>
      <x:c r="I727" s="1" t="str">
        <x:f>IF(H727&gt;0,"Overbilled","Shortfall")</x:f>
        <x:v>Shortfall</x:v>
      </x:c>
      <x:c r="J727" s="7"/>
      <x:c r="K727" s="7" t="str">
        <x:v>Open</x:v>
      </x:c>
      <x:c r="L727" s="7"/>
    </x:row>
    <x:row r="728" ht="21" customHeight="1">
      <x:c r="A728" s="1" t="str">
        <x:f>Source!A722</x:f>
        <x:v>C0002547</x:v>
      </x:c>
      <x:c r="B728" s="1" t="str">
        <x:f>_xlfn.IFNA(VLOOKUP(Source!B722,Advertisers!$A$5:$B$34,2,FALSE),"Missing advertiser")</x:f>
        <x:v>Synthetic advertiser 24</x:v>
      </x:c>
      <x:c r="C728" s="1" t="n">
        <x:f>Source!C722</x:f>
        <x:v>54</x:v>
      </x:c>
      <x:c r="D728" s="8" t="n">
        <x:f>Source!D722/100</x:f>
        <x:v>206.82</x:v>
      </x:c>
      <x:c r="E728" s="8" t="n">
        <x:f>Source!E722/100</x:f>
        <x:v>413.64</x:v>
      </x:c>
      <x:c r="F728" s="8" t="n">
        <x:f>Source!F722/100</x:f>
        <x:v>0</x:v>
      </x:c>
      <x:c r="G728" s="8" t="n">
        <x:f>Source!G722/100</x:f>
        <x:v>413.64</x:v>
      </x:c>
      <x:c r="H728" s="8" t="n">
        <x:f>G728-D728</x:f>
        <x:v>206.82</x:v>
      </x:c>
      <x:c r="I728" s="1" t="str">
        <x:f>IF(H728&gt;0,"Overbilled","Shortfall")</x:f>
        <x:v>Overbilled</x:v>
      </x:c>
      <x:c r="J728" s="7"/>
      <x:c r="K728" s="7" t="str">
        <x:v>Open</x:v>
      </x:c>
      <x:c r="L728" s="7"/>
    </x:row>
    <x:row r="729" ht="21" customHeight="1">
      <x:c r="A729" s="1" t="str">
        <x:f>Source!A723</x:f>
        <x:v>C0001055</x:v>
      </x:c>
      <x:c r="B729" s="1" t="str">
        <x:f>_xlfn.IFNA(VLOOKUP(Source!B723,Advertisers!$A$5:$B$34,2,FALSE),"Missing advertiser")</x:f>
        <x:v>Synthetic advertiser 24</x:v>
      </x:c>
      <x:c r="C729" s="1" t="n">
        <x:f>Source!C723</x:f>
        <x:v>54</x:v>
      </x:c>
      <x:c r="D729" s="8" t="n">
        <x:f>Source!D723/100</x:f>
        <x:v>206.82</x:v>
      </x:c>
      <x:c r="E729" s="8" t="n">
        <x:f>Source!E723/100</x:f>
        <x:v>413.64</x:v>
      </x:c>
      <x:c r="F729" s="8" t="n">
        <x:f>Source!F723/100</x:f>
        <x:v>0</x:v>
      </x:c>
      <x:c r="G729" s="8" t="n">
        <x:f>Source!G723/100</x:f>
        <x:v>413.64</x:v>
      </x:c>
      <x:c r="H729" s="8" t="n">
        <x:f>G729-D729</x:f>
        <x:v>206.82</x:v>
      </x:c>
      <x:c r="I729" s="1" t="str">
        <x:f>IF(H729&gt;0,"Overbilled","Shortfall")</x:f>
        <x:v>Overbilled</x:v>
      </x:c>
      <x:c r="J729" s="7"/>
      <x:c r="K729" s="7" t="str">
        <x:v>Open</x:v>
      </x:c>
      <x:c r="L729" s="7"/>
    </x:row>
    <x:row r="730" ht="21" customHeight="1">
      <x:c r="A730" s="1" t="str">
        <x:f>Source!A724</x:f>
        <x:v>C0011364</x:v>
      </x:c>
      <x:c r="B730" s="1" t="str">
        <x:f>_xlfn.IFNA(VLOOKUP(Source!B724,Advertisers!$A$5:$B$34,2,FALSE),"Missing advertiser")</x:f>
        <x:v>Synthetic advertiser 24</x:v>
      </x:c>
      <x:c r="C730" s="1" t="n">
        <x:f>Source!C724</x:f>
        <x:v>54</x:v>
      </x:c>
      <x:c r="D730" s="8" t="n">
        <x:f>Source!D724/100</x:f>
        <x:v>206.82</x:v>
      </x:c>
      <x:c r="E730" s="8" t="n">
        <x:f>Source!E724/100</x:f>
        <x:v>413.64</x:v>
      </x:c>
      <x:c r="F730" s="8" t="n">
        <x:f>Source!F724/100</x:f>
        <x:v>0</x:v>
      </x:c>
      <x:c r="G730" s="8" t="n">
        <x:f>Source!G724/100</x:f>
        <x:v>413.64</x:v>
      </x:c>
      <x:c r="H730" s="8" t="n">
        <x:f>G730-D730</x:f>
        <x:v>206.82</x:v>
      </x:c>
      <x:c r="I730" s="1" t="str">
        <x:f>IF(H730&gt;0,"Overbilled","Shortfall")</x:f>
        <x:v>Overbilled</x:v>
      </x:c>
      <x:c r="J730" s="7"/>
      <x:c r="K730" s="7" t="str">
        <x:v>Open</x:v>
      </x:c>
      <x:c r="L730" s="7"/>
    </x:row>
    <x:row r="731" ht="21" customHeight="1">
      <x:c r="A731" s="1" t="str">
        <x:f>Source!A725</x:f>
        <x:v>C0008752</x:v>
      </x:c>
      <x:c r="B731" s="1" t="str">
        <x:f>_xlfn.IFNA(VLOOKUP(Source!B725,Advertisers!$A$5:$B$34,2,FALSE),"Missing advertiser")</x:f>
        <x:v>Synthetic advertiser 24</x:v>
      </x:c>
      <x:c r="C731" s="1" t="n">
        <x:f>Source!C725</x:f>
        <x:v>54</x:v>
      </x:c>
      <x:c r="D731" s="8" t="n">
        <x:f>Source!D725/100</x:f>
        <x:v>0</x:v>
      </x:c>
      <x:c r="E731" s="8" t="n">
        <x:f>Source!E725/100</x:f>
        <x:v>206.82</x:v>
      </x:c>
      <x:c r="F731" s="8" t="n">
        <x:f>Source!F725/100</x:f>
        <x:v>0</x:v>
      </x:c>
      <x:c r="G731" s="8" t="n">
        <x:f>Source!G725/100</x:f>
        <x:v>206.82</x:v>
      </x:c>
      <x:c r="H731" s="8" t="n">
        <x:f>G731-D731</x:f>
        <x:v>206.82</x:v>
      </x:c>
      <x:c r="I731" s="1" t="str">
        <x:f>IF(H731&gt;0,"Overbilled","Shortfall")</x:f>
        <x:v>Overbilled</x:v>
      </x:c>
      <x:c r="J731" s="7"/>
      <x:c r="K731" s="7" t="str">
        <x:v>Open</x:v>
      </x:c>
      <x:c r="L731" s="7"/>
    </x:row>
    <x:row r="732" ht="21" customHeight="1">
      <x:c r="A732" s="1" t="str">
        <x:f>Source!A726</x:f>
        <x:v>C0011760</x:v>
      </x:c>
      <x:c r="B732" s="1" t="str">
        <x:f>_xlfn.IFNA(VLOOKUP(Source!B726,Advertisers!$A$5:$B$34,2,FALSE),"Missing advertiser")</x:f>
        <x:v>Synthetic advertiser 24</x:v>
      </x:c>
      <x:c r="C732" s="1" t="n">
        <x:f>Source!C726</x:f>
        <x:v>54</x:v>
      </x:c>
      <x:c r="D732" s="8" t="n">
        <x:f>Source!D726/100</x:f>
        <x:v>206.82</x:v>
      </x:c>
      <x:c r="E732" s="8" t="n">
        <x:f>Source!E726/100</x:f>
        <x:v>413.64</x:v>
      </x:c>
      <x:c r="F732" s="8" t="n">
        <x:f>Source!F726/100</x:f>
        <x:v>0</x:v>
      </x:c>
      <x:c r="G732" s="8" t="n">
        <x:f>Source!G726/100</x:f>
        <x:v>413.64</x:v>
      </x:c>
      <x:c r="H732" s="8" t="n">
        <x:f>G732-D732</x:f>
        <x:v>206.82</x:v>
      </x:c>
      <x:c r="I732" s="1" t="str">
        <x:f>IF(H732&gt;0,"Overbilled","Shortfall")</x:f>
        <x:v>Overbilled</x:v>
      </x:c>
      <x:c r="J732" s="7"/>
      <x:c r="K732" s="7" t="str">
        <x:v>Open</x:v>
      </x:c>
      <x:c r="L732" s="7"/>
    </x:row>
    <x:row r="733" ht="21" customHeight="1">
      <x:c r="A733" s="1" t="str">
        <x:f>Source!A727</x:f>
        <x:v>C0015791</x:v>
      </x:c>
      <x:c r="B733" s="1" t="str">
        <x:f>_xlfn.IFNA(VLOOKUP(Source!B727,Advertisers!$A$5:$B$34,2,FALSE),"Missing advertiser")</x:f>
        <x:v>Synthetic advertiser 10</x:v>
      </x:c>
      <x:c r="C733" s="1" t="n">
        <x:f>Source!C727</x:f>
        <x:v>10</x:v>
      </x:c>
      <x:c r="D733" s="8" t="n">
        <x:f>Source!D727/100</x:f>
        <x:v>206.78</x:v>
      </x:c>
      <x:c r="E733" s="8" t="n">
        <x:f>Source!E727/100</x:f>
        <x:v>413.56</x:v>
      </x:c>
      <x:c r="F733" s="8" t="n">
        <x:f>Source!F727/100</x:f>
        <x:v>0</x:v>
      </x:c>
      <x:c r="G733" s="8" t="n">
        <x:f>Source!G727/100</x:f>
        <x:v>413.56</x:v>
      </x:c>
      <x:c r="H733" s="8" t="n">
        <x:f>G733-D733</x:f>
        <x:v>206.78</x:v>
      </x:c>
      <x:c r="I733" s="1" t="str">
        <x:f>IF(H733&gt;0,"Overbilled","Shortfall")</x:f>
        <x:v>Overbilled</x:v>
      </x:c>
      <x:c r="J733" s="7"/>
      <x:c r="K733" s="7" t="str">
        <x:v>Open</x:v>
      </x:c>
      <x:c r="L733" s="7"/>
    </x:row>
    <x:row r="734" ht="21" customHeight="1">
      <x:c r="A734" s="1" t="str">
        <x:f>Source!A728</x:f>
        <x:v>C0015650</x:v>
      </x:c>
      <x:c r="B734" s="1" t="str">
        <x:f>_xlfn.IFNA(VLOOKUP(Source!B728,Advertisers!$A$5:$B$34,2,FALSE),"Missing advertiser")</x:f>
        <x:v>Synthetic advertiser 10</x:v>
      </x:c>
      <x:c r="C734" s="1" t="n">
        <x:f>Source!C728</x:f>
        <x:v>10</x:v>
      </x:c>
      <x:c r="D734" s="8" t="n">
        <x:f>Source!D728/100</x:f>
        <x:v>206.78</x:v>
      </x:c>
      <x:c r="E734" s="8" t="n">
        <x:f>Source!E728/100</x:f>
        <x:v>413.56</x:v>
      </x:c>
      <x:c r="F734" s="8" t="n">
        <x:f>Source!F728/100</x:f>
        <x:v>0</x:v>
      </x:c>
      <x:c r="G734" s="8" t="n">
        <x:f>Source!G728/100</x:f>
        <x:v>413.56</x:v>
      </x:c>
      <x:c r="H734" s="8" t="n">
        <x:f>G734-D734</x:f>
        <x:v>206.78</x:v>
      </x:c>
      <x:c r="I734" s="1" t="str">
        <x:f>IF(H734&gt;0,"Overbilled","Shortfall")</x:f>
        <x:v>Overbilled</x:v>
      </x:c>
      <x:c r="J734" s="7"/>
      <x:c r="K734" s="7" t="str">
        <x:v>Open</x:v>
      </x:c>
      <x:c r="L734" s="7"/>
    </x:row>
    <x:row r="735" ht="21" customHeight="1">
      <x:c r="A735" s="1" t="str">
        <x:f>Source!A729</x:f>
        <x:v>C0014486</x:v>
      </x:c>
      <x:c r="B735" s="1" t="str">
        <x:f>_xlfn.IFNA(VLOOKUP(Source!B729,Advertisers!$A$5:$B$34,2,FALSE),"Missing advertiser")</x:f>
        <x:v>Synthetic advertiser 10</x:v>
      </x:c>
      <x:c r="C735" s="1" t="n">
        <x:f>Source!C729</x:f>
        <x:v>10</x:v>
      </x:c>
      <x:c r="D735" s="8" t="n">
        <x:f>Source!D729/100</x:f>
        <x:v>206.78</x:v>
      </x:c>
      <x:c r="E735" s="8" t="n">
        <x:f>Source!E729/100</x:f>
        <x:v>413.56</x:v>
      </x:c>
      <x:c r="F735" s="8" t="n">
        <x:f>Source!F729/100</x:f>
        <x:v>0</x:v>
      </x:c>
      <x:c r="G735" s="8" t="n">
        <x:f>Source!G729/100</x:f>
        <x:v>413.56</x:v>
      </x:c>
      <x:c r="H735" s="8" t="n">
        <x:f>G735-D735</x:f>
        <x:v>206.78</x:v>
      </x:c>
      <x:c r="I735" s="1" t="str">
        <x:f>IF(H735&gt;0,"Overbilled","Shortfall")</x:f>
        <x:v>Overbilled</x:v>
      </x:c>
      <x:c r="J735" s="7"/>
      <x:c r="K735" s="7" t="str">
        <x:v>Open</x:v>
      </x:c>
      <x:c r="L735" s="7"/>
    </x:row>
    <x:row r="736" ht="21" customHeight="1">
      <x:c r="A736" s="1" t="str">
        <x:f>Source!A730</x:f>
        <x:v>C0008345</x:v>
      </x:c>
      <x:c r="B736" s="1" t="str">
        <x:f>_xlfn.IFNA(VLOOKUP(Source!B730,Advertisers!$A$5:$B$34,2,FALSE),"Missing advertiser")</x:f>
        <x:v>Synthetic advertiser 10</x:v>
      </x:c>
      <x:c r="C736" s="1" t="n">
        <x:f>Source!C730</x:f>
        <x:v>10</x:v>
      </x:c>
      <x:c r="D736" s="8" t="n">
        <x:f>Source!D730/100</x:f>
        <x:v>206.78</x:v>
      </x:c>
      <x:c r="E736" s="8" t="n">
        <x:f>Source!E730/100</x:f>
        <x:v>413.56</x:v>
      </x:c>
      <x:c r="F736" s="8" t="n">
        <x:f>Source!F730/100</x:f>
        <x:v>0</x:v>
      </x:c>
      <x:c r="G736" s="8" t="n">
        <x:f>Source!G730/100</x:f>
        <x:v>413.56</x:v>
      </x:c>
      <x:c r="H736" s="8" t="n">
        <x:f>G736-D736</x:f>
        <x:v>206.78</x:v>
      </x:c>
      <x:c r="I736" s="1" t="str">
        <x:f>IF(H736&gt;0,"Overbilled","Shortfall")</x:f>
        <x:v>Overbilled</x:v>
      </x:c>
      <x:c r="J736" s="7"/>
      <x:c r="K736" s="7" t="str">
        <x:v>Open</x:v>
      </x:c>
      <x:c r="L736" s="7"/>
    </x:row>
    <x:row r="737" ht="21" customHeight="1">
      <x:c r="A737" s="1" t="str">
        <x:f>Source!A731</x:f>
        <x:v>C0001176</x:v>
      </x:c>
      <x:c r="B737" s="1" t="str">
        <x:f>_xlfn.IFNA(VLOOKUP(Source!B731,Advertisers!$A$5:$B$34,2,FALSE),"Missing advertiser")</x:f>
        <x:v>Synthetic advertiser 10</x:v>
      </x:c>
      <x:c r="C737" s="1" t="n">
        <x:f>Source!C731</x:f>
        <x:v>10</x:v>
      </x:c>
      <x:c r="D737" s="8" t="n">
        <x:f>Source!D731/100</x:f>
        <x:v>206.78</x:v>
      </x:c>
      <x:c r="E737" s="8" t="n">
        <x:f>Source!E731/100</x:f>
        <x:v>0</x:v>
      </x:c>
      <x:c r="F737" s="8" t="n">
        <x:f>Source!F731/100</x:f>
        <x:v>0</x:v>
      </x:c>
      <x:c r="G737" s="8" t="n">
        <x:f>Source!G731/100</x:f>
        <x:v>0</x:v>
      </x:c>
      <x:c r="H737" s="8" t="n">
        <x:f>G737-D737</x:f>
        <x:v>-206.78</x:v>
      </x:c>
      <x:c r="I737" s="1" t="str">
        <x:f>IF(H737&gt;0,"Overbilled","Shortfall")</x:f>
        <x:v>Shortfall</x:v>
      </x:c>
      <x:c r="J737" s="7"/>
      <x:c r="K737" s="7" t="str">
        <x:v>Open</x:v>
      </x:c>
      <x:c r="L737" s="7"/>
    </x:row>
    <x:row r="738" ht="21" customHeight="1">
      <x:c r="A738" s="1" t="str">
        <x:f>Source!A732</x:f>
        <x:v>C0009999</x:v>
      </x:c>
      <x:c r="B738" s="1" t="str">
        <x:f>_xlfn.IFNA(VLOOKUP(Source!B732,Advertisers!$A$5:$B$34,2,FALSE),"Missing advertiser")</x:f>
        <x:v>Synthetic advertiser 10</x:v>
      </x:c>
      <x:c r="C738" s="1" t="n">
        <x:f>Source!C732</x:f>
        <x:v>10</x:v>
      </x:c>
      <x:c r="D738" s="8" t="n">
        <x:f>Source!D732/100</x:f>
        <x:v>206.78</x:v>
      </x:c>
      <x:c r="E738" s="8" t="n">
        <x:f>Source!E732/100</x:f>
        <x:v>413.56</x:v>
      </x:c>
      <x:c r="F738" s="8" t="n">
        <x:f>Source!F732/100</x:f>
        <x:v>0</x:v>
      </x:c>
      <x:c r="G738" s="8" t="n">
        <x:f>Source!G732/100</x:f>
        <x:v>413.56</x:v>
      </x:c>
      <x:c r="H738" s="8" t="n">
        <x:f>G738-D738</x:f>
        <x:v>206.78</x:v>
      </x:c>
      <x:c r="I738" s="1" t="str">
        <x:f>IF(H738&gt;0,"Overbilled","Shortfall")</x:f>
        <x:v>Overbilled</x:v>
      </x:c>
      <x:c r="J738" s="7"/>
      <x:c r="K738" s="7" t="str">
        <x:v>Open</x:v>
      </x:c>
      <x:c r="L738" s="7"/>
    </x:row>
    <x:row r="739" ht="21" customHeight="1">
      <x:c r="A739" s="1" t="str">
        <x:f>Source!A733</x:f>
        <x:v>C0017838</x:v>
      </x:c>
      <x:c r="B739" s="1" t="str">
        <x:f>_xlfn.IFNA(VLOOKUP(Source!B733,Advertisers!$A$5:$B$34,2,FALSE),"Missing advertiser")</x:f>
        <x:v>Synthetic advertiser 10</x:v>
      </x:c>
      <x:c r="C739" s="1" t="n">
        <x:f>Source!C733</x:f>
        <x:v>10</x:v>
      </x:c>
      <x:c r="D739" s="8" t="n">
        <x:f>Source!D733/100</x:f>
        <x:v>206.78</x:v>
      </x:c>
      <x:c r="E739" s="8" t="n">
        <x:f>Source!E733/100</x:f>
        <x:v>413.56</x:v>
      </x:c>
      <x:c r="F739" s="8" t="n">
        <x:f>Source!F733/100</x:f>
        <x:v>0</x:v>
      </x:c>
      <x:c r="G739" s="8" t="n">
        <x:f>Source!G733/100</x:f>
        <x:v>413.56</x:v>
      </x:c>
      <x:c r="H739" s="8" t="n">
        <x:f>G739-D739</x:f>
        <x:v>206.78</x:v>
      </x:c>
      <x:c r="I739" s="1" t="str">
        <x:f>IF(H739&gt;0,"Overbilled","Shortfall")</x:f>
        <x:v>Overbilled</x:v>
      </x:c>
      <x:c r="J739" s="7"/>
      <x:c r="K739" s="7" t="str">
        <x:v>Open</x:v>
      </x:c>
      <x:c r="L739" s="7"/>
    </x:row>
    <x:row r="740" ht="21" customHeight="1">
      <x:c r="A740" s="1" t="str">
        <x:f>Source!A734</x:f>
        <x:v>C0011887</x:v>
      </x:c>
      <x:c r="B740" s="1" t="str">
        <x:f>_xlfn.IFNA(VLOOKUP(Source!B734,Advertisers!$A$5:$B$34,2,FALSE),"Missing advertiser")</x:f>
        <x:v>Synthetic advertiser 6</x:v>
      </x:c>
      <x:c r="C740" s="1" t="n">
        <x:f>Source!C734</x:f>
        <x:v>36</x:v>
      </x:c>
      <x:c r="D740" s="8" t="n">
        <x:f>Source!D734/100</x:f>
        <x:v>205.8</x:v>
      </x:c>
      <x:c r="E740" s="8" t="n">
        <x:f>Source!E734/100</x:f>
        <x:v>0</x:v>
      </x:c>
      <x:c r="F740" s="8" t="n">
        <x:f>Source!F734/100</x:f>
        <x:v>0</x:v>
      </x:c>
      <x:c r="G740" s="8" t="n">
        <x:f>Source!G734/100</x:f>
        <x:v>0</x:v>
      </x:c>
      <x:c r="H740" s="8" t="n">
        <x:f>G740-D740</x:f>
        <x:v>-205.8</x:v>
      </x:c>
      <x:c r="I740" s="1" t="str">
        <x:f>IF(H740&gt;0,"Overbilled","Shortfall")</x:f>
        <x:v>Shortfall</x:v>
      </x:c>
      <x:c r="J740" s="7"/>
      <x:c r="K740" s="7" t="str">
        <x:v>Open</x:v>
      </x:c>
      <x:c r="L740" s="7"/>
    </x:row>
    <x:row r="741" ht="21" customHeight="1">
      <x:c r="A741" s="1" t="str">
        <x:f>Source!A735</x:f>
        <x:v>C0002937</x:v>
      </x:c>
      <x:c r="B741" s="1" t="str">
        <x:f>_xlfn.IFNA(VLOOKUP(Source!B735,Advertisers!$A$5:$B$34,2,FALSE),"Missing advertiser")</x:f>
        <x:v>Synthetic advertiser 6</x:v>
      </x:c>
      <x:c r="C741" s="1" t="n">
        <x:f>Source!C735</x:f>
        <x:v>36</x:v>
      </x:c>
      <x:c r="D741" s="8" t="n">
        <x:f>Source!D735/100</x:f>
        <x:v>205.8</x:v>
      </x:c>
      <x:c r="E741" s="8" t="n">
        <x:f>Source!E735/100</x:f>
        <x:v>0</x:v>
      </x:c>
      <x:c r="F741" s="8" t="n">
        <x:f>Source!F735/100</x:f>
        <x:v>0</x:v>
      </x:c>
      <x:c r="G741" s="8" t="n">
        <x:f>Source!G735/100</x:f>
        <x:v>0</x:v>
      </x:c>
      <x:c r="H741" s="8" t="n">
        <x:f>G741-D741</x:f>
        <x:v>-205.8</x:v>
      </x:c>
      <x:c r="I741" s="1" t="str">
        <x:f>IF(H741&gt;0,"Overbilled","Shortfall")</x:f>
        <x:v>Shortfall</x:v>
      </x:c>
      <x:c r="J741" s="7"/>
      <x:c r="K741" s="7" t="str">
        <x:v>Open</x:v>
      </x:c>
      <x:c r="L741" s="7"/>
    </x:row>
    <x:row r="742" ht="21" customHeight="1">
      <x:c r="A742" s="1" t="str">
        <x:f>Source!A736</x:f>
        <x:v>C0001757</x:v>
      </x:c>
      <x:c r="B742" s="1" t="str">
        <x:f>_xlfn.IFNA(VLOOKUP(Source!B736,Advertisers!$A$5:$B$34,2,FALSE),"Missing advertiser")</x:f>
        <x:v>Synthetic advertiser 6</x:v>
      </x:c>
      <x:c r="C742" s="1" t="n">
        <x:f>Source!C736</x:f>
        <x:v>36</x:v>
      </x:c>
      <x:c r="D742" s="8" t="n">
        <x:f>Source!D736/100</x:f>
        <x:v>205.8</x:v>
      </x:c>
      <x:c r="E742" s="8" t="n">
        <x:f>Source!E736/100</x:f>
        <x:v>0</x:v>
      </x:c>
      <x:c r="F742" s="8" t="n">
        <x:f>Source!F736/100</x:f>
        <x:v>0</x:v>
      </x:c>
      <x:c r="G742" s="8" t="n">
        <x:f>Source!G736/100</x:f>
        <x:v>0</x:v>
      </x:c>
      <x:c r="H742" s="8" t="n">
        <x:f>G742-D742</x:f>
        <x:v>-205.8</x:v>
      </x:c>
      <x:c r="I742" s="1" t="str">
        <x:f>IF(H742&gt;0,"Overbilled","Shortfall")</x:f>
        <x:v>Shortfall</x:v>
      </x:c>
      <x:c r="J742" s="7"/>
      <x:c r="K742" s="7" t="str">
        <x:v>Open</x:v>
      </x:c>
      <x:c r="L742" s="7"/>
    </x:row>
    <x:row r="743" ht="21" customHeight="1">
      <x:c r="A743" s="1" t="str">
        <x:f>Source!A737</x:f>
        <x:v>C0017848</x:v>
      </x:c>
      <x:c r="B743" s="1" t="str">
        <x:f>_xlfn.IFNA(VLOOKUP(Source!B737,Advertisers!$A$5:$B$34,2,FALSE),"Missing advertiser")</x:f>
        <x:v>Synthetic advertiser 6</x:v>
      </x:c>
      <x:c r="C743" s="1" t="n">
        <x:f>Source!C737</x:f>
        <x:v>36</x:v>
      </x:c>
      <x:c r="D743" s="8" t="n">
        <x:f>Source!D737/100</x:f>
        <x:v>205.8</x:v>
      </x:c>
      <x:c r="E743" s="8" t="n">
        <x:f>Source!E737/100</x:f>
        <x:v>411.6</x:v>
      </x:c>
      <x:c r="F743" s="8" t="n">
        <x:f>Source!F737/100</x:f>
        <x:v>0</x:v>
      </x:c>
      <x:c r="G743" s="8" t="n">
        <x:f>Source!G737/100</x:f>
        <x:v>411.6</x:v>
      </x:c>
      <x:c r="H743" s="8" t="n">
        <x:f>G743-D743</x:f>
        <x:v>205.8</x:v>
      </x:c>
      <x:c r="I743" s="1" t="str">
        <x:f>IF(H743&gt;0,"Overbilled","Shortfall")</x:f>
        <x:v>Overbilled</x:v>
      </x:c>
      <x:c r="J743" s="7"/>
      <x:c r="K743" s="7" t="str">
        <x:v>Open</x:v>
      </x:c>
      <x:c r="L743" s="7"/>
    </x:row>
    <x:row r="744" ht="21" customHeight="1">
      <x:c r="A744" s="1" t="str">
        <x:f>Source!A738</x:f>
        <x:v>C0013851</x:v>
      </x:c>
      <x:c r="B744" s="1" t="str">
        <x:f>_xlfn.IFNA(VLOOKUP(Source!B738,Advertisers!$A$5:$B$34,2,FALSE),"Missing advertiser")</x:f>
        <x:v>Synthetic advertiser 6</x:v>
      </x:c>
      <x:c r="C744" s="1" t="n">
        <x:f>Source!C738</x:f>
        <x:v>36</x:v>
      </x:c>
      <x:c r="D744" s="8" t="n">
        <x:f>Source!D738/100</x:f>
        <x:v>205.8</x:v>
      </x:c>
      <x:c r="E744" s="8" t="n">
        <x:f>Source!E738/100</x:f>
        <x:v>0</x:v>
      </x:c>
      <x:c r="F744" s="8" t="n">
        <x:f>Source!F738/100</x:f>
        <x:v>0</x:v>
      </x:c>
      <x:c r="G744" s="8" t="n">
        <x:f>Source!G738/100</x:f>
        <x:v>0</x:v>
      </x:c>
      <x:c r="H744" s="8" t="n">
        <x:f>G744-D744</x:f>
        <x:v>-205.8</x:v>
      </x:c>
      <x:c r="I744" s="1" t="str">
        <x:f>IF(H744&gt;0,"Overbilled","Shortfall")</x:f>
        <x:v>Shortfall</x:v>
      </x:c>
      <x:c r="J744" s="7"/>
      <x:c r="K744" s="7" t="str">
        <x:v>Open</x:v>
      </x:c>
      <x:c r="L744" s="7"/>
    </x:row>
    <x:row r="745" ht="21" customHeight="1">
      <x:c r="A745" s="1" t="str">
        <x:f>Source!A739</x:f>
        <x:v>C0014035</x:v>
      </x:c>
      <x:c r="B745" s="1" t="str">
        <x:f>_xlfn.IFNA(VLOOKUP(Source!B739,Advertisers!$A$5:$B$34,2,FALSE),"Missing advertiser")</x:f>
        <x:v>Synthetic advertiser 6</x:v>
      </x:c>
      <x:c r="C745" s="1" t="n">
        <x:f>Source!C739</x:f>
        <x:v>36</x:v>
      </x:c>
      <x:c r="D745" s="8" t="n">
        <x:f>Source!D739/100</x:f>
        <x:v>205.8</x:v>
      </x:c>
      <x:c r="E745" s="8" t="n">
        <x:f>Source!E739/100</x:f>
        <x:v>0</x:v>
      </x:c>
      <x:c r="F745" s="8" t="n">
        <x:f>Source!F739/100</x:f>
        <x:v>0</x:v>
      </x:c>
      <x:c r="G745" s="8" t="n">
        <x:f>Source!G739/100</x:f>
        <x:v>0</x:v>
      </x:c>
      <x:c r="H745" s="8" t="n">
        <x:f>G745-D745</x:f>
        <x:v>-205.8</x:v>
      </x:c>
      <x:c r="I745" s="1" t="str">
        <x:f>IF(H745&gt;0,"Overbilled","Shortfall")</x:f>
        <x:v>Shortfall</x:v>
      </x:c>
      <x:c r="J745" s="7"/>
      <x:c r="K745" s="7" t="str">
        <x:v>Open</x:v>
      </x:c>
      <x:c r="L745" s="7"/>
    </x:row>
    <x:row r="746" ht="21" customHeight="1">
      <x:c r="A746" s="1" t="str">
        <x:f>Source!A740</x:f>
        <x:v>C0012420</x:v>
      </x:c>
      <x:c r="B746" s="1" t="str">
        <x:f>_xlfn.IFNA(VLOOKUP(Source!B740,Advertisers!$A$5:$B$34,2,FALSE),"Missing advertiser")</x:f>
        <x:v>Synthetic advertiser 6</x:v>
      </x:c>
      <x:c r="C746" s="1" t="n">
        <x:f>Source!C740</x:f>
        <x:v>36</x:v>
      </x:c>
      <x:c r="D746" s="8" t="n">
        <x:f>Source!D740/100</x:f>
        <x:v>205.8</x:v>
      </x:c>
      <x:c r="E746" s="8" t="n">
        <x:f>Source!E740/100</x:f>
        <x:v>0</x:v>
      </x:c>
      <x:c r="F746" s="8" t="n">
        <x:f>Source!F740/100</x:f>
        <x:v>0</x:v>
      </x:c>
      <x:c r="G746" s="8" t="n">
        <x:f>Source!G740/100</x:f>
        <x:v>0</x:v>
      </x:c>
      <x:c r="H746" s="8" t="n">
        <x:f>G746-D746</x:f>
        <x:v>-205.8</x:v>
      </x:c>
      <x:c r="I746" s="1" t="str">
        <x:f>IF(H746&gt;0,"Overbilled","Shortfall")</x:f>
        <x:v>Shortfall</x:v>
      </x:c>
      <x:c r="J746" s="7"/>
      <x:c r="K746" s="7" t="str">
        <x:v>Open</x:v>
      </x:c>
      <x:c r="L746" s="7"/>
    </x:row>
    <x:row r="747" ht="21" customHeight="1">
      <x:c r="A747" s="1" t="str">
        <x:f>Source!A741</x:f>
        <x:v>C0016315</x:v>
      </x:c>
      <x:c r="B747" s="1" t="str">
        <x:f>_xlfn.IFNA(VLOOKUP(Source!B741,Advertisers!$A$5:$B$34,2,FALSE),"Missing advertiser")</x:f>
        <x:v>Synthetic advertiser 6</x:v>
      </x:c>
      <x:c r="C747" s="1" t="n">
        <x:f>Source!C741</x:f>
        <x:v>36</x:v>
      </x:c>
      <x:c r="D747" s="8" t="n">
        <x:f>Source!D741/100</x:f>
        <x:v>205.8</x:v>
      </x:c>
      <x:c r="E747" s="8" t="n">
        <x:f>Source!E741/100</x:f>
        <x:v>0</x:v>
      </x:c>
      <x:c r="F747" s="8" t="n">
        <x:f>Source!F741/100</x:f>
        <x:v>0</x:v>
      </x:c>
      <x:c r="G747" s="8" t="n">
        <x:f>Source!G741/100</x:f>
        <x:v>0</x:v>
      </x:c>
      <x:c r="H747" s="8" t="n">
        <x:f>G747-D747</x:f>
        <x:v>-205.8</x:v>
      </x:c>
      <x:c r="I747" s="1" t="str">
        <x:f>IF(H747&gt;0,"Overbilled","Shortfall")</x:f>
        <x:v>Shortfall</x:v>
      </x:c>
      <x:c r="J747" s="7"/>
      <x:c r="K747" s="7" t="str">
        <x:v>Open</x:v>
      </x:c>
      <x:c r="L747" s="7"/>
    </x:row>
    <x:row r="748" ht="21" customHeight="1">
      <x:c r="A748" s="1" t="str">
        <x:f>Source!A742</x:f>
        <x:v>C0011651</x:v>
      </x:c>
      <x:c r="B748" s="1" t="str">
        <x:f>_xlfn.IFNA(VLOOKUP(Source!B742,Advertisers!$A$5:$B$34,2,FALSE),"Missing advertiser")</x:f>
        <x:v>Synthetic advertiser 27</x:v>
      </x:c>
      <x:c r="C748" s="1" t="n">
        <x:f>Source!C742</x:f>
        <x:v>87</x:v>
      </x:c>
      <x:c r="D748" s="8" t="n">
        <x:f>Source!D742/100</x:f>
        <x:v>205.51</x:v>
      </x:c>
      <x:c r="E748" s="8" t="n">
        <x:f>Source!E742/100</x:f>
        <x:v>0</x:v>
      </x:c>
      <x:c r="F748" s="8" t="n">
        <x:f>Source!F742/100</x:f>
        <x:v>0</x:v>
      </x:c>
      <x:c r="G748" s="8" t="n">
        <x:f>Source!G742/100</x:f>
        <x:v>0</x:v>
      </x:c>
      <x:c r="H748" s="8" t="n">
        <x:f>G748-D748</x:f>
        <x:v>-205.51</x:v>
      </x:c>
      <x:c r="I748" s="1" t="str">
        <x:f>IF(H748&gt;0,"Overbilled","Shortfall")</x:f>
        <x:v>Shortfall</x:v>
      </x:c>
      <x:c r="J748" s="7"/>
      <x:c r="K748" s="7" t="str">
        <x:v>Open</x:v>
      </x:c>
      <x:c r="L748" s="7"/>
    </x:row>
    <x:row r="749" ht="21" customHeight="1">
      <x:c r="A749" s="1" t="str">
        <x:f>Source!A743</x:f>
        <x:v>C0008480</x:v>
      </x:c>
      <x:c r="B749" s="1" t="str">
        <x:f>_xlfn.IFNA(VLOOKUP(Source!B743,Advertisers!$A$5:$B$34,2,FALSE),"Missing advertiser")</x:f>
        <x:v>Synthetic advertiser 27</x:v>
      </x:c>
      <x:c r="C749" s="1" t="n">
        <x:f>Source!C743</x:f>
        <x:v>87</x:v>
      </x:c>
      <x:c r="D749" s="8" t="n">
        <x:f>Source!D743/100</x:f>
        <x:v>205.51</x:v>
      </x:c>
      <x:c r="E749" s="8" t="n">
        <x:f>Source!E743/100</x:f>
        <x:v>411.02</x:v>
      </x:c>
      <x:c r="F749" s="8" t="n">
        <x:f>Source!F743/100</x:f>
        <x:v>0</x:v>
      </x:c>
      <x:c r="G749" s="8" t="n">
        <x:f>Source!G743/100</x:f>
        <x:v>411.02</x:v>
      </x:c>
      <x:c r="H749" s="8" t="n">
        <x:f>G749-D749</x:f>
        <x:v>205.51</x:v>
      </x:c>
      <x:c r="I749" s="1" t="str">
        <x:f>IF(H749&gt;0,"Overbilled","Shortfall")</x:f>
        <x:v>Overbilled</x:v>
      </x:c>
      <x:c r="J749" s="7"/>
      <x:c r="K749" s="7" t="str">
        <x:v>Open</x:v>
      </x:c>
      <x:c r="L749" s="7"/>
    </x:row>
    <x:row r="750" ht="21" customHeight="1">
      <x:c r="A750" s="1" t="str">
        <x:f>Source!A744</x:f>
        <x:v>C0006629</x:v>
      </x:c>
      <x:c r="B750" s="1" t="str">
        <x:f>_xlfn.IFNA(VLOOKUP(Source!B744,Advertisers!$A$5:$B$34,2,FALSE),"Missing advertiser")</x:f>
        <x:v>Synthetic advertiser 27</x:v>
      </x:c>
      <x:c r="C750" s="1" t="n">
        <x:f>Source!C744</x:f>
        <x:v>87</x:v>
      </x:c>
      <x:c r="D750" s="8" t="n">
        <x:f>Source!D744/100</x:f>
        <x:v>205.51</x:v>
      </x:c>
      <x:c r="E750" s="8" t="n">
        <x:f>Source!E744/100</x:f>
        <x:v>411.02</x:v>
      </x:c>
      <x:c r="F750" s="8" t="n">
        <x:f>Source!F744/100</x:f>
        <x:v>0</x:v>
      </x:c>
      <x:c r="G750" s="8" t="n">
        <x:f>Source!G744/100</x:f>
        <x:v>411.02</x:v>
      </x:c>
      <x:c r="H750" s="8" t="n">
        <x:f>G750-D750</x:f>
        <x:v>205.51</x:v>
      </x:c>
      <x:c r="I750" s="1" t="str">
        <x:f>IF(H750&gt;0,"Overbilled","Shortfall")</x:f>
        <x:v>Overbilled</x:v>
      </x:c>
      <x:c r="J750" s="7"/>
      <x:c r="K750" s="7" t="str">
        <x:v>Open</x:v>
      </x:c>
      <x:c r="L750" s="7"/>
    </x:row>
    <x:row r="751" ht="21" customHeight="1">
      <x:c r="A751" s="1" t="str">
        <x:f>Source!A745</x:f>
        <x:v>C0013209</x:v>
      </x:c>
      <x:c r="B751" s="1" t="str">
        <x:f>_xlfn.IFNA(VLOOKUP(Source!B745,Advertisers!$A$5:$B$34,2,FALSE),"Missing advertiser")</x:f>
        <x:v>Synthetic advertiser 27</x:v>
      </x:c>
      <x:c r="C751" s="1" t="n">
        <x:f>Source!C745</x:f>
        <x:v>87</x:v>
      </x:c>
      <x:c r="D751" s="8" t="n">
        <x:f>Source!D745/100</x:f>
        <x:v>205.51</x:v>
      </x:c>
      <x:c r="E751" s="8" t="n">
        <x:f>Source!E745/100</x:f>
        <x:v>0</x:v>
      </x:c>
      <x:c r="F751" s="8" t="n">
        <x:f>Source!F745/100</x:f>
        <x:v>0</x:v>
      </x:c>
      <x:c r="G751" s="8" t="n">
        <x:f>Source!G745/100</x:f>
        <x:v>0</x:v>
      </x:c>
      <x:c r="H751" s="8" t="n">
        <x:f>G751-D751</x:f>
        <x:v>-205.51</x:v>
      </x:c>
      <x:c r="I751" s="1" t="str">
        <x:f>IF(H751&gt;0,"Overbilled","Shortfall")</x:f>
        <x:v>Shortfall</x:v>
      </x:c>
      <x:c r="J751" s="7"/>
      <x:c r="K751" s="7" t="str">
        <x:v>Open</x:v>
      </x:c>
      <x:c r="L751" s="7"/>
    </x:row>
    <x:row r="752" ht="21" customHeight="1">
      <x:c r="A752" s="1" t="str">
        <x:f>Source!A746</x:f>
        <x:v>C0016612</x:v>
      </x:c>
      <x:c r="B752" s="1" t="str">
        <x:f>_xlfn.IFNA(VLOOKUP(Source!B746,Advertisers!$A$5:$B$34,2,FALSE),"Missing advertiser")</x:f>
        <x:v>Synthetic advertiser 27</x:v>
      </x:c>
      <x:c r="C752" s="1" t="n">
        <x:f>Source!C746</x:f>
        <x:v>87</x:v>
      </x:c>
      <x:c r="D752" s="8" t="n">
        <x:f>Source!D746/100</x:f>
        <x:v>205.51</x:v>
      </x:c>
      <x:c r="E752" s="8" t="n">
        <x:f>Source!E746/100</x:f>
        <x:v>411.02</x:v>
      </x:c>
      <x:c r="F752" s="8" t="n">
        <x:f>Source!F746/100</x:f>
        <x:v>0</x:v>
      </x:c>
      <x:c r="G752" s="8" t="n">
        <x:f>Source!G746/100</x:f>
        <x:v>411.02</x:v>
      </x:c>
      <x:c r="H752" s="8" t="n">
        <x:f>G752-D752</x:f>
        <x:v>205.51</x:v>
      </x:c>
      <x:c r="I752" s="1" t="str">
        <x:f>IF(H752&gt;0,"Overbilled","Shortfall")</x:f>
        <x:v>Overbilled</x:v>
      </x:c>
      <x:c r="J752" s="7"/>
      <x:c r="K752" s="7" t="str">
        <x:v>Open</x:v>
      </x:c>
      <x:c r="L752" s="7"/>
    </x:row>
    <x:row r="753" ht="21" customHeight="1">
      <x:c r="A753" s="1" t="str">
        <x:f>Source!A747</x:f>
        <x:v>C0006082</x:v>
      </x:c>
      <x:c r="B753" s="1" t="str">
        <x:f>_xlfn.IFNA(VLOOKUP(Source!B747,Advertisers!$A$5:$B$34,2,FALSE),"Missing advertiser")</x:f>
        <x:v>Synthetic advertiser 27</x:v>
      </x:c>
      <x:c r="C753" s="1" t="n">
        <x:f>Source!C747</x:f>
        <x:v>87</x:v>
      </x:c>
      <x:c r="D753" s="8" t="n">
        <x:f>Source!D747/100</x:f>
        <x:v>0</x:v>
      </x:c>
      <x:c r="E753" s="8" t="n">
        <x:f>Source!E747/100</x:f>
        <x:v>205.51</x:v>
      </x:c>
      <x:c r="F753" s="8" t="n">
        <x:f>Source!F747/100</x:f>
        <x:v>0</x:v>
      </x:c>
      <x:c r="G753" s="8" t="n">
        <x:f>Source!G747/100</x:f>
        <x:v>205.51</x:v>
      </x:c>
      <x:c r="H753" s="8" t="n">
        <x:f>G753-D753</x:f>
        <x:v>205.51</x:v>
      </x:c>
      <x:c r="I753" s="1" t="str">
        <x:f>IF(H753&gt;0,"Overbilled","Shortfall")</x:f>
        <x:v>Overbilled</x:v>
      </x:c>
      <x:c r="J753" s="7"/>
      <x:c r="K753" s="7" t="str">
        <x:v>Open</x:v>
      </x:c>
      <x:c r="L753" s="7"/>
    </x:row>
    <x:row r="754" ht="21" customHeight="1">
      <x:c r="A754" s="1" t="str">
        <x:f>Source!A748</x:f>
        <x:v>C0004799</x:v>
      </x:c>
      <x:c r="B754" s="1" t="str">
        <x:f>_xlfn.IFNA(VLOOKUP(Source!B748,Advertisers!$A$5:$B$34,2,FALSE),"Missing advertiser")</x:f>
        <x:v>Synthetic advertiser 27</x:v>
      </x:c>
      <x:c r="C754" s="1" t="n">
        <x:f>Source!C748</x:f>
        <x:v>87</x:v>
      </x:c>
      <x:c r="D754" s="8" t="n">
        <x:f>Source!D748/100</x:f>
        <x:v>205.51</x:v>
      </x:c>
      <x:c r="E754" s="8" t="n">
        <x:f>Source!E748/100</x:f>
        <x:v>0</x:v>
      </x:c>
      <x:c r="F754" s="8" t="n">
        <x:f>Source!F748/100</x:f>
        <x:v>0</x:v>
      </x:c>
      <x:c r="G754" s="8" t="n">
        <x:f>Source!G748/100</x:f>
        <x:v>0</x:v>
      </x:c>
      <x:c r="H754" s="8" t="n">
        <x:f>G754-D754</x:f>
        <x:v>-205.51</x:v>
      </x:c>
      <x:c r="I754" s="1" t="str">
        <x:f>IF(H754&gt;0,"Overbilled","Shortfall")</x:f>
        <x:v>Shortfall</x:v>
      </x:c>
      <x:c r="J754" s="7"/>
      <x:c r="K754" s="7" t="str">
        <x:v>Open</x:v>
      </x:c>
      <x:c r="L754" s="7"/>
    </x:row>
    <x:row r="755" ht="21" customHeight="1">
      <x:c r="A755" s="1" t="str">
        <x:f>Source!A749</x:f>
        <x:v>C0013284</x:v>
      </x:c>
      <x:c r="B755" s="1" t="str">
        <x:f>_xlfn.IFNA(VLOOKUP(Source!B749,Advertisers!$A$5:$B$34,2,FALSE),"Missing advertiser")</x:f>
        <x:v>Synthetic advertiser 20</x:v>
      </x:c>
      <x:c r="C755" s="1" t="n">
        <x:f>Source!C749</x:f>
        <x:v>110</x:v>
      </x:c>
      <x:c r="D755" s="8" t="n">
        <x:f>Source!D749/100</x:f>
        <x:v>204.47</x:v>
      </x:c>
      <x:c r="E755" s="8" t="n">
        <x:f>Source!E749/100</x:f>
        <x:v>0</x:v>
      </x:c>
      <x:c r="F755" s="8" t="n">
        <x:f>Source!F749/100</x:f>
        <x:v>0</x:v>
      </x:c>
      <x:c r="G755" s="8" t="n">
        <x:f>Source!G749/100</x:f>
        <x:v>0</x:v>
      </x:c>
      <x:c r="H755" s="8" t="n">
        <x:f>G755-D755</x:f>
        <x:v>-204.47</x:v>
      </x:c>
      <x:c r="I755" s="1" t="str">
        <x:f>IF(H755&gt;0,"Overbilled","Shortfall")</x:f>
        <x:v>Shortfall</x:v>
      </x:c>
      <x:c r="J755" s="7"/>
      <x:c r="K755" s="7" t="str">
        <x:v>Open</x:v>
      </x:c>
      <x:c r="L755" s="7"/>
    </x:row>
    <x:row r="756" ht="21" customHeight="1">
      <x:c r="A756" s="1" t="str">
        <x:f>Source!A750</x:f>
        <x:v>C0000625</x:v>
      </x:c>
      <x:c r="B756" s="1" t="str">
        <x:f>_xlfn.IFNA(VLOOKUP(Source!B750,Advertisers!$A$5:$B$34,2,FALSE),"Missing advertiser")</x:f>
        <x:v>Synthetic advertiser 20</x:v>
      </x:c>
      <x:c r="C756" s="1" t="n">
        <x:f>Source!C750</x:f>
        <x:v>110</x:v>
      </x:c>
      <x:c r="D756" s="8" t="n">
        <x:f>Source!D750/100</x:f>
        <x:v>204.47</x:v>
      </x:c>
      <x:c r="E756" s="8" t="n">
        <x:f>Source!E750/100</x:f>
        <x:v>408.94</x:v>
      </x:c>
      <x:c r="F756" s="8" t="n">
        <x:f>Source!F750/100</x:f>
        <x:v>0</x:v>
      </x:c>
      <x:c r="G756" s="8" t="n">
        <x:f>Source!G750/100</x:f>
        <x:v>408.94</x:v>
      </x:c>
      <x:c r="H756" s="8" t="n">
        <x:f>G756-D756</x:f>
        <x:v>204.47</x:v>
      </x:c>
      <x:c r="I756" s="1" t="str">
        <x:f>IF(H756&gt;0,"Overbilled","Shortfall")</x:f>
        <x:v>Overbilled</x:v>
      </x:c>
      <x:c r="J756" s="7"/>
      <x:c r="K756" s="7" t="str">
        <x:v>Open</x:v>
      </x:c>
      <x:c r="L756" s="7"/>
    </x:row>
    <x:row r="757" ht="21" customHeight="1">
      <x:c r="A757" s="1" t="str">
        <x:f>Source!A751</x:f>
        <x:v>C0011721</x:v>
      </x:c>
      <x:c r="B757" s="1" t="str">
        <x:f>_xlfn.IFNA(VLOOKUP(Source!B751,Advertisers!$A$5:$B$34,2,FALSE),"Missing advertiser")</x:f>
        <x:v>Synthetic advertiser 20</x:v>
      </x:c>
      <x:c r="C757" s="1" t="n">
        <x:f>Source!C751</x:f>
        <x:v>110</x:v>
      </x:c>
      <x:c r="D757" s="8" t="n">
        <x:f>Source!D751/100</x:f>
        <x:v>204.47</x:v>
      </x:c>
      <x:c r="E757" s="8" t="n">
        <x:f>Source!E751/100</x:f>
        <x:v>408.94</x:v>
      </x:c>
      <x:c r="F757" s="8" t="n">
        <x:f>Source!F751/100</x:f>
        <x:v>0</x:v>
      </x:c>
      <x:c r="G757" s="8" t="n">
        <x:f>Source!G751/100</x:f>
        <x:v>408.94</x:v>
      </x:c>
      <x:c r="H757" s="8" t="n">
        <x:f>G757-D757</x:f>
        <x:v>204.47</x:v>
      </x:c>
      <x:c r="I757" s="1" t="str">
        <x:f>IF(H757&gt;0,"Overbilled","Shortfall")</x:f>
        <x:v>Overbilled</x:v>
      </x:c>
      <x:c r="J757" s="7"/>
      <x:c r="K757" s="7" t="str">
        <x:v>Open</x:v>
      </x:c>
      <x:c r="L757" s="7"/>
    </x:row>
    <x:row r="758" ht="21" customHeight="1">
      <x:c r="A758" s="1" t="str">
        <x:f>Source!A752</x:f>
        <x:v>C0009514</x:v>
      </x:c>
      <x:c r="B758" s="1" t="str">
        <x:f>_xlfn.IFNA(VLOOKUP(Source!B752,Advertisers!$A$5:$B$34,2,FALSE),"Missing advertiser")</x:f>
        <x:v>Synthetic advertiser 20</x:v>
      </x:c>
      <x:c r="C758" s="1" t="n">
        <x:f>Source!C752</x:f>
        <x:v>110</x:v>
      </x:c>
      <x:c r="D758" s="8" t="n">
        <x:f>Source!D752/100</x:f>
        <x:v>0</x:v>
      </x:c>
      <x:c r="E758" s="8" t="n">
        <x:f>Source!E752/100</x:f>
        <x:v>204.47</x:v>
      </x:c>
      <x:c r="F758" s="8" t="n">
        <x:f>Source!F752/100</x:f>
        <x:v>0</x:v>
      </x:c>
      <x:c r="G758" s="8" t="n">
        <x:f>Source!G752/100</x:f>
        <x:v>204.47</x:v>
      </x:c>
      <x:c r="H758" s="8" t="n">
        <x:f>G758-D758</x:f>
        <x:v>204.47</x:v>
      </x:c>
      <x:c r="I758" s="1" t="str">
        <x:f>IF(H758&gt;0,"Overbilled","Shortfall")</x:f>
        <x:v>Overbilled</x:v>
      </x:c>
      <x:c r="J758" s="7"/>
      <x:c r="K758" s="7" t="str">
        <x:v>Open</x:v>
      </x:c>
      <x:c r="L758" s="7"/>
    </x:row>
    <x:row r="759" ht="21" customHeight="1">
      <x:c r="A759" s="1" t="str">
        <x:f>Source!A753</x:f>
        <x:v>C0005490</x:v>
      </x:c>
      <x:c r="B759" s="1" t="str">
        <x:f>_xlfn.IFNA(VLOOKUP(Source!B753,Advertisers!$A$5:$B$34,2,FALSE),"Missing advertiser")</x:f>
        <x:v>Synthetic advertiser 20</x:v>
      </x:c>
      <x:c r="C759" s="1" t="n">
        <x:f>Source!C753</x:f>
        <x:v>110</x:v>
      </x:c>
      <x:c r="D759" s="8" t="n">
        <x:f>Source!D753/100</x:f>
        <x:v>204.47</x:v>
      </x:c>
      <x:c r="E759" s="8" t="n">
        <x:f>Source!E753/100</x:f>
        <x:v>0</x:v>
      </x:c>
      <x:c r="F759" s="8" t="n">
        <x:f>Source!F753/100</x:f>
        <x:v>0</x:v>
      </x:c>
      <x:c r="G759" s="8" t="n">
        <x:f>Source!G753/100</x:f>
        <x:v>0</x:v>
      </x:c>
      <x:c r="H759" s="8" t="n">
        <x:f>G759-D759</x:f>
        <x:v>-204.47</x:v>
      </x:c>
      <x:c r="I759" s="1" t="str">
        <x:f>IF(H759&gt;0,"Overbilled","Shortfall")</x:f>
        <x:v>Shortfall</x:v>
      </x:c>
      <x:c r="J759" s="7"/>
      <x:c r="K759" s="7" t="str">
        <x:v>Open</x:v>
      </x:c>
      <x:c r="L759" s="7"/>
    </x:row>
    <x:row r="760" ht="21" customHeight="1">
      <x:c r="A760" s="1" t="str">
        <x:f>Source!A754</x:f>
        <x:v>C0003005</x:v>
      </x:c>
      <x:c r="B760" s="1" t="str">
        <x:f>_xlfn.IFNA(VLOOKUP(Source!B754,Advertisers!$A$5:$B$34,2,FALSE),"Missing advertiser")</x:f>
        <x:v>Synthetic advertiser 3</x:v>
      </x:c>
      <x:c r="C760" s="1" t="n">
        <x:f>Source!C754</x:f>
        <x:v>63</x:v>
      </x:c>
      <x:c r="D760" s="8" t="n">
        <x:f>Source!D754/100</x:f>
        <x:v>204.12</x:v>
      </x:c>
      <x:c r="E760" s="8" t="n">
        <x:f>Source!E754/100</x:f>
        <x:v>0</x:v>
      </x:c>
      <x:c r="F760" s="8" t="n">
        <x:f>Source!F754/100</x:f>
        <x:v>0</x:v>
      </x:c>
      <x:c r="G760" s="8" t="n">
        <x:f>Source!G754/100</x:f>
        <x:v>0</x:v>
      </x:c>
      <x:c r="H760" s="8" t="n">
        <x:f>G760-D760</x:f>
        <x:v>-204.12</x:v>
      </x:c>
      <x:c r="I760" s="1" t="str">
        <x:f>IF(H760&gt;0,"Overbilled","Shortfall")</x:f>
        <x:v>Shortfall</x:v>
      </x:c>
      <x:c r="J760" s="7"/>
      <x:c r="K760" s="7" t="str">
        <x:v>Open</x:v>
      </x:c>
      <x:c r="L760" s="7"/>
    </x:row>
    <x:row r="761" ht="21" customHeight="1">
      <x:c r="A761" s="1" t="str">
        <x:f>Source!A755</x:f>
        <x:v>C0007435</x:v>
      </x:c>
      <x:c r="B761" s="1" t="str">
        <x:f>_xlfn.IFNA(VLOOKUP(Source!B755,Advertisers!$A$5:$B$34,2,FALSE),"Missing advertiser")</x:f>
        <x:v>Synthetic advertiser 3</x:v>
      </x:c>
      <x:c r="C761" s="1" t="n">
        <x:f>Source!C755</x:f>
        <x:v>63</x:v>
      </x:c>
      <x:c r="D761" s="8" t="n">
        <x:f>Source!D755/100</x:f>
        <x:v>0</x:v>
      </x:c>
      <x:c r="E761" s="8" t="n">
        <x:f>Source!E755/100</x:f>
        <x:v>204.12</x:v>
      </x:c>
      <x:c r="F761" s="8" t="n">
        <x:f>Source!F755/100</x:f>
        <x:v>0</x:v>
      </x:c>
      <x:c r="G761" s="8" t="n">
        <x:f>Source!G755/100</x:f>
        <x:v>204.12</x:v>
      </x:c>
      <x:c r="H761" s="8" t="n">
        <x:f>G761-D761</x:f>
        <x:v>204.12</x:v>
      </x:c>
      <x:c r="I761" s="1" t="str">
        <x:f>IF(H761&gt;0,"Overbilled","Shortfall")</x:f>
        <x:v>Overbilled</x:v>
      </x:c>
      <x:c r="J761" s="7"/>
      <x:c r="K761" s="7" t="str">
        <x:v>Open</x:v>
      </x:c>
      <x:c r="L761" s="7"/>
    </x:row>
    <x:row r="762" ht="21" customHeight="1">
      <x:c r="A762" s="1" t="str">
        <x:f>Source!A756</x:f>
        <x:v>C0010363</x:v>
      </x:c>
      <x:c r="B762" s="1" t="str">
        <x:f>_xlfn.IFNA(VLOOKUP(Source!B756,Advertisers!$A$5:$B$34,2,FALSE),"Missing advertiser")</x:f>
        <x:v>Synthetic advertiser 3</x:v>
      </x:c>
      <x:c r="C762" s="1" t="n">
        <x:f>Source!C756</x:f>
        <x:v>63</x:v>
      </x:c>
      <x:c r="D762" s="8" t="n">
        <x:f>Source!D756/100</x:f>
        <x:v>204.12</x:v>
      </x:c>
      <x:c r="E762" s="8" t="n">
        <x:f>Source!E756/100</x:f>
        <x:v>408.24</x:v>
      </x:c>
      <x:c r="F762" s="8" t="n">
        <x:f>Source!F756/100</x:f>
        <x:v>0</x:v>
      </x:c>
      <x:c r="G762" s="8" t="n">
        <x:f>Source!G756/100</x:f>
        <x:v>408.24</x:v>
      </x:c>
      <x:c r="H762" s="8" t="n">
        <x:f>G762-D762</x:f>
        <x:v>204.12</x:v>
      </x:c>
      <x:c r="I762" s="1" t="str">
        <x:f>IF(H762&gt;0,"Overbilled","Shortfall")</x:f>
        <x:v>Overbilled</x:v>
      </x:c>
      <x:c r="J762" s="7"/>
      <x:c r="K762" s="7" t="str">
        <x:v>Open</x:v>
      </x:c>
      <x:c r="L762" s="7"/>
    </x:row>
    <x:row r="763" ht="21" customHeight="1">
      <x:c r="A763" s="1" t="str">
        <x:f>Source!A757</x:f>
        <x:v>C0006154</x:v>
      </x:c>
      <x:c r="B763" s="1" t="str">
        <x:f>_xlfn.IFNA(VLOOKUP(Source!B757,Advertisers!$A$5:$B$34,2,FALSE),"Missing advertiser")</x:f>
        <x:v>Synthetic advertiser 3</x:v>
      </x:c>
      <x:c r="C763" s="1" t="n">
        <x:f>Source!C757</x:f>
        <x:v>63</x:v>
      </x:c>
      <x:c r="D763" s="8" t="n">
        <x:f>Source!D757/100</x:f>
        <x:v>204.12</x:v>
      </x:c>
      <x:c r="E763" s="8" t="n">
        <x:f>Source!E757/100</x:f>
        <x:v>408.24</x:v>
      </x:c>
      <x:c r="F763" s="8" t="n">
        <x:f>Source!F757/100</x:f>
        <x:v>0</x:v>
      </x:c>
      <x:c r="G763" s="8" t="n">
        <x:f>Source!G757/100</x:f>
        <x:v>408.24</x:v>
      </x:c>
      <x:c r="H763" s="8" t="n">
        <x:f>G763-D763</x:f>
        <x:v>204.12</x:v>
      </x:c>
      <x:c r="I763" s="1" t="str">
        <x:f>IF(H763&gt;0,"Overbilled","Shortfall")</x:f>
        <x:v>Overbilled</x:v>
      </x:c>
      <x:c r="J763" s="7"/>
      <x:c r="K763" s="7" t="str">
        <x:v>Open</x:v>
      </x:c>
      <x:c r="L763" s="7"/>
    </x:row>
    <x:row r="764" ht="21" customHeight="1">
      <x:c r="A764" s="1" t="str">
        <x:f>Source!A758</x:f>
        <x:v>C0001564</x:v>
      </x:c>
      <x:c r="B764" s="1" t="str">
        <x:f>_xlfn.IFNA(VLOOKUP(Source!B758,Advertisers!$A$5:$B$34,2,FALSE),"Missing advertiser")</x:f>
        <x:v>Synthetic advertiser 3</x:v>
      </x:c>
      <x:c r="C764" s="1" t="n">
        <x:f>Source!C758</x:f>
        <x:v>63</x:v>
      </x:c>
      <x:c r="D764" s="8" t="n">
        <x:f>Source!D758/100</x:f>
        <x:v>204.12</x:v>
      </x:c>
      <x:c r="E764" s="8" t="n">
        <x:f>Source!E758/100</x:f>
        <x:v>0</x:v>
      </x:c>
      <x:c r="F764" s="8" t="n">
        <x:f>Source!F758/100</x:f>
        <x:v>0</x:v>
      </x:c>
      <x:c r="G764" s="8" t="n">
        <x:f>Source!G758/100</x:f>
        <x:v>0</x:v>
      </x:c>
      <x:c r="H764" s="8" t="n">
        <x:f>G764-D764</x:f>
        <x:v>-204.12</x:v>
      </x:c>
      <x:c r="I764" s="1" t="str">
        <x:f>IF(H764&gt;0,"Overbilled","Shortfall")</x:f>
        <x:v>Shortfall</x:v>
      </x:c>
      <x:c r="J764" s="7"/>
      <x:c r="K764" s="7" t="str">
        <x:v>Open</x:v>
      </x:c>
      <x:c r="L764" s="7"/>
    </x:row>
    <x:row r="765" ht="21" customHeight="1">
      <x:c r="A765" s="1" t="str">
        <x:f>Source!A759</x:f>
        <x:v>C0005585</x:v>
      </x:c>
      <x:c r="B765" s="1" t="str">
        <x:f>_xlfn.IFNA(VLOOKUP(Source!B759,Advertisers!$A$5:$B$34,2,FALSE),"Missing advertiser")</x:f>
        <x:v>Synthetic advertiser 3</x:v>
      </x:c>
      <x:c r="C765" s="1" t="n">
        <x:f>Source!C759</x:f>
        <x:v>63</x:v>
      </x:c>
      <x:c r="D765" s="8" t="n">
        <x:f>Source!D759/100</x:f>
        <x:v>204.12</x:v>
      </x:c>
      <x:c r="E765" s="8" t="n">
        <x:f>Source!E759/100</x:f>
        <x:v>408.24</x:v>
      </x:c>
      <x:c r="F765" s="8" t="n">
        <x:f>Source!F759/100</x:f>
        <x:v>0</x:v>
      </x:c>
      <x:c r="G765" s="8" t="n">
        <x:f>Source!G759/100</x:f>
        <x:v>408.24</x:v>
      </x:c>
      <x:c r="H765" s="8" t="n">
        <x:f>G765-D765</x:f>
        <x:v>204.12</x:v>
      </x:c>
      <x:c r="I765" s="1" t="str">
        <x:f>IF(H765&gt;0,"Overbilled","Shortfall")</x:f>
        <x:v>Overbilled</x:v>
      </x:c>
      <x:c r="J765" s="7"/>
      <x:c r="K765" s="7" t="str">
        <x:v>Open</x:v>
      </x:c>
      <x:c r="L765" s="7"/>
    </x:row>
    <x:row r="766" ht="21" customHeight="1">
      <x:c r="A766" s="1" t="str">
        <x:f>Source!A760</x:f>
        <x:v>C0004230</x:v>
      </x:c>
      <x:c r="B766" s="1" t="str">
        <x:f>_xlfn.IFNA(VLOOKUP(Source!B760,Advertisers!$A$5:$B$34,2,FALSE),"Missing advertiser")</x:f>
        <x:v>Synthetic advertiser 3</x:v>
      </x:c>
      <x:c r="C766" s="1" t="n">
        <x:f>Source!C760</x:f>
        <x:v>63</x:v>
      </x:c>
      <x:c r="D766" s="8" t="n">
        <x:f>Source!D760/100</x:f>
        <x:v>204.12</x:v>
      </x:c>
      <x:c r="E766" s="8" t="n">
        <x:f>Source!E760/100</x:f>
        <x:v>408.24</x:v>
      </x:c>
      <x:c r="F766" s="8" t="n">
        <x:f>Source!F760/100</x:f>
        <x:v>0</x:v>
      </x:c>
      <x:c r="G766" s="8" t="n">
        <x:f>Source!G760/100</x:f>
        <x:v>408.24</x:v>
      </x:c>
      <x:c r="H766" s="8" t="n">
        <x:f>G766-D766</x:f>
        <x:v>204.12</x:v>
      </x:c>
      <x:c r="I766" s="1" t="str">
        <x:f>IF(H766&gt;0,"Overbilled","Shortfall")</x:f>
        <x:v>Overbilled</x:v>
      </x:c>
      <x:c r="J766" s="7"/>
      <x:c r="K766" s="7" t="str">
        <x:v>Open</x:v>
      </x:c>
      <x:c r="L766" s="7"/>
    </x:row>
    <x:row r="767" ht="21" customHeight="1">
      <x:c r="A767" s="1" t="str">
        <x:f>Source!A761</x:f>
        <x:v>C0009979</x:v>
      </x:c>
      <x:c r="B767" s="1" t="str">
        <x:f>_xlfn.IFNA(VLOOKUP(Source!B761,Advertisers!$A$5:$B$34,2,FALSE),"Missing advertiser")</x:f>
        <x:v>Synthetic advertiser 3</x:v>
      </x:c>
      <x:c r="C767" s="1" t="n">
        <x:f>Source!C761</x:f>
        <x:v>63</x:v>
      </x:c>
      <x:c r="D767" s="8" t="n">
        <x:f>Source!D761/100</x:f>
        <x:v>204.12</x:v>
      </x:c>
      <x:c r="E767" s="8" t="n">
        <x:f>Source!E761/100</x:f>
        <x:v>0</x:v>
      </x:c>
      <x:c r="F767" s="8" t="n">
        <x:f>Source!F761/100</x:f>
        <x:v>0</x:v>
      </x:c>
      <x:c r="G767" s="8" t="n">
        <x:f>Source!G761/100</x:f>
        <x:v>0</x:v>
      </x:c>
      <x:c r="H767" s="8" t="n">
        <x:f>G767-D767</x:f>
        <x:v>-204.12</x:v>
      </x:c>
      <x:c r="I767" s="1" t="str">
        <x:f>IF(H767&gt;0,"Overbilled","Shortfall")</x:f>
        <x:v>Shortfall</x:v>
      </x:c>
      <x:c r="J767" s="7"/>
      <x:c r="K767" s="7" t="str">
        <x:v>Open</x:v>
      </x:c>
      <x:c r="L767" s="7"/>
    </x:row>
    <x:row r="768" ht="21" customHeight="1">
      <x:c r="A768" s="1" t="str">
        <x:f>Source!A762</x:f>
        <x:v>C0016158</x:v>
      </x:c>
      <x:c r="B768" s="1" t="str">
        <x:f>_xlfn.IFNA(VLOOKUP(Source!B762,Advertisers!$A$5:$B$34,2,FALSE),"Missing advertiser")</x:f>
        <x:v>Synthetic advertiser 15</x:v>
      </x:c>
      <x:c r="C768" s="1" t="n">
        <x:f>Source!C762</x:f>
        <x:v>105</x:v>
      </x:c>
      <x:c r="D768" s="8" t="n">
        <x:f>Source!D762/100</x:f>
        <x:v>203.79</x:v>
      </x:c>
      <x:c r="E768" s="8" t="n">
        <x:f>Source!E762/100</x:f>
        <x:v>0</x:v>
      </x:c>
      <x:c r="F768" s="8" t="n">
        <x:f>Source!F762/100</x:f>
        <x:v>0</x:v>
      </x:c>
      <x:c r="G768" s="8" t="n">
        <x:f>Source!G762/100</x:f>
        <x:v>0</x:v>
      </x:c>
      <x:c r="H768" s="8" t="n">
        <x:f>G768-D768</x:f>
        <x:v>-203.79</x:v>
      </x:c>
      <x:c r="I768" s="1" t="str">
        <x:f>IF(H768&gt;0,"Overbilled","Shortfall")</x:f>
        <x:v>Shortfall</x:v>
      </x:c>
      <x:c r="J768" s="7"/>
      <x:c r="K768" s="7" t="str">
        <x:v>Open</x:v>
      </x:c>
      <x:c r="L768" s="7"/>
    </x:row>
    <x:row r="769" ht="21" customHeight="1">
      <x:c r="A769" s="1" t="str">
        <x:f>Source!A763</x:f>
        <x:v>C0001783</x:v>
      </x:c>
      <x:c r="B769" s="1" t="str">
        <x:f>_xlfn.IFNA(VLOOKUP(Source!B763,Advertisers!$A$5:$B$34,2,FALSE),"Missing advertiser")</x:f>
        <x:v>Synthetic advertiser 15</x:v>
      </x:c>
      <x:c r="C769" s="1" t="n">
        <x:f>Source!C763</x:f>
        <x:v>105</x:v>
      </x:c>
      <x:c r="D769" s="8" t="n">
        <x:f>Source!D763/100</x:f>
        <x:v>203.79</x:v>
      </x:c>
      <x:c r="E769" s="8" t="n">
        <x:f>Source!E763/100</x:f>
        <x:v>0</x:v>
      </x:c>
      <x:c r="F769" s="8" t="n">
        <x:f>Source!F763/100</x:f>
        <x:v>0</x:v>
      </x:c>
      <x:c r="G769" s="8" t="n">
        <x:f>Source!G763/100</x:f>
        <x:v>0</x:v>
      </x:c>
      <x:c r="H769" s="8" t="n">
        <x:f>G769-D769</x:f>
        <x:v>-203.79</x:v>
      </x:c>
      <x:c r="I769" s="1" t="str">
        <x:f>IF(H769&gt;0,"Overbilled","Shortfall")</x:f>
        <x:v>Shortfall</x:v>
      </x:c>
      <x:c r="J769" s="7"/>
      <x:c r="K769" s="7" t="str">
        <x:v>Open</x:v>
      </x:c>
      <x:c r="L769" s="7"/>
    </x:row>
    <x:row r="770" ht="21" customHeight="1">
      <x:c r="A770" s="1" t="str">
        <x:f>Source!A764</x:f>
        <x:v>C0010597</x:v>
      </x:c>
      <x:c r="B770" s="1" t="str">
        <x:f>_xlfn.IFNA(VLOOKUP(Source!B764,Advertisers!$A$5:$B$34,2,FALSE),"Missing advertiser")</x:f>
        <x:v>Synthetic advertiser 15</x:v>
      </x:c>
      <x:c r="C770" s="1" t="n">
        <x:f>Source!C764</x:f>
        <x:v>105</x:v>
      </x:c>
      <x:c r="D770" s="8" t="n">
        <x:f>Source!D764/100</x:f>
        <x:v>203.79</x:v>
      </x:c>
      <x:c r="E770" s="8" t="n">
        <x:f>Source!E764/100</x:f>
        <x:v>0</x:v>
      </x:c>
      <x:c r="F770" s="8" t="n">
        <x:f>Source!F764/100</x:f>
        <x:v>0</x:v>
      </x:c>
      <x:c r="G770" s="8" t="n">
        <x:f>Source!G764/100</x:f>
        <x:v>0</x:v>
      </x:c>
      <x:c r="H770" s="8" t="n">
        <x:f>G770-D770</x:f>
        <x:v>-203.79</x:v>
      </x:c>
      <x:c r="I770" s="1" t="str">
        <x:f>IF(H770&gt;0,"Overbilled","Shortfall")</x:f>
        <x:v>Shortfall</x:v>
      </x:c>
      <x:c r="J770" s="7"/>
      <x:c r="K770" s="7" t="str">
        <x:v>Open</x:v>
      </x:c>
      <x:c r="L770" s="7"/>
    </x:row>
    <x:row r="771" ht="21" customHeight="1">
      <x:c r="A771" s="1" t="str">
        <x:f>Source!A765</x:f>
        <x:v>C0002860</x:v>
      </x:c>
      <x:c r="B771" s="1" t="str">
        <x:f>_xlfn.IFNA(VLOOKUP(Source!B765,Advertisers!$A$5:$B$34,2,FALSE),"Missing advertiser")</x:f>
        <x:v>Synthetic advertiser 15</x:v>
      </x:c>
      <x:c r="C771" s="1" t="n">
        <x:f>Source!C765</x:f>
        <x:v>105</x:v>
      </x:c>
      <x:c r="D771" s="8" t="n">
        <x:f>Source!D765/100</x:f>
        <x:v>203.79</x:v>
      </x:c>
      <x:c r="E771" s="8" t="n">
        <x:f>Source!E765/100</x:f>
        <x:v>0</x:v>
      </x:c>
      <x:c r="F771" s="8" t="n">
        <x:f>Source!F765/100</x:f>
        <x:v>0</x:v>
      </x:c>
      <x:c r="G771" s="8" t="n">
        <x:f>Source!G765/100</x:f>
        <x:v>0</x:v>
      </x:c>
      <x:c r="H771" s="8" t="n">
        <x:f>G771-D771</x:f>
        <x:v>-203.79</x:v>
      </x:c>
      <x:c r="I771" s="1" t="str">
        <x:f>IF(H771&gt;0,"Overbilled","Shortfall")</x:f>
        <x:v>Shortfall</x:v>
      </x:c>
      <x:c r="J771" s="7"/>
      <x:c r="K771" s="7" t="str">
        <x:v>Open</x:v>
      </x:c>
      <x:c r="L771" s="7"/>
    </x:row>
    <x:row r="772" ht="21" customHeight="1">
      <x:c r="A772" s="1" t="str">
        <x:f>Source!A766</x:f>
        <x:v>C0012568</x:v>
      </x:c>
      <x:c r="B772" s="1" t="str">
        <x:f>_xlfn.IFNA(VLOOKUP(Source!B766,Advertisers!$A$5:$B$34,2,FALSE),"Missing advertiser")</x:f>
        <x:v>Synthetic advertiser 15</x:v>
      </x:c>
      <x:c r="C772" s="1" t="n">
        <x:f>Source!C766</x:f>
        <x:v>105</x:v>
      </x:c>
      <x:c r="D772" s="8" t="n">
        <x:f>Source!D766/100</x:f>
        <x:v>203.79</x:v>
      </x:c>
      <x:c r="E772" s="8" t="n">
        <x:f>Source!E766/100</x:f>
        <x:v>407.58</x:v>
      </x:c>
      <x:c r="F772" s="8" t="n">
        <x:f>Source!F766/100</x:f>
        <x:v>0</x:v>
      </x:c>
      <x:c r="G772" s="8" t="n">
        <x:f>Source!G766/100</x:f>
        <x:v>407.58</x:v>
      </x:c>
      <x:c r="H772" s="8" t="n">
        <x:f>G772-D772</x:f>
        <x:v>203.79</x:v>
      </x:c>
      <x:c r="I772" s="1" t="str">
        <x:f>IF(H772&gt;0,"Overbilled","Shortfall")</x:f>
        <x:v>Overbilled</x:v>
      </x:c>
      <x:c r="J772" s="7"/>
      <x:c r="K772" s="7" t="str">
        <x:v>Open</x:v>
      </x:c>
      <x:c r="L772" s="7"/>
    </x:row>
    <x:row r="773" ht="21" customHeight="1">
      <x:c r="A773" s="1" t="str">
        <x:f>Source!A767</x:f>
        <x:v>C0012443</x:v>
      </x:c>
      <x:c r="B773" s="1" t="str">
        <x:f>_xlfn.IFNA(VLOOKUP(Source!B767,Advertisers!$A$5:$B$34,2,FALSE),"Missing advertiser")</x:f>
        <x:v>Synthetic advertiser 15</x:v>
      </x:c>
      <x:c r="C773" s="1" t="n">
        <x:f>Source!C767</x:f>
        <x:v>105</x:v>
      </x:c>
      <x:c r="D773" s="8" t="n">
        <x:f>Source!D767/100</x:f>
        <x:v>203.79</x:v>
      </x:c>
      <x:c r="E773" s="8" t="n">
        <x:f>Source!E767/100</x:f>
        <x:v>407.58</x:v>
      </x:c>
      <x:c r="F773" s="8" t="n">
        <x:f>Source!F767/100</x:f>
        <x:v>0</x:v>
      </x:c>
      <x:c r="G773" s="8" t="n">
        <x:f>Source!G767/100</x:f>
        <x:v>407.58</x:v>
      </x:c>
      <x:c r="H773" s="8" t="n">
        <x:f>G773-D773</x:f>
        <x:v>203.79</x:v>
      </x:c>
      <x:c r="I773" s="1" t="str">
        <x:f>IF(H773&gt;0,"Overbilled","Shortfall")</x:f>
        <x:v>Overbilled</x:v>
      </x:c>
      <x:c r="J773" s="7"/>
      <x:c r="K773" s="7" t="str">
        <x:v>Open</x:v>
      </x:c>
      <x:c r="L773" s="7"/>
    </x:row>
    <x:row r="774" ht="21" customHeight="1">
      <x:c r="A774" s="1" t="str">
        <x:f>Source!A768</x:f>
        <x:v>C0005364</x:v>
      </x:c>
      <x:c r="B774" s="1" t="str">
        <x:f>_xlfn.IFNA(VLOOKUP(Source!B768,Advertisers!$A$5:$B$34,2,FALSE),"Missing advertiser")</x:f>
        <x:v>Synthetic advertiser 15</x:v>
      </x:c>
      <x:c r="C774" s="1" t="n">
        <x:f>Source!C768</x:f>
        <x:v>105</x:v>
      </x:c>
      <x:c r="D774" s="8" t="n">
        <x:f>Source!D768/100</x:f>
        <x:v>203.79</x:v>
      </x:c>
      <x:c r="E774" s="8" t="n">
        <x:f>Source!E768/100</x:f>
        <x:v>0</x:v>
      </x:c>
      <x:c r="F774" s="8" t="n">
        <x:f>Source!F768/100</x:f>
        <x:v>0</x:v>
      </x:c>
      <x:c r="G774" s="8" t="n">
        <x:f>Source!G768/100</x:f>
        <x:v>0</x:v>
      </x:c>
      <x:c r="H774" s="8" t="n">
        <x:f>G774-D774</x:f>
        <x:v>-203.79</x:v>
      </x:c>
      <x:c r="I774" s="1" t="str">
        <x:f>IF(H774&gt;0,"Overbilled","Shortfall")</x:f>
        <x:v>Shortfall</x:v>
      </x:c>
      <x:c r="J774" s="7"/>
      <x:c r="K774" s="7" t="str">
        <x:v>Open</x:v>
      </x:c>
      <x:c r="L774" s="7"/>
    </x:row>
    <x:row r="775" ht="21" customHeight="1">
      <x:c r="A775" s="1" t="str">
        <x:f>Source!A769</x:f>
        <x:v>C0009664</x:v>
      </x:c>
      <x:c r="B775" s="1" t="str">
        <x:f>_xlfn.IFNA(VLOOKUP(Source!B769,Advertisers!$A$5:$B$34,2,FALSE),"Missing advertiser")</x:f>
        <x:v>Synthetic advertiser 15</x:v>
      </x:c>
      <x:c r="C775" s="1" t="n">
        <x:f>Source!C769</x:f>
        <x:v>105</x:v>
      </x:c>
      <x:c r="D775" s="8" t="n">
        <x:f>Source!D769/100</x:f>
        <x:v>203.79</x:v>
      </x:c>
      <x:c r="E775" s="8" t="n">
        <x:f>Source!E769/100</x:f>
        <x:v>407.58</x:v>
      </x:c>
      <x:c r="F775" s="8" t="n">
        <x:f>Source!F769/100</x:f>
        <x:v>0</x:v>
      </x:c>
      <x:c r="G775" s="8" t="n">
        <x:f>Source!G769/100</x:f>
        <x:v>407.58</x:v>
      </x:c>
      <x:c r="H775" s="8" t="n">
        <x:f>G775-D775</x:f>
        <x:v>203.79</x:v>
      </x:c>
      <x:c r="I775" s="1" t="str">
        <x:f>IF(H775&gt;0,"Overbilled","Shortfall")</x:f>
        <x:v>Overbilled</x:v>
      </x:c>
      <x:c r="J775" s="7"/>
      <x:c r="K775" s="7" t="str">
        <x:v>Open</x:v>
      </x:c>
      <x:c r="L775" s="7"/>
    </x:row>
    <x:row r="776" ht="21" customHeight="1">
      <x:c r="A776" s="1" t="str">
        <x:f>Source!A770</x:f>
        <x:v>C0011033</x:v>
      </x:c>
      <x:c r="B776" s="1" t="str">
        <x:f>_xlfn.IFNA(VLOOKUP(Source!B770,Advertisers!$A$5:$B$34,2,FALSE),"Missing advertiser")</x:f>
        <x:v>Synthetic advertiser 12</x:v>
      </x:c>
      <x:c r="C776" s="1" t="n">
        <x:f>Source!C770</x:f>
        <x:v>42</x:v>
      </x:c>
      <x:c r="D776" s="8" t="n">
        <x:f>Source!D770/100</x:f>
        <x:v>202.79</x:v>
      </x:c>
      <x:c r="E776" s="8" t="n">
        <x:f>Source!E770/100</x:f>
        <x:v>405.58</x:v>
      </x:c>
      <x:c r="F776" s="8" t="n">
        <x:f>Source!F770/100</x:f>
        <x:v>0</x:v>
      </x:c>
      <x:c r="G776" s="8" t="n">
        <x:f>Source!G770/100</x:f>
        <x:v>405.58</x:v>
      </x:c>
      <x:c r="H776" s="8" t="n">
        <x:f>G776-D776</x:f>
        <x:v>202.79</x:v>
      </x:c>
      <x:c r="I776" s="1" t="str">
        <x:f>IF(H776&gt;0,"Overbilled","Shortfall")</x:f>
        <x:v>Overbilled</x:v>
      </x:c>
      <x:c r="J776" s="7"/>
      <x:c r="K776" s="7" t="str">
        <x:v>Open</x:v>
      </x:c>
      <x:c r="L776" s="7"/>
    </x:row>
    <x:row r="777" ht="21" customHeight="1">
      <x:c r="A777" s="1" t="str">
        <x:f>Source!A771</x:f>
        <x:v>C0017711</x:v>
      </x:c>
      <x:c r="B777" s="1" t="str">
        <x:f>_xlfn.IFNA(VLOOKUP(Source!B771,Advertisers!$A$5:$B$34,2,FALSE),"Missing advertiser")</x:f>
        <x:v>Synthetic advertiser 12</x:v>
      </x:c>
      <x:c r="C777" s="1" t="n">
        <x:f>Source!C771</x:f>
        <x:v>42</x:v>
      </x:c>
      <x:c r="D777" s="8" t="n">
        <x:f>Source!D771/100</x:f>
        <x:v>202.79</x:v>
      </x:c>
      <x:c r="E777" s="8" t="n">
        <x:f>Source!E771/100</x:f>
        <x:v>405.58</x:v>
      </x:c>
      <x:c r="F777" s="8" t="n">
        <x:f>Source!F771/100</x:f>
        <x:v>0</x:v>
      </x:c>
      <x:c r="G777" s="8" t="n">
        <x:f>Source!G771/100</x:f>
        <x:v>405.58</x:v>
      </x:c>
      <x:c r="H777" s="8" t="n">
        <x:f>G777-D777</x:f>
        <x:v>202.79</x:v>
      </x:c>
      <x:c r="I777" s="1" t="str">
        <x:f>IF(H777&gt;0,"Overbilled","Shortfall")</x:f>
        <x:v>Overbilled</x:v>
      </x:c>
      <x:c r="J777" s="7"/>
      <x:c r="K777" s="7" t="str">
        <x:v>Open</x:v>
      </x:c>
      <x:c r="L777" s="7"/>
    </x:row>
    <x:row r="778" ht="21" customHeight="1">
      <x:c r="A778" s="1" t="str">
        <x:f>Source!A772</x:f>
        <x:v>C0012972</x:v>
      </x:c>
      <x:c r="B778" s="1" t="str">
        <x:f>_xlfn.IFNA(VLOOKUP(Source!B772,Advertisers!$A$5:$B$34,2,FALSE),"Missing advertiser")</x:f>
        <x:v>Synthetic advertiser 12</x:v>
      </x:c>
      <x:c r="C778" s="1" t="n">
        <x:f>Source!C772</x:f>
        <x:v>42</x:v>
      </x:c>
      <x:c r="D778" s="8" t="n">
        <x:f>Source!D772/100</x:f>
        <x:v>202.79</x:v>
      </x:c>
      <x:c r="E778" s="8" t="n">
        <x:f>Source!E772/100</x:f>
        <x:v>405.58</x:v>
      </x:c>
      <x:c r="F778" s="8" t="n">
        <x:f>Source!F772/100</x:f>
        <x:v>0</x:v>
      </x:c>
      <x:c r="G778" s="8" t="n">
        <x:f>Source!G772/100</x:f>
        <x:v>405.58</x:v>
      </x:c>
      <x:c r="H778" s="8" t="n">
        <x:f>G778-D778</x:f>
        <x:v>202.79</x:v>
      </x:c>
      <x:c r="I778" s="1" t="str">
        <x:f>IF(H778&gt;0,"Overbilled","Shortfall")</x:f>
        <x:v>Overbilled</x:v>
      </x:c>
      <x:c r="J778" s="7"/>
      <x:c r="K778" s="7" t="str">
        <x:v>Open</x:v>
      </x:c>
      <x:c r="L778" s="7"/>
    </x:row>
    <x:row r="779" ht="21" customHeight="1">
      <x:c r="A779" s="1" t="str">
        <x:f>Source!A773</x:f>
        <x:v>C0011512</x:v>
      </x:c>
      <x:c r="B779" s="1" t="str">
        <x:f>_xlfn.IFNA(VLOOKUP(Source!B773,Advertisers!$A$5:$B$34,2,FALSE),"Missing advertiser")</x:f>
        <x:v>Synthetic advertiser 12</x:v>
      </x:c>
      <x:c r="C779" s="1" t="n">
        <x:f>Source!C773</x:f>
        <x:v>42</x:v>
      </x:c>
      <x:c r="D779" s="8" t="n">
        <x:f>Source!D773/100</x:f>
        <x:v>202.79</x:v>
      </x:c>
      <x:c r="E779" s="8" t="n">
        <x:f>Source!E773/100</x:f>
        <x:v>0</x:v>
      </x:c>
      <x:c r="F779" s="8" t="n">
        <x:f>Source!F773/100</x:f>
        <x:v>0</x:v>
      </x:c>
      <x:c r="G779" s="8" t="n">
        <x:f>Source!G773/100</x:f>
        <x:v>0</x:v>
      </x:c>
      <x:c r="H779" s="8" t="n">
        <x:f>G779-D779</x:f>
        <x:v>-202.79</x:v>
      </x:c>
      <x:c r="I779" s="1" t="str">
        <x:f>IF(H779&gt;0,"Overbilled","Shortfall")</x:f>
        <x:v>Shortfall</x:v>
      </x:c>
      <x:c r="J779" s="7"/>
      <x:c r="K779" s="7" t="str">
        <x:v>Open</x:v>
      </x:c>
      <x:c r="L779" s="7"/>
    </x:row>
    <x:row r="780" ht="21" customHeight="1">
      <x:c r="A780" s="1" t="str">
        <x:f>Source!A774</x:f>
        <x:v>C0017721</x:v>
      </x:c>
      <x:c r="B780" s="1" t="str">
        <x:f>_xlfn.IFNA(VLOOKUP(Source!B774,Advertisers!$A$5:$B$34,2,FALSE),"Missing advertiser")</x:f>
        <x:v>Synthetic advertiser 12</x:v>
      </x:c>
      <x:c r="C780" s="1" t="n">
        <x:f>Source!C774</x:f>
        <x:v>42</x:v>
      </x:c>
      <x:c r="D780" s="8" t="n">
        <x:f>Source!D774/100</x:f>
        <x:v>0</x:v>
      </x:c>
      <x:c r="E780" s="8" t="n">
        <x:f>Source!E774/100</x:f>
        <x:v>202.79</x:v>
      </x:c>
      <x:c r="F780" s="8" t="n">
        <x:f>Source!F774/100</x:f>
        <x:v>0</x:v>
      </x:c>
      <x:c r="G780" s="8" t="n">
        <x:f>Source!G774/100</x:f>
        <x:v>202.79</x:v>
      </x:c>
      <x:c r="H780" s="8" t="n">
        <x:f>G780-D780</x:f>
        <x:v>202.79</x:v>
      </x:c>
      <x:c r="I780" s="1" t="str">
        <x:f>IF(H780&gt;0,"Overbilled","Shortfall")</x:f>
        <x:v>Overbilled</x:v>
      </x:c>
      <x:c r="J780" s="7"/>
      <x:c r="K780" s="7" t="str">
        <x:v>Open</x:v>
      </x:c>
      <x:c r="L780" s="7"/>
    </x:row>
    <x:row r="781" ht="21" customHeight="1">
      <x:c r="A781" s="1" t="str">
        <x:f>Source!A775</x:f>
        <x:v>C0014644</x:v>
      </x:c>
      <x:c r="B781" s="1" t="str">
        <x:f>_xlfn.IFNA(VLOOKUP(Source!B775,Advertisers!$A$5:$B$34,2,FALSE),"Missing advertiser")</x:f>
        <x:v>Synthetic advertiser 7</x:v>
      </x:c>
      <x:c r="C781" s="1" t="n">
        <x:f>Source!C775</x:f>
        <x:v>67</x:v>
      </x:c>
      <x:c r="D781" s="8" t="n">
        <x:f>Source!D775/100</x:f>
        <x:v>202.58</x:v>
      </x:c>
      <x:c r="E781" s="8" t="n">
        <x:f>Source!E775/100</x:f>
        <x:v>0</x:v>
      </x:c>
      <x:c r="F781" s="8" t="n">
        <x:f>Source!F775/100</x:f>
        <x:v>0</x:v>
      </x:c>
      <x:c r="G781" s="8" t="n">
        <x:f>Source!G775/100</x:f>
        <x:v>0</x:v>
      </x:c>
      <x:c r="H781" s="8" t="n">
        <x:f>G781-D781</x:f>
        <x:v>-202.58</x:v>
      </x:c>
      <x:c r="I781" s="1" t="str">
        <x:f>IF(H781&gt;0,"Overbilled","Shortfall")</x:f>
        <x:v>Shortfall</x:v>
      </x:c>
      <x:c r="J781" s="7"/>
      <x:c r="K781" s="7" t="str">
        <x:v>Open</x:v>
      </x:c>
      <x:c r="L781" s="7"/>
    </x:row>
    <x:row r="782" ht="21" customHeight="1">
      <x:c r="A782" s="1" t="str">
        <x:f>Source!A776</x:f>
        <x:v>C0008896</x:v>
      </x:c>
      <x:c r="B782" s="1" t="str">
        <x:f>_xlfn.IFNA(VLOOKUP(Source!B776,Advertisers!$A$5:$B$34,2,FALSE),"Missing advertiser")</x:f>
        <x:v>Synthetic advertiser 7</x:v>
      </x:c>
      <x:c r="C782" s="1" t="n">
        <x:f>Source!C776</x:f>
        <x:v>67</x:v>
      </x:c>
      <x:c r="D782" s="8" t="n">
        <x:f>Source!D776/100</x:f>
        <x:v>0</x:v>
      </x:c>
      <x:c r="E782" s="8" t="n">
        <x:f>Source!E776/100</x:f>
        <x:v>202.58</x:v>
      </x:c>
      <x:c r="F782" s="8" t="n">
        <x:f>Source!F776/100</x:f>
        <x:v>0</x:v>
      </x:c>
      <x:c r="G782" s="8" t="n">
        <x:f>Source!G776/100</x:f>
        <x:v>202.58</x:v>
      </x:c>
      <x:c r="H782" s="8" t="n">
        <x:f>G782-D782</x:f>
        <x:v>202.58</x:v>
      </x:c>
      <x:c r="I782" s="1" t="str">
        <x:f>IF(H782&gt;0,"Overbilled","Shortfall")</x:f>
        <x:v>Overbilled</x:v>
      </x:c>
      <x:c r="J782" s="7"/>
      <x:c r="K782" s="7" t="str">
        <x:v>Open</x:v>
      </x:c>
      <x:c r="L782" s="7"/>
    </x:row>
    <x:row r="783" ht="21" customHeight="1">
      <x:c r="A783" s="1" t="str">
        <x:f>Source!A777</x:f>
        <x:v>C0004824</x:v>
      </x:c>
      <x:c r="B783" s="1" t="str">
        <x:f>_xlfn.IFNA(VLOOKUP(Source!B777,Advertisers!$A$5:$B$34,2,FALSE),"Missing advertiser")</x:f>
        <x:v>Synthetic advertiser 7</x:v>
      </x:c>
      <x:c r="C783" s="1" t="n">
        <x:f>Source!C777</x:f>
        <x:v>67</x:v>
      </x:c>
      <x:c r="D783" s="8" t="n">
        <x:f>Source!D777/100</x:f>
        <x:v>202.58</x:v>
      </x:c>
      <x:c r="E783" s="8" t="n">
        <x:f>Source!E777/100</x:f>
        <x:v>0</x:v>
      </x:c>
      <x:c r="F783" s="8" t="n">
        <x:f>Source!F777/100</x:f>
        <x:v>0</x:v>
      </x:c>
      <x:c r="G783" s="8" t="n">
        <x:f>Source!G777/100</x:f>
        <x:v>0</x:v>
      </x:c>
      <x:c r="H783" s="8" t="n">
        <x:f>G783-D783</x:f>
        <x:v>-202.58</x:v>
      </x:c>
      <x:c r="I783" s="1" t="str">
        <x:f>IF(H783&gt;0,"Overbilled","Shortfall")</x:f>
        <x:v>Shortfall</x:v>
      </x:c>
      <x:c r="J783" s="7"/>
      <x:c r="K783" s="7" t="str">
        <x:v>Open</x:v>
      </x:c>
      <x:c r="L783" s="7"/>
    </x:row>
    <x:row r="784" ht="21" customHeight="1">
      <x:c r="A784" s="1" t="str">
        <x:f>Source!A778</x:f>
        <x:v>C0013954</x:v>
      </x:c>
      <x:c r="B784" s="1" t="str">
        <x:f>_xlfn.IFNA(VLOOKUP(Source!B778,Advertisers!$A$5:$B$34,2,FALSE),"Missing advertiser")</x:f>
        <x:v>Synthetic advertiser 7</x:v>
      </x:c>
      <x:c r="C784" s="1" t="n">
        <x:f>Source!C778</x:f>
        <x:v>67</x:v>
      </x:c>
      <x:c r="D784" s="8" t="n">
        <x:f>Source!D778/100</x:f>
        <x:v>0</x:v>
      </x:c>
      <x:c r="E784" s="8" t="n">
        <x:f>Source!E778/100</x:f>
        <x:v>202.58</x:v>
      </x:c>
      <x:c r="F784" s="8" t="n">
        <x:f>Source!F778/100</x:f>
        <x:v>0</x:v>
      </x:c>
      <x:c r="G784" s="8" t="n">
        <x:f>Source!G778/100</x:f>
        <x:v>202.58</x:v>
      </x:c>
      <x:c r="H784" s="8" t="n">
        <x:f>G784-D784</x:f>
        <x:v>202.58</x:v>
      </x:c>
      <x:c r="I784" s="1" t="str">
        <x:f>IF(H784&gt;0,"Overbilled","Shortfall")</x:f>
        <x:v>Overbilled</x:v>
      </x:c>
      <x:c r="J784" s="7"/>
      <x:c r="K784" s="7" t="str">
        <x:v>Open</x:v>
      </x:c>
      <x:c r="L784" s="7"/>
    </x:row>
    <x:row r="785" ht="21" customHeight="1">
      <x:c r="A785" s="1" t="str">
        <x:f>Source!A779</x:f>
        <x:v>C0008568</x:v>
      </x:c>
      <x:c r="B785" s="1" t="str">
        <x:f>_xlfn.IFNA(VLOOKUP(Source!B779,Advertisers!$A$5:$B$34,2,FALSE),"Missing advertiser")</x:f>
        <x:v>Synthetic advertiser 7</x:v>
      </x:c>
      <x:c r="C785" s="1" t="n">
        <x:f>Source!C779</x:f>
        <x:v>67</x:v>
      </x:c>
      <x:c r="D785" s="8" t="n">
        <x:f>Source!D779/100</x:f>
        <x:v>202.58</x:v>
      </x:c>
      <x:c r="E785" s="8" t="n">
        <x:f>Source!E779/100</x:f>
        <x:v>405.16</x:v>
      </x:c>
      <x:c r="F785" s="8" t="n">
        <x:f>Source!F779/100</x:f>
        <x:v>0</x:v>
      </x:c>
      <x:c r="G785" s="8" t="n">
        <x:f>Source!G779/100</x:f>
        <x:v>405.16</x:v>
      </x:c>
      <x:c r="H785" s="8" t="n">
        <x:f>G785-D785</x:f>
        <x:v>202.58</x:v>
      </x:c>
      <x:c r="I785" s="1" t="str">
        <x:f>IF(H785&gt;0,"Overbilled","Shortfall")</x:f>
        <x:v>Overbilled</x:v>
      </x:c>
      <x:c r="J785" s="7"/>
      <x:c r="K785" s="7" t="str">
        <x:v>Open</x:v>
      </x:c>
      <x:c r="L785" s="7"/>
    </x:row>
    <x:row r="786" ht="21" customHeight="1">
      <x:c r="A786" s="1" t="str">
        <x:f>Source!A780</x:f>
        <x:v>C0010698</x:v>
      </x:c>
      <x:c r="B786" s="1" t="str">
        <x:f>_xlfn.IFNA(VLOOKUP(Source!B780,Advertisers!$A$5:$B$34,2,FALSE),"Missing advertiser")</x:f>
        <x:v>Synthetic advertiser 15</x:v>
      </x:c>
      <x:c r="C786" s="1" t="n">
        <x:f>Source!C780</x:f>
        <x:v>75</x:v>
      </x:c>
      <x:c r="D786" s="8" t="n">
        <x:f>Source!D780/100</x:f>
        <x:v>202.54</x:v>
      </x:c>
      <x:c r="E786" s="8" t="n">
        <x:f>Source!E780/100</x:f>
        <x:v>405.08</x:v>
      </x:c>
      <x:c r="F786" s="8" t="n">
        <x:f>Source!F780/100</x:f>
        <x:v>0</x:v>
      </x:c>
      <x:c r="G786" s="8" t="n">
        <x:f>Source!G780/100</x:f>
        <x:v>405.08</x:v>
      </x:c>
      <x:c r="H786" s="8" t="n">
        <x:f>G786-D786</x:f>
        <x:v>202.54</x:v>
      </x:c>
      <x:c r="I786" s="1" t="str">
        <x:f>IF(H786&gt;0,"Overbilled","Shortfall")</x:f>
        <x:v>Overbilled</x:v>
      </x:c>
      <x:c r="J786" s="7"/>
      <x:c r="K786" s="7" t="str">
        <x:v>Open</x:v>
      </x:c>
      <x:c r="L786" s="7"/>
    </x:row>
    <x:row r="787" ht="21" customHeight="1">
      <x:c r="A787" s="1" t="str">
        <x:f>Source!A781</x:f>
        <x:v>C0001227</x:v>
      </x:c>
      <x:c r="B787" s="1" t="str">
        <x:f>_xlfn.IFNA(VLOOKUP(Source!B781,Advertisers!$A$5:$B$34,2,FALSE),"Missing advertiser")</x:f>
        <x:v>Synthetic advertiser 15</x:v>
      </x:c>
      <x:c r="C787" s="1" t="n">
        <x:f>Source!C781</x:f>
        <x:v>75</x:v>
      </x:c>
      <x:c r="D787" s="8" t="n">
        <x:f>Source!D781/100</x:f>
        <x:v>202.54</x:v>
      </x:c>
      <x:c r="E787" s="8" t="n">
        <x:f>Source!E781/100</x:f>
        <x:v>405.08</x:v>
      </x:c>
      <x:c r="F787" s="8" t="n">
        <x:f>Source!F781/100</x:f>
        <x:v>0</x:v>
      </x:c>
      <x:c r="G787" s="8" t="n">
        <x:f>Source!G781/100</x:f>
        <x:v>405.08</x:v>
      </x:c>
      <x:c r="H787" s="8" t="n">
        <x:f>G787-D787</x:f>
        <x:v>202.54</x:v>
      </x:c>
      <x:c r="I787" s="1" t="str">
        <x:f>IF(H787&gt;0,"Overbilled","Shortfall")</x:f>
        <x:v>Overbilled</x:v>
      </x:c>
      <x:c r="J787" s="7"/>
      <x:c r="K787" s="7" t="str">
        <x:v>Open</x:v>
      </x:c>
      <x:c r="L787" s="7"/>
    </x:row>
    <x:row r="788" ht="21" customHeight="1">
      <x:c r="A788" s="1" t="str">
        <x:f>Source!A782</x:f>
        <x:v>C0003230</x:v>
      </x:c>
      <x:c r="B788" s="1" t="str">
        <x:f>_xlfn.IFNA(VLOOKUP(Source!B782,Advertisers!$A$5:$B$34,2,FALSE),"Missing advertiser")</x:f>
        <x:v>Synthetic advertiser 15</x:v>
      </x:c>
      <x:c r="C788" s="1" t="n">
        <x:f>Source!C782</x:f>
        <x:v>75</x:v>
      </x:c>
      <x:c r="D788" s="8" t="n">
        <x:f>Source!D782/100</x:f>
        <x:v>202.54</x:v>
      </x:c>
      <x:c r="E788" s="8" t="n">
        <x:f>Source!E782/100</x:f>
        <x:v>0</x:v>
      </x:c>
      <x:c r="F788" s="8" t="n">
        <x:f>Source!F782/100</x:f>
        <x:v>0</x:v>
      </x:c>
      <x:c r="G788" s="8" t="n">
        <x:f>Source!G782/100</x:f>
        <x:v>0</x:v>
      </x:c>
      <x:c r="H788" s="8" t="n">
        <x:f>G788-D788</x:f>
        <x:v>-202.54</x:v>
      </x:c>
      <x:c r="I788" s="1" t="str">
        <x:f>IF(H788&gt;0,"Overbilled","Shortfall")</x:f>
        <x:v>Shortfall</x:v>
      </x:c>
      <x:c r="J788" s="7"/>
      <x:c r="K788" s="7" t="str">
        <x:v>Open</x:v>
      </x:c>
      <x:c r="L788" s="7"/>
    </x:row>
    <x:row r="789" ht="21" customHeight="1">
      <x:c r="A789" s="1" t="str">
        <x:f>Source!A783</x:f>
        <x:v>C0014630</x:v>
      </x:c>
      <x:c r="B789" s="1" t="str">
        <x:f>_xlfn.IFNA(VLOOKUP(Source!B783,Advertisers!$A$5:$B$34,2,FALSE),"Missing advertiser")</x:f>
        <x:v>Synthetic advertiser 15</x:v>
      </x:c>
      <x:c r="C789" s="1" t="n">
        <x:f>Source!C783</x:f>
        <x:v>75</x:v>
      </x:c>
      <x:c r="D789" s="8" t="n">
        <x:f>Source!D783/100</x:f>
        <x:v>202.54</x:v>
      </x:c>
      <x:c r="E789" s="8" t="n">
        <x:f>Source!E783/100</x:f>
        <x:v>405.08</x:v>
      </x:c>
      <x:c r="F789" s="8" t="n">
        <x:f>Source!F783/100</x:f>
        <x:v>0</x:v>
      </x:c>
      <x:c r="G789" s="8" t="n">
        <x:f>Source!G783/100</x:f>
        <x:v>405.08</x:v>
      </x:c>
      <x:c r="H789" s="8" t="n">
        <x:f>G789-D789</x:f>
        <x:v>202.54</x:v>
      </x:c>
      <x:c r="I789" s="1" t="str">
        <x:f>IF(H789&gt;0,"Overbilled","Shortfall")</x:f>
        <x:v>Overbilled</x:v>
      </x:c>
      <x:c r="J789" s="7"/>
      <x:c r="K789" s="7" t="str">
        <x:v>Open</x:v>
      </x:c>
      <x:c r="L789" s="7"/>
    </x:row>
    <x:row r="790" ht="21" customHeight="1">
      <x:c r="A790" s="1" t="str">
        <x:f>Source!A784</x:f>
        <x:v>C0013235</x:v>
      </x:c>
      <x:c r="B790" s="1" t="str">
        <x:f>_xlfn.IFNA(VLOOKUP(Source!B784,Advertisers!$A$5:$B$34,2,FALSE),"Missing advertiser")</x:f>
        <x:v>Synthetic advertiser 15</x:v>
      </x:c>
      <x:c r="C790" s="1" t="n">
        <x:f>Source!C784</x:f>
        <x:v>75</x:v>
      </x:c>
      <x:c r="D790" s="8" t="n">
        <x:f>Source!D784/100</x:f>
        <x:v>202.54</x:v>
      </x:c>
      <x:c r="E790" s="8" t="n">
        <x:f>Source!E784/100</x:f>
        <x:v>0</x:v>
      </x:c>
      <x:c r="F790" s="8" t="n">
        <x:f>Source!F784/100</x:f>
        <x:v>0</x:v>
      </x:c>
      <x:c r="G790" s="8" t="n">
        <x:f>Source!G784/100</x:f>
        <x:v>0</x:v>
      </x:c>
      <x:c r="H790" s="8" t="n">
        <x:f>G790-D790</x:f>
        <x:v>-202.54</x:v>
      </x:c>
      <x:c r="I790" s="1" t="str">
        <x:f>IF(H790&gt;0,"Overbilled","Shortfall")</x:f>
        <x:v>Shortfall</x:v>
      </x:c>
      <x:c r="J790" s="7"/>
      <x:c r="K790" s="7" t="str">
        <x:v>Open</x:v>
      </x:c>
      <x:c r="L790" s="7"/>
    </x:row>
    <x:row r="791" ht="21" customHeight="1">
      <x:c r="A791" s="1" t="str">
        <x:f>Source!A785</x:f>
        <x:v>C0014714</x:v>
      </x:c>
      <x:c r="B791" s="1" t="str">
        <x:f>_xlfn.IFNA(VLOOKUP(Source!B785,Advertisers!$A$5:$B$34,2,FALSE),"Missing advertiser")</x:f>
        <x:v>Synthetic advertiser 15</x:v>
      </x:c>
      <x:c r="C791" s="1" t="n">
        <x:f>Source!C785</x:f>
        <x:v>75</x:v>
      </x:c>
      <x:c r="D791" s="8" t="n">
        <x:f>Source!D785/100</x:f>
        <x:v>202.54</x:v>
      </x:c>
      <x:c r="E791" s="8" t="n">
        <x:f>Source!E785/100</x:f>
        <x:v>0</x:v>
      </x:c>
      <x:c r="F791" s="8" t="n">
        <x:f>Source!F785/100</x:f>
        <x:v>0</x:v>
      </x:c>
      <x:c r="G791" s="8" t="n">
        <x:f>Source!G785/100</x:f>
        <x:v>0</x:v>
      </x:c>
      <x:c r="H791" s="8" t="n">
        <x:f>G791-D791</x:f>
        <x:v>-202.54</x:v>
      </x:c>
      <x:c r="I791" s="1" t="str">
        <x:f>IF(H791&gt;0,"Overbilled","Shortfall")</x:f>
        <x:v>Shortfall</x:v>
      </x:c>
      <x:c r="J791" s="7"/>
      <x:c r="K791" s="7" t="str">
        <x:v>Open</x:v>
      </x:c>
      <x:c r="L791" s="7"/>
    </x:row>
    <x:row r="792" ht="21" customHeight="1">
      <x:c r="A792" s="1" t="str">
        <x:f>Source!A786</x:f>
        <x:v>C0005438</x:v>
      </x:c>
      <x:c r="B792" s="1" t="str">
        <x:f>_xlfn.IFNA(VLOOKUP(Source!B786,Advertisers!$A$5:$B$34,2,FALSE),"Missing advertiser")</x:f>
        <x:v>Synthetic advertiser 15</x:v>
      </x:c>
      <x:c r="C792" s="1" t="n">
        <x:f>Source!C786</x:f>
        <x:v>75</x:v>
      </x:c>
      <x:c r="D792" s="8" t="n">
        <x:f>Source!D786/100</x:f>
        <x:v>202.54</x:v>
      </x:c>
      <x:c r="E792" s="8" t="n">
        <x:f>Source!E786/100</x:f>
        <x:v>405.08</x:v>
      </x:c>
      <x:c r="F792" s="8" t="n">
        <x:f>Source!F786/100</x:f>
        <x:v>0</x:v>
      </x:c>
      <x:c r="G792" s="8" t="n">
        <x:f>Source!G786/100</x:f>
        <x:v>405.08</x:v>
      </x:c>
      <x:c r="H792" s="8" t="n">
        <x:f>G792-D792</x:f>
        <x:v>202.54</x:v>
      </x:c>
      <x:c r="I792" s="1" t="str">
        <x:f>IF(H792&gt;0,"Overbilled","Shortfall")</x:f>
        <x:v>Overbilled</x:v>
      </x:c>
      <x:c r="J792" s="7"/>
      <x:c r="K792" s="7" t="str">
        <x:v>Open</x:v>
      </x:c>
      <x:c r="L792" s="7"/>
    </x:row>
    <x:row r="793" ht="21" customHeight="1">
      <x:c r="A793" s="1" t="str">
        <x:f>Source!A787</x:f>
        <x:v>C0009181</x:v>
      </x:c>
      <x:c r="B793" s="1" t="str">
        <x:f>_xlfn.IFNA(VLOOKUP(Source!B787,Advertisers!$A$5:$B$34,2,FALSE),"Missing advertiser")</x:f>
        <x:v>Synthetic advertiser 3</x:v>
      </x:c>
      <x:c r="C793" s="1" t="n">
        <x:f>Source!C787</x:f>
        <x:v>3</x:v>
      </x:c>
      <x:c r="D793" s="8" t="n">
        <x:f>Source!D787/100</x:f>
        <x:v>201.98</x:v>
      </x:c>
      <x:c r="E793" s="8" t="n">
        <x:f>Source!E787/100</x:f>
        <x:v>0</x:v>
      </x:c>
      <x:c r="F793" s="8" t="n">
        <x:f>Source!F787/100</x:f>
        <x:v>0</x:v>
      </x:c>
      <x:c r="G793" s="8" t="n">
        <x:f>Source!G787/100</x:f>
        <x:v>0</x:v>
      </x:c>
      <x:c r="H793" s="8" t="n">
        <x:f>G793-D793</x:f>
        <x:v>-201.98</x:v>
      </x:c>
      <x:c r="I793" s="1" t="str">
        <x:f>IF(H793&gt;0,"Overbilled","Shortfall")</x:f>
        <x:v>Shortfall</x:v>
      </x:c>
      <x:c r="J793" s="7"/>
      <x:c r="K793" s="7" t="str">
        <x:v>Open</x:v>
      </x:c>
      <x:c r="L793" s="7"/>
    </x:row>
    <x:row r="794" ht="21" customHeight="1">
      <x:c r="A794" s="1" t="str">
        <x:f>Source!A788</x:f>
        <x:v>C0017463</x:v>
      </x:c>
      <x:c r="B794" s="1" t="str">
        <x:f>_xlfn.IFNA(VLOOKUP(Source!B788,Advertisers!$A$5:$B$34,2,FALSE),"Missing advertiser")</x:f>
        <x:v>Synthetic advertiser 3</x:v>
      </x:c>
      <x:c r="C794" s="1" t="n">
        <x:f>Source!C788</x:f>
        <x:v>3</x:v>
      </x:c>
      <x:c r="D794" s="8" t="n">
        <x:f>Source!D788/100</x:f>
        <x:v>201.98</x:v>
      </x:c>
      <x:c r="E794" s="8" t="n">
        <x:f>Source!E788/100</x:f>
        <x:v>403.96</x:v>
      </x:c>
      <x:c r="F794" s="8" t="n">
        <x:f>Source!F788/100</x:f>
        <x:v>0</x:v>
      </x:c>
      <x:c r="G794" s="8" t="n">
        <x:f>Source!G788/100</x:f>
        <x:v>403.96</x:v>
      </x:c>
      <x:c r="H794" s="8" t="n">
        <x:f>G794-D794</x:f>
        <x:v>201.98</x:v>
      </x:c>
      <x:c r="I794" s="1" t="str">
        <x:f>IF(H794&gt;0,"Overbilled","Shortfall")</x:f>
        <x:v>Overbilled</x:v>
      </x:c>
      <x:c r="J794" s="7"/>
      <x:c r="K794" s="7" t="str">
        <x:v>Open</x:v>
      </x:c>
      <x:c r="L794" s="7"/>
    </x:row>
    <x:row r="795" ht="21" customHeight="1">
      <x:c r="A795" s="1" t="str">
        <x:f>Source!A789</x:f>
        <x:v>C0016987</x:v>
      </x:c>
      <x:c r="B795" s="1" t="str">
        <x:f>_xlfn.IFNA(VLOOKUP(Source!B789,Advertisers!$A$5:$B$34,2,FALSE),"Missing advertiser")</x:f>
        <x:v>Synthetic advertiser 3</x:v>
      </x:c>
      <x:c r="C795" s="1" t="n">
        <x:f>Source!C789</x:f>
        <x:v>3</x:v>
      </x:c>
      <x:c r="D795" s="8" t="n">
        <x:f>Source!D789/100</x:f>
        <x:v>201.98</x:v>
      </x:c>
      <x:c r="E795" s="8" t="n">
        <x:f>Source!E789/100</x:f>
        <x:v>0</x:v>
      </x:c>
      <x:c r="F795" s="8" t="n">
        <x:f>Source!F789/100</x:f>
        <x:v>0</x:v>
      </x:c>
      <x:c r="G795" s="8" t="n">
        <x:f>Source!G789/100</x:f>
        <x:v>0</x:v>
      </x:c>
      <x:c r="H795" s="8" t="n">
        <x:f>G795-D795</x:f>
        <x:v>-201.98</x:v>
      </x:c>
      <x:c r="I795" s="1" t="str">
        <x:f>IF(H795&gt;0,"Overbilled","Shortfall")</x:f>
        <x:v>Shortfall</x:v>
      </x:c>
      <x:c r="J795" s="7"/>
      <x:c r="K795" s="7" t="str">
        <x:v>Open</x:v>
      </x:c>
      <x:c r="L795" s="7"/>
    </x:row>
    <x:row r="796" ht="21" customHeight="1">
      <x:c r="A796" s="1" t="str">
        <x:f>Source!A790</x:f>
        <x:v>C0002396</x:v>
      </x:c>
      <x:c r="B796" s="1" t="str">
        <x:f>_xlfn.IFNA(VLOOKUP(Source!B790,Advertisers!$A$5:$B$34,2,FALSE),"Missing advertiser")</x:f>
        <x:v>Synthetic advertiser 3</x:v>
      </x:c>
      <x:c r="C796" s="1" t="n">
        <x:f>Source!C790</x:f>
        <x:v>3</x:v>
      </x:c>
      <x:c r="D796" s="8" t="n">
        <x:f>Source!D790/100</x:f>
        <x:v>201.98</x:v>
      </x:c>
      <x:c r="E796" s="8" t="n">
        <x:f>Source!E790/100</x:f>
        <x:v>403.96</x:v>
      </x:c>
      <x:c r="F796" s="8" t="n">
        <x:f>Source!F790/100</x:f>
        <x:v>0</x:v>
      </x:c>
      <x:c r="G796" s="8" t="n">
        <x:f>Source!G790/100</x:f>
        <x:v>403.96</x:v>
      </x:c>
      <x:c r="H796" s="8" t="n">
        <x:f>G796-D796</x:f>
        <x:v>201.98</x:v>
      </x:c>
      <x:c r="I796" s="1" t="str">
        <x:f>IF(H796&gt;0,"Overbilled","Shortfall")</x:f>
        <x:v>Overbilled</x:v>
      </x:c>
      <x:c r="J796" s="7"/>
      <x:c r="K796" s="7" t="str">
        <x:v>Open</x:v>
      </x:c>
      <x:c r="L796" s="7"/>
    </x:row>
    <x:row r="797" ht="21" customHeight="1">
      <x:c r="A797" s="1" t="str">
        <x:f>Source!A791</x:f>
        <x:v>C0009318</x:v>
      </x:c>
      <x:c r="B797" s="1" t="str">
        <x:f>_xlfn.IFNA(VLOOKUP(Source!B791,Advertisers!$A$5:$B$34,2,FALSE),"Missing advertiser")</x:f>
        <x:v>Synthetic advertiser 3</x:v>
      </x:c>
      <x:c r="C797" s="1" t="n">
        <x:f>Source!C791</x:f>
        <x:v>3</x:v>
      </x:c>
      <x:c r="D797" s="8" t="n">
        <x:f>Source!D791/100</x:f>
        <x:v>0</x:v>
      </x:c>
      <x:c r="E797" s="8" t="n">
        <x:f>Source!E791/100</x:f>
        <x:v>201.98</x:v>
      </x:c>
      <x:c r="F797" s="8" t="n">
        <x:f>Source!F791/100</x:f>
        <x:v>0</x:v>
      </x:c>
      <x:c r="G797" s="8" t="n">
        <x:f>Source!G791/100</x:f>
        <x:v>201.98</x:v>
      </x:c>
      <x:c r="H797" s="8" t="n">
        <x:f>G797-D797</x:f>
        <x:v>201.98</x:v>
      </x:c>
      <x:c r="I797" s="1" t="str">
        <x:f>IF(H797&gt;0,"Overbilled","Shortfall")</x:f>
        <x:v>Overbilled</x:v>
      </x:c>
      <x:c r="J797" s="7"/>
      <x:c r="K797" s="7" t="str">
        <x:v>Open</x:v>
      </x:c>
      <x:c r="L797" s="7"/>
    </x:row>
    <x:row r="798" ht="21" customHeight="1">
      <x:c r="A798" s="1" t="str">
        <x:f>Source!A792</x:f>
        <x:v>C0013285</x:v>
      </x:c>
      <x:c r="B798" s="1" t="str">
        <x:f>_xlfn.IFNA(VLOOKUP(Source!B792,Advertisers!$A$5:$B$34,2,FALSE),"Missing advertiser")</x:f>
        <x:v>Synthetic advertiser 3</x:v>
      </x:c>
      <x:c r="C798" s="1" t="n">
        <x:f>Source!C792</x:f>
        <x:v>3</x:v>
      </x:c>
      <x:c r="D798" s="8" t="n">
        <x:f>Source!D792/100</x:f>
        <x:v>201.98</x:v>
      </x:c>
      <x:c r="E798" s="8" t="n">
        <x:f>Source!E792/100</x:f>
        <x:v>0</x:v>
      </x:c>
      <x:c r="F798" s="8" t="n">
        <x:f>Source!F792/100</x:f>
        <x:v>0</x:v>
      </x:c>
      <x:c r="G798" s="8" t="n">
        <x:f>Source!G792/100</x:f>
        <x:v>0</x:v>
      </x:c>
      <x:c r="H798" s="8" t="n">
        <x:f>G798-D798</x:f>
        <x:v>-201.98</x:v>
      </x:c>
      <x:c r="I798" s="1" t="str">
        <x:f>IF(H798&gt;0,"Overbilled","Shortfall")</x:f>
        <x:v>Shortfall</x:v>
      </x:c>
      <x:c r="J798" s="7"/>
      <x:c r="K798" s="7" t="str">
        <x:v>Open</x:v>
      </x:c>
      <x:c r="L798" s="7"/>
    </x:row>
    <x:row r="799" ht="21" customHeight="1">
      <x:c r="A799" s="1" t="str">
        <x:f>Source!A793</x:f>
        <x:v>C0002267</x:v>
      </x:c>
      <x:c r="B799" s="1" t="str">
        <x:f>_xlfn.IFNA(VLOOKUP(Source!B793,Advertisers!$A$5:$B$34,2,FALSE),"Missing advertiser")</x:f>
        <x:v>Synthetic advertiser 3</x:v>
      </x:c>
      <x:c r="C799" s="1" t="n">
        <x:f>Source!C793</x:f>
        <x:v>3</x:v>
      </x:c>
      <x:c r="D799" s="8" t="n">
        <x:f>Source!D793/100</x:f>
        <x:v>201.98</x:v>
      </x:c>
      <x:c r="E799" s="8" t="n">
        <x:f>Source!E793/100</x:f>
        <x:v>403.96</x:v>
      </x:c>
      <x:c r="F799" s="8" t="n">
        <x:f>Source!F793/100</x:f>
        <x:v>0</x:v>
      </x:c>
      <x:c r="G799" s="8" t="n">
        <x:f>Source!G793/100</x:f>
        <x:v>403.96</x:v>
      </x:c>
      <x:c r="H799" s="8" t="n">
        <x:f>G799-D799</x:f>
        <x:v>201.98</x:v>
      </x:c>
      <x:c r="I799" s="1" t="str">
        <x:f>IF(H799&gt;0,"Overbilled","Shortfall")</x:f>
        <x:v>Overbilled</x:v>
      </x:c>
      <x:c r="J799" s="7"/>
      <x:c r="K799" s="7" t="str">
        <x:v>Open</x:v>
      </x:c>
      <x:c r="L799" s="7"/>
    </x:row>
    <x:row r="800" ht="21" customHeight="1">
      <x:c r="A800" s="1" t="str">
        <x:f>Source!A794</x:f>
        <x:v>C0004539</x:v>
      </x:c>
      <x:c r="B800" s="1" t="str">
        <x:f>_xlfn.IFNA(VLOOKUP(Source!B794,Advertisers!$A$5:$B$34,2,FALSE),"Missing advertiser")</x:f>
        <x:v>Synthetic advertiser 3</x:v>
      </x:c>
      <x:c r="C800" s="1" t="n">
        <x:f>Source!C794</x:f>
        <x:v>3</x:v>
      </x:c>
      <x:c r="D800" s="8" t="n">
        <x:f>Source!D794/100</x:f>
        <x:v>201.98</x:v>
      </x:c>
      <x:c r="E800" s="8" t="n">
        <x:f>Source!E794/100</x:f>
        <x:v>0</x:v>
      </x:c>
      <x:c r="F800" s="8" t="n">
        <x:f>Source!F794/100</x:f>
        <x:v>0</x:v>
      </x:c>
      <x:c r="G800" s="8" t="n">
        <x:f>Source!G794/100</x:f>
        <x:v>0</x:v>
      </x:c>
      <x:c r="H800" s="8" t="n">
        <x:f>G800-D800</x:f>
        <x:v>-201.98</x:v>
      </x:c>
      <x:c r="I800" s="1" t="str">
        <x:f>IF(H800&gt;0,"Overbilled","Shortfall")</x:f>
        <x:v>Shortfall</x:v>
      </x:c>
      <x:c r="J800" s="7"/>
      <x:c r="K800" s="7" t="str">
        <x:v>Open</x:v>
      </x:c>
      <x:c r="L800" s="7"/>
    </x:row>
    <x:row r="801" ht="21" customHeight="1">
      <x:c r="A801" s="1" t="str">
        <x:f>Source!A795</x:f>
        <x:v>C0013690</x:v>
      </x:c>
      <x:c r="B801" s="1" t="str">
        <x:f>_xlfn.IFNA(VLOOKUP(Source!B795,Advertisers!$A$5:$B$34,2,FALSE),"Missing advertiser")</x:f>
        <x:v>Synthetic advertiser 3</x:v>
      </x:c>
      <x:c r="C801" s="1" t="n">
        <x:f>Source!C795</x:f>
        <x:v>3</x:v>
      </x:c>
      <x:c r="D801" s="8" t="n">
        <x:f>Source!D795/100</x:f>
        <x:v>201.98</x:v>
      </x:c>
      <x:c r="E801" s="8" t="n">
        <x:f>Source!E795/100</x:f>
        <x:v>403.96</x:v>
      </x:c>
      <x:c r="F801" s="8" t="n">
        <x:f>Source!F795/100</x:f>
        <x:v>0</x:v>
      </x:c>
      <x:c r="G801" s="8" t="n">
        <x:f>Source!G795/100</x:f>
        <x:v>403.96</x:v>
      </x:c>
      <x:c r="H801" s="8" t="n">
        <x:f>G801-D801</x:f>
        <x:v>201.98</x:v>
      </x:c>
      <x:c r="I801" s="1" t="str">
        <x:f>IF(H801&gt;0,"Overbilled","Shortfall")</x:f>
        <x:v>Overbilled</x:v>
      </x:c>
      <x:c r="J801" s="7"/>
      <x:c r="K801" s="7" t="str">
        <x:v>Open</x:v>
      </x:c>
      <x:c r="L801" s="7"/>
    </x:row>
    <x:row r="802" ht="21" customHeight="1">
      <x:c r="A802" s="1" t="str">
        <x:f>Source!A796</x:f>
        <x:v>C0001762</x:v>
      </x:c>
      <x:c r="B802" s="1" t="str">
        <x:f>_xlfn.IFNA(VLOOKUP(Source!B796,Advertisers!$A$5:$B$34,2,FALSE),"Missing advertiser")</x:f>
        <x:v>Synthetic advertiser 3</x:v>
      </x:c>
      <x:c r="C802" s="1" t="n">
        <x:f>Source!C796</x:f>
        <x:v>3</x:v>
      </x:c>
      <x:c r="D802" s="8" t="n">
        <x:f>Source!D796/100</x:f>
        <x:v>201.98</x:v>
      </x:c>
      <x:c r="E802" s="8" t="n">
        <x:f>Source!E796/100</x:f>
        <x:v>403.96</x:v>
      </x:c>
      <x:c r="F802" s="8" t="n">
        <x:f>Source!F796/100</x:f>
        <x:v>0</x:v>
      </x:c>
      <x:c r="G802" s="8" t="n">
        <x:f>Source!G796/100</x:f>
        <x:v>403.96</x:v>
      </x:c>
      <x:c r="H802" s="8" t="n">
        <x:f>G802-D802</x:f>
        <x:v>201.98</x:v>
      </x:c>
      <x:c r="I802" s="1" t="str">
        <x:f>IF(H802&gt;0,"Overbilled","Shortfall")</x:f>
        <x:v>Overbilled</x:v>
      </x:c>
      <x:c r="J802" s="7"/>
      <x:c r="K802" s="7" t="str">
        <x:v>Open</x:v>
      </x:c>
      <x:c r="L802" s="7"/>
    </x:row>
    <x:row r="803" ht="21" customHeight="1">
      <x:c r="A803" s="1" t="str">
        <x:f>Source!A797</x:f>
        <x:v>C0008511</x:v>
      </x:c>
      <x:c r="B803" s="1" t="str">
        <x:f>_xlfn.IFNA(VLOOKUP(Source!B797,Advertisers!$A$5:$B$34,2,FALSE),"Missing advertiser")</x:f>
        <x:v>Synthetic advertiser 3</x:v>
      </x:c>
      <x:c r="C803" s="1" t="n">
        <x:f>Source!C797</x:f>
        <x:v>3</x:v>
      </x:c>
      <x:c r="D803" s="8" t="n">
        <x:f>Source!D797/100</x:f>
        <x:v>201.98</x:v>
      </x:c>
      <x:c r="E803" s="8" t="n">
        <x:f>Source!E797/100</x:f>
        <x:v>403.96</x:v>
      </x:c>
      <x:c r="F803" s="8" t="n">
        <x:f>Source!F797/100</x:f>
        <x:v>0</x:v>
      </x:c>
      <x:c r="G803" s="8" t="n">
        <x:f>Source!G797/100</x:f>
        <x:v>403.96</x:v>
      </x:c>
      <x:c r="H803" s="8" t="n">
        <x:f>G803-D803</x:f>
        <x:v>201.98</x:v>
      </x:c>
      <x:c r="I803" s="1" t="str">
        <x:f>IF(H803&gt;0,"Overbilled","Shortfall")</x:f>
        <x:v>Overbilled</x:v>
      </x:c>
      <x:c r="J803" s="7"/>
      <x:c r="K803" s="7" t="str">
        <x:v>Open</x:v>
      </x:c>
      <x:c r="L803" s="7"/>
    </x:row>
    <x:row r="804" ht="21" customHeight="1">
      <x:c r="A804" s="1" t="str">
        <x:f>Source!A798</x:f>
        <x:v>C0016049</x:v>
      </x:c>
      <x:c r="B804" s="1" t="str">
        <x:f>_xlfn.IFNA(VLOOKUP(Source!B798,Advertisers!$A$5:$B$34,2,FALSE),"Missing advertiser")</x:f>
        <x:v>Synthetic advertiser 3</x:v>
      </x:c>
      <x:c r="C804" s="1" t="n">
        <x:f>Source!C798</x:f>
        <x:v>3</x:v>
      </x:c>
      <x:c r="D804" s="8" t="n">
        <x:f>Source!D798/100</x:f>
        <x:v>201.98</x:v>
      </x:c>
      <x:c r="E804" s="8" t="n">
        <x:f>Source!E798/100</x:f>
        <x:v>403.96</x:v>
      </x:c>
      <x:c r="F804" s="8" t="n">
        <x:f>Source!F798/100</x:f>
        <x:v>0</x:v>
      </x:c>
      <x:c r="G804" s="8" t="n">
        <x:f>Source!G798/100</x:f>
        <x:v>403.96</x:v>
      </x:c>
      <x:c r="H804" s="8" t="n">
        <x:f>G804-D804</x:f>
        <x:v>201.98</x:v>
      </x:c>
      <x:c r="I804" s="1" t="str">
        <x:f>IF(H804&gt;0,"Overbilled","Shortfall")</x:f>
        <x:v>Overbilled</x:v>
      </x:c>
      <x:c r="J804" s="7"/>
      <x:c r="K804" s="7" t="str">
        <x:v>Open</x:v>
      </x:c>
      <x:c r="L804" s="7"/>
    </x:row>
    <x:row r="805" ht="21" customHeight="1">
      <x:c r="A805" s="1" t="str">
        <x:f>Source!A799</x:f>
        <x:v>C0017794</x:v>
      </x:c>
      <x:c r="B805" s="1" t="str">
        <x:f>_xlfn.IFNA(VLOOKUP(Source!B799,Advertisers!$A$5:$B$34,2,FALSE),"Missing advertiser")</x:f>
        <x:v>Synthetic advertiser 3</x:v>
      </x:c>
      <x:c r="C805" s="1" t="n">
        <x:f>Source!C799</x:f>
        <x:v>3</x:v>
      </x:c>
      <x:c r="D805" s="8" t="n">
        <x:f>Source!D799/100</x:f>
        <x:v>201.98</x:v>
      </x:c>
      <x:c r="E805" s="8" t="n">
        <x:f>Source!E799/100</x:f>
        <x:v>403.96</x:v>
      </x:c>
      <x:c r="F805" s="8" t="n">
        <x:f>Source!F799/100</x:f>
        <x:v>0</x:v>
      </x:c>
      <x:c r="G805" s="8" t="n">
        <x:f>Source!G799/100</x:f>
        <x:v>403.96</x:v>
      </x:c>
      <x:c r="H805" s="8" t="n">
        <x:f>G805-D805</x:f>
        <x:v>201.98</x:v>
      </x:c>
      <x:c r="I805" s="1" t="str">
        <x:f>IF(H805&gt;0,"Overbilled","Shortfall")</x:f>
        <x:v>Overbilled</x:v>
      </x:c>
      <x:c r="J805" s="7"/>
      <x:c r="K805" s="7" t="str">
        <x:v>Open</x:v>
      </x:c>
      <x:c r="L805" s="7"/>
    </x:row>
    <x:row r="806" ht="21" customHeight="1">
      <x:c r="A806" s="1" t="str">
        <x:f>Source!A800</x:f>
        <x:v>C0006996</x:v>
      </x:c>
      <x:c r="B806" s="1" t="str">
        <x:f>_xlfn.IFNA(VLOOKUP(Source!B800,Advertisers!$A$5:$B$34,2,FALSE),"Missing advertiser")</x:f>
        <x:v>Synthetic advertiser 3</x:v>
      </x:c>
      <x:c r="C806" s="1" t="n">
        <x:f>Source!C800</x:f>
        <x:v>3</x:v>
      </x:c>
      <x:c r="D806" s="8" t="n">
        <x:f>Source!D800/100</x:f>
        <x:v>201.98</x:v>
      </x:c>
      <x:c r="E806" s="8" t="n">
        <x:f>Source!E800/100</x:f>
        <x:v>0</x:v>
      </x:c>
      <x:c r="F806" s="8" t="n">
        <x:f>Source!F800/100</x:f>
        <x:v>0</x:v>
      </x:c>
      <x:c r="G806" s="8" t="n">
        <x:f>Source!G800/100</x:f>
        <x:v>0</x:v>
      </x:c>
      <x:c r="H806" s="8" t="n">
        <x:f>G806-D806</x:f>
        <x:v>-201.98</x:v>
      </x:c>
      <x:c r="I806" s="1" t="str">
        <x:f>IF(H806&gt;0,"Overbilled","Shortfall")</x:f>
        <x:v>Shortfall</x:v>
      </x:c>
      <x:c r="J806" s="7"/>
      <x:c r="K806" s="7" t="str">
        <x:v>Open</x:v>
      </x:c>
      <x:c r="L806" s="7"/>
    </x:row>
    <x:row r="807" ht="21" customHeight="1">
      <x:c r="A807" s="1" t="str">
        <x:f>Source!A801</x:f>
        <x:v>C0010026</x:v>
      </x:c>
      <x:c r="B807" s="1" t="str">
        <x:f>_xlfn.IFNA(VLOOKUP(Source!B801,Advertisers!$A$5:$B$34,2,FALSE),"Missing advertiser")</x:f>
        <x:v>Synthetic advertiser 3</x:v>
      </x:c>
      <x:c r="C807" s="1" t="n">
        <x:f>Source!C801</x:f>
        <x:v>3</x:v>
      </x:c>
      <x:c r="D807" s="8" t="n">
        <x:f>Source!D801/100</x:f>
        <x:v>201.98</x:v>
      </x:c>
      <x:c r="E807" s="8" t="n">
        <x:f>Source!E801/100</x:f>
        <x:v>0</x:v>
      </x:c>
      <x:c r="F807" s="8" t="n">
        <x:f>Source!F801/100</x:f>
        <x:v>0</x:v>
      </x:c>
      <x:c r="G807" s="8" t="n">
        <x:f>Source!G801/100</x:f>
        <x:v>0</x:v>
      </x:c>
      <x:c r="H807" s="8" t="n">
        <x:f>G807-D807</x:f>
        <x:v>-201.98</x:v>
      </x:c>
      <x:c r="I807" s="1" t="str">
        <x:f>IF(H807&gt;0,"Overbilled","Shortfall")</x:f>
        <x:v>Shortfall</x:v>
      </x:c>
      <x:c r="J807" s="7"/>
      <x:c r="K807" s="7" t="str">
        <x:v>Open</x:v>
      </x:c>
      <x:c r="L807" s="7"/>
    </x:row>
    <x:row r="808" ht="21" customHeight="1">
      <x:c r="A808" s="1" t="str">
        <x:f>Source!A802</x:f>
        <x:v>C0015934</x:v>
      </x:c>
      <x:c r="B808" s="1" t="str">
        <x:f>_xlfn.IFNA(VLOOKUP(Source!B802,Advertisers!$A$5:$B$34,2,FALSE),"Missing advertiser")</x:f>
        <x:v>Synthetic advertiser 3</x:v>
      </x:c>
      <x:c r="C808" s="1" t="n">
        <x:f>Source!C802</x:f>
        <x:v>3</x:v>
      </x:c>
      <x:c r="D808" s="8" t="n">
        <x:f>Source!D802/100</x:f>
        <x:v>201.98</x:v>
      </x:c>
      <x:c r="E808" s="8" t="n">
        <x:f>Source!E802/100</x:f>
        <x:v>0</x:v>
      </x:c>
      <x:c r="F808" s="8" t="n">
        <x:f>Source!F802/100</x:f>
        <x:v>0</x:v>
      </x:c>
      <x:c r="G808" s="8" t="n">
        <x:f>Source!G802/100</x:f>
        <x:v>0</x:v>
      </x:c>
      <x:c r="H808" s="8" t="n">
        <x:f>G808-D808</x:f>
        <x:v>-201.98</x:v>
      </x:c>
      <x:c r="I808" s="1" t="str">
        <x:f>IF(H808&gt;0,"Overbilled","Shortfall")</x:f>
        <x:v>Shortfall</x:v>
      </x:c>
      <x:c r="J808" s="7"/>
      <x:c r="K808" s="7" t="str">
        <x:v>Open</x:v>
      </x:c>
      <x:c r="L808" s="7"/>
    </x:row>
    <x:row r="809" ht="21" customHeight="1">
      <x:c r="A809" s="1" t="str">
        <x:f>Source!A803</x:f>
        <x:v>C0011995</x:v>
      </x:c>
      <x:c r="B809" s="1" t="str">
        <x:f>_xlfn.IFNA(VLOOKUP(Source!B803,Advertisers!$A$5:$B$34,2,FALSE),"Missing advertiser")</x:f>
        <x:v>Synthetic advertiser 29</x:v>
      </x:c>
      <x:c r="C809" s="1" t="n">
        <x:f>Source!C803</x:f>
        <x:v>29</x:v>
      </x:c>
      <x:c r="D809" s="8" t="n">
        <x:f>Source!D803/100</x:f>
        <x:v>200.2</x:v>
      </x:c>
      <x:c r="E809" s="8" t="n">
        <x:f>Source!E803/100</x:f>
        <x:v>0</x:v>
      </x:c>
      <x:c r="F809" s="8" t="n">
        <x:f>Source!F803/100</x:f>
        <x:v>0</x:v>
      </x:c>
      <x:c r="G809" s="8" t="n">
        <x:f>Source!G803/100</x:f>
        <x:v>0</x:v>
      </x:c>
      <x:c r="H809" s="8" t="n">
        <x:f>G809-D809</x:f>
        <x:v>-200.2</x:v>
      </x:c>
      <x:c r="I809" s="1" t="str">
        <x:f>IF(H809&gt;0,"Overbilled","Shortfall")</x:f>
        <x:v>Shortfall</x:v>
      </x:c>
      <x:c r="J809" s="7"/>
      <x:c r="K809" s="7" t="str">
        <x:v>Open</x:v>
      </x:c>
      <x:c r="L809" s="7"/>
    </x:row>
    <x:row r="810" ht="21" customHeight="1">
      <x:c r="A810" s="1" t="str">
        <x:f>Source!A804</x:f>
        <x:v>C0003707</x:v>
      </x:c>
      <x:c r="B810" s="1" t="str">
        <x:f>_xlfn.IFNA(VLOOKUP(Source!B804,Advertisers!$A$5:$B$34,2,FALSE),"Missing advertiser")</x:f>
        <x:v>Synthetic advertiser 29</x:v>
      </x:c>
      <x:c r="C810" s="1" t="n">
        <x:f>Source!C804</x:f>
        <x:v>29</x:v>
      </x:c>
      <x:c r="D810" s="8" t="n">
        <x:f>Source!D804/100</x:f>
        <x:v>0</x:v>
      </x:c>
      <x:c r="E810" s="8" t="n">
        <x:f>Source!E804/100</x:f>
        <x:v>200.2</x:v>
      </x:c>
      <x:c r="F810" s="8" t="n">
        <x:f>Source!F804/100</x:f>
        <x:v>0</x:v>
      </x:c>
      <x:c r="G810" s="8" t="n">
        <x:f>Source!G804/100</x:f>
        <x:v>200.2</x:v>
      </x:c>
      <x:c r="H810" s="8" t="n">
        <x:f>G810-D810</x:f>
        <x:v>200.2</x:v>
      </x:c>
      <x:c r="I810" s="1" t="str">
        <x:f>IF(H810&gt;0,"Overbilled","Shortfall")</x:f>
        <x:v>Overbilled</x:v>
      </x:c>
      <x:c r="J810" s="7"/>
      <x:c r="K810" s="7" t="str">
        <x:v>Open</x:v>
      </x:c>
      <x:c r="L810" s="7"/>
    </x:row>
    <x:row r="811" ht="21" customHeight="1">
      <x:c r="A811" s="1" t="str">
        <x:f>Source!A805</x:f>
        <x:v>C0006701</x:v>
      </x:c>
      <x:c r="B811" s="1" t="str">
        <x:f>_xlfn.IFNA(VLOOKUP(Source!B805,Advertisers!$A$5:$B$34,2,FALSE),"Missing advertiser")</x:f>
        <x:v>Synthetic advertiser 29</x:v>
      </x:c>
      <x:c r="C811" s="1" t="n">
        <x:f>Source!C805</x:f>
        <x:v>29</x:v>
      </x:c>
      <x:c r="D811" s="8" t="n">
        <x:f>Source!D805/100</x:f>
        <x:v>200.2</x:v>
      </x:c>
      <x:c r="E811" s="8" t="n">
        <x:f>Source!E805/100</x:f>
        <x:v>0</x:v>
      </x:c>
      <x:c r="F811" s="8" t="n">
        <x:f>Source!F805/100</x:f>
        <x:v>0</x:v>
      </x:c>
      <x:c r="G811" s="8" t="n">
        <x:f>Source!G805/100</x:f>
        <x:v>0</x:v>
      </x:c>
      <x:c r="H811" s="8" t="n">
        <x:f>G811-D811</x:f>
        <x:v>-200.2</x:v>
      </x:c>
      <x:c r="I811" s="1" t="str">
        <x:f>IF(H811&gt;0,"Overbilled","Shortfall")</x:f>
        <x:v>Shortfall</x:v>
      </x:c>
      <x:c r="J811" s="7"/>
      <x:c r="K811" s="7" t="str">
        <x:v>Open</x:v>
      </x:c>
      <x:c r="L811" s="7"/>
    </x:row>
    <x:row r="812" ht="21" customHeight="1">
      <x:c r="A812" s="1" t="str">
        <x:f>Source!A806</x:f>
        <x:v>C0007008</x:v>
      </x:c>
      <x:c r="B812" s="1" t="str">
        <x:f>_xlfn.IFNA(VLOOKUP(Source!B806,Advertisers!$A$5:$B$34,2,FALSE),"Missing advertiser")</x:f>
        <x:v>Synthetic advertiser 29</x:v>
      </x:c>
      <x:c r="C812" s="1" t="n">
        <x:f>Source!C806</x:f>
        <x:v>29</x:v>
      </x:c>
      <x:c r="D812" s="8" t="n">
        <x:f>Source!D806/100</x:f>
        <x:v>200.2</x:v>
      </x:c>
      <x:c r="E812" s="8" t="n">
        <x:f>Source!E806/100</x:f>
        <x:v>400.4</x:v>
      </x:c>
      <x:c r="F812" s="8" t="n">
        <x:f>Source!F806/100</x:f>
        <x:v>0</x:v>
      </x:c>
      <x:c r="G812" s="8" t="n">
        <x:f>Source!G806/100</x:f>
        <x:v>400.4</x:v>
      </x:c>
      <x:c r="H812" s="8" t="n">
        <x:f>G812-D812</x:f>
        <x:v>200.2</x:v>
      </x:c>
      <x:c r="I812" s="1" t="str">
        <x:f>IF(H812&gt;0,"Overbilled","Shortfall")</x:f>
        <x:v>Overbilled</x:v>
      </x:c>
      <x:c r="J812" s="7"/>
      <x:c r="K812" s="7" t="str">
        <x:v>Open</x:v>
      </x:c>
      <x:c r="L812" s="7"/>
    </x:row>
    <x:row r="813" ht="21" customHeight="1">
      <x:c r="A813" s="1" t="str">
        <x:f>Source!A807</x:f>
        <x:v>C0005657</x:v>
      </x:c>
      <x:c r="B813" s="1" t="str">
        <x:f>_xlfn.IFNA(VLOOKUP(Source!B807,Advertisers!$A$5:$B$34,2,FALSE),"Missing advertiser")</x:f>
        <x:v>Synthetic advertiser 27</x:v>
      </x:c>
      <x:c r="C813" s="1" t="n">
        <x:f>Source!C807</x:f>
        <x:v>117</x:v>
      </x:c>
      <x:c r="D813" s="8" t="n">
        <x:f>Source!D807/100</x:f>
        <x:v>200.17</x:v>
      </x:c>
      <x:c r="E813" s="8" t="n">
        <x:f>Source!E807/100</x:f>
        <x:v>400.34</x:v>
      </x:c>
      <x:c r="F813" s="8" t="n">
        <x:f>Source!F807/100</x:f>
        <x:v>0</x:v>
      </x:c>
      <x:c r="G813" s="8" t="n">
        <x:f>Source!G807/100</x:f>
        <x:v>400.34</x:v>
      </x:c>
      <x:c r="H813" s="8" t="n">
        <x:f>G813-D813</x:f>
        <x:v>200.17</x:v>
      </x:c>
      <x:c r="I813" s="1" t="str">
        <x:f>IF(H813&gt;0,"Overbilled","Shortfall")</x:f>
        <x:v>Overbilled</x:v>
      </x:c>
      <x:c r="J813" s="7"/>
      <x:c r="K813" s="7" t="str">
        <x:v>Open</x:v>
      </x:c>
      <x:c r="L813" s="7"/>
    </x:row>
    <x:row r="814" ht="21" customHeight="1">
      <x:c r="A814" s="1" t="str">
        <x:f>Source!A808</x:f>
        <x:v>C0004244</x:v>
      </x:c>
      <x:c r="B814" s="1" t="str">
        <x:f>_xlfn.IFNA(VLOOKUP(Source!B808,Advertisers!$A$5:$B$34,2,FALSE),"Missing advertiser")</x:f>
        <x:v>Synthetic advertiser 27</x:v>
      </x:c>
      <x:c r="C814" s="1" t="n">
        <x:f>Source!C808</x:f>
        <x:v>117</x:v>
      </x:c>
      <x:c r="D814" s="8" t="n">
        <x:f>Source!D808/100</x:f>
        <x:v>200.17</x:v>
      </x:c>
      <x:c r="E814" s="8" t="n">
        <x:f>Source!E808/100</x:f>
        <x:v>0</x:v>
      </x:c>
      <x:c r="F814" s="8" t="n">
        <x:f>Source!F808/100</x:f>
        <x:v>0</x:v>
      </x:c>
      <x:c r="G814" s="8" t="n">
        <x:f>Source!G808/100</x:f>
        <x:v>0</x:v>
      </x:c>
      <x:c r="H814" s="8" t="n">
        <x:f>G814-D814</x:f>
        <x:v>-200.17</x:v>
      </x:c>
      <x:c r="I814" s="1" t="str">
        <x:f>IF(H814&gt;0,"Overbilled","Shortfall")</x:f>
        <x:v>Shortfall</x:v>
      </x:c>
      <x:c r="J814" s="7"/>
      <x:c r="K814" s="7" t="str">
        <x:v>Open</x:v>
      </x:c>
      <x:c r="L814" s="7"/>
    </x:row>
    <x:row r="815" ht="21" customHeight="1">
      <x:c r="A815" s="1" t="str">
        <x:f>Source!A809</x:f>
        <x:v>C0002228</x:v>
      </x:c>
      <x:c r="B815" s="1" t="str">
        <x:f>_xlfn.IFNA(VLOOKUP(Source!B809,Advertisers!$A$5:$B$34,2,FALSE),"Missing advertiser")</x:f>
        <x:v>Synthetic advertiser 27</x:v>
      </x:c>
      <x:c r="C815" s="1" t="n">
        <x:f>Source!C809</x:f>
        <x:v>117</x:v>
      </x:c>
      <x:c r="D815" s="8" t="n">
        <x:f>Source!D809/100</x:f>
        <x:v>200.17</x:v>
      </x:c>
      <x:c r="E815" s="8" t="n">
        <x:f>Source!E809/100</x:f>
        <x:v>400.34</x:v>
      </x:c>
      <x:c r="F815" s="8" t="n">
        <x:f>Source!F809/100</x:f>
        <x:v>0</x:v>
      </x:c>
      <x:c r="G815" s="8" t="n">
        <x:f>Source!G809/100</x:f>
        <x:v>400.34</x:v>
      </x:c>
      <x:c r="H815" s="8" t="n">
        <x:f>G815-D815</x:f>
        <x:v>200.17</x:v>
      </x:c>
      <x:c r="I815" s="1" t="str">
        <x:f>IF(H815&gt;0,"Overbilled","Shortfall")</x:f>
        <x:v>Overbilled</x:v>
      </x:c>
      <x:c r="J815" s="7"/>
      <x:c r="K815" s="7" t="str">
        <x:v>Open</x:v>
      </x:c>
      <x:c r="L815" s="7"/>
    </x:row>
    <x:row r="816" ht="21" customHeight="1">
      <x:c r="A816" s="1" t="str">
        <x:f>Source!A810</x:f>
        <x:v>C0012853</x:v>
      </x:c>
      <x:c r="B816" s="1" t="str">
        <x:f>_xlfn.IFNA(VLOOKUP(Source!B810,Advertisers!$A$5:$B$34,2,FALSE),"Missing advertiser")</x:f>
        <x:v>Synthetic advertiser 27</x:v>
      </x:c>
      <x:c r="C816" s="1" t="n">
        <x:f>Source!C810</x:f>
        <x:v>117</x:v>
      </x:c>
      <x:c r="D816" s="8" t="n">
        <x:f>Source!D810/100</x:f>
        <x:v>200.17</x:v>
      </x:c>
      <x:c r="E816" s="8" t="n">
        <x:f>Source!E810/100</x:f>
        <x:v>400.34</x:v>
      </x:c>
      <x:c r="F816" s="8" t="n">
        <x:f>Source!F810/100</x:f>
        <x:v>0</x:v>
      </x:c>
      <x:c r="G816" s="8" t="n">
        <x:f>Source!G810/100</x:f>
        <x:v>400.34</x:v>
      </x:c>
      <x:c r="H816" s="8" t="n">
        <x:f>G816-D816</x:f>
        <x:v>200.17</x:v>
      </x:c>
      <x:c r="I816" s="1" t="str">
        <x:f>IF(H816&gt;0,"Overbilled","Shortfall")</x:f>
        <x:v>Overbilled</x:v>
      </x:c>
      <x:c r="J816" s="7"/>
      <x:c r="K816" s="7" t="str">
        <x:v>Open</x:v>
      </x:c>
      <x:c r="L816" s="7"/>
    </x:row>
    <x:row r="817" ht="21" customHeight="1">
      <x:c r="A817" s="1" t="str">
        <x:f>Source!A811</x:f>
        <x:v>C0002645</x:v>
      </x:c>
      <x:c r="B817" s="1" t="str">
        <x:f>_xlfn.IFNA(VLOOKUP(Source!B811,Advertisers!$A$5:$B$34,2,FALSE),"Missing advertiser")</x:f>
        <x:v>Synthetic advertiser 27</x:v>
      </x:c>
      <x:c r="C817" s="1" t="n">
        <x:f>Source!C811</x:f>
        <x:v>117</x:v>
      </x:c>
      <x:c r="D817" s="8" t="n">
        <x:f>Source!D811/100</x:f>
        <x:v>0</x:v>
      </x:c>
      <x:c r="E817" s="8" t="n">
        <x:f>Source!E811/100</x:f>
        <x:v>200.17</x:v>
      </x:c>
      <x:c r="F817" s="8" t="n">
        <x:f>Source!F811/100</x:f>
        <x:v>0</x:v>
      </x:c>
      <x:c r="G817" s="8" t="n">
        <x:f>Source!G811/100</x:f>
        <x:v>200.17</x:v>
      </x:c>
      <x:c r="H817" s="8" t="n">
        <x:f>G817-D817</x:f>
        <x:v>200.17</x:v>
      </x:c>
      <x:c r="I817" s="1" t="str">
        <x:f>IF(H817&gt;0,"Overbilled","Shortfall")</x:f>
        <x:v>Overbilled</x:v>
      </x:c>
      <x:c r="J817" s="7"/>
      <x:c r="K817" s="7" t="str">
        <x:v>Open</x:v>
      </x:c>
      <x:c r="L817" s="7"/>
    </x:row>
    <x:row r="818" ht="21" customHeight="1">
      <x:c r="A818" s="1" t="str">
        <x:f>Source!A812</x:f>
        <x:v>C0002264</x:v>
      </x:c>
      <x:c r="B818" s="1" t="str">
        <x:f>_xlfn.IFNA(VLOOKUP(Source!B812,Advertisers!$A$5:$B$34,2,FALSE),"Missing advertiser")</x:f>
        <x:v>Synthetic advertiser 27</x:v>
      </x:c>
      <x:c r="C818" s="1" t="n">
        <x:f>Source!C812</x:f>
        <x:v>117</x:v>
      </x:c>
      <x:c r="D818" s="8" t="n">
        <x:f>Source!D812/100</x:f>
        <x:v>200.17</x:v>
      </x:c>
      <x:c r="E818" s="8" t="n">
        <x:f>Source!E812/100</x:f>
        <x:v>400.34</x:v>
      </x:c>
      <x:c r="F818" s="8" t="n">
        <x:f>Source!F812/100</x:f>
        <x:v>0</x:v>
      </x:c>
      <x:c r="G818" s="8" t="n">
        <x:f>Source!G812/100</x:f>
        <x:v>400.34</x:v>
      </x:c>
      <x:c r="H818" s="8" t="n">
        <x:f>G818-D818</x:f>
        <x:v>200.17</x:v>
      </x:c>
      <x:c r="I818" s="1" t="str">
        <x:f>IF(H818&gt;0,"Overbilled","Shortfall")</x:f>
        <x:v>Overbilled</x:v>
      </x:c>
      <x:c r="J818" s="7"/>
      <x:c r="K818" s="7" t="str">
        <x:v>Open</x:v>
      </x:c>
      <x:c r="L818" s="7"/>
    </x:row>
    <x:row r="819" ht="21" customHeight="1">
      <x:c r="A819" s="1" t="str">
        <x:f>Source!A813</x:f>
        <x:v>C0007505</x:v>
      </x:c>
      <x:c r="B819" s="1" t="str">
        <x:f>_xlfn.IFNA(VLOOKUP(Source!B813,Advertisers!$A$5:$B$34,2,FALSE),"Missing advertiser")</x:f>
        <x:v>Synthetic advertiser 27</x:v>
      </x:c>
      <x:c r="C819" s="1" t="n">
        <x:f>Source!C813</x:f>
        <x:v>117</x:v>
      </x:c>
      <x:c r="D819" s="8" t="n">
        <x:f>Source!D813/100</x:f>
        <x:v>200.17</x:v>
      </x:c>
      <x:c r="E819" s="8" t="n">
        <x:f>Source!E813/100</x:f>
        <x:v>400.34</x:v>
      </x:c>
      <x:c r="F819" s="8" t="n">
        <x:f>Source!F813/100</x:f>
        <x:v>0</x:v>
      </x:c>
      <x:c r="G819" s="8" t="n">
        <x:f>Source!G813/100</x:f>
        <x:v>400.34</x:v>
      </x:c>
      <x:c r="H819" s="8" t="n">
        <x:f>G819-D819</x:f>
        <x:v>200.17</x:v>
      </x:c>
      <x:c r="I819" s="1" t="str">
        <x:f>IF(H819&gt;0,"Overbilled","Shortfall")</x:f>
        <x:v>Overbilled</x:v>
      </x:c>
      <x:c r="J819" s="7"/>
      <x:c r="K819" s="7" t="str">
        <x:v>Open</x:v>
      </x:c>
      <x:c r="L819" s="7"/>
    </x:row>
    <x:row r="820" ht="21" customHeight="1">
      <x:c r="A820" s="1" t="str">
        <x:f>Source!A814</x:f>
        <x:v>C0016151</x:v>
      </x:c>
      <x:c r="B820" s="1" t="str">
        <x:f>_xlfn.IFNA(VLOOKUP(Source!B814,Advertisers!$A$5:$B$34,2,FALSE),"Missing advertiser")</x:f>
        <x:v>Synthetic advertiser 27</x:v>
      </x:c>
      <x:c r="C820" s="1" t="n">
        <x:f>Source!C814</x:f>
        <x:v>117</x:v>
      </x:c>
      <x:c r="D820" s="8" t="n">
        <x:f>Source!D814/100</x:f>
        <x:v>200.17</x:v>
      </x:c>
      <x:c r="E820" s="8" t="n">
        <x:f>Source!E814/100</x:f>
        <x:v>400.34</x:v>
      </x:c>
      <x:c r="F820" s="8" t="n">
        <x:f>Source!F814/100</x:f>
        <x:v>0</x:v>
      </x:c>
      <x:c r="G820" s="8" t="n">
        <x:f>Source!G814/100</x:f>
        <x:v>400.34</x:v>
      </x:c>
      <x:c r="H820" s="8" t="n">
        <x:f>G820-D820</x:f>
        <x:v>200.17</x:v>
      </x:c>
      <x:c r="I820" s="1" t="str">
        <x:f>IF(H820&gt;0,"Overbilled","Shortfall")</x:f>
        <x:v>Overbilled</x:v>
      </x:c>
      <x:c r="J820" s="7"/>
      <x:c r="K820" s="7" t="str">
        <x:v>Open</x:v>
      </x:c>
      <x:c r="L820" s="7"/>
    </x:row>
    <x:row r="821" ht="21" customHeight="1">
      <x:c r="A821" s="1" t="str">
        <x:f>Source!A815</x:f>
        <x:v>C0005323</x:v>
      </x:c>
      <x:c r="B821" s="1" t="str">
        <x:f>_xlfn.IFNA(VLOOKUP(Source!B815,Advertisers!$A$5:$B$34,2,FALSE),"Missing advertiser")</x:f>
        <x:v>Synthetic advertiser 27</x:v>
      </x:c>
      <x:c r="C821" s="1" t="n">
        <x:f>Source!C815</x:f>
        <x:v>117</x:v>
      </x:c>
      <x:c r="D821" s="8" t="n">
        <x:f>Source!D815/100</x:f>
        <x:v>200.17</x:v>
      </x:c>
      <x:c r="E821" s="8" t="n">
        <x:f>Source!E815/100</x:f>
        <x:v>0</x:v>
      </x:c>
      <x:c r="F821" s="8" t="n">
        <x:f>Source!F815/100</x:f>
        <x:v>0</x:v>
      </x:c>
      <x:c r="G821" s="8" t="n">
        <x:f>Source!G815/100</x:f>
        <x:v>0</x:v>
      </x:c>
      <x:c r="H821" s="8" t="n">
        <x:f>G821-D821</x:f>
        <x:v>-200.17</x:v>
      </x:c>
      <x:c r="I821" s="1" t="str">
        <x:f>IF(H821&gt;0,"Overbilled","Shortfall")</x:f>
        <x:v>Shortfall</x:v>
      </x:c>
      <x:c r="J821" s="7"/>
      <x:c r="K821" s="7" t="str">
        <x:v>Open</x:v>
      </x:c>
      <x:c r="L821" s="7"/>
    </x:row>
    <x:row r="822" ht="21" customHeight="1">
      <x:c r="A822" s="1" t="str">
        <x:f>Source!A816</x:f>
        <x:v>C0000909</x:v>
      </x:c>
      <x:c r="B822" s="1" t="str">
        <x:f>_xlfn.IFNA(VLOOKUP(Source!B816,Advertisers!$A$5:$B$34,2,FALSE),"Missing advertiser")</x:f>
        <x:v>Synthetic advertiser 27</x:v>
      </x:c>
      <x:c r="C822" s="1" t="n">
        <x:f>Source!C816</x:f>
        <x:v>117</x:v>
      </x:c>
      <x:c r="D822" s="8" t="n">
        <x:f>Source!D816/100</x:f>
        <x:v>200.17</x:v>
      </x:c>
      <x:c r="E822" s="8" t="n">
        <x:f>Source!E816/100</x:f>
        <x:v>0</x:v>
      </x:c>
      <x:c r="F822" s="8" t="n">
        <x:f>Source!F816/100</x:f>
        <x:v>0</x:v>
      </x:c>
      <x:c r="G822" s="8" t="n">
        <x:f>Source!G816/100</x:f>
        <x:v>0</x:v>
      </x:c>
      <x:c r="H822" s="8" t="n">
        <x:f>G822-D822</x:f>
        <x:v>-200.17</x:v>
      </x:c>
      <x:c r="I822" s="1" t="str">
        <x:f>IF(H822&gt;0,"Overbilled","Shortfall")</x:f>
        <x:v>Shortfall</x:v>
      </x:c>
      <x:c r="J822" s="7"/>
      <x:c r="K822" s="7" t="str">
        <x:v>Open</x:v>
      </x:c>
      <x:c r="L822" s="7"/>
    </x:row>
    <x:row r="823" ht="21" customHeight="1">
      <x:c r="A823" s="1" t="str">
        <x:f>Source!A817</x:f>
        <x:v>C0003116</x:v>
      </x:c>
      <x:c r="B823" s="1" t="str">
        <x:f>_xlfn.IFNA(VLOOKUP(Source!B817,Advertisers!$A$5:$B$34,2,FALSE),"Missing advertiser")</x:f>
        <x:v>Synthetic advertiser 23</x:v>
      </x:c>
      <x:c r="C823" s="1" t="n">
        <x:f>Source!C817</x:f>
        <x:v>23</x:v>
      </x:c>
      <x:c r="D823" s="8" t="n">
        <x:f>Source!D817/100</x:f>
        <x:v>199.35</x:v>
      </x:c>
      <x:c r="E823" s="8" t="n">
        <x:f>Source!E817/100</x:f>
        <x:v>398.7</x:v>
      </x:c>
      <x:c r="F823" s="8" t="n">
        <x:f>Source!F817/100</x:f>
        <x:v>0</x:v>
      </x:c>
      <x:c r="G823" s="8" t="n">
        <x:f>Source!G817/100</x:f>
        <x:v>398.7</x:v>
      </x:c>
      <x:c r="H823" s="8" t="n">
        <x:f>G823-D823</x:f>
        <x:v>199.35</x:v>
      </x:c>
      <x:c r="I823" s="1" t="str">
        <x:f>IF(H823&gt;0,"Overbilled","Shortfall")</x:f>
        <x:v>Overbilled</x:v>
      </x:c>
      <x:c r="J823" s="7"/>
      <x:c r="K823" s="7" t="str">
        <x:v>Open</x:v>
      </x:c>
      <x:c r="L823" s="7"/>
    </x:row>
    <x:row r="824" ht="21" customHeight="1">
      <x:c r="A824" s="1" t="str">
        <x:f>Source!A818</x:f>
        <x:v>C0002329</x:v>
      </x:c>
      <x:c r="B824" s="1" t="str">
        <x:f>_xlfn.IFNA(VLOOKUP(Source!B818,Advertisers!$A$5:$B$34,2,FALSE),"Missing advertiser")</x:f>
        <x:v>Synthetic advertiser 23</x:v>
      </x:c>
      <x:c r="C824" s="1" t="n">
        <x:f>Source!C818</x:f>
        <x:v>23</x:v>
      </x:c>
      <x:c r="D824" s="8" t="n">
        <x:f>Source!D818/100</x:f>
        <x:v>199.35</x:v>
      </x:c>
      <x:c r="E824" s="8" t="n">
        <x:f>Source!E818/100</x:f>
        <x:v>0</x:v>
      </x:c>
      <x:c r="F824" s="8" t="n">
        <x:f>Source!F818/100</x:f>
        <x:v>0</x:v>
      </x:c>
      <x:c r="G824" s="8" t="n">
        <x:f>Source!G818/100</x:f>
        <x:v>0</x:v>
      </x:c>
      <x:c r="H824" s="8" t="n">
        <x:f>G824-D824</x:f>
        <x:v>-199.35</x:v>
      </x:c>
      <x:c r="I824" s="1" t="str">
        <x:f>IF(H824&gt;0,"Overbilled","Shortfall")</x:f>
        <x:v>Shortfall</x:v>
      </x:c>
      <x:c r="J824" s="7"/>
      <x:c r="K824" s="7" t="str">
        <x:v>Open</x:v>
      </x:c>
      <x:c r="L824" s="7"/>
    </x:row>
    <x:row r="825" ht="21" customHeight="1">
      <x:c r="A825" s="1" t="str">
        <x:f>Source!A819</x:f>
        <x:v>C0002233</x:v>
      </x:c>
      <x:c r="B825" s="1" t="str">
        <x:f>_xlfn.IFNA(VLOOKUP(Source!B819,Advertisers!$A$5:$B$34,2,FALSE),"Missing advertiser")</x:f>
        <x:v>Synthetic advertiser 23</x:v>
      </x:c>
      <x:c r="C825" s="1" t="n">
        <x:f>Source!C819</x:f>
        <x:v>23</x:v>
      </x:c>
      <x:c r="D825" s="8" t="n">
        <x:f>Source!D819/100</x:f>
        <x:v>199.35</x:v>
      </x:c>
      <x:c r="E825" s="8" t="n">
        <x:f>Source!E819/100</x:f>
        <x:v>0</x:v>
      </x:c>
      <x:c r="F825" s="8" t="n">
        <x:f>Source!F819/100</x:f>
        <x:v>0</x:v>
      </x:c>
      <x:c r="G825" s="8" t="n">
        <x:f>Source!G819/100</x:f>
        <x:v>0</x:v>
      </x:c>
      <x:c r="H825" s="8" t="n">
        <x:f>G825-D825</x:f>
        <x:v>-199.35</x:v>
      </x:c>
      <x:c r="I825" s="1" t="str">
        <x:f>IF(H825&gt;0,"Overbilled","Shortfall")</x:f>
        <x:v>Shortfall</x:v>
      </x:c>
      <x:c r="J825" s="7"/>
      <x:c r="K825" s="7" t="str">
        <x:v>Open</x:v>
      </x:c>
      <x:c r="L825" s="7"/>
    </x:row>
    <x:row r="826" ht="21" customHeight="1">
      <x:c r="A826" s="1" t="str">
        <x:f>Source!A820</x:f>
        <x:v>C0003906</x:v>
      </x:c>
      <x:c r="B826" s="1" t="str">
        <x:f>_xlfn.IFNA(VLOOKUP(Source!B820,Advertisers!$A$5:$B$34,2,FALSE),"Missing advertiser")</x:f>
        <x:v>Synthetic advertiser 29</x:v>
      </x:c>
      <x:c r="C826" s="1" t="n">
        <x:f>Source!C820</x:f>
        <x:v>89</x:v>
      </x:c>
      <x:c r="D826" s="8" t="n">
        <x:f>Source!D820/100</x:f>
        <x:v>198.79</x:v>
      </x:c>
      <x:c r="E826" s="8" t="n">
        <x:f>Source!E820/100</x:f>
        <x:v>397.58</x:v>
      </x:c>
      <x:c r="F826" s="8" t="n">
        <x:f>Source!F820/100</x:f>
        <x:v>0</x:v>
      </x:c>
      <x:c r="G826" s="8" t="n">
        <x:f>Source!G820/100</x:f>
        <x:v>397.58</x:v>
      </x:c>
      <x:c r="H826" s="8" t="n">
        <x:f>G826-D826</x:f>
        <x:v>198.79</x:v>
      </x:c>
      <x:c r="I826" s="1" t="str">
        <x:f>IF(H826&gt;0,"Overbilled","Shortfall")</x:f>
        <x:v>Overbilled</x:v>
      </x:c>
      <x:c r="J826" s="7"/>
      <x:c r="K826" s="7" t="str">
        <x:v>Open</x:v>
      </x:c>
      <x:c r="L826" s="7"/>
    </x:row>
    <x:row r="827" ht="21" customHeight="1">
      <x:c r="A827" s="1" t="str">
        <x:f>Source!A821</x:f>
        <x:v>C0015925</x:v>
      </x:c>
      <x:c r="B827" s="1" t="str">
        <x:f>_xlfn.IFNA(VLOOKUP(Source!B821,Advertisers!$A$5:$B$34,2,FALSE),"Missing advertiser")</x:f>
        <x:v>Synthetic advertiser 29</x:v>
      </x:c>
      <x:c r="C827" s="1" t="n">
        <x:f>Source!C821</x:f>
        <x:v>89</x:v>
      </x:c>
      <x:c r="D827" s="8" t="n">
        <x:f>Source!D821/100</x:f>
        <x:v>198.79</x:v>
      </x:c>
      <x:c r="E827" s="8" t="n">
        <x:f>Source!E821/100</x:f>
        <x:v>0</x:v>
      </x:c>
      <x:c r="F827" s="8" t="n">
        <x:f>Source!F821/100</x:f>
        <x:v>0</x:v>
      </x:c>
      <x:c r="G827" s="8" t="n">
        <x:f>Source!G821/100</x:f>
        <x:v>0</x:v>
      </x:c>
      <x:c r="H827" s="8" t="n">
        <x:f>G827-D827</x:f>
        <x:v>-198.79</x:v>
      </x:c>
      <x:c r="I827" s="1" t="str">
        <x:f>IF(H827&gt;0,"Overbilled","Shortfall")</x:f>
        <x:v>Shortfall</x:v>
      </x:c>
      <x:c r="J827" s="7"/>
      <x:c r="K827" s="7" t="str">
        <x:v>Open</x:v>
      </x:c>
      <x:c r="L827" s="7"/>
    </x:row>
    <x:row r="828" ht="21" customHeight="1">
      <x:c r="A828" s="1" t="str">
        <x:f>Source!A822</x:f>
        <x:v>C0016687</x:v>
      </x:c>
      <x:c r="B828" s="1" t="str">
        <x:f>_xlfn.IFNA(VLOOKUP(Source!B822,Advertisers!$A$5:$B$34,2,FALSE),"Missing advertiser")</x:f>
        <x:v>Synthetic advertiser 29</x:v>
      </x:c>
      <x:c r="C828" s="1" t="n">
        <x:f>Source!C822</x:f>
        <x:v>89</x:v>
      </x:c>
      <x:c r="D828" s="8" t="n">
        <x:f>Source!D822/100</x:f>
        <x:v>198.79</x:v>
      </x:c>
      <x:c r="E828" s="8" t="n">
        <x:f>Source!E822/100</x:f>
        <x:v>397.58</x:v>
      </x:c>
      <x:c r="F828" s="8" t="n">
        <x:f>Source!F822/100</x:f>
        <x:v>0</x:v>
      </x:c>
      <x:c r="G828" s="8" t="n">
        <x:f>Source!G822/100</x:f>
        <x:v>397.58</x:v>
      </x:c>
      <x:c r="H828" s="8" t="n">
        <x:f>G828-D828</x:f>
        <x:v>198.79</x:v>
      </x:c>
      <x:c r="I828" s="1" t="str">
        <x:f>IF(H828&gt;0,"Overbilled","Shortfall")</x:f>
        <x:v>Overbilled</x:v>
      </x:c>
      <x:c r="J828" s="7"/>
      <x:c r="K828" s="7" t="str">
        <x:v>Open</x:v>
      </x:c>
      <x:c r="L828" s="7"/>
    </x:row>
    <x:row r="829" ht="21" customHeight="1">
      <x:c r="A829" s="1" t="str">
        <x:f>Source!A823</x:f>
        <x:v>C0016248</x:v>
      </x:c>
      <x:c r="B829" s="1" t="str">
        <x:f>_xlfn.IFNA(VLOOKUP(Source!B823,Advertisers!$A$5:$B$34,2,FALSE),"Missing advertiser")</x:f>
        <x:v>Synthetic advertiser 7</x:v>
      </x:c>
      <x:c r="C829" s="1" t="n">
        <x:f>Source!C823</x:f>
        <x:v>67</x:v>
      </x:c>
      <x:c r="D829" s="8" t="n">
        <x:f>Source!D823/100</x:f>
        <x:v>198.74</x:v>
      </x:c>
      <x:c r="E829" s="8" t="n">
        <x:f>Source!E823/100</x:f>
        <x:v>397.48</x:v>
      </x:c>
      <x:c r="F829" s="8" t="n">
        <x:f>Source!F823/100</x:f>
        <x:v>0</x:v>
      </x:c>
      <x:c r="G829" s="8" t="n">
        <x:f>Source!G823/100</x:f>
        <x:v>397.48</x:v>
      </x:c>
      <x:c r="H829" s="8" t="n">
        <x:f>G829-D829</x:f>
        <x:v>198.74</x:v>
      </x:c>
      <x:c r="I829" s="1" t="str">
        <x:f>IF(H829&gt;0,"Overbilled","Shortfall")</x:f>
        <x:v>Overbilled</x:v>
      </x:c>
      <x:c r="J829" s="7"/>
      <x:c r="K829" s="7" t="str">
        <x:v>Open</x:v>
      </x:c>
      <x:c r="L829" s="7"/>
    </x:row>
    <x:row r="830" ht="21" customHeight="1">
      <x:c r="A830" s="1" t="str">
        <x:f>Source!A824</x:f>
        <x:v>C0017192</x:v>
      </x:c>
      <x:c r="B830" s="1" t="str">
        <x:f>_xlfn.IFNA(VLOOKUP(Source!B824,Advertisers!$A$5:$B$34,2,FALSE),"Missing advertiser")</x:f>
        <x:v>Synthetic advertiser 7</x:v>
      </x:c>
      <x:c r="C830" s="1" t="n">
        <x:f>Source!C824</x:f>
        <x:v>67</x:v>
      </x:c>
      <x:c r="D830" s="8" t="n">
        <x:f>Source!D824/100</x:f>
        <x:v>198.74</x:v>
      </x:c>
      <x:c r="E830" s="8" t="n">
        <x:f>Source!E824/100</x:f>
        <x:v>397.48</x:v>
      </x:c>
      <x:c r="F830" s="8" t="n">
        <x:f>Source!F824/100</x:f>
        <x:v>0</x:v>
      </x:c>
      <x:c r="G830" s="8" t="n">
        <x:f>Source!G824/100</x:f>
        <x:v>397.48</x:v>
      </x:c>
      <x:c r="H830" s="8" t="n">
        <x:f>G830-D830</x:f>
        <x:v>198.74</x:v>
      </x:c>
      <x:c r="I830" s="1" t="str">
        <x:f>IF(H830&gt;0,"Overbilled","Shortfall")</x:f>
        <x:v>Overbilled</x:v>
      </x:c>
      <x:c r="J830" s="7"/>
      <x:c r="K830" s="7" t="str">
        <x:v>Open</x:v>
      </x:c>
      <x:c r="L830" s="7"/>
    </x:row>
    <x:row r="831" ht="21" customHeight="1">
      <x:c r="A831" s="1" t="str">
        <x:f>Source!A825</x:f>
        <x:v>C0011720</x:v>
      </x:c>
      <x:c r="B831" s="1" t="str">
        <x:f>_xlfn.IFNA(VLOOKUP(Source!B825,Advertisers!$A$5:$B$34,2,FALSE),"Missing advertiser")</x:f>
        <x:v>Synthetic advertiser 7</x:v>
      </x:c>
      <x:c r="C831" s="1" t="n">
        <x:f>Source!C825</x:f>
        <x:v>67</x:v>
      </x:c>
      <x:c r="D831" s="8" t="n">
        <x:f>Source!D825/100</x:f>
        <x:v>198.74</x:v>
      </x:c>
      <x:c r="E831" s="8" t="n">
        <x:f>Source!E825/100</x:f>
        <x:v>0</x:v>
      </x:c>
      <x:c r="F831" s="8" t="n">
        <x:f>Source!F825/100</x:f>
        <x:v>0</x:v>
      </x:c>
      <x:c r="G831" s="8" t="n">
        <x:f>Source!G825/100</x:f>
        <x:v>0</x:v>
      </x:c>
      <x:c r="H831" s="8" t="n">
        <x:f>G831-D831</x:f>
        <x:v>-198.74</x:v>
      </x:c>
      <x:c r="I831" s="1" t="str">
        <x:f>IF(H831&gt;0,"Overbilled","Shortfall")</x:f>
        <x:v>Shortfall</x:v>
      </x:c>
      <x:c r="J831" s="7"/>
      <x:c r="K831" s="7" t="str">
        <x:v>Open</x:v>
      </x:c>
      <x:c r="L831" s="7"/>
    </x:row>
    <x:row r="832" ht="21" customHeight="1">
      <x:c r="A832" s="1" t="str">
        <x:f>Source!A826</x:f>
        <x:v>C0011698</x:v>
      </x:c>
      <x:c r="B832" s="1" t="str">
        <x:f>_xlfn.IFNA(VLOOKUP(Source!B826,Advertisers!$A$5:$B$34,2,FALSE),"Missing advertiser")</x:f>
        <x:v>Synthetic advertiser 7</x:v>
      </x:c>
      <x:c r="C832" s="1" t="n">
        <x:f>Source!C826</x:f>
        <x:v>67</x:v>
      </x:c>
      <x:c r="D832" s="8" t="n">
        <x:f>Source!D826/100</x:f>
        <x:v>198.74</x:v>
      </x:c>
      <x:c r="E832" s="8" t="n">
        <x:f>Source!E826/100</x:f>
        <x:v>397.48</x:v>
      </x:c>
      <x:c r="F832" s="8" t="n">
        <x:f>Source!F826/100</x:f>
        <x:v>0</x:v>
      </x:c>
      <x:c r="G832" s="8" t="n">
        <x:f>Source!G826/100</x:f>
        <x:v>397.48</x:v>
      </x:c>
      <x:c r="H832" s="8" t="n">
        <x:f>G832-D832</x:f>
        <x:v>198.74</x:v>
      </x:c>
      <x:c r="I832" s="1" t="str">
        <x:f>IF(H832&gt;0,"Overbilled","Shortfall")</x:f>
        <x:v>Overbilled</x:v>
      </x:c>
      <x:c r="J832" s="7"/>
      <x:c r="K832" s="7" t="str">
        <x:v>Open</x:v>
      </x:c>
      <x:c r="L832" s="7"/>
    </x:row>
    <x:row r="833" ht="21" customHeight="1">
      <x:c r="A833" s="1" t="str">
        <x:f>Source!A827</x:f>
        <x:v>C0001496</x:v>
      </x:c>
      <x:c r="B833" s="1" t="str">
        <x:f>_xlfn.IFNA(VLOOKUP(Source!B827,Advertisers!$A$5:$B$34,2,FALSE),"Missing advertiser")</x:f>
        <x:v>Synthetic advertiser 7</x:v>
      </x:c>
      <x:c r="C833" s="1" t="n">
        <x:f>Source!C827</x:f>
        <x:v>67</x:v>
      </x:c>
      <x:c r="D833" s="8" t="n">
        <x:f>Source!D827/100</x:f>
        <x:v>198.74</x:v>
      </x:c>
      <x:c r="E833" s="8" t="n">
        <x:f>Source!E827/100</x:f>
        <x:v>397.48</x:v>
      </x:c>
      <x:c r="F833" s="8" t="n">
        <x:f>Source!F827/100</x:f>
        <x:v>0</x:v>
      </x:c>
      <x:c r="G833" s="8" t="n">
        <x:f>Source!G827/100</x:f>
        <x:v>397.48</x:v>
      </x:c>
      <x:c r="H833" s="8" t="n">
        <x:f>G833-D833</x:f>
        <x:v>198.74</x:v>
      </x:c>
      <x:c r="I833" s="1" t="str">
        <x:f>IF(H833&gt;0,"Overbilled","Shortfall")</x:f>
        <x:v>Overbilled</x:v>
      </x:c>
      <x:c r="J833" s="7"/>
      <x:c r="K833" s="7" t="str">
        <x:v>Open</x:v>
      </x:c>
      <x:c r="L833" s="7"/>
    </x:row>
    <x:row r="834" ht="21" customHeight="1">
      <x:c r="A834" s="1" t="str">
        <x:f>Source!A828</x:f>
        <x:v>C0007557</x:v>
      </x:c>
      <x:c r="B834" s="1" t="str">
        <x:f>_xlfn.IFNA(VLOOKUP(Source!B828,Advertisers!$A$5:$B$34,2,FALSE),"Missing advertiser")</x:f>
        <x:v>Synthetic advertiser 7</x:v>
      </x:c>
      <x:c r="C834" s="1" t="n">
        <x:f>Source!C828</x:f>
        <x:v>67</x:v>
      </x:c>
      <x:c r="D834" s="8" t="n">
        <x:f>Source!D828/100</x:f>
        <x:v>0</x:v>
      </x:c>
      <x:c r="E834" s="8" t="n">
        <x:f>Source!E828/100</x:f>
        <x:v>198.74</x:v>
      </x:c>
      <x:c r="F834" s="8" t="n">
        <x:f>Source!F828/100</x:f>
        <x:v>0</x:v>
      </x:c>
      <x:c r="G834" s="8" t="n">
        <x:f>Source!G828/100</x:f>
        <x:v>198.74</x:v>
      </x:c>
      <x:c r="H834" s="8" t="n">
        <x:f>G834-D834</x:f>
        <x:v>198.74</x:v>
      </x:c>
      <x:c r="I834" s="1" t="str">
        <x:f>IF(H834&gt;0,"Overbilled","Shortfall")</x:f>
        <x:v>Overbilled</x:v>
      </x:c>
      <x:c r="J834" s="7"/>
      <x:c r="K834" s="7" t="str">
        <x:v>Open</x:v>
      </x:c>
      <x:c r="L834" s="7"/>
    </x:row>
    <x:row r="835" ht="21" customHeight="1">
      <x:c r="A835" s="1" t="str">
        <x:f>Source!A829</x:f>
        <x:v>C0010063</x:v>
      </x:c>
      <x:c r="B835" s="1" t="str">
        <x:f>_xlfn.IFNA(VLOOKUP(Source!B829,Advertisers!$A$5:$B$34,2,FALSE),"Missing advertiser")</x:f>
        <x:v>Synthetic advertiser 7</x:v>
      </x:c>
      <x:c r="C835" s="1" t="n">
        <x:f>Source!C829</x:f>
        <x:v>67</x:v>
      </x:c>
      <x:c r="D835" s="8" t="n">
        <x:f>Source!D829/100</x:f>
        <x:v>198.74</x:v>
      </x:c>
      <x:c r="E835" s="8" t="n">
        <x:f>Source!E829/100</x:f>
        <x:v>397.48</x:v>
      </x:c>
      <x:c r="F835" s="8" t="n">
        <x:f>Source!F829/100</x:f>
        <x:v>0</x:v>
      </x:c>
      <x:c r="G835" s="8" t="n">
        <x:f>Source!G829/100</x:f>
        <x:v>397.48</x:v>
      </x:c>
      <x:c r="H835" s="8" t="n">
        <x:f>G835-D835</x:f>
        <x:v>198.74</x:v>
      </x:c>
      <x:c r="I835" s="1" t="str">
        <x:f>IF(H835&gt;0,"Overbilled","Shortfall")</x:f>
        <x:v>Overbilled</x:v>
      </x:c>
      <x:c r="J835" s="7"/>
      <x:c r="K835" s="7" t="str">
        <x:v>Open</x:v>
      </x:c>
      <x:c r="L835" s="7"/>
    </x:row>
    <x:row r="836" ht="21" customHeight="1">
      <x:c r="A836" s="1" t="str">
        <x:f>Source!A830</x:f>
        <x:v>C0009532</x:v>
      </x:c>
      <x:c r="B836" s="1" t="str">
        <x:f>_xlfn.IFNA(VLOOKUP(Source!B830,Advertisers!$A$5:$B$34,2,FALSE),"Missing advertiser")</x:f>
        <x:v>Synthetic advertiser 7</x:v>
      </x:c>
      <x:c r="C836" s="1" t="n">
        <x:f>Source!C830</x:f>
        <x:v>67</x:v>
      </x:c>
      <x:c r="D836" s="8" t="n">
        <x:f>Source!D830/100</x:f>
        <x:v>198.74</x:v>
      </x:c>
      <x:c r="E836" s="8" t="n">
        <x:f>Source!E830/100</x:f>
        <x:v>397.48</x:v>
      </x:c>
      <x:c r="F836" s="8" t="n">
        <x:f>Source!F830/100</x:f>
        <x:v>0</x:v>
      </x:c>
      <x:c r="G836" s="8" t="n">
        <x:f>Source!G830/100</x:f>
        <x:v>397.48</x:v>
      </x:c>
      <x:c r="H836" s="8" t="n">
        <x:f>G836-D836</x:f>
        <x:v>198.74</x:v>
      </x:c>
      <x:c r="I836" s="1" t="str">
        <x:f>IF(H836&gt;0,"Overbilled","Shortfall")</x:f>
        <x:v>Overbilled</x:v>
      </x:c>
      <x:c r="J836" s="7"/>
      <x:c r="K836" s="7" t="str">
        <x:v>Open</x:v>
      </x:c>
      <x:c r="L836" s="7"/>
    </x:row>
    <x:row r="837" ht="21" customHeight="1">
      <x:c r="A837" s="1" t="str">
        <x:f>Source!A831</x:f>
        <x:v>C0011118</x:v>
      </x:c>
      <x:c r="B837" s="1" t="str">
        <x:f>_xlfn.IFNA(VLOOKUP(Source!B831,Advertisers!$A$5:$B$34,2,FALSE),"Missing advertiser")</x:f>
        <x:v>Synthetic advertiser 7</x:v>
      </x:c>
      <x:c r="C837" s="1" t="n">
        <x:f>Source!C831</x:f>
        <x:v>67</x:v>
      </x:c>
      <x:c r="D837" s="8" t="n">
        <x:f>Source!D831/100</x:f>
        <x:v>198.74</x:v>
      </x:c>
      <x:c r="E837" s="8" t="n">
        <x:f>Source!E831/100</x:f>
        <x:v>397.48</x:v>
      </x:c>
      <x:c r="F837" s="8" t="n">
        <x:f>Source!F831/100</x:f>
        <x:v>0</x:v>
      </x:c>
      <x:c r="G837" s="8" t="n">
        <x:f>Source!G831/100</x:f>
        <x:v>397.48</x:v>
      </x:c>
      <x:c r="H837" s="8" t="n">
        <x:f>G837-D837</x:f>
        <x:v>198.74</x:v>
      </x:c>
      <x:c r="I837" s="1" t="str">
        <x:f>IF(H837&gt;0,"Overbilled","Shortfall")</x:f>
        <x:v>Overbilled</x:v>
      </x:c>
      <x:c r="J837" s="7"/>
      <x:c r="K837" s="7" t="str">
        <x:v>Open</x:v>
      </x:c>
      <x:c r="L837" s="7"/>
    </x:row>
    <x:row r="838" ht="21" customHeight="1">
      <x:c r="A838" s="1" t="str">
        <x:f>Source!A832</x:f>
        <x:v>C0007005</x:v>
      </x:c>
      <x:c r="B838" s="1" t="str">
        <x:f>_xlfn.IFNA(VLOOKUP(Source!B832,Advertisers!$A$5:$B$34,2,FALSE),"Missing advertiser")</x:f>
        <x:v>Synthetic advertiser 22</x:v>
      </x:c>
      <x:c r="C838" s="1" t="n">
        <x:f>Source!C832</x:f>
        <x:v>82</x:v>
      </x:c>
      <x:c r="D838" s="8" t="n">
        <x:f>Source!D832/100</x:f>
        <x:v>0</x:v>
      </x:c>
      <x:c r="E838" s="8" t="n">
        <x:f>Source!E832/100</x:f>
        <x:v>198.47</x:v>
      </x:c>
      <x:c r="F838" s="8" t="n">
        <x:f>Source!F832/100</x:f>
        <x:v>0</x:v>
      </x:c>
      <x:c r="G838" s="8" t="n">
        <x:f>Source!G832/100</x:f>
        <x:v>198.47</x:v>
      </x:c>
      <x:c r="H838" s="8" t="n">
        <x:f>G838-D838</x:f>
        <x:v>198.47</x:v>
      </x:c>
      <x:c r="I838" s="1" t="str">
        <x:f>IF(H838&gt;0,"Overbilled","Shortfall")</x:f>
        <x:v>Overbilled</x:v>
      </x:c>
      <x:c r="J838" s="7"/>
      <x:c r="K838" s="7" t="str">
        <x:v>Open</x:v>
      </x:c>
      <x:c r="L838" s="7"/>
    </x:row>
    <x:row r="839" ht="21" customHeight="1">
      <x:c r="A839" s="1" t="str">
        <x:f>Source!A833</x:f>
        <x:v>C0008704</x:v>
      </x:c>
      <x:c r="B839" s="1" t="str">
        <x:f>_xlfn.IFNA(VLOOKUP(Source!B833,Advertisers!$A$5:$B$34,2,FALSE),"Missing advertiser")</x:f>
        <x:v>Synthetic advertiser 22</x:v>
      </x:c>
      <x:c r="C839" s="1" t="n">
        <x:f>Source!C833</x:f>
        <x:v>82</x:v>
      </x:c>
      <x:c r="D839" s="8" t="n">
        <x:f>Source!D833/100</x:f>
        <x:v>198.47</x:v>
      </x:c>
      <x:c r="E839" s="8" t="n">
        <x:f>Source!E833/100</x:f>
        <x:v>0</x:v>
      </x:c>
      <x:c r="F839" s="8" t="n">
        <x:f>Source!F833/100</x:f>
        <x:v>0</x:v>
      </x:c>
      <x:c r="G839" s="8" t="n">
        <x:f>Source!G833/100</x:f>
        <x:v>0</x:v>
      </x:c>
      <x:c r="H839" s="8" t="n">
        <x:f>G839-D839</x:f>
        <x:v>-198.47</x:v>
      </x:c>
      <x:c r="I839" s="1" t="str">
        <x:f>IF(H839&gt;0,"Overbilled","Shortfall")</x:f>
        <x:v>Shortfall</x:v>
      </x:c>
      <x:c r="J839" s="7"/>
      <x:c r="K839" s="7" t="str">
        <x:v>Open</x:v>
      </x:c>
      <x:c r="L839" s="7"/>
    </x:row>
    <x:row r="840" ht="21" customHeight="1">
      <x:c r="A840" s="1" t="str">
        <x:f>Source!A834</x:f>
        <x:v>C0003324</x:v>
      </x:c>
      <x:c r="B840" s="1" t="str">
        <x:f>_xlfn.IFNA(VLOOKUP(Source!B834,Advertisers!$A$5:$B$34,2,FALSE),"Missing advertiser")</x:f>
        <x:v>Synthetic advertiser 22</x:v>
      </x:c>
      <x:c r="C840" s="1" t="n">
        <x:f>Source!C834</x:f>
        <x:v>82</x:v>
      </x:c>
      <x:c r="D840" s="8" t="n">
        <x:f>Source!D834/100</x:f>
        <x:v>198.47</x:v>
      </x:c>
      <x:c r="E840" s="8" t="n">
        <x:f>Source!E834/100</x:f>
        <x:v>0</x:v>
      </x:c>
      <x:c r="F840" s="8" t="n">
        <x:f>Source!F834/100</x:f>
        <x:v>0</x:v>
      </x:c>
      <x:c r="G840" s="8" t="n">
        <x:f>Source!G834/100</x:f>
        <x:v>0</x:v>
      </x:c>
      <x:c r="H840" s="8" t="n">
        <x:f>G840-D840</x:f>
        <x:v>-198.47</x:v>
      </x:c>
      <x:c r="I840" s="1" t="str">
        <x:f>IF(H840&gt;0,"Overbilled","Shortfall")</x:f>
        <x:v>Shortfall</x:v>
      </x:c>
      <x:c r="J840" s="7"/>
      <x:c r="K840" s="7" t="str">
        <x:v>Open</x:v>
      </x:c>
      <x:c r="L840" s="7"/>
    </x:row>
    <x:row r="841" ht="21" customHeight="1">
      <x:c r="A841" s="1" t="str">
        <x:f>Source!A835</x:f>
        <x:v>C0006735</x:v>
      </x:c>
      <x:c r="B841" s="1" t="str">
        <x:f>_xlfn.IFNA(VLOOKUP(Source!B835,Advertisers!$A$5:$B$34,2,FALSE),"Missing advertiser")</x:f>
        <x:v>Synthetic advertiser 22</x:v>
      </x:c>
      <x:c r="C841" s="1" t="n">
        <x:f>Source!C835</x:f>
        <x:v>82</x:v>
      </x:c>
      <x:c r="D841" s="8" t="n">
        <x:f>Source!D835/100</x:f>
        <x:v>198.47</x:v>
      </x:c>
      <x:c r="E841" s="8" t="n">
        <x:f>Source!E835/100</x:f>
        <x:v>0</x:v>
      </x:c>
      <x:c r="F841" s="8" t="n">
        <x:f>Source!F835/100</x:f>
        <x:v>0</x:v>
      </x:c>
      <x:c r="G841" s="8" t="n">
        <x:f>Source!G835/100</x:f>
        <x:v>0</x:v>
      </x:c>
      <x:c r="H841" s="8" t="n">
        <x:f>G841-D841</x:f>
        <x:v>-198.47</x:v>
      </x:c>
      <x:c r="I841" s="1" t="str">
        <x:f>IF(H841&gt;0,"Overbilled","Shortfall")</x:f>
        <x:v>Shortfall</x:v>
      </x:c>
      <x:c r="J841" s="7"/>
      <x:c r="K841" s="7" t="str">
        <x:v>Open</x:v>
      </x:c>
      <x:c r="L841" s="7"/>
    </x:row>
    <x:row r="842" ht="21" customHeight="1">
      <x:c r="A842" s="1" t="str">
        <x:f>Source!A836</x:f>
        <x:v>C0010305</x:v>
      </x:c>
      <x:c r="B842" s="1" t="str">
        <x:f>_xlfn.IFNA(VLOOKUP(Source!B836,Advertisers!$A$5:$B$34,2,FALSE),"Missing advertiser")</x:f>
        <x:v>Synthetic advertiser 22</x:v>
      </x:c>
      <x:c r="C842" s="1" t="n">
        <x:f>Source!C836</x:f>
        <x:v>82</x:v>
      </x:c>
      <x:c r="D842" s="8" t="n">
        <x:f>Source!D836/100</x:f>
        <x:v>198.47</x:v>
      </x:c>
      <x:c r="E842" s="8" t="n">
        <x:f>Source!E836/100</x:f>
        <x:v>396.94</x:v>
      </x:c>
      <x:c r="F842" s="8" t="n">
        <x:f>Source!F836/100</x:f>
        <x:v>0</x:v>
      </x:c>
      <x:c r="G842" s="8" t="n">
        <x:f>Source!G836/100</x:f>
        <x:v>396.94</x:v>
      </x:c>
      <x:c r="H842" s="8" t="n">
        <x:f>G842-D842</x:f>
        <x:v>198.47</x:v>
      </x:c>
      <x:c r="I842" s="1" t="str">
        <x:f>IF(H842&gt;0,"Overbilled","Shortfall")</x:f>
        <x:v>Overbilled</x:v>
      </x:c>
      <x:c r="J842" s="7"/>
      <x:c r="K842" s="7" t="str">
        <x:v>Open</x:v>
      </x:c>
      <x:c r="L842" s="7"/>
    </x:row>
    <x:row r="843" ht="21" customHeight="1">
      <x:c r="A843" s="1" t="str">
        <x:f>Source!A837</x:f>
        <x:v>C0007986</x:v>
      </x:c>
      <x:c r="B843" s="1" t="str">
        <x:f>_xlfn.IFNA(VLOOKUP(Source!B837,Advertisers!$A$5:$B$34,2,FALSE),"Missing advertiser")</x:f>
        <x:v>Synthetic advertiser 22</x:v>
      </x:c>
      <x:c r="C843" s="1" t="n">
        <x:f>Source!C837</x:f>
        <x:v>82</x:v>
      </x:c>
      <x:c r="D843" s="8" t="n">
        <x:f>Source!D837/100</x:f>
        <x:v>198.47</x:v>
      </x:c>
      <x:c r="E843" s="8" t="n">
        <x:f>Source!E837/100</x:f>
        <x:v>0</x:v>
      </x:c>
      <x:c r="F843" s="8" t="n">
        <x:f>Source!F837/100</x:f>
        <x:v>0</x:v>
      </x:c>
      <x:c r="G843" s="8" t="n">
        <x:f>Source!G837/100</x:f>
        <x:v>0</x:v>
      </x:c>
      <x:c r="H843" s="8" t="n">
        <x:f>G843-D843</x:f>
        <x:v>-198.47</x:v>
      </x:c>
      <x:c r="I843" s="1" t="str">
        <x:f>IF(H843&gt;0,"Overbilled","Shortfall")</x:f>
        <x:v>Shortfall</x:v>
      </x:c>
      <x:c r="J843" s="7"/>
      <x:c r="K843" s="7" t="str">
        <x:v>Open</x:v>
      </x:c>
      <x:c r="L843" s="7"/>
    </x:row>
    <x:row r="844" ht="21" customHeight="1">
      <x:c r="A844" s="1" t="str">
        <x:f>Source!A838</x:f>
        <x:v>C0005866</x:v>
      </x:c>
      <x:c r="B844" s="1" t="str">
        <x:f>_xlfn.IFNA(VLOOKUP(Source!B838,Advertisers!$A$5:$B$34,2,FALSE),"Missing advertiser")</x:f>
        <x:v>Synthetic advertiser 22</x:v>
      </x:c>
      <x:c r="C844" s="1" t="n">
        <x:f>Source!C838</x:f>
        <x:v>82</x:v>
      </x:c>
      <x:c r="D844" s="8" t="n">
        <x:f>Source!D838/100</x:f>
        <x:v>198.47</x:v>
      </x:c>
      <x:c r="E844" s="8" t="n">
        <x:f>Source!E838/100</x:f>
        <x:v>0</x:v>
      </x:c>
      <x:c r="F844" s="8" t="n">
        <x:f>Source!F838/100</x:f>
        <x:v>0</x:v>
      </x:c>
      <x:c r="G844" s="8" t="n">
        <x:f>Source!G838/100</x:f>
        <x:v>0</x:v>
      </x:c>
      <x:c r="H844" s="8" t="n">
        <x:f>G844-D844</x:f>
        <x:v>-198.47</x:v>
      </x:c>
      <x:c r="I844" s="1" t="str">
        <x:f>IF(H844&gt;0,"Overbilled","Shortfall")</x:f>
        <x:v>Shortfall</x:v>
      </x:c>
      <x:c r="J844" s="7"/>
      <x:c r="K844" s="7" t="str">
        <x:v>Open</x:v>
      </x:c>
      <x:c r="L844" s="7"/>
    </x:row>
    <x:row r="845" ht="21" customHeight="1">
      <x:c r="A845" s="1" t="str">
        <x:f>Source!A839</x:f>
        <x:v>C0006002</x:v>
      </x:c>
      <x:c r="B845" s="1" t="str">
        <x:f>_xlfn.IFNA(VLOOKUP(Source!B839,Advertisers!$A$5:$B$34,2,FALSE),"Missing advertiser")</x:f>
        <x:v>Synthetic advertiser 22</x:v>
      </x:c>
      <x:c r="C845" s="1" t="n">
        <x:f>Source!C839</x:f>
        <x:v>82</x:v>
      </x:c>
      <x:c r="D845" s="8" t="n">
        <x:f>Source!D839/100</x:f>
        <x:v>198.47</x:v>
      </x:c>
      <x:c r="E845" s="8" t="n">
        <x:f>Source!E839/100</x:f>
        <x:v>396.94</x:v>
      </x:c>
      <x:c r="F845" s="8" t="n">
        <x:f>Source!F839/100</x:f>
        <x:v>0</x:v>
      </x:c>
      <x:c r="G845" s="8" t="n">
        <x:f>Source!G839/100</x:f>
        <x:v>396.94</x:v>
      </x:c>
      <x:c r="H845" s="8" t="n">
        <x:f>G845-D845</x:f>
        <x:v>198.47</x:v>
      </x:c>
      <x:c r="I845" s="1" t="str">
        <x:f>IF(H845&gt;0,"Overbilled","Shortfall")</x:f>
        <x:v>Overbilled</x:v>
      </x:c>
      <x:c r="J845" s="7"/>
      <x:c r="K845" s="7" t="str">
        <x:v>Open</x:v>
      </x:c>
      <x:c r="L845" s="7"/>
    </x:row>
    <x:row r="846" ht="21" customHeight="1">
      <x:c r="A846" s="1" t="str">
        <x:f>Source!A840</x:f>
        <x:v>C0016541</x:v>
      </x:c>
      <x:c r="B846" s="1" t="str">
        <x:f>_xlfn.IFNA(VLOOKUP(Source!B840,Advertisers!$A$5:$B$34,2,FALSE),"Missing advertiser")</x:f>
        <x:v>Synthetic advertiser 22</x:v>
      </x:c>
      <x:c r="C846" s="1" t="n">
        <x:f>Source!C840</x:f>
        <x:v>82</x:v>
      </x:c>
      <x:c r="D846" s="8" t="n">
        <x:f>Source!D840/100</x:f>
        <x:v>198.47</x:v>
      </x:c>
      <x:c r="E846" s="8" t="n">
        <x:f>Source!E840/100</x:f>
        <x:v>396.94</x:v>
      </x:c>
      <x:c r="F846" s="8" t="n">
        <x:f>Source!F840/100</x:f>
        <x:v>0</x:v>
      </x:c>
      <x:c r="G846" s="8" t="n">
        <x:f>Source!G840/100</x:f>
        <x:v>396.94</x:v>
      </x:c>
      <x:c r="H846" s="8" t="n">
        <x:f>G846-D846</x:f>
        <x:v>198.47</x:v>
      </x:c>
      <x:c r="I846" s="1" t="str">
        <x:f>IF(H846&gt;0,"Overbilled","Shortfall")</x:f>
        <x:v>Overbilled</x:v>
      </x:c>
      <x:c r="J846" s="7"/>
      <x:c r="K846" s="7" t="str">
        <x:v>Open</x:v>
      </x:c>
      <x:c r="L846" s="7"/>
    </x:row>
    <x:row r="847" ht="21" customHeight="1">
      <x:c r="A847" s="1" t="str">
        <x:f>Source!A841</x:f>
        <x:v>C0007376</x:v>
      </x:c>
      <x:c r="B847" s="1" t="str">
        <x:f>_xlfn.IFNA(VLOOKUP(Source!B841,Advertisers!$A$5:$B$34,2,FALSE),"Missing advertiser")</x:f>
        <x:v>Synthetic advertiser 22</x:v>
      </x:c>
      <x:c r="C847" s="1" t="n">
        <x:f>Source!C841</x:f>
        <x:v>82</x:v>
      </x:c>
      <x:c r="D847" s="8" t="n">
        <x:f>Source!D841/100</x:f>
        <x:v>198.47</x:v>
      </x:c>
      <x:c r="E847" s="8" t="n">
        <x:f>Source!E841/100</x:f>
        <x:v>396.94</x:v>
      </x:c>
      <x:c r="F847" s="8" t="n">
        <x:f>Source!F841/100</x:f>
        <x:v>0</x:v>
      </x:c>
      <x:c r="G847" s="8" t="n">
        <x:f>Source!G841/100</x:f>
        <x:v>396.94</x:v>
      </x:c>
      <x:c r="H847" s="8" t="n">
        <x:f>G847-D847</x:f>
        <x:v>198.47</x:v>
      </x:c>
      <x:c r="I847" s="1" t="str">
        <x:f>IF(H847&gt;0,"Overbilled","Shortfall")</x:f>
        <x:v>Overbilled</x:v>
      </x:c>
      <x:c r="J847" s="7"/>
      <x:c r="K847" s="7" t="str">
        <x:v>Open</x:v>
      </x:c>
      <x:c r="L847" s="7"/>
    </x:row>
    <x:row r="848" ht="21" customHeight="1">
      <x:c r="A848" s="1" t="str">
        <x:f>Source!A842</x:f>
        <x:v>C0004732</x:v>
      </x:c>
      <x:c r="B848" s="1" t="str">
        <x:f>_xlfn.IFNA(VLOOKUP(Source!B842,Advertisers!$A$5:$B$34,2,FALSE),"Missing advertiser")</x:f>
        <x:v>Synthetic advertiser 21</x:v>
      </x:c>
      <x:c r="C848" s="1" t="n">
        <x:f>Source!C842</x:f>
        <x:v>51</x:v>
      </x:c>
      <x:c r="D848" s="8" t="n">
        <x:f>Source!D842/100</x:f>
        <x:v>197.94</x:v>
      </x:c>
      <x:c r="E848" s="8" t="n">
        <x:f>Source!E842/100</x:f>
        <x:v>395.88</x:v>
      </x:c>
      <x:c r="F848" s="8" t="n">
        <x:f>Source!F842/100</x:f>
        <x:v>0</x:v>
      </x:c>
      <x:c r="G848" s="8" t="n">
        <x:f>Source!G842/100</x:f>
        <x:v>395.88</x:v>
      </x:c>
      <x:c r="H848" s="8" t="n">
        <x:f>G848-D848</x:f>
        <x:v>197.94</x:v>
      </x:c>
      <x:c r="I848" s="1" t="str">
        <x:f>IF(H848&gt;0,"Overbilled","Shortfall")</x:f>
        <x:v>Overbilled</x:v>
      </x:c>
      <x:c r="J848" s="7"/>
      <x:c r="K848" s="7" t="str">
        <x:v>Open</x:v>
      </x:c>
      <x:c r="L848" s="7"/>
    </x:row>
    <x:row r="849" ht="21" customHeight="1">
      <x:c r="A849" s="1" t="str">
        <x:f>Source!A843</x:f>
        <x:v>C0014847</x:v>
      </x:c>
      <x:c r="B849" s="1" t="str">
        <x:f>_xlfn.IFNA(VLOOKUP(Source!B843,Advertisers!$A$5:$B$34,2,FALSE),"Missing advertiser")</x:f>
        <x:v>Synthetic advertiser 21</x:v>
      </x:c>
      <x:c r="C849" s="1" t="n">
        <x:f>Source!C843</x:f>
        <x:v>51</x:v>
      </x:c>
      <x:c r="D849" s="8" t="n">
        <x:f>Source!D843/100</x:f>
        <x:v>197.94</x:v>
      </x:c>
      <x:c r="E849" s="8" t="n">
        <x:f>Source!E843/100</x:f>
        <x:v>0</x:v>
      </x:c>
      <x:c r="F849" s="8" t="n">
        <x:f>Source!F843/100</x:f>
        <x:v>0</x:v>
      </x:c>
      <x:c r="G849" s="8" t="n">
        <x:f>Source!G843/100</x:f>
        <x:v>0</x:v>
      </x:c>
      <x:c r="H849" s="8" t="n">
        <x:f>G849-D849</x:f>
        <x:v>-197.94</x:v>
      </x:c>
      <x:c r="I849" s="1" t="str">
        <x:f>IF(H849&gt;0,"Overbilled","Shortfall")</x:f>
        <x:v>Shortfall</x:v>
      </x:c>
      <x:c r="J849" s="7"/>
      <x:c r="K849" s="7" t="str">
        <x:v>Open</x:v>
      </x:c>
      <x:c r="L849" s="7"/>
    </x:row>
    <x:row r="850" ht="21" customHeight="1">
      <x:c r="A850" s="1" t="str">
        <x:f>Source!A844</x:f>
        <x:v>C0003146</x:v>
      </x:c>
      <x:c r="B850" s="1" t="str">
        <x:f>_xlfn.IFNA(VLOOKUP(Source!B844,Advertisers!$A$5:$B$34,2,FALSE),"Missing advertiser")</x:f>
        <x:v>Synthetic advertiser 21</x:v>
      </x:c>
      <x:c r="C850" s="1" t="n">
        <x:f>Source!C844</x:f>
        <x:v>51</x:v>
      </x:c>
      <x:c r="D850" s="8" t="n">
        <x:f>Source!D844/100</x:f>
        <x:v>0</x:v>
      </x:c>
      <x:c r="E850" s="8" t="n">
        <x:f>Source!E844/100</x:f>
        <x:v>197.94</x:v>
      </x:c>
      <x:c r="F850" s="8" t="n">
        <x:f>Source!F844/100</x:f>
        <x:v>0</x:v>
      </x:c>
      <x:c r="G850" s="8" t="n">
        <x:f>Source!G844/100</x:f>
        <x:v>197.94</x:v>
      </x:c>
      <x:c r="H850" s="8" t="n">
        <x:f>G850-D850</x:f>
        <x:v>197.94</x:v>
      </x:c>
      <x:c r="I850" s="1" t="str">
        <x:f>IF(H850&gt;0,"Overbilled","Shortfall")</x:f>
        <x:v>Overbilled</x:v>
      </x:c>
      <x:c r="J850" s="7"/>
      <x:c r="K850" s="7" t="str">
        <x:v>Open</x:v>
      </x:c>
      <x:c r="L850" s="7"/>
    </x:row>
    <x:row r="851" ht="21" customHeight="1">
      <x:c r="A851" s="1" t="str">
        <x:f>Source!A845</x:f>
        <x:v>C0017084</x:v>
      </x:c>
      <x:c r="B851" s="1" t="str">
        <x:f>_xlfn.IFNA(VLOOKUP(Source!B845,Advertisers!$A$5:$B$34,2,FALSE),"Missing advertiser")</x:f>
        <x:v>Synthetic advertiser 21</x:v>
      </x:c>
      <x:c r="C851" s="1" t="n">
        <x:f>Source!C845</x:f>
        <x:v>51</x:v>
      </x:c>
      <x:c r="D851" s="8" t="n">
        <x:f>Source!D845/100</x:f>
        <x:v>0</x:v>
      </x:c>
      <x:c r="E851" s="8" t="n">
        <x:f>Source!E845/100</x:f>
        <x:v>197.94</x:v>
      </x:c>
      <x:c r="F851" s="8" t="n">
        <x:f>Source!F845/100</x:f>
        <x:v>0</x:v>
      </x:c>
      <x:c r="G851" s="8" t="n">
        <x:f>Source!G845/100</x:f>
        <x:v>197.94</x:v>
      </x:c>
      <x:c r="H851" s="8" t="n">
        <x:f>G851-D851</x:f>
        <x:v>197.94</x:v>
      </x:c>
      <x:c r="I851" s="1" t="str">
        <x:f>IF(H851&gt;0,"Overbilled","Shortfall")</x:f>
        <x:v>Overbilled</x:v>
      </x:c>
      <x:c r="J851" s="7"/>
      <x:c r="K851" s="7" t="str">
        <x:v>Open</x:v>
      </x:c>
      <x:c r="L851" s="7"/>
    </x:row>
    <x:row r="852" ht="21" customHeight="1">
      <x:c r="A852" s="1" t="str">
        <x:f>Source!A846</x:f>
        <x:v>C0013570</x:v>
      </x:c>
      <x:c r="B852" s="1" t="str">
        <x:f>_xlfn.IFNA(VLOOKUP(Source!B846,Advertisers!$A$5:$B$34,2,FALSE),"Missing advertiser")</x:f>
        <x:v>Synthetic advertiser 21</x:v>
      </x:c>
      <x:c r="C852" s="1" t="n">
        <x:f>Source!C846</x:f>
        <x:v>51</x:v>
      </x:c>
      <x:c r="D852" s="8" t="n">
        <x:f>Source!D846/100</x:f>
        <x:v>197.94</x:v>
      </x:c>
      <x:c r="E852" s="8" t="n">
        <x:f>Source!E846/100</x:f>
        <x:v>0</x:v>
      </x:c>
      <x:c r="F852" s="8" t="n">
        <x:f>Source!F846/100</x:f>
        <x:v>0</x:v>
      </x:c>
      <x:c r="G852" s="8" t="n">
        <x:f>Source!G846/100</x:f>
        <x:v>0</x:v>
      </x:c>
      <x:c r="H852" s="8" t="n">
        <x:f>G852-D852</x:f>
        <x:v>-197.94</x:v>
      </x:c>
      <x:c r="I852" s="1" t="str">
        <x:f>IF(H852&gt;0,"Overbilled","Shortfall")</x:f>
        <x:v>Shortfall</x:v>
      </x:c>
      <x:c r="J852" s="7"/>
      <x:c r="K852" s="7" t="str">
        <x:v>Open</x:v>
      </x:c>
      <x:c r="L852" s="7"/>
    </x:row>
    <x:row r="853" ht="21" customHeight="1">
      <x:c r="A853" s="1" t="str">
        <x:f>Source!A847</x:f>
        <x:v>C0011101</x:v>
      </x:c>
      <x:c r="B853" s="1" t="str">
        <x:f>_xlfn.IFNA(VLOOKUP(Source!B847,Advertisers!$A$5:$B$34,2,FALSE),"Missing advertiser")</x:f>
        <x:v>Synthetic advertiser 21</x:v>
      </x:c>
      <x:c r="C853" s="1" t="n">
        <x:f>Source!C847</x:f>
        <x:v>51</x:v>
      </x:c>
      <x:c r="D853" s="8" t="n">
        <x:f>Source!D847/100</x:f>
        <x:v>197.94</x:v>
      </x:c>
      <x:c r="E853" s="8" t="n">
        <x:f>Source!E847/100</x:f>
        <x:v>0</x:v>
      </x:c>
      <x:c r="F853" s="8" t="n">
        <x:f>Source!F847/100</x:f>
        <x:v>0</x:v>
      </x:c>
      <x:c r="G853" s="8" t="n">
        <x:f>Source!G847/100</x:f>
        <x:v>0</x:v>
      </x:c>
      <x:c r="H853" s="8" t="n">
        <x:f>G853-D853</x:f>
        <x:v>-197.94</x:v>
      </x:c>
      <x:c r="I853" s="1" t="str">
        <x:f>IF(H853&gt;0,"Overbilled","Shortfall")</x:f>
        <x:v>Shortfall</x:v>
      </x:c>
      <x:c r="J853" s="7"/>
      <x:c r="K853" s="7" t="str">
        <x:v>Open</x:v>
      </x:c>
      <x:c r="L853" s="7"/>
    </x:row>
    <x:row r="854" ht="21" customHeight="1">
      <x:c r="A854" s="1" t="str">
        <x:f>Source!A848</x:f>
        <x:v>C0015011</x:v>
      </x:c>
      <x:c r="B854" s="1" t="str">
        <x:f>_xlfn.IFNA(VLOOKUP(Source!B848,Advertisers!$A$5:$B$34,2,FALSE),"Missing advertiser")</x:f>
        <x:v>Synthetic advertiser 26</x:v>
      </x:c>
      <x:c r="C854" s="1" t="n">
        <x:f>Source!C848</x:f>
        <x:v>26</x:v>
      </x:c>
      <x:c r="D854" s="8" t="n">
        <x:f>Source!D848/100</x:f>
        <x:v>197.8</x:v>
      </x:c>
      <x:c r="E854" s="8" t="n">
        <x:f>Source!E848/100</x:f>
        <x:v>395.6</x:v>
      </x:c>
      <x:c r="F854" s="8" t="n">
        <x:f>Source!F848/100</x:f>
        <x:v>0</x:v>
      </x:c>
      <x:c r="G854" s="8" t="n">
        <x:f>Source!G848/100</x:f>
        <x:v>395.6</x:v>
      </x:c>
      <x:c r="H854" s="8" t="n">
        <x:f>G854-D854</x:f>
        <x:v>197.8</x:v>
      </x:c>
      <x:c r="I854" s="1" t="str">
        <x:f>IF(H854&gt;0,"Overbilled","Shortfall")</x:f>
        <x:v>Overbilled</x:v>
      </x:c>
      <x:c r="J854" s="7"/>
      <x:c r="K854" s="7" t="str">
        <x:v>Open</x:v>
      </x:c>
      <x:c r="L854" s="7"/>
    </x:row>
    <x:row r="855" ht="21" customHeight="1">
      <x:c r="A855" s="1" t="str">
        <x:f>Source!A849</x:f>
        <x:v>C0005624</x:v>
      </x:c>
      <x:c r="B855" s="1" t="str">
        <x:f>_xlfn.IFNA(VLOOKUP(Source!B849,Advertisers!$A$5:$B$34,2,FALSE),"Missing advertiser")</x:f>
        <x:v>Synthetic advertiser 26</x:v>
      </x:c>
      <x:c r="C855" s="1" t="n">
        <x:f>Source!C849</x:f>
        <x:v>26</x:v>
      </x:c>
      <x:c r="D855" s="8" t="n">
        <x:f>Source!D849/100</x:f>
        <x:v>197.8</x:v>
      </x:c>
      <x:c r="E855" s="8" t="n">
        <x:f>Source!E849/100</x:f>
        <x:v>395.6</x:v>
      </x:c>
      <x:c r="F855" s="8" t="n">
        <x:f>Source!F849/100</x:f>
        <x:v>0</x:v>
      </x:c>
      <x:c r="G855" s="8" t="n">
        <x:f>Source!G849/100</x:f>
        <x:v>395.6</x:v>
      </x:c>
      <x:c r="H855" s="8" t="n">
        <x:f>G855-D855</x:f>
        <x:v>197.8</x:v>
      </x:c>
      <x:c r="I855" s="1" t="str">
        <x:f>IF(H855&gt;0,"Overbilled","Shortfall")</x:f>
        <x:v>Overbilled</x:v>
      </x:c>
      <x:c r="J855" s="7"/>
      <x:c r="K855" s="7" t="str">
        <x:v>Open</x:v>
      </x:c>
      <x:c r="L855" s="7"/>
    </x:row>
    <x:row r="856" ht="21" customHeight="1">
      <x:c r="A856" s="1" t="str">
        <x:f>Source!A850</x:f>
        <x:v>C0011358</x:v>
      </x:c>
      <x:c r="B856" s="1" t="str">
        <x:f>_xlfn.IFNA(VLOOKUP(Source!B850,Advertisers!$A$5:$B$34,2,FALSE),"Missing advertiser")</x:f>
        <x:v>Synthetic advertiser 26</x:v>
      </x:c>
      <x:c r="C856" s="1" t="n">
        <x:f>Source!C850</x:f>
        <x:v>26</x:v>
      </x:c>
      <x:c r="D856" s="8" t="n">
        <x:f>Source!D850/100</x:f>
        <x:v>197.8</x:v>
      </x:c>
      <x:c r="E856" s="8" t="n">
        <x:f>Source!E850/100</x:f>
        <x:v>395.6</x:v>
      </x:c>
      <x:c r="F856" s="8" t="n">
        <x:f>Source!F850/100</x:f>
        <x:v>0</x:v>
      </x:c>
      <x:c r="G856" s="8" t="n">
        <x:f>Source!G850/100</x:f>
        <x:v>395.6</x:v>
      </x:c>
      <x:c r="H856" s="8" t="n">
        <x:f>G856-D856</x:f>
        <x:v>197.8</x:v>
      </x:c>
      <x:c r="I856" s="1" t="str">
        <x:f>IF(H856&gt;0,"Overbilled","Shortfall")</x:f>
        <x:v>Overbilled</x:v>
      </x:c>
      <x:c r="J856" s="7"/>
      <x:c r="K856" s="7" t="str">
        <x:v>Open</x:v>
      </x:c>
      <x:c r="L856" s="7"/>
    </x:row>
    <x:row r="857" ht="21" customHeight="1">
      <x:c r="A857" s="1" t="str">
        <x:f>Source!A851</x:f>
        <x:v>C0010895</x:v>
      </x:c>
      <x:c r="B857" s="1" t="str">
        <x:f>_xlfn.IFNA(VLOOKUP(Source!B851,Advertisers!$A$5:$B$34,2,FALSE),"Missing advertiser")</x:f>
        <x:v>Synthetic advertiser 26</x:v>
      </x:c>
      <x:c r="C857" s="1" t="n">
        <x:f>Source!C851</x:f>
        <x:v>26</x:v>
      </x:c>
      <x:c r="D857" s="8" t="n">
        <x:f>Source!D851/100</x:f>
        <x:v>197.8</x:v>
      </x:c>
      <x:c r="E857" s="8" t="n">
        <x:f>Source!E851/100</x:f>
        <x:v>0</x:v>
      </x:c>
      <x:c r="F857" s="8" t="n">
        <x:f>Source!F851/100</x:f>
        <x:v>0</x:v>
      </x:c>
      <x:c r="G857" s="8" t="n">
        <x:f>Source!G851/100</x:f>
        <x:v>0</x:v>
      </x:c>
      <x:c r="H857" s="8" t="n">
        <x:f>G857-D857</x:f>
        <x:v>-197.8</x:v>
      </x:c>
      <x:c r="I857" s="1" t="str">
        <x:f>IF(H857&gt;0,"Overbilled","Shortfall")</x:f>
        <x:v>Shortfall</x:v>
      </x:c>
      <x:c r="J857" s="7"/>
      <x:c r="K857" s="7" t="str">
        <x:v>Open</x:v>
      </x:c>
      <x:c r="L857" s="7"/>
    </x:row>
    <x:row r="858" ht="21" customHeight="1">
      <x:c r="A858" s="1" t="str">
        <x:f>Source!A852</x:f>
        <x:v>C0015726</x:v>
      </x:c>
      <x:c r="B858" s="1" t="str">
        <x:f>_xlfn.IFNA(VLOOKUP(Source!B852,Advertisers!$A$5:$B$34,2,FALSE),"Missing advertiser")</x:f>
        <x:v>Synthetic advertiser 26</x:v>
      </x:c>
      <x:c r="C858" s="1" t="n">
        <x:f>Source!C852</x:f>
        <x:v>26</x:v>
      </x:c>
      <x:c r="D858" s="8" t="n">
        <x:f>Source!D852/100</x:f>
        <x:v>197.8</x:v>
      </x:c>
      <x:c r="E858" s="8" t="n">
        <x:f>Source!E852/100</x:f>
        <x:v>395.6</x:v>
      </x:c>
      <x:c r="F858" s="8" t="n">
        <x:f>Source!F852/100</x:f>
        <x:v>0</x:v>
      </x:c>
      <x:c r="G858" s="8" t="n">
        <x:f>Source!G852/100</x:f>
        <x:v>395.6</x:v>
      </x:c>
      <x:c r="H858" s="8" t="n">
        <x:f>G858-D858</x:f>
        <x:v>197.8</x:v>
      </x:c>
      <x:c r="I858" s="1" t="str">
        <x:f>IF(H858&gt;0,"Overbilled","Shortfall")</x:f>
        <x:v>Overbilled</x:v>
      </x:c>
      <x:c r="J858" s="7"/>
      <x:c r="K858" s="7" t="str">
        <x:v>Open</x:v>
      </x:c>
      <x:c r="L858" s="7"/>
    </x:row>
    <x:row r="859" ht="21" customHeight="1">
      <x:c r="A859" s="1" t="str">
        <x:f>Source!A853</x:f>
        <x:v>C0011828</x:v>
      </x:c>
      <x:c r="B859" s="1" t="str">
        <x:f>_xlfn.IFNA(VLOOKUP(Source!B853,Advertisers!$A$5:$B$34,2,FALSE),"Missing advertiser")</x:f>
        <x:v>Synthetic advertiser 20</x:v>
      </x:c>
      <x:c r="C859" s="1" t="n">
        <x:f>Source!C853</x:f>
        <x:v>110</x:v>
      </x:c>
      <x:c r="D859" s="8" t="n">
        <x:f>Source!D853/100</x:f>
        <x:v>197.03</x:v>
      </x:c>
      <x:c r="E859" s="8" t="n">
        <x:f>Source!E853/100</x:f>
        <x:v>0</x:v>
      </x:c>
      <x:c r="F859" s="8" t="n">
        <x:f>Source!F853/100</x:f>
        <x:v>0</x:v>
      </x:c>
      <x:c r="G859" s="8" t="n">
        <x:f>Source!G853/100</x:f>
        <x:v>0</x:v>
      </x:c>
      <x:c r="H859" s="8" t="n">
        <x:f>G859-D859</x:f>
        <x:v>-197.03</x:v>
      </x:c>
      <x:c r="I859" s="1" t="str">
        <x:f>IF(H859&gt;0,"Overbilled","Shortfall")</x:f>
        <x:v>Shortfall</x:v>
      </x:c>
      <x:c r="J859" s="7"/>
      <x:c r="K859" s="7" t="str">
        <x:v>Open</x:v>
      </x:c>
      <x:c r="L859" s="7"/>
    </x:row>
    <x:row r="860" ht="21" customHeight="1">
      <x:c r="A860" s="1" t="str">
        <x:f>Source!A854</x:f>
        <x:v>C0010221</x:v>
      </x:c>
      <x:c r="B860" s="1" t="str">
        <x:f>_xlfn.IFNA(VLOOKUP(Source!B854,Advertisers!$A$5:$B$34,2,FALSE),"Missing advertiser")</x:f>
        <x:v>Synthetic advertiser 20</x:v>
      </x:c>
      <x:c r="C860" s="1" t="n">
        <x:f>Source!C854</x:f>
        <x:v>110</x:v>
      </x:c>
      <x:c r="D860" s="8" t="n">
        <x:f>Source!D854/100</x:f>
        <x:v>0</x:v>
      </x:c>
      <x:c r="E860" s="8" t="n">
        <x:f>Source!E854/100</x:f>
        <x:v>197.03</x:v>
      </x:c>
      <x:c r="F860" s="8" t="n">
        <x:f>Source!F854/100</x:f>
        <x:v>0</x:v>
      </x:c>
      <x:c r="G860" s="8" t="n">
        <x:f>Source!G854/100</x:f>
        <x:v>197.03</x:v>
      </x:c>
      <x:c r="H860" s="8" t="n">
        <x:f>G860-D860</x:f>
        <x:v>197.03</x:v>
      </x:c>
      <x:c r="I860" s="1" t="str">
        <x:f>IF(H860&gt;0,"Overbilled","Shortfall")</x:f>
        <x:v>Overbilled</x:v>
      </x:c>
      <x:c r="J860" s="7"/>
      <x:c r="K860" s="7" t="str">
        <x:v>Open</x:v>
      </x:c>
      <x:c r="L860" s="7"/>
    </x:row>
    <x:row r="861" ht="21" customHeight="1">
      <x:c r="A861" s="1" t="str">
        <x:f>Source!A855</x:f>
        <x:v>C0008282</x:v>
      </x:c>
      <x:c r="B861" s="1" t="str">
        <x:f>_xlfn.IFNA(VLOOKUP(Source!B855,Advertisers!$A$5:$B$34,2,FALSE),"Missing advertiser")</x:f>
        <x:v>Synthetic advertiser 20</x:v>
      </x:c>
      <x:c r="C861" s="1" t="n">
        <x:f>Source!C855</x:f>
        <x:v>110</x:v>
      </x:c>
      <x:c r="D861" s="8" t="n">
        <x:f>Source!D855/100</x:f>
        <x:v>197.03</x:v>
      </x:c>
      <x:c r="E861" s="8" t="n">
        <x:f>Source!E855/100</x:f>
        <x:v>0</x:v>
      </x:c>
      <x:c r="F861" s="8" t="n">
        <x:f>Source!F855/100</x:f>
        <x:v>0</x:v>
      </x:c>
      <x:c r="G861" s="8" t="n">
        <x:f>Source!G855/100</x:f>
        <x:v>0</x:v>
      </x:c>
      <x:c r="H861" s="8" t="n">
        <x:f>G861-D861</x:f>
        <x:v>-197.03</x:v>
      </x:c>
      <x:c r="I861" s="1" t="str">
        <x:f>IF(H861&gt;0,"Overbilled","Shortfall")</x:f>
        <x:v>Shortfall</x:v>
      </x:c>
      <x:c r="J861" s="7"/>
      <x:c r="K861" s="7" t="str">
        <x:v>Open</x:v>
      </x:c>
      <x:c r="L861" s="7"/>
    </x:row>
    <x:row r="862" ht="21" customHeight="1">
      <x:c r="A862" s="1" t="str">
        <x:f>Source!A856</x:f>
        <x:v>C0013357</x:v>
      </x:c>
      <x:c r="B862" s="1" t="str">
        <x:f>_xlfn.IFNA(VLOOKUP(Source!B856,Advertisers!$A$5:$B$34,2,FALSE),"Missing advertiser")</x:f>
        <x:v>Synthetic advertiser 20</x:v>
      </x:c>
      <x:c r="C862" s="1" t="n">
        <x:f>Source!C856</x:f>
        <x:v>110</x:v>
      </x:c>
      <x:c r="D862" s="8" t="n">
        <x:f>Source!D856/100</x:f>
        <x:v>197.03</x:v>
      </x:c>
      <x:c r="E862" s="8" t="n">
        <x:f>Source!E856/100</x:f>
        <x:v>394.06</x:v>
      </x:c>
      <x:c r="F862" s="8" t="n">
        <x:f>Source!F856/100</x:f>
        <x:v>0</x:v>
      </x:c>
      <x:c r="G862" s="8" t="n">
        <x:f>Source!G856/100</x:f>
        <x:v>394.06</x:v>
      </x:c>
      <x:c r="H862" s="8" t="n">
        <x:f>G862-D862</x:f>
        <x:v>197.03</x:v>
      </x:c>
      <x:c r="I862" s="1" t="str">
        <x:f>IF(H862&gt;0,"Overbilled","Shortfall")</x:f>
        <x:v>Overbilled</x:v>
      </x:c>
      <x:c r="J862" s="7"/>
      <x:c r="K862" s="7" t="str">
        <x:v>Open</x:v>
      </x:c>
      <x:c r="L862" s="7"/>
    </x:row>
    <x:row r="863" ht="21" customHeight="1">
      <x:c r="A863" s="1" t="str">
        <x:f>Source!A857</x:f>
        <x:v>C0012577</x:v>
      </x:c>
      <x:c r="B863" s="1" t="str">
        <x:f>_xlfn.IFNA(VLOOKUP(Source!B857,Advertisers!$A$5:$B$34,2,FALSE),"Missing advertiser")</x:f>
        <x:v>Synthetic advertiser 12</x:v>
      </x:c>
      <x:c r="C863" s="1" t="n">
        <x:f>Source!C857</x:f>
        <x:v>102</x:v>
      </x:c>
      <x:c r="D863" s="8" t="n">
        <x:f>Source!D857/100</x:f>
        <x:v>196.23</x:v>
      </x:c>
      <x:c r="E863" s="8" t="n">
        <x:f>Source!E857/100</x:f>
        <x:v>392.46</x:v>
      </x:c>
      <x:c r="F863" s="8" t="n">
        <x:f>Source!F857/100</x:f>
        <x:v>0</x:v>
      </x:c>
      <x:c r="G863" s="8" t="n">
        <x:f>Source!G857/100</x:f>
        <x:v>392.46</x:v>
      </x:c>
      <x:c r="H863" s="8" t="n">
        <x:f>G863-D863</x:f>
        <x:v>196.23</x:v>
      </x:c>
      <x:c r="I863" s="1" t="str">
        <x:f>IF(H863&gt;0,"Overbilled","Shortfall")</x:f>
        <x:v>Overbilled</x:v>
      </x:c>
      <x:c r="J863" s="7"/>
      <x:c r="K863" s="7" t="str">
        <x:v>Open</x:v>
      </x:c>
      <x:c r="L863" s="7"/>
    </x:row>
    <x:row r="864" ht="21" customHeight="1">
      <x:c r="A864" s="1" t="str">
        <x:f>Source!A858</x:f>
        <x:v>C0005365</x:v>
      </x:c>
      <x:c r="B864" s="1" t="str">
        <x:f>_xlfn.IFNA(VLOOKUP(Source!B858,Advertisers!$A$5:$B$34,2,FALSE),"Missing advertiser")</x:f>
        <x:v>Synthetic advertiser 12</x:v>
      </x:c>
      <x:c r="C864" s="1" t="n">
        <x:f>Source!C858</x:f>
        <x:v>102</x:v>
      </x:c>
      <x:c r="D864" s="8" t="n">
        <x:f>Source!D858/100</x:f>
        <x:v>196.23</x:v>
      </x:c>
      <x:c r="E864" s="8" t="n">
        <x:f>Source!E858/100</x:f>
        <x:v>392.46</x:v>
      </x:c>
      <x:c r="F864" s="8" t="n">
        <x:f>Source!F858/100</x:f>
        <x:v>0</x:v>
      </x:c>
      <x:c r="G864" s="8" t="n">
        <x:f>Source!G858/100</x:f>
        <x:v>392.46</x:v>
      </x:c>
      <x:c r="H864" s="8" t="n">
        <x:f>G864-D864</x:f>
        <x:v>196.23</x:v>
      </x:c>
      <x:c r="I864" s="1" t="str">
        <x:f>IF(H864&gt;0,"Overbilled","Shortfall")</x:f>
        <x:v>Overbilled</x:v>
      </x:c>
      <x:c r="J864" s="7"/>
      <x:c r="K864" s="7" t="str">
        <x:v>Open</x:v>
      </x:c>
      <x:c r="L864" s="7"/>
    </x:row>
    <x:row r="865" ht="21" customHeight="1">
      <x:c r="A865" s="1" t="str">
        <x:f>Source!A859</x:f>
        <x:v>C0013295</x:v>
      </x:c>
      <x:c r="B865" s="1" t="str">
        <x:f>_xlfn.IFNA(VLOOKUP(Source!B859,Advertisers!$A$5:$B$34,2,FALSE),"Missing advertiser")</x:f>
        <x:v>Synthetic advertiser 12</x:v>
      </x:c>
      <x:c r="C865" s="1" t="n">
        <x:f>Source!C859</x:f>
        <x:v>102</x:v>
      </x:c>
      <x:c r="D865" s="8" t="n">
        <x:f>Source!D859/100</x:f>
        <x:v>196.23</x:v>
      </x:c>
      <x:c r="E865" s="8" t="n">
        <x:f>Source!E859/100</x:f>
        <x:v>392.46</x:v>
      </x:c>
      <x:c r="F865" s="8" t="n">
        <x:f>Source!F859/100</x:f>
        <x:v>0</x:v>
      </x:c>
      <x:c r="G865" s="8" t="n">
        <x:f>Source!G859/100</x:f>
        <x:v>392.46</x:v>
      </x:c>
      <x:c r="H865" s="8" t="n">
        <x:f>G865-D865</x:f>
        <x:v>196.23</x:v>
      </x:c>
      <x:c r="I865" s="1" t="str">
        <x:f>IF(H865&gt;0,"Overbilled","Shortfall")</x:f>
        <x:v>Overbilled</x:v>
      </x:c>
      <x:c r="J865" s="7"/>
      <x:c r="K865" s="7" t="str">
        <x:v>Open</x:v>
      </x:c>
      <x:c r="L865" s="7"/>
    </x:row>
    <x:row r="866" ht="21" customHeight="1">
      <x:c r="A866" s="1" t="str">
        <x:f>Source!A860</x:f>
        <x:v>C0002961</x:v>
      </x:c>
      <x:c r="B866" s="1" t="str">
        <x:f>_xlfn.IFNA(VLOOKUP(Source!B860,Advertisers!$A$5:$B$34,2,FALSE),"Missing advertiser")</x:f>
        <x:v>Synthetic advertiser 12</x:v>
      </x:c>
      <x:c r="C866" s="1" t="n">
        <x:f>Source!C860</x:f>
        <x:v>102</x:v>
      </x:c>
      <x:c r="D866" s="8" t="n">
        <x:f>Source!D860/100</x:f>
        <x:v>196.23</x:v>
      </x:c>
      <x:c r="E866" s="8" t="n">
        <x:f>Source!E860/100</x:f>
        <x:v>0</x:v>
      </x:c>
      <x:c r="F866" s="8" t="n">
        <x:f>Source!F860/100</x:f>
        <x:v>0</x:v>
      </x:c>
      <x:c r="G866" s="8" t="n">
        <x:f>Source!G860/100</x:f>
        <x:v>0</x:v>
      </x:c>
      <x:c r="H866" s="8" t="n">
        <x:f>G866-D866</x:f>
        <x:v>-196.23</x:v>
      </x:c>
      <x:c r="I866" s="1" t="str">
        <x:f>IF(H866&gt;0,"Overbilled","Shortfall")</x:f>
        <x:v>Shortfall</x:v>
      </x:c>
      <x:c r="J866" s="7"/>
      <x:c r="K866" s="7" t="str">
        <x:v>Open</x:v>
      </x:c>
      <x:c r="L866" s="7"/>
    </x:row>
    <x:row r="867" ht="21" customHeight="1">
      <x:c r="A867" s="1" t="str">
        <x:f>Source!A861</x:f>
        <x:v>C0016732</x:v>
      </x:c>
      <x:c r="B867" s="1" t="str">
        <x:f>_xlfn.IFNA(VLOOKUP(Source!B861,Advertisers!$A$5:$B$34,2,FALSE),"Missing advertiser")</x:f>
        <x:v>Synthetic advertiser 12</x:v>
      </x:c>
      <x:c r="C867" s="1" t="n">
        <x:f>Source!C861</x:f>
        <x:v>102</x:v>
      </x:c>
      <x:c r="D867" s="8" t="n">
        <x:f>Source!D861/100</x:f>
        <x:v>196.23</x:v>
      </x:c>
      <x:c r="E867" s="8" t="n">
        <x:f>Source!E861/100</x:f>
        <x:v>392.46</x:v>
      </x:c>
      <x:c r="F867" s="8" t="n">
        <x:f>Source!F861/100</x:f>
        <x:v>0</x:v>
      </x:c>
      <x:c r="G867" s="8" t="n">
        <x:f>Source!G861/100</x:f>
        <x:v>392.46</x:v>
      </x:c>
      <x:c r="H867" s="8" t="n">
        <x:f>G867-D867</x:f>
        <x:v>196.23</x:v>
      </x:c>
      <x:c r="I867" s="1" t="str">
        <x:f>IF(H867&gt;0,"Overbilled","Shortfall")</x:f>
        <x:v>Overbilled</x:v>
      </x:c>
      <x:c r="J867" s="7"/>
      <x:c r="K867" s="7" t="str">
        <x:v>Open</x:v>
      </x:c>
      <x:c r="L867" s="7"/>
    </x:row>
    <x:row r="868" ht="21" customHeight="1">
      <x:c r="A868" s="1" t="str">
        <x:f>Source!A862</x:f>
        <x:v>C0007918</x:v>
      </x:c>
      <x:c r="B868" s="1" t="str">
        <x:f>_xlfn.IFNA(VLOOKUP(Source!B862,Advertisers!$A$5:$B$34,2,FALSE),"Missing advertiser")</x:f>
        <x:v>Synthetic advertiser 12</x:v>
      </x:c>
      <x:c r="C868" s="1" t="n">
        <x:f>Source!C862</x:f>
        <x:v>102</x:v>
      </x:c>
      <x:c r="D868" s="8" t="n">
        <x:f>Source!D862/100</x:f>
        <x:v>196.23</x:v>
      </x:c>
      <x:c r="E868" s="8" t="n">
        <x:f>Source!E862/100</x:f>
        <x:v>0</x:v>
      </x:c>
      <x:c r="F868" s="8" t="n">
        <x:f>Source!F862/100</x:f>
        <x:v>0</x:v>
      </x:c>
      <x:c r="G868" s="8" t="n">
        <x:f>Source!G862/100</x:f>
        <x:v>0</x:v>
      </x:c>
      <x:c r="H868" s="8" t="n">
        <x:f>G868-D868</x:f>
        <x:v>-196.23</x:v>
      </x:c>
      <x:c r="I868" s="1" t="str">
        <x:f>IF(H868&gt;0,"Overbilled","Shortfall")</x:f>
        <x:v>Shortfall</x:v>
      </x:c>
      <x:c r="J868" s="7"/>
      <x:c r="K868" s="7" t="str">
        <x:v>Open</x:v>
      </x:c>
      <x:c r="L868" s="7"/>
    </x:row>
    <x:row r="869" ht="21" customHeight="1">
      <x:c r="A869" s="1" t="str">
        <x:f>Source!A863</x:f>
        <x:v>C0000727</x:v>
      </x:c>
      <x:c r="B869" s="1" t="str">
        <x:f>_xlfn.IFNA(VLOOKUP(Source!B863,Advertisers!$A$5:$B$34,2,FALSE),"Missing advertiser")</x:f>
        <x:v>Synthetic advertiser 15</x:v>
      </x:c>
      <x:c r="C869" s="1" t="n">
        <x:f>Source!C863</x:f>
        <x:v>45</x:v>
      </x:c>
      <x:c r="D869" s="8" t="n">
        <x:f>Source!D863/100</x:f>
        <x:v>195.94</x:v>
      </x:c>
      <x:c r="E869" s="8" t="n">
        <x:f>Source!E863/100</x:f>
        <x:v>0</x:v>
      </x:c>
      <x:c r="F869" s="8" t="n">
        <x:f>Source!F863/100</x:f>
        <x:v>0</x:v>
      </x:c>
      <x:c r="G869" s="8" t="n">
        <x:f>Source!G863/100</x:f>
        <x:v>0</x:v>
      </x:c>
      <x:c r="H869" s="8" t="n">
        <x:f>G869-D869</x:f>
        <x:v>-195.94</x:v>
      </x:c>
      <x:c r="I869" s="1" t="str">
        <x:f>IF(H869&gt;0,"Overbilled","Shortfall")</x:f>
        <x:v>Shortfall</x:v>
      </x:c>
      <x:c r="J869" s="7"/>
      <x:c r="K869" s="7" t="str">
        <x:v>Open</x:v>
      </x:c>
      <x:c r="L869" s="7"/>
    </x:row>
    <x:row r="870" ht="21" customHeight="1">
      <x:c r="A870" s="1" t="str">
        <x:f>Source!A864</x:f>
        <x:v>C0014732</x:v>
      </x:c>
      <x:c r="B870" s="1" t="str">
        <x:f>_xlfn.IFNA(VLOOKUP(Source!B864,Advertisers!$A$5:$B$34,2,FALSE),"Missing advertiser")</x:f>
        <x:v>Synthetic advertiser 15</x:v>
      </x:c>
      <x:c r="C870" s="1" t="n">
        <x:f>Source!C864</x:f>
        <x:v>45</x:v>
      </x:c>
      <x:c r="D870" s="8" t="n">
        <x:f>Source!D864/100</x:f>
        <x:v>195.94</x:v>
      </x:c>
      <x:c r="E870" s="8" t="n">
        <x:f>Source!E864/100</x:f>
        <x:v>0</x:v>
      </x:c>
      <x:c r="F870" s="8" t="n">
        <x:f>Source!F864/100</x:f>
        <x:v>0</x:v>
      </x:c>
      <x:c r="G870" s="8" t="n">
        <x:f>Source!G864/100</x:f>
        <x:v>0</x:v>
      </x:c>
      <x:c r="H870" s="8" t="n">
        <x:f>G870-D870</x:f>
        <x:v>-195.94</x:v>
      </x:c>
      <x:c r="I870" s="1" t="str">
        <x:f>IF(H870&gt;0,"Overbilled","Shortfall")</x:f>
        <x:v>Shortfall</x:v>
      </x:c>
      <x:c r="J870" s="7"/>
      <x:c r="K870" s="7" t="str">
        <x:v>Open</x:v>
      </x:c>
      <x:c r="L870" s="7"/>
    </x:row>
    <x:row r="871" ht="21" customHeight="1">
      <x:c r="A871" s="1" t="str">
        <x:f>Source!A865</x:f>
        <x:v>C0014938</x:v>
      </x:c>
      <x:c r="B871" s="1" t="str">
        <x:f>_xlfn.IFNA(VLOOKUP(Source!B865,Advertisers!$A$5:$B$34,2,FALSE),"Missing advertiser")</x:f>
        <x:v>Synthetic advertiser 15</x:v>
      </x:c>
      <x:c r="C871" s="1" t="n">
        <x:f>Source!C865</x:f>
        <x:v>45</x:v>
      </x:c>
      <x:c r="D871" s="8" t="n">
        <x:f>Source!D865/100</x:f>
        <x:v>195.94</x:v>
      </x:c>
      <x:c r="E871" s="8" t="n">
        <x:f>Source!E865/100</x:f>
        <x:v>0</x:v>
      </x:c>
      <x:c r="F871" s="8" t="n">
        <x:f>Source!F865/100</x:f>
        <x:v>0</x:v>
      </x:c>
      <x:c r="G871" s="8" t="n">
        <x:f>Source!G865/100</x:f>
        <x:v>0</x:v>
      </x:c>
      <x:c r="H871" s="8" t="n">
        <x:f>G871-D871</x:f>
        <x:v>-195.94</x:v>
      </x:c>
      <x:c r="I871" s="1" t="str">
        <x:f>IF(H871&gt;0,"Overbilled","Shortfall")</x:f>
        <x:v>Shortfall</x:v>
      </x:c>
      <x:c r="J871" s="7"/>
      <x:c r="K871" s="7" t="str">
        <x:v>Open</x:v>
      </x:c>
      <x:c r="L871" s="7"/>
    </x:row>
    <x:row r="872" ht="21" customHeight="1">
      <x:c r="A872" s="1" t="str">
        <x:f>Source!A866</x:f>
        <x:v>C0007961</x:v>
      </x:c>
      <x:c r="B872" s="1" t="str">
        <x:f>_xlfn.IFNA(VLOOKUP(Source!B866,Advertisers!$A$5:$B$34,2,FALSE),"Missing advertiser")</x:f>
        <x:v>Synthetic advertiser 13</x:v>
      </x:c>
      <x:c r="C872" s="1" t="n">
        <x:f>Source!C866</x:f>
        <x:v>43</x:v>
      </x:c>
      <x:c r="D872" s="8" t="n">
        <x:f>Source!D866/100</x:f>
        <x:v>195.76</x:v>
      </x:c>
      <x:c r="E872" s="8" t="n">
        <x:f>Source!E866/100</x:f>
        <x:v>391.52</x:v>
      </x:c>
      <x:c r="F872" s="8" t="n">
        <x:f>Source!F866/100</x:f>
        <x:v>0</x:v>
      </x:c>
      <x:c r="G872" s="8" t="n">
        <x:f>Source!G866/100</x:f>
        <x:v>391.52</x:v>
      </x:c>
      <x:c r="H872" s="8" t="n">
        <x:f>G872-D872</x:f>
        <x:v>195.76</x:v>
      </x:c>
      <x:c r="I872" s="1" t="str">
        <x:f>IF(H872&gt;0,"Overbilled","Shortfall")</x:f>
        <x:v>Overbilled</x:v>
      </x:c>
      <x:c r="J872" s="7"/>
      <x:c r="K872" s="7" t="str">
        <x:v>Open</x:v>
      </x:c>
      <x:c r="L872" s="7"/>
    </x:row>
    <x:row r="873" ht="21" customHeight="1">
      <x:c r="A873" s="1" t="str">
        <x:f>Source!A867</x:f>
        <x:v>C0017144</x:v>
      </x:c>
      <x:c r="B873" s="1" t="str">
        <x:f>_xlfn.IFNA(VLOOKUP(Source!B867,Advertisers!$A$5:$B$34,2,FALSE),"Missing advertiser")</x:f>
        <x:v>Synthetic advertiser 13</x:v>
      </x:c>
      <x:c r="C873" s="1" t="n">
        <x:f>Source!C867</x:f>
        <x:v>43</x:v>
      </x:c>
      <x:c r="D873" s="8" t="n">
        <x:f>Source!D867/100</x:f>
        <x:v>195.76</x:v>
      </x:c>
      <x:c r="E873" s="8" t="n">
        <x:f>Source!E867/100</x:f>
        <x:v>0</x:v>
      </x:c>
      <x:c r="F873" s="8" t="n">
        <x:f>Source!F867/100</x:f>
        <x:v>0</x:v>
      </x:c>
      <x:c r="G873" s="8" t="n">
        <x:f>Source!G867/100</x:f>
        <x:v>0</x:v>
      </x:c>
      <x:c r="H873" s="8" t="n">
        <x:f>G873-D873</x:f>
        <x:v>-195.76</x:v>
      </x:c>
      <x:c r="I873" s="1" t="str">
        <x:f>IF(H873&gt;0,"Overbilled","Shortfall")</x:f>
        <x:v>Shortfall</x:v>
      </x:c>
      <x:c r="J873" s="7"/>
      <x:c r="K873" s="7" t="str">
        <x:v>Open</x:v>
      </x:c>
      <x:c r="L873" s="7"/>
    </x:row>
    <x:row r="874" ht="21" customHeight="1">
      <x:c r="A874" s="1" t="str">
        <x:f>Source!A868</x:f>
        <x:v>C0003867</x:v>
      </x:c>
      <x:c r="B874" s="1" t="str">
        <x:f>_xlfn.IFNA(VLOOKUP(Source!B868,Advertisers!$A$5:$B$34,2,FALSE),"Missing advertiser")</x:f>
        <x:v>Synthetic advertiser 19</x:v>
      </x:c>
      <x:c r="C874" s="1" t="n">
        <x:f>Source!C868</x:f>
        <x:v>19</x:v>
      </x:c>
      <x:c r="D874" s="8" t="n">
        <x:f>Source!D868/100</x:f>
        <x:v>195.4</x:v>
      </x:c>
      <x:c r="E874" s="8" t="n">
        <x:f>Source!E868/100</x:f>
        <x:v>390.8</x:v>
      </x:c>
      <x:c r="F874" s="8" t="n">
        <x:f>Source!F868/100</x:f>
        <x:v>0</x:v>
      </x:c>
      <x:c r="G874" s="8" t="n">
        <x:f>Source!G868/100</x:f>
        <x:v>390.8</x:v>
      </x:c>
      <x:c r="H874" s="8" t="n">
        <x:f>G874-D874</x:f>
        <x:v>195.4</x:v>
      </x:c>
      <x:c r="I874" s="1" t="str">
        <x:f>IF(H874&gt;0,"Overbilled","Shortfall")</x:f>
        <x:v>Overbilled</x:v>
      </x:c>
      <x:c r="J874" s="7"/>
      <x:c r="K874" s="7" t="str">
        <x:v>Open</x:v>
      </x:c>
      <x:c r="L874" s="7"/>
    </x:row>
    <x:row r="875" ht="21" customHeight="1">
      <x:c r="A875" s="1" t="str">
        <x:f>Source!A869</x:f>
        <x:v>C0002248</x:v>
      </x:c>
      <x:c r="B875" s="1" t="str">
        <x:f>_xlfn.IFNA(VLOOKUP(Source!B869,Advertisers!$A$5:$B$34,2,FALSE),"Missing advertiser")</x:f>
        <x:v>Synthetic advertiser 19</x:v>
      </x:c>
      <x:c r="C875" s="1" t="n">
        <x:f>Source!C869</x:f>
        <x:v>19</x:v>
      </x:c>
      <x:c r="D875" s="8" t="n">
        <x:f>Source!D869/100</x:f>
        <x:v>195.4</x:v>
      </x:c>
      <x:c r="E875" s="8" t="n">
        <x:f>Source!E869/100</x:f>
        <x:v>390.8</x:v>
      </x:c>
      <x:c r="F875" s="8" t="n">
        <x:f>Source!F869/100</x:f>
        <x:v>0</x:v>
      </x:c>
      <x:c r="G875" s="8" t="n">
        <x:f>Source!G869/100</x:f>
        <x:v>390.8</x:v>
      </x:c>
      <x:c r="H875" s="8" t="n">
        <x:f>G875-D875</x:f>
        <x:v>195.4</x:v>
      </x:c>
      <x:c r="I875" s="1" t="str">
        <x:f>IF(H875&gt;0,"Overbilled","Shortfall")</x:f>
        <x:v>Overbilled</x:v>
      </x:c>
      <x:c r="J875" s="7"/>
      <x:c r="K875" s="7" t="str">
        <x:v>Open</x:v>
      </x:c>
      <x:c r="L875" s="7"/>
    </x:row>
    <x:row r="876" ht="21" customHeight="1">
      <x:c r="A876" s="1" t="str">
        <x:f>Source!A870</x:f>
        <x:v>C0016351</x:v>
      </x:c>
      <x:c r="B876" s="1" t="str">
        <x:f>_xlfn.IFNA(VLOOKUP(Source!B870,Advertisers!$A$5:$B$34,2,FALSE),"Missing advertiser")</x:f>
        <x:v>Synthetic advertiser 19</x:v>
      </x:c>
      <x:c r="C876" s="1" t="n">
        <x:f>Source!C870</x:f>
        <x:v>19</x:v>
      </x:c>
      <x:c r="D876" s="8" t="n">
        <x:f>Source!D870/100</x:f>
        <x:v>0</x:v>
      </x:c>
      <x:c r="E876" s="8" t="n">
        <x:f>Source!E870/100</x:f>
        <x:v>195.4</x:v>
      </x:c>
      <x:c r="F876" s="8" t="n">
        <x:f>Source!F870/100</x:f>
        <x:v>0</x:v>
      </x:c>
      <x:c r="G876" s="8" t="n">
        <x:f>Source!G870/100</x:f>
        <x:v>195.4</x:v>
      </x:c>
      <x:c r="H876" s="8" t="n">
        <x:f>G876-D876</x:f>
        <x:v>195.4</x:v>
      </x:c>
      <x:c r="I876" s="1" t="str">
        <x:f>IF(H876&gt;0,"Overbilled","Shortfall")</x:f>
        <x:v>Overbilled</x:v>
      </x:c>
      <x:c r="J876" s="7"/>
      <x:c r="K876" s="7" t="str">
        <x:v>Open</x:v>
      </x:c>
      <x:c r="L876" s="7"/>
    </x:row>
    <x:row r="877" ht="21" customHeight="1">
      <x:c r="A877" s="1" t="str">
        <x:f>Source!A871</x:f>
        <x:v>C0006497</x:v>
      </x:c>
      <x:c r="B877" s="1" t="str">
        <x:f>_xlfn.IFNA(VLOOKUP(Source!B871,Advertisers!$A$5:$B$34,2,FALSE),"Missing advertiser")</x:f>
        <x:v>Synthetic advertiser 19</x:v>
      </x:c>
      <x:c r="C877" s="1" t="n">
        <x:f>Source!C871</x:f>
        <x:v>19</x:v>
      </x:c>
      <x:c r="D877" s="8" t="n">
        <x:f>Source!D871/100</x:f>
        <x:v>195.4</x:v>
      </x:c>
      <x:c r="E877" s="8" t="n">
        <x:f>Source!E871/100</x:f>
        <x:v>0</x:v>
      </x:c>
      <x:c r="F877" s="8" t="n">
        <x:f>Source!F871/100</x:f>
        <x:v>0</x:v>
      </x:c>
      <x:c r="G877" s="8" t="n">
        <x:f>Source!G871/100</x:f>
        <x:v>0</x:v>
      </x:c>
      <x:c r="H877" s="8" t="n">
        <x:f>G877-D877</x:f>
        <x:v>-195.4</x:v>
      </x:c>
      <x:c r="I877" s="1" t="str">
        <x:f>IF(H877&gt;0,"Overbilled","Shortfall")</x:f>
        <x:v>Shortfall</x:v>
      </x:c>
      <x:c r="J877" s="7"/>
      <x:c r="K877" s="7" t="str">
        <x:v>Open</x:v>
      </x:c>
      <x:c r="L877" s="7"/>
    </x:row>
    <x:row r="878" ht="21" customHeight="1">
      <x:c r="A878" s="1" t="str">
        <x:f>Source!A872</x:f>
        <x:v>C0015542</x:v>
      </x:c>
      <x:c r="B878" s="1" t="str">
        <x:f>_xlfn.IFNA(VLOOKUP(Source!B872,Advertisers!$A$5:$B$34,2,FALSE),"Missing advertiser")</x:f>
        <x:v>Synthetic advertiser 19</x:v>
      </x:c>
      <x:c r="C878" s="1" t="n">
        <x:f>Source!C872</x:f>
        <x:v>19</x:v>
      </x:c>
      <x:c r="D878" s="8" t="n">
        <x:f>Source!D872/100</x:f>
        <x:v>195.4</x:v>
      </x:c>
      <x:c r="E878" s="8" t="n">
        <x:f>Source!E872/100</x:f>
        <x:v>390.8</x:v>
      </x:c>
      <x:c r="F878" s="8" t="n">
        <x:f>Source!F872/100</x:f>
        <x:v>0</x:v>
      </x:c>
      <x:c r="G878" s="8" t="n">
        <x:f>Source!G872/100</x:f>
        <x:v>390.8</x:v>
      </x:c>
      <x:c r="H878" s="8" t="n">
        <x:f>G878-D878</x:f>
        <x:v>195.4</x:v>
      </x:c>
      <x:c r="I878" s="1" t="str">
        <x:f>IF(H878&gt;0,"Overbilled","Shortfall")</x:f>
        <x:v>Overbilled</x:v>
      </x:c>
      <x:c r="J878" s="7"/>
      <x:c r="K878" s="7" t="str">
        <x:v>Open</x:v>
      </x:c>
      <x:c r="L878" s="7"/>
    </x:row>
    <x:row r="879" ht="21" customHeight="1">
      <x:c r="A879" s="1" t="str">
        <x:f>Source!A873</x:f>
        <x:v>C0002983</x:v>
      </x:c>
      <x:c r="B879" s="1" t="str">
        <x:f>_xlfn.IFNA(VLOOKUP(Source!B873,Advertisers!$A$5:$B$34,2,FALSE),"Missing advertiser")</x:f>
        <x:v>Synthetic advertiser 19</x:v>
      </x:c>
      <x:c r="C879" s="1" t="n">
        <x:f>Source!C873</x:f>
        <x:v>19</x:v>
      </x:c>
      <x:c r="D879" s="8" t="n">
        <x:f>Source!D873/100</x:f>
        <x:v>195.4</x:v>
      </x:c>
      <x:c r="E879" s="8" t="n">
        <x:f>Source!E873/100</x:f>
        <x:v>390.8</x:v>
      </x:c>
      <x:c r="F879" s="8" t="n">
        <x:f>Source!F873/100</x:f>
        <x:v>0</x:v>
      </x:c>
      <x:c r="G879" s="8" t="n">
        <x:f>Source!G873/100</x:f>
        <x:v>390.8</x:v>
      </x:c>
      <x:c r="H879" s="8" t="n">
        <x:f>G879-D879</x:f>
        <x:v>195.4</x:v>
      </x:c>
      <x:c r="I879" s="1" t="str">
        <x:f>IF(H879&gt;0,"Overbilled","Shortfall")</x:f>
        <x:v>Overbilled</x:v>
      </x:c>
      <x:c r="J879" s="7"/>
      <x:c r="K879" s="7" t="str">
        <x:v>Open</x:v>
      </x:c>
      <x:c r="L879" s="7"/>
    </x:row>
    <x:row r="880" ht="21" customHeight="1">
      <x:c r="A880" s="1" t="str">
        <x:f>Source!A874</x:f>
        <x:v>C0012917</x:v>
      </x:c>
      <x:c r="B880" s="1" t="str">
        <x:f>_xlfn.IFNA(VLOOKUP(Source!B874,Advertisers!$A$5:$B$34,2,FALSE),"Missing advertiser")</x:f>
        <x:v>Synthetic advertiser 15</x:v>
      </x:c>
      <x:c r="C880" s="1" t="n">
        <x:f>Source!C874</x:f>
        <x:v>75</x:v>
      </x:c>
      <x:c r="D880" s="8" t="n">
        <x:f>Source!D874/100</x:f>
        <x:v>195.34</x:v>
      </x:c>
      <x:c r="E880" s="8" t="n">
        <x:f>Source!E874/100</x:f>
        <x:v>390.68</x:v>
      </x:c>
      <x:c r="F880" s="8" t="n">
        <x:f>Source!F874/100</x:f>
        <x:v>0</x:v>
      </x:c>
      <x:c r="G880" s="8" t="n">
        <x:f>Source!G874/100</x:f>
        <x:v>390.68</x:v>
      </x:c>
      <x:c r="H880" s="8" t="n">
        <x:f>G880-D880</x:f>
        <x:v>195.34</x:v>
      </x:c>
      <x:c r="I880" s="1" t="str">
        <x:f>IF(H880&gt;0,"Overbilled","Shortfall")</x:f>
        <x:v>Overbilled</x:v>
      </x:c>
      <x:c r="J880" s="7"/>
      <x:c r="K880" s="7" t="str">
        <x:v>Open</x:v>
      </x:c>
      <x:c r="L880" s="7"/>
    </x:row>
    <x:row r="881" ht="21" customHeight="1">
      <x:c r="A881" s="1" t="str">
        <x:f>Source!A875</x:f>
        <x:v>C0011886</x:v>
      </x:c>
      <x:c r="B881" s="1" t="str">
        <x:f>_xlfn.IFNA(VLOOKUP(Source!B875,Advertisers!$A$5:$B$34,2,FALSE),"Missing advertiser")</x:f>
        <x:v>Synthetic advertiser 15</x:v>
      </x:c>
      <x:c r="C881" s="1" t="n">
        <x:f>Source!C875</x:f>
        <x:v>75</x:v>
      </x:c>
      <x:c r="D881" s="8" t="n">
        <x:f>Source!D875/100</x:f>
        <x:v>195.34</x:v>
      </x:c>
      <x:c r="E881" s="8" t="n">
        <x:f>Source!E875/100</x:f>
        <x:v>390.68</x:v>
      </x:c>
      <x:c r="F881" s="8" t="n">
        <x:f>Source!F875/100</x:f>
        <x:v>0</x:v>
      </x:c>
      <x:c r="G881" s="8" t="n">
        <x:f>Source!G875/100</x:f>
        <x:v>390.68</x:v>
      </x:c>
      <x:c r="H881" s="8" t="n">
        <x:f>G881-D881</x:f>
        <x:v>195.34</x:v>
      </x:c>
      <x:c r="I881" s="1" t="str">
        <x:f>IF(H881&gt;0,"Overbilled","Shortfall")</x:f>
        <x:v>Overbilled</x:v>
      </x:c>
      <x:c r="J881" s="7"/>
      <x:c r="K881" s="7" t="str">
        <x:v>Open</x:v>
      </x:c>
      <x:c r="L881" s="7"/>
    </x:row>
    <x:row r="882" ht="21" customHeight="1">
      <x:c r="A882" s="1" t="str">
        <x:f>Source!A876</x:f>
        <x:v>C0016558</x:v>
      </x:c>
      <x:c r="B882" s="1" t="str">
        <x:f>_xlfn.IFNA(VLOOKUP(Source!B876,Advertisers!$A$5:$B$34,2,FALSE),"Missing advertiser")</x:f>
        <x:v>Synthetic advertiser 15</x:v>
      </x:c>
      <x:c r="C882" s="1" t="n">
        <x:f>Source!C876</x:f>
        <x:v>75</x:v>
      </x:c>
      <x:c r="D882" s="8" t="n">
        <x:f>Source!D876/100</x:f>
        <x:v>195.34</x:v>
      </x:c>
      <x:c r="E882" s="8" t="n">
        <x:f>Source!E876/100</x:f>
        <x:v>390.68</x:v>
      </x:c>
      <x:c r="F882" s="8" t="n">
        <x:f>Source!F876/100</x:f>
        <x:v>0</x:v>
      </x:c>
      <x:c r="G882" s="8" t="n">
        <x:f>Source!G876/100</x:f>
        <x:v>390.68</x:v>
      </x:c>
      <x:c r="H882" s="8" t="n">
        <x:f>G882-D882</x:f>
        <x:v>195.34</x:v>
      </x:c>
      <x:c r="I882" s="1" t="str">
        <x:f>IF(H882&gt;0,"Overbilled","Shortfall")</x:f>
        <x:v>Overbilled</x:v>
      </x:c>
      <x:c r="J882" s="7"/>
      <x:c r="K882" s="7" t="str">
        <x:v>Open</x:v>
      </x:c>
      <x:c r="L882" s="7"/>
    </x:row>
    <x:row r="883" ht="21" customHeight="1">
      <x:c r="A883" s="1" t="str">
        <x:f>Source!A877</x:f>
        <x:v>C0004321</x:v>
      </x:c>
      <x:c r="B883" s="1" t="str">
        <x:f>_xlfn.IFNA(VLOOKUP(Source!B877,Advertisers!$A$5:$B$34,2,FALSE),"Missing advertiser")</x:f>
        <x:v>Synthetic advertiser 15</x:v>
      </x:c>
      <x:c r="C883" s="1" t="n">
        <x:f>Source!C877</x:f>
        <x:v>75</x:v>
      </x:c>
      <x:c r="D883" s="8" t="n">
        <x:f>Source!D877/100</x:f>
        <x:v>195.34</x:v>
      </x:c>
      <x:c r="E883" s="8" t="n">
        <x:f>Source!E877/100</x:f>
        <x:v>390.68</x:v>
      </x:c>
      <x:c r="F883" s="8" t="n">
        <x:f>Source!F877/100</x:f>
        <x:v>0</x:v>
      </x:c>
      <x:c r="G883" s="8" t="n">
        <x:f>Source!G877/100</x:f>
        <x:v>390.68</x:v>
      </x:c>
      <x:c r="H883" s="8" t="n">
        <x:f>G883-D883</x:f>
        <x:v>195.34</x:v>
      </x:c>
      <x:c r="I883" s="1" t="str">
        <x:f>IF(H883&gt;0,"Overbilled","Shortfall")</x:f>
        <x:v>Overbilled</x:v>
      </x:c>
      <x:c r="J883" s="7"/>
      <x:c r="K883" s="7" t="str">
        <x:v>Open</x:v>
      </x:c>
      <x:c r="L883" s="7"/>
    </x:row>
    <x:row r="884" ht="21" customHeight="1">
      <x:c r="A884" s="1" t="str">
        <x:f>Source!A878</x:f>
        <x:v>C0011984</x:v>
      </x:c>
      <x:c r="B884" s="1" t="str">
        <x:f>_xlfn.IFNA(VLOOKUP(Source!B878,Advertisers!$A$5:$B$34,2,FALSE),"Missing advertiser")</x:f>
        <x:v>Synthetic advertiser 15</x:v>
      </x:c>
      <x:c r="C884" s="1" t="n">
        <x:f>Source!C878</x:f>
        <x:v>75</x:v>
      </x:c>
      <x:c r="D884" s="8" t="n">
        <x:f>Source!D878/100</x:f>
        <x:v>195.34</x:v>
      </x:c>
      <x:c r="E884" s="8" t="n">
        <x:f>Source!E878/100</x:f>
        <x:v>0</x:v>
      </x:c>
      <x:c r="F884" s="8" t="n">
        <x:f>Source!F878/100</x:f>
        <x:v>0</x:v>
      </x:c>
      <x:c r="G884" s="8" t="n">
        <x:f>Source!G878/100</x:f>
        <x:v>0</x:v>
      </x:c>
      <x:c r="H884" s="8" t="n">
        <x:f>G884-D884</x:f>
        <x:v>-195.34</x:v>
      </x:c>
      <x:c r="I884" s="1" t="str">
        <x:f>IF(H884&gt;0,"Overbilled","Shortfall")</x:f>
        <x:v>Shortfall</x:v>
      </x:c>
      <x:c r="J884" s="7"/>
      <x:c r="K884" s="7" t="str">
        <x:v>Open</x:v>
      </x:c>
      <x:c r="L884" s="7"/>
    </x:row>
    <x:row r="885" ht="21" customHeight="1">
      <x:c r="A885" s="1" t="str">
        <x:f>Source!A879</x:f>
        <x:v>C0000737</x:v>
      </x:c>
      <x:c r="B885" s="1" t="str">
        <x:f>_xlfn.IFNA(VLOOKUP(Source!B879,Advertisers!$A$5:$B$34,2,FALSE),"Missing advertiser")</x:f>
        <x:v>Synthetic advertiser 15</x:v>
      </x:c>
      <x:c r="C885" s="1" t="n">
        <x:f>Source!C879</x:f>
        <x:v>75</x:v>
      </x:c>
      <x:c r="D885" s="8" t="n">
        <x:f>Source!D879/100</x:f>
        <x:v>195.34</x:v>
      </x:c>
      <x:c r="E885" s="8" t="n">
        <x:f>Source!E879/100</x:f>
        <x:v>390.68</x:v>
      </x:c>
      <x:c r="F885" s="8" t="n">
        <x:f>Source!F879/100</x:f>
        <x:v>0</x:v>
      </x:c>
      <x:c r="G885" s="8" t="n">
        <x:f>Source!G879/100</x:f>
        <x:v>390.68</x:v>
      </x:c>
      <x:c r="H885" s="8" t="n">
        <x:f>G885-D885</x:f>
        <x:v>195.34</x:v>
      </x:c>
      <x:c r="I885" s="1" t="str">
        <x:f>IF(H885&gt;0,"Overbilled","Shortfall")</x:f>
        <x:v>Overbilled</x:v>
      </x:c>
      <x:c r="J885" s="7"/>
      <x:c r="K885" s="7" t="str">
        <x:v>Open</x:v>
      </x:c>
      <x:c r="L885" s="7"/>
    </x:row>
    <x:row r="886" ht="21" customHeight="1">
      <x:c r="A886" s="1" t="str">
        <x:f>Source!A880</x:f>
        <x:v>C0014134</x:v>
      </x:c>
      <x:c r="B886" s="1" t="str">
        <x:f>_xlfn.IFNA(VLOOKUP(Source!B880,Advertisers!$A$5:$B$34,2,FALSE),"Missing advertiser")</x:f>
        <x:v>Synthetic advertiser 15</x:v>
      </x:c>
      <x:c r="C886" s="1" t="n">
        <x:f>Source!C880</x:f>
        <x:v>75</x:v>
      </x:c>
      <x:c r="D886" s="8" t="n">
        <x:f>Source!D880/100</x:f>
        <x:v>195.34</x:v>
      </x:c>
      <x:c r="E886" s="8" t="n">
        <x:f>Source!E880/100</x:f>
        <x:v>390.68</x:v>
      </x:c>
      <x:c r="F886" s="8" t="n">
        <x:f>Source!F880/100</x:f>
        <x:v>0</x:v>
      </x:c>
      <x:c r="G886" s="8" t="n">
        <x:f>Source!G880/100</x:f>
        <x:v>390.68</x:v>
      </x:c>
      <x:c r="H886" s="8" t="n">
        <x:f>G886-D886</x:f>
        <x:v>195.34</x:v>
      </x:c>
      <x:c r="I886" s="1" t="str">
        <x:f>IF(H886&gt;0,"Overbilled","Shortfall")</x:f>
        <x:v>Overbilled</x:v>
      </x:c>
      <x:c r="J886" s="7"/>
      <x:c r="K886" s="7" t="str">
        <x:v>Open</x:v>
      </x:c>
      <x:c r="L886" s="7"/>
    </x:row>
    <x:row r="887" ht="21" customHeight="1">
      <x:c r="A887" s="1" t="str">
        <x:f>Source!A881</x:f>
        <x:v>C0013263</x:v>
      </x:c>
      <x:c r="B887" s="1" t="str">
        <x:f>_xlfn.IFNA(VLOOKUP(Source!B881,Advertisers!$A$5:$B$34,2,FALSE),"Missing advertiser")</x:f>
        <x:v>Synthetic advertiser 29</x:v>
      </x:c>
      <x:c r="C887" s="1" t="n">
        <x:f>Source!C881</x:f>
        <x:v>119</x:v>
      </x:c>
      <x:c r="D887" s="8" t="n">
        <x:f>Source!D881/100</x:f>
        <x:v>0</x:v>
      </x:c>
      <x:c r="E887" s="8" t="n">
        <x:f>Source!E881/100</x:f>
        <x:v>195.24</x:v>
      </x:c>
      <x:c r="F887" s="8" t="n">
        <x:f>Source!F881/100</x:f>
        <x:v>0</x:v>
      </x:c>
      <x:c r="G887" s="8" t="n">
        <x:f>Source!G881/100</x:f>
        <x:v>195.24</x:v>
      </x:c>
      <x:c r="H887" s="8" t="n">
        <x:f>G887-D887</x:f>
        <x:v>195.24</x:v>
      </x:c>
      <x:c r="I887" s="1" t="str">
        <x:f>IF(H887&gt;0,"Overbilled","Shortfall")</x:f>
        <x:v>Overbilled</x:v>
      </x:c>
      <x:c r="J887" s="7"/>
      <x:c r="K887" s="7" t="str">
        <x:v>Open</x:v>
      </x:c>
      <x:c r="L887" s="7"/>
    </x:row>
    <x:row r="888" ht="21" customHeight="1">
      <x:c r="A888" s="1" t="str">
        <x:f>Source!A882</x:f>
        <x:v>C0002422</x:v>
      </x:c>
      <x:c r="B888" s="1" t="str">
        <x:f>_xlfn.IFNA(VLOOKUP(Source!B882,Advertisers!$A$5:$B$34,2,FALSE),"Missing advertiser")</x:f>
        <x:v>Synthetic advertiser 29</x:v>
      </x:c>
      <x:c r="C888" s="1" t="n">
        <x:f>Source!C882</x:f>
        <x:v>119</x:v>
      </x:c>
      <x:c r="D888" s="8" t="n">
        <x:f>Source!D882/100</x:f>
        <x:v>195.24</x:v>
      </x:c>
      <x:c r="E888" s="8" t="n">
        <x:f>Source!E882/100</x:f>
        <x:v>390.48</x:v>
      </x:c>
      <x:c r="F888" s="8" t="n">
        <x:f>Source!F882/100</x:f>
        <x:v>0</x:v>
      </x:c>
      <x:c r="G888" s="8" t="n">
        <x:f>Source!G882/100</x:f>
        <x:v>390.48</x:v>
      </x:c>
      <x:c r="H888" s="8" t="n">
        <x:f>G888-D888</x:f>
        <x:v>195.24</x:v>
      </x:c>
      <x:c r="I888" s="1" t="str">
        <x:f>IF(H888&gt;0,"Overbilled","Shortfall")</x:f>
        <x:v>Overbilled</x:v>
      </x:c>
      <x:c r="J888" s="7"/>
      <x:c r="K888" s="7" t="str">
        <x:v>Open</x:v>
      </x:c>
      <x:c r="L888" s="7"/>
    </x:row>
    <x:row r="889" ht="21" customHeight="1">
      <x:c r="A889" s="1" t="str">
        <x:f>Source!A883</x:f>
        <x:v>C0004110</x:v>
      </x:c>
      <x:c r="B889" s="1" t="str">
        <x:f>_xlfn.IFNA(VLOOKUP(Source!B883,Advertisers!$A$5:$B$34,2,FALSE),"Missing advertiser")</x:f>
        <x:v>Synthetic advertiser 29</x:v>
      </x:c>
      <x:c r="C889" s="1" t="n">
        <x:f>Source!C883</x:f>
        <x:v>119</x:v>
      </x:c>
      <x:c r="D889" s="8" t="n">
        <x:f>Source!D883/100</x:f>
        <x:v>195.24</x:v>
      </x:c>
      <x:c r="E889" s="8" t="n">
        <x:f>Source!E883/100</x:f>
        <x:v>0</x:v>
      </x:c>
      <x:c r="F889" s="8" t="n">
        <x:f>Source!F883/100</x:f>
        <x:v>0</x:v>
      </x:c>
      <x:c r="G889" s="8" t="n">
        <x:f>Source!G883/100</x:f>
        <x:v>0</x:v>
      </x:c>
      <x:c r="H889" s="8" t="n">
        <x:f>G889-D889</x:f>
        <x:v>-195.24</x:v>
      </x:c>
      <x:c r="I889" s="1" t="str">
        <x:f>IF(H889&gt;0,"Overbilled","Shortfall")</x:f>
        <x:v>Shortfall</x:v>
      </x:c>
      <x:c r="J889" s="7"/>
      <x:c r="K889" s="7" t="str">
        <x:v>Open</x:v>
      </x:c>
      <x:c r="L889" s="7"/>
    </x:row>
    <x:row r="890" ht="21" customHeight="1">
      <x:c r="A890" s="1" t="str">
        <x:f>Source!A884</x:f>
        <x:v>C0000973</x:v>
      </x:c>
      <x:c r="B890" s="1" t="str">
        <x:f>_xlfn.IFNA(VLOOKUP(Source!B884,Advertisers!$A$5:$B$34,2,FALSE),"Missing advertiser")</x:f>
        <x:v>Synthetic advertiser 29</x:v>
      </x:c>
      <x:c r="C890" s="1" t="n">
        <x:f>Source!C884</x:f>
        <x:v>119</x:v>
      </x:c>
      <x:c r="D890" s="8" t="n">
        <x:f>Source!D884/100</x:f>
        <x:v>195.24</x:v>
      </x:c>
      <x:c r="E890" s="8" t="n">
        <x:f>Source!E884/100</x:f>
        <x:v>390.48</x:v>
      </x:c>
      <x:c r="F890" s="8" t="n">
        <x:f>Source!F884/100</x:f>
        <x:v>0</x:v>
      </x:c>
      <x:c r="G890" s="8" t="n">
        <x:f>Source!G884/100</x:f>
        <x:v>390.48</x:v>
      </x:c>
      <x:c r="H890" s="8" t="n">
        <x:f>G890-D890</x:f>
        <x:v>195.24</x:v>
      </x:c>
      <x:c r="I890" s="1" t="str">
        <x:f>IF(H890&gt;0,"Overbilled","Shortfall")</x:f>
        <x:v>Overbilled</x:v>
      </x:c>
      <x:c r="J890" s="7"/>
      <x:c r="K890" s="7" t="str">
        <x:v>Open</x:v>
      </x:c>
      <x:c r="L890" s="7"/>
    </x:row>
    <x:row r="891" ht="21" customHeight="1">
      <x:c r="A891" s="1" t="str">
        <x:f>Source!A885</x:f>
        <x:v>C0002844</x:v>
      </x:c>
      <x:c r="B891" s="1" t="str">
        <x:f>_xlfn.IFNA(VLOOKUP(Source!B885,Advertisers!$A$5:$B$34,2,FALSE),"Missing advertiser")</x:f>
        <x:v>Synthetic advertiser 29</x:v>
      </x:c>
      <x:c r="C891" s="1" t="n">
        <x:f>Source!C885</x:f>
        <x:v>119</x:v>
      </x:c>
      <x:c r="D891" s="8" t="n">
        <x:f>Source!D885/100</x:f>
        <x:v>195.24</x:v>
      </x:c>
      <x:c r="E891" s="8" t="n">
        <x:f>Source!E885/100</x:f>
        <x:v>0</x:v>
      </x:c>
      <x:c r="F891" s="8" t="n">
        <x:f>Source!F885/100</x:f>
        <x:v>0</x:v>
      </x:c>
      <x:c r="G891" s="8" t="n">
        <x:f>Source!G885/100</x:f>
        <x:v>0</x:v>
      </x:c>
      <x:c r="H891" s="8" t="n">
        <x:f>G891-D891</x:f>
        <x:v>-195.24</x:v>
      </x:c>
      <x:c r="I891" s="1" t="str">
        <x:f>IF(H891&gt;0,"Overbilled","Shortfall")</x:f>
        <x:v>Shortfall</x:v>
      </x:c>
      <x:c r="J891" s="7"/>
      <x:c r="K891" s="7" t="str">
        <x:v>Open</x:v>
      </x:c>
      <x:c r="L891" s="7"/>
    </x:row>
    <x:row r="892" ht="21" customHeight="1">
      <x:c r="A892" s="1" t="str">
        <x:f>Source!A886</x:f>
        <x:v>C0008886</x:v>
      </x:c>
      <x:c r="B892" s="1" t="str">
        <x:f>_xlfn.IFNA(VLOOKUP(Source!B886,Advertisers!$A$5:$B$34,2,FALSE),"Missing advertiser")</x:f>
        <x:v>Synthetic advertiser 29</x:v>
      </x:c>
      <x:c r="C892" s="1" t="n">
        <x:f>Source!C886</x:f>
        <x:v>119</x:v>
      </x:c>
      <x:c r="D892" s="8" t="n">
        <x:f>Source!D886/100</x:f>
        <x:v>195.24</x:v>
      </x:c>
      <x:c r="E892" s="8" t="n">
        <x:f>Source!E886/100</x:f>
        <x:v>390.48</x:v>
      </x:c>
      <x:c r="F892" s="8" t="n">
        <x:f>Source!F886/100</x:f>
        <x:v>0</x:v>
      </x:c>
      <x:c r="G892" s="8" t="n">
        <x:f>Source!G886/100</x:f>
        <x:v>390.48</x:v>
      </x:c>
      <x:c r="H892" s="8" t="n">
        <x:f>G892-D892</x:f>
        <x:v>195.24</x:v>
      </x:c>
      <x:c r="I892" s="1" t="str">
        <x:f>IF(H892&gt;0,"Overbilled","Shortfall")</x:f>
        <x:v>Overbilled</x:v>
      </x:c>
      <x:c r="J892" s="7"/>
      <x:c r="K892" s="7" t="str">
        <x:v>Open</x:v>
      </x:c>
      <x:c r="L892" s="7"/>
    </x:row>
    <x:row r="893" ht="21" customHeight="1">
      <x:c r="A893" s="1" t="str">
        <x:f>Source!A887</x:f>
        <x:v>C0003339</x:v>
      </x:c>
      <x:c r="B893" s="1" t="str">
        <x:f>_xlfn.IFNA(VLOOKUP(Source!B887,Advertisers!$A$5:$B$34,2,FALSE),"Missing advertiser")</x:f>
        <x:v>Synthetic advertiser 4</x:v>
      </x:c>
      <x:c r="C893" s="1" t="n">
        <x:f>Source!C887</x:f>
        <x:v>94</x:v>
      </x:c>
      <x:c r="D893" s="8" t="n">
        <x:f>Source!D887/100</x:f>
        <x:v>0</x:v>
      </x:c>
      <x:c r="E893" s="8" t="n">
        <x:f>Source!E887/100</x:f>
        <x:v>195.04</x:v>
      </x:c>
      <x:c r="F893" s="8" t="n">
        <x:f>Source!F887/100</x:f>
        <x:v>0</x:v>
      </x:c>
      <x:c r="G893" s="8" t="n">
        <x:f>Source!G887/100</x:f>
        <x:v>195.04</x:v>
      </x:c>
      <x:c r="H893" s="8" t="n">
        <x:f>G893-D893</x:f>
        <x:v>195.04</x:v>
      </x:c>
      <x:c r="I893" s="1" t="str">
        <x:f>IF(H893&gt;0,"Overbilled","Shortfall")</x:f>
        <x:v>Overbilled</x:v>
      </x:c>
      <x:c r="J893" s="7"/>
      <x:c r="K893" s="7" t="str">
        <x:v>Open</x:v>
      </x:c>
      <x:c r="L893" s="7"/>
    </x:row>
    <x:row r="894" ht="21" customHeight="1">
      <x:c r="A894" s="1" t="str">
        <x:f>Source!A888</x:f>
        <x:v>C0011259</x:v>
      </x:c>
      <x:c r="B894" s="1" t="str">
        <x:f>_xlfn.IFNA(VLOOKUP(Source!B888,Advertisers!$A$5:$B$34,2,FALSE),"Missing advertiser")</x:f>
        <x:v>Synthetic advertiser 4</x:v>
      </x:c>
      <x:c r="C894" s="1" t="n">
        <x:f>Source!C888</x:f>
        <x:v>94</x:v>
      </x:c>
      <x:c r="D894" s="8" t="n">
        <x:f>Source!D888/100</x:f>
        <x:v>195.04</x:v>
      </x:c>
      <x:c r="E894" s="8" t="n">
        <x:f>Source!E888/100</x:f>
        <x:v>390.08</x:v>
      </x:c>
      <x:c r="F894" s="8" t="n">
        <x:f>Source!F888/100</x:f>
        <x:v>0</x:v>
      </x:c>
      <x:c r="G894" s="8" t="n">
        <x:f>Source!G888/100</x:f>
        <x:v>390.08</x:v>
      </x:c>
      <x:c r="H894" s="8" t="n">
        <x:f>G894-D894</x:f>
        <x:v>195.04</x:v>
      </x:c>
      <x:c r="I894" s="1" t="str">
        <x:f>IF(H894&gt;0,"Overbilled","Shortfall")</x:f>
        <x:v>Overbilled</x:v>
      </x:c>
      <x:c r="J894" s="7"/>
      <x:c r="K894" s="7" t="str">
        <x:v>Open</x:v>
      </x:c>
      <x:c r="L894" s="7"/>
    </x:row>
    <x:row r="895" ht="21" customHeight="1">
      <x:c r="A895" s="1" t="str">
        <x:f>Source!A889</x:f>
        <x:v>C0001646</x:v>
      </x:c>
      <x:c r="B895" s="1" t="str">
        <x:f>_xlfn.IFNA(VLOOKUP(Source!B889,Advertisers!$A$5:$B$34,2,FALSE),"Missing advertiser")</x:f>
        <x:v>Synthetic advertiser 4</x:v>
      </x:c>
      <x:c r="C895" s="1" t="n">
        <x:f>Source!C889</x:f>
        <x:v>94</x:v>
      </x:c>
      <x:c r="D895" s="8" t="n">
        <x:f>Source!D889/100</x:f>
        <x:v>0</x:v>
      </x:c>
      <x:c r="E895" s="8" t="n">
        <x:f>Source!E889/100</x:f>
        <x:v>195.04</x:v>
      </x:c>
      <x:c r="F895" s="8" t="n">
        <x:f>Source!F889/100</x:f>
        <x:v>0</x:v>
      </x:c>
      <x:c r="G895" s="8" t="n">
        <x:f>Source!G889/100</x:f>
        <x:v>195.04</x:v>
      </x:c>
      <x:c r="H895" s="8" t="n">
        <x:f>G895-D895</x:f>
        <x:v>195.04</x:v>
      </x:c>
      <x:c r="I895" s="1" t="str">
        <x:f>IF(H895&gt;0,"Overbilled","Shortfall")</x:f>
        <x:v>Overbilled</x:v>
      </x:c>
      <x:c r="J895" s="7"/>
      <x:c r="K895" s="7" t="str">
        <x:v>Open</x:v>
      </x:c>
      <x:c r="L895" s="7"/>
    </x:row>
    <x:row r="896" ht="21" customHeight="1">
      <x:c r="A896" s="1" t="str">
        <x:f>Source!A890</x:f>
        <x:v>C0001308</x:v>
      </x:c>
      <x:c r="B896" s="1" t="str">
        <x:f>_xlfn.IFNA(VLOOKUP(Source!B890,Advertisers!$A$5:$B$34,2,FALSE),"Missing advertiser")</x:f>
        <x:v>Synthetic advertiser 4</x:v>
      </x:c>
      <x:c r="C896" s="1" t="n">
        <x:f>Source!C890</x:f>
        <x:v>94</x:v>
      </x:c>
      <x:c r="D896" s="8" t="n">
        <x:f>Source!D890/100</x:f>
        <x:v>195.04</x:v>
      </x:c>
      <x:c r="E896" s="8" t="n">
        <x:f>Source!E890/100</x:f>
        <x:v>390.08</x:v>
      </x:c>
      <x:c r="F896" s="8" t="n">
        <x:f>Source!F890/100</x:f>
        <x:v>0</x:v>
      </x:c>
      <x:c r="G896" s="8" t="n">
        <x:f>Source!G890/100</x:f>
        <x:v>390.08</x:v>
      </x:c>
      <x:c r="H896" s="8" t="n">
        <x:f>G896-D896</x:f>
        <x:v>195.04</x:v>
      </x:c>
      <x:c r="I896" s="1" t="str">
        <x:f>IF(H896&gt;0,"Overbilled","Shortfall")</x:f>
        <x:v>Overbilled</x:v>
      </x:c>
      <x:c r="J896" s="7"/>
      <x:c r="K896" s="7" t="str">
        <x:v>Open</x:v>
      </x:c>
      <x:c r="L896" s="7"/>
    </x:row>
    <x:row r="897" ht="21" customHeight="1">
      <x:c r="A897" s="1" t="str">
        <x:f>Source!A891</x:f>
        <x:v>C0010605</x:v>
      </x:c>
      <x:c r="B897" s="1" t="str">
        <x:f>_xlfn.IFNA(VLOOKUP(Source!B891,Advertisers!$A$5:$B$34,2,FALSE),"Missing advertiser")</x:f>
        <x:v>Synthetic advertiser 4</x:v>
      </x:c>
      <x:c r="C897" s="1" t="n">
        <x:f>Source!C891</x:f>
        <x:v>94</x:v>
      </x:c>
      <x:c r="D897" s="8" t="n">
        <x:f>Source!D891/100</x:f>
        <x:v>195.04</x:v>
      </x:c>
      <x:c r="E897" s="8" t="n">
        <x:f>Source!E891/100</x:f>
        <x:v>0</x:v>
      </x:c>
      <x:c r="F897" s="8" t="n">
        <x:f>Source!F891/100</x:f>
        <x:v>0</x:v>
      </x:c>
      <x:c r="G897" s="8" t="n">
        <x:f>Source!G891/100</x:f>
        <x:v>0</x:v>
      </x:c>
      <x:c r="H897" s="8" t="n">
        <x:f>G897-D897</x:f>
        <x:v>-195.04</x:v>
      </x:c>
      <x:c r="I897" s="1" t="str">
        <x:f>IF(H897&gt;0,"Overbilled","Shortfall")</x:f>
        <x:v>Shortfall</x:v>
      </x:c>
      <x:c r="J897" s="7"/>
      <x:c r="K897" s="7" t="str">
        <x:v>Open</x:v>
      </x:c>
      <x:c r="L897" s="7"/>
    </x:row>
    <x:row r="898" ht="21" customHeight="1">
      <x:c r="A898" s="1" t="str">
        <x:f>Source!A892</x:f>
        <x:v>C0012008</x:v>
      </x:c>
      <x:c r="B898" s="1" t="str">
        <x:f>_xlfn.IFNA(VLOOKUP(Source!B892,Advertisers!$A$5:$B$34,2,FALSE),"Missing advertiser")</x:f>
        <x:v>Synthetic advertiser 11</x:v>
      </x:c>
      <x:c r="C898" s="1" t="n">
        <x:f>Source!C892</x:f>
        <x:v>41</x:v>
      </x:c>
      <x:c r="D898" s="8" t="n">
        <x:f>Source!D892/100</x:f>
        <x:v>194.37</x:v>
      </x:c>
      <x:c r="E898" s="8" t="n">
        <x:f>Source!E892/100</x:f>
        <x:v>388.74</x:v>
      </x:c>
      <x:c r="F898" s="8" t="n">
        <x:f>Source!F892/100</x:f>
        <x:v>0</x:v>
      </x:c>
      <x:c r="G898" s="8" t="n">
        <x:f>Source!G892/100</x:f>
        <x:v>388.74</x:v>
      </x:c>
      <x:c r="H898" s="8" t="n">
        <x:f>G898-D898</x:f>
        <x:v>194.37</x:v>
      </x:c>
      <x:c r="I898" s="1" t="str">
        <x:f>IF(H898&gt;0,"Overbilled","Shortfall")</x:f>
        <x:v>Overbilled</x:v>
      </x:c>
      <x:c r="J898" s="7"/>
      <x:c r="K898" s="7" t="str">
        <x:v>Open</x:v>
      </x:c>
      <x:c r="L898" s="7"/>
    </x:row>
    <x:row r="899" ht="21" customHeight="1">
      <x:c r="A899" s="1" t="str">
        <x:f>Source!A893</x:f>
        <x:v>C0013219</x:v>
      </x:c>
      <x:c r="B899" s="1" t="str">
        <x:f>_xlfn.IFNA(VLOOKUP(Source!B893,Advertisers!$A$5:$B$34,2,FALSE),"Missing advertiser")</x:f>
        <x:v>Synthetic advertiser 11</x:v>
      </x:c>
      <x:c r="C899" s="1" t="n">
        <x:f>Source!C893</x:f>
        <x:v>41</x:v>
      </x:c>
      <x:c r="D899" s="8" t="n">
        <x:f>Source!D893/100</x:f>
        <x:v>194.37</x:v>
      </x:c>
      <x:c r="E899" s="8" t="n">
        <x:f>Source!E893/100</x:f>
        <x:v>388.74</x:v>
      </x:c>
      <x:c r="F899" s="8" t="n">
        <x:f>Source!F893/100</x:f>
        <x:v>0</x:v>
      </x:c>
      <x:c r="G899" s="8" t="n">
        <x:f>Source!G893/100</x:f>
        <x:v>388.74</x:v>
      </x:c>
      <x:c r="H899" s="8" t="n">
        <x:f>G899-D899</x:f>
        <x:v>194.37</x:v>
      </x:c>
      <x:c r="I899" s="1" t="str">
        <x:f>IF(H899&gt;0,"Overbilled","Shortfall")</x:f>
        <x:v>Overbilled</x:v>
      </x:c>
      <x:c r="J899" s="7"/>
      <x:c r="K899" s="7" t="str">
        <x:v>Open</x:v>
      </x:c>
      <x:c r="L899" s="7"/>
    </x:row>
    <x:row r="900" ht="21" customHeight="1">
      <x:c r="A900" s="1" t="str">
        <x:f>Source!A894</x:f>
        <x:v>C0006549</x:v>
      </x:c>
      <x:c r="B900" s="1" t="str">
        <x:f>_xlfn.IFNA(VLOOKUP(Source!B894,Advertisers!$A$5:$B$34,2,FALSE),"Missing advertiser")</x:f>
        <x:v>Synthetic advertiser 11</x:v>
      </x:c>
      <x:c r="C900" s="1" t="n">
        <x:f>Source!C894</x:f>
        <x:v>41</x:v>
      </x:c>
      <x:c r="D900" s="8" t="n">
        <x:f>Source!D894/100</x:f>
        <x:v>194.37</x:v>
      </x:c>
      <x:c r="E900" s="8" t="n">
        <x:f>Source!E894/100</x:f>
        <x:v>0</x:v>
      </x:c>
      <x:c r="F900" s="8" t="n">
        <x:f>Source!F894/100</x:f>
        <x:v>0</x:v>
      </x:c>
      <x:c r="G900" s="8" t="n">
        <x:f>Source!G894/100</x:f>
        <x:v>0</x:v>
      </x:c>
      <x:c r="H900" s="8" t="n">
        <x:f>G900-D900</x:f>
        <x:v>-194.37</x:v>
      </x:c>
      <x:c r="I900" s="1" t="str">
        <x:f>IF(H900&gt;0,"Overbilled","Shortfall")</x:f>
        <x:v>Shortfall</x:v>
      </x:c>
      <x:c r="J900" s="7"/>
      <x:c r="K900" s="7" t="str">
        <x:v>Open</x:v>
      </x:c>
      <x:c r="L900" s="7"/>
    </x:row>
    <x:row r="901" ht="21" customHeight="1">
      <x:c r="A901" s="1" t="str">
        <x:f>Source!A895</x:f>
        <x:v>C0015301</x:v>
      </x:c>
      <x:c r="B901" s="1" t="str">
        <x:f>_xlfn.IFNA(VLOOKUP(Source!B895,Advertisers!$A$5:$B$34,2,FALSE),"Missing advertiser")</x:f>
        <x:v>Synthetic advertiser 11</x:v>
      </x:c>
      <x:c r="C901" s="1" t="n">
        <x:f>Source!C895</x:f>
        <x:v>41</x:v>
      </x:c>
      <x:c r="D901" s="8" t="n">
        <x:f>Source!D895/100</x:f>
        <x:v>194.37</x:v>
      </x:c>
      <x:c r="E901" s="8" t="n">
        <x:f>Source!E895/100</x:f>
        <x:v>388.74</x:v>
      </x:c>
      <x:c r="F901" s="8" t="n">
        <x:f>Source!F895/100</x:f>
        <x:v>0</x:v>
      </x:c>
      <x:c r="G901" s="8" t="n">
        <x:f>Source!G895/100</x:f>
        <x:v>388.74</x:v>
      </x:c>
      <x:c r="H901" s="8" t="n">
        <x:f>G901-D901</x:f>
        <x:v>194.37</x:v>
      </x:c>
      <x:c r="I901" s="1" t="str">
        <x:f>IF(H901&gt;0,"Overbilled","Shortfall")</x:f>
        <x:v>Overbilled</x:v>
      </x:c>
      <x:c r="J901" s="7"/>
      <x:c r="K901" s="7" t="str">
        <x:v>Open</x:v>
      </x:c>
      <x:c r="L901" s="7"/>
    </x:row>
    <x:row r="902" ht="21" customHeight="1">
      <x:c r="A902" s="1" t="str">
        <x:f>Source!A896</x:f>
        <x:v>C0013936</x:v>
      </x:c>
      <x:c r="B902" s="1" t="str">
        <x:f>_xlfn.IFNA(VLOOKUP(Source!B896,Advertisers!$A$5:$B$34,2,FALSE),"Missing advertiser")</x:f>
        <x:v>Synthetic advertiser 11</x:v>
      </x:c>
      <x:c r="C902" s="1" t="n">
        <x:f>Source!C896</x:f>
        <x:v>41</x:v>
      </x:c>
      <x:c r="D902" s="8" t="n">
        <x:f>Source!D896/100</x:f>
        <x:v>194.37</x:v>
      </x:c>
      <x:c r="E902" s="8" t="n">
        <x:f>Source!E896/100</x:f>
        <x:v>0</x:v>
      </x:c>
      <x:c r="F902" s="8" t="n">
        <x:f>Source!F896/100</x:f>
        <x:v>0</x:v>
      </x:c>
      <x:c r="G902" s="8" t="n">
        <x:f>Source!G896/100</x:f>
        <x:v>0</x:v>
      </x:c>
      <x:c r="H902" s="8" t="n">
        <x:f>G902-D902</x:f>
        <x:v>-194.37</x:v>
      </x:c>
      <x:c r="I902" s="1" t="str">
        <x:f>IF(H902&gt;0,"Overbilled","Shortfall")</x:f>
        <x:v>Shortfall</x:v>
      </x:c>
      <x:c r="J902" s="7"/>
      <x:c r="K902" s="7" t="str">
        <x:v>Open</x:v>
      </x:c>
      <x:c r="L902" s="7"/>
    </x:row>
    <x:row r="903" ht="21" customHeight="1">
      <x:c r="A903" s="1" t="str">
        <x:f>Source!A897</x:f>
        <x:v>C0001807</x:v>
      </x:c>
      <x:c r="B903" s="1" t="str">
        <x:f>_xlfn.IFNA(VLOOKUP(Source!B897,Advertisers!$A$5:$B$34,2,FALSE),"Missing advertiser")</x:f>
        <x:v>Synthetic advertiser 11</x:v>
      </x:c>
      <x:c r="C903" s="1" t="n">
        <x:f>Source!C897</x:f>
        <x:v>41</x:v>
      </x:c>
      <x:c r="D903" s="8" t="n">
        <x:f>Source!D897/100</x:f>
        <x:v>194.37</x:v>
      </x:c>
      <x:c r="E903" s="8" t="n">
        <x:f>Source!E897/100</x:f>
        <x:v>0</x:v>
      </x:c>
      <x:c r="F903" s="8" t="n">
        <x:f>Source!F897/100</x:f>
        <x:v>0</x:v>
      </x:c>
      <x:c r="G903" s="8" t="n">
        <x:f>Source!G897/100</x:f>
        <x:v>0</x:v>
      </x:c>
      <x:c r="H903" s="8" t="n">
        <x:f>G903-D903</x:f>
        <x:v>-194.37</x:v>
      </x:c>
      <x:c r="I903" s="1" t="str">
        <x:f>IF(H903&gt;0,"Overbilled","Shortfall")</x:f>
        <x:v>Shortfall</x:v>
      </x:c>
      <x:c r="J903" s="7"/>
      <x:c r="K903" s="7" t="str">
        <x:v>Open</x:v>
      </x:c>
      <x:c r="L903" s="7"/>
    </x:row>
    <x:row r="904" ht="21" customHeight="1">
      <x:c r="A904" s="1" t="str">
        <x:f>Source!A898</x:f>
        <x:v>C0008172</x:v>
      </x:c>
      <x:c r="B904" s="1" t="str">
        <x:f>_xlfn.IFNA(VLOOKUP(Source!B898,Advertisers!$A$5:$B$34,2,FALSE),"Missing advertiser")</x:f>
        <x:v>Synthetic advertiser 11</x:v>
      </x:c>
      <x:c r="C904" s="1" t="n">
        <x:f>Source!C898</x:f>
        <x:v>41</x:v>
      </x:c>
      <x:c r="D904" s="8" t="n">
        <x:f>Source!D898/100</x:f>
        <x:v>194.37</x:v>
      </x:c>
      <x:c r="E904" s="8" t="n">
        <x:f>Source!E898/100</x:f>
        <x:v>388.74</x:v>
      </x:c>
      <x:c r="F904" s="8" t="n">
        <x:f>Source!F898/100</x:f>
        <x:v>0</x:v>
      </x:c>
      <x:c r="G904" s="8" t="n">
        <x:f>Source!G898/100</x:f>
        <x:v>388.74</x:v>
      </x:c>
      <x:c r="H904" s="8" t="n">
        <x:f>G904-D904</x:f>
        <x:v>194.37</x:v>
      </x:c>
      <x:c r="I904" s="1" t="str">
        <x:f>IF(H904&gt;0,"Overbilled","Shortfall")</x:f>
        <x:v>Overbilled</x:v>
      </x:c>
      <x:c r="J904" s="7"/>
      <x:c r="K904" s="7" t="str">
        <x:v>Open</x:v>
      </x:c>
      <x:c r="L904" s="7"/>
    </x:row>
    <x:row r="905" ht="21" customHeight="1">
      <x:c r="A905" s="1" t="str">
        <x:f>Source!A899</x:f>
        <x:v>C0008133</x:v>
      </x:c>
      <x:c r="B905" s="1" t="str">
        <x:f>_xlfn.IFNA(VLOOKUP(Source!B899,Advertisers!$A$5:$B$34,2,FALSE),"Missing advertiser")</x:f>
        <x:v>Synthetic advertiser 11</x:v>
      </x:c>
      <x:c r="C905" s="1" t="n">
        <x:f>Source!C899</x:f>
        <x:v>41</x:v>
      </x:c>
      <x:c r="D905" s="8" t="n">
        <x:f>Source!D899/100</x:f>
        <x:v>194.37</x:v>
      </x:c>
      <x:c r="E905" s="8" t="n">
        <x:f>Source!E899/100</x:f>
        <x:v>0</x:v>
      </x:c>
      <x:c r="F905" s="8" t="n">
        <x:f>Source!F899/100</x:f>
        <x:v>0</x:v>
      </x:c>
      <x:c r="G905" s="8" t="n">
        <x:f>Source!G899/100</x:f>
        <x:v>0</x:v>
      </x:c>
      <x:c r="H905" s="8" t="n">
        <x:f>G905-D905</x:f>
        <x:v>-194.37</x:v>
      </x:c>
      <x:c r="I905" s="1" t="str">
        <x:f>IF(H905&gt;0,"Overbilled","Shortfall")</x:f>
        <x:v>Shortfall</x:v>
      </x:c>
      <x:c r="J905" s="7"/>
      <x:c r="K905" s="7" t="str">
        <x:v>Open</x:v>
      </x:c>
      <x:c r="L905" s="7"/>
    </x:row>
    <x:row r="906" ht="21" customHeight="1">
      <x:c r="A906" s="1" t="str">
        <x:f>Source!A900</x:f>
        <x:v>C0012614</x:v>
      </x:c>
      <x:c r="B906" s="1" t="str">
        <x:f>_xlfn.IFNA(VLOOKUP(Source!B900,Advertisers!$A$5:$B$34,2,FALSE),"Missing advertiser")</x:f>
        <x:v>Synthetic advertiser 11</x:v>
      </x:c>
      <x:c r="C906" s="1" t="n">
        <x:f>Source!C900</x:f>
        <x:v>41</x:v>
      </x:c>
      <x:c r="D906" s="8" t="n">
        <x:f>Source!D900/100</x:f>
        <x:v>0</x:v>
      </x:c>
      <x:c r="E906" s="8" t="n">
        <x:f>Source!E900/100</x:f>
        <x:v>194.37</x:v>
      </x:c>
      <x:c r="F906" s="8" t="n">
        <x:f>Source!F900/100</x:f>
        <x:v>0</x:v>
      </x:c>
      <x:c r="G906" s="8" t="n">
        <x:f>Source!G900/100</x:f>
        <x:v>194.37</x:v>
      </x:c>
      <x:c r="H906" s="8" t="n">
        <x:f>G906-D906</x:f>
        <x:v>194.37</x:v>
      </x:c>
      <x:c r="I906" s="1" t="str">
        <x:f>IF(H906&gt;0,"Overbilled","Shortfall")</x:f>
        <x:v>Overbilled</x:v>
      </x:c>
      <x:c r="J906" s="7"/>
      <x:c r="K906" s="7" t="str">
        <x:v>Open</x:v>
      </x:c>
      <x:c r="L906" s="7"/>
    </x:row>
    <x:row r="907" ht="21" customHeight="1">
      <x:c r="A907" s="1" t="str">
        <x:f>Source!A901</x:f>
        <x:v>C0017491</x:v>
      </x:c>
      <x:c r="B907" s="1" t="str">
        <x:f>_xlfn.IFNA(VLOOKUP(Source!B901,Advertisers!$A$5:$B$34,2,FALSE),"Missing advertiser")</x:f>
        <x:v>Synthetic advertiser 11</x:v>
      </x:c>
      <x:c r="C907" s="1" t="n">
        <x:f>Source!C901</x:f>
        <x:v>41</x:v>
      </x:c>
      <x:c r="D907" s="8" t="n">
        <x:f>Source!D901/100</x:f>
        <x:v>194.37</x:v>
      </x:c>
      <x:c r="E907" s="8" t="n">
        <x:f>Source!E901/100</x:f>
        <x:v>388.74</x:v>
      </x:c>
      <x:c r="F907" s="8" t="n">
        <x:f>Source!F901/100</x:f>
        <x:v>0</x:v>
      </x:c>
      <x:c r="G907" s="8" t="n">
        <x:f>Source!G901/100</x:f>
        <x:v>388.74</x:v>
      </x:c>
      <x:c r="H907" s="8" t="n">
        <x:f>G907-D907</x:f>
        <x:v>194.37</x:v>
      </x:c>
      <x:c r="I907" s="1" t="str">
        <x:f>IF(H907&gt;0,"Overbilled","Shortfall")</x:f>
        <x:v>Overbilled</x:v>
      </x:c>
      <x:c r="J907" s="7"/>
      <x:c r="K907" s="7" t="str">
        <x:v>Open</x:v>
      </x:c>
      <x:c r="L907" s="7"/>
    </x:row>
    <x:row r="908" ht="21" customHeight="1">
      <x:c r="A908" s="1" t="str">
        <x:f>Source!A902</x:f>
        <x:v>C0001597</x:v>
      </x:c>
      <x:c r="B908" s="1" t="str">
        <x:f>_xlfn.IFNA(VLOOKUP(Source!B902,Advertisers!$A$5:$B$34,2,FALSE),"Missing advertiser")</x:f>
        <x:v>Synthetic advertiser 9</x:v>
      </x:c>
      <x:c r="C908" s="1" t="n">
        <x:f>Source!C902</x:f>
        <x:v>9</x:v>
      </x:c>
      <x:c r="D908" s="8" t="n">
        <x:f>Source!D902/100</x:f>
        <x:v>193.58</x:v>
      </x:c>
      <x:c r="E908" s="8" t="n">
        <x:f>Source!E902/100</x:f>
        <x:v>387.16</x:v>
      </x:c>
      <x:c r="F908" s="8" t="n">
        <x:f>Source!F902/100</x:f>
        <x:v>0</x:v>
      </x:c>
      <x:c r="G908" s="8" t="n">
        <x:f>Source!G902/100</x:f>
        <x:v>387.16</x:v>
      </x:c>
      <x:c r="H908" s="8" t="n">
        <x:f>G908-D908</x:f>
        <x:v>193.58</x:v>
      </x:c>
      <x:c r="I908" s="1" t="str">
        <x:f>IF(H908&gt;0,"Overbilled","Shortfall")</x:f>
        <x:v>Overbilled</x:v>
      </x:c>
      <x:c r="J908" s="7"/>
      <x:c r="K908" s="7" t="str">
        <x:v>Open</x:v>
      </x:c>
      <x:c r="L908" s="7"/>
    </x:row>
    <x:row r="909" ht="21" customHeight="1">
      <x:c r="A909" s="1" t="str">
        <x:f>Source!A903</x:f>
        <x:v>C0001852</x:v>
      </x:c>
      <x:c r="B909" s="1" t="str">
        <x:f>_xlfn.IFNA(VLOOKUP(Source!B903,Advertisers!$A$5:$B$34,2,FALSE),"Missing advertiser")</x:f>
        <x:v>Synthetic advertiser 9</x:v>
      </x:c>
      <x:c r="C909" s="1" t="n">
        <x:f>Source!C903</x:f>
        <x:v>9</x:v>
      </x:c>
      <x:c r="D909" s="8" t="n">
        <x:f>Source!D903/100</x:f>
        <x:v>193.58</x:v>
      </x:c>
      <x:c r="E909" s="8" t="n">
        <x:f>Source!E903/100</x:f>
        <x:v>0</x:v>
      </x:c>
      <x:c r="F909" s="8" t="n">
        <x:f>Source!F903/100</x:f>
        <x:v>0</x:v>
      </x:c>
      <x:c r="G909" s="8" t="n">
        <x:f>Source!G903/100</x:f>
        <x:v>0</x:v>
      </x:c>
      <x:c r="H909" s="8" t="n">
        <x:f>G909-D909</x:f>
        <x:v>-193.58</x:v>
      </x:c>
      <x:c r="I909" s="1" t="str">
        <x:f>IF(H909&gt;0,"Overbilled","Shortfall")</x:f>
        <x:v>Shortfall</x:v>
      </x:c>
      <x:c r="J909" s="7"/>
      <x:c r="K909" s="7" t="str">
        <x:v>Open</x:v>
      </x:c>
      <x:c r="L909" s="7"/>
    </x:row>
    <x:row r="910" ht="21" customHeight="1">
      <x:c r="A910" s="1" t="str">
        <x:f>Source!A904</x:f>
        <x:v>C0000026</x:v>
      </x:c>
      <x:c r="B910" s="1" t="str">
        <x:f>_xlfn.IFNA(VLOOKUP(Source!B904,Advertisers!$A$5:$B$34,2,FALSE),"Missing advertiser")</x:f>
        <x:v>Synthetic advertiser 9</x:v>
      </x:c>
      <x:c r="C910" s="1" t="n">
        <x:f>Source!C904</x:f>
        <x:v>9</x:v>
      </x:c>
      <x:c r="D910" s="8" t="n">
        <x:f>Source!D904/100</x:f>
        <x:v>193.58</x:v>
      </x:c>
      <x:c r="E910" s="8" t="n">
        <x:f>Source!E904/100</x:f>
        <x:v>387.16</x:v>
      </x:c>
      <x:c r="F910" s="8" t="n">
        <x:f>Source!F904/100</x:f>
        <x:v>0</x:v>
      </x:c>
      <x:c r="G910" s="8" t="n">
        <x:f>Source!G904/100</x:f>
        <x:v>387.16</x:v>
      </x:c>
      <x:c r="H910" s="8" t="n">
        <x:f>G910-D910</x:f>
        <x:v>193.58</x:v>
      </x:c>
      <x:c r="I910" s="1" t="str">
        <x:f>IF(H910&gt;0,"Overbilled","Shortfall")</x:f>
        <x:v>Overbilled</x:v>
      </x:c>
      <x:c r="J910" s="7"/>
      <x:c r="K910" s="7" t="str">
        <x:v>Open</x:v>
      </x:c>
      <x:c r="L910" s="7"/>
    </x:row>
    <x:row r="911" ht="21" customHeight="1">
      <x:c r="A911" s="1" t="str">
        <x:f>Source!A905</x:f>
        <x:v>C0007810</x:v>
      </x:c>
      <x:c r="B911" s="1" t="str">
        <x:f>_xlfn.IFNA(VLOOKUP(Source!B905,Advertisers!$A$5:$B$34,2,FALSE),"Missing advertiser")</x:f>
        <x:v>Synthetic advertiser 9</x:v>
      </x:c>
      <x:c r="C911" s="1" t="n">
        <x:f>Source!C905</x:f>
        <x:v>9</x:v>
      </x:c>
      <x:c r="D911" s="8" t="n">
        <x:f>Source!D905/100</x:f>
        <x:v>193.58</x:v>
      </x:c>
      <x:c r="E911" s="8" t="n">
        <x:f>Source!E905/100</x:f>
        <x:v>0</x:v>
      </x:c>
      <x:c r="F911" s="8" t="n">
        <x:f>Source!F905/100</x:f>
        <x:v>0</x:v>
      </x:c>
      <x:c r="G911" s="8" t="n">
        <x:f>Source!G905/100</x:f>
        <x:v>0</x:v>
      </x:c>
      <x:c r="H911" s="8" t="n">
        <x:f>G911-D911</x:f>
        <x:v>-193.58</x:v>
      </x:c>
      <x:c r="I911" s="1" t="str">
        <x:f>IF(H911&gt;0,"Overbilled","Shortfall")</x:f>
        <x:v>Shortfall</x:v>
      </x:c>
      <x:c r="J911" s="7"/>
      <x:c r="K911" s="7" t="str">
        <x:v>Open</x:v>
      </x:c>
      <x:c r="L911" s="7"/>
    </x:row>
    <x:row r="912" ht="21" customHeight="1">
      <x:c r="A912" s="1" t="str">
        <x:f>Source!A906</x:f>
        <x:v>C0015591</x:v>
      </x:c>
      <x:c r="B912" s="1" t="str">
        <x:f>_xlfn.IFNA(VLOOKUP(Source!B906,Advertisers!$A$5:$B$34,2,FALSE),"Missing advertiser")</x:f>
        <x:v>Synthetic advertiser 9</x:v>
      </x:c>
      <x:c r="C912" s="1" t="n">
        <x:f>Source!C906</x:f>
        <x:v>9</x:v>
      </x:c>
      <x:c r="D912" s="8" t="n">
        <x:f>Source!D906/100</x:f>
        <x:v>193.58</x:v>
      </x:c>
      <x:c r="E912" s="8" t="n">
        <x:f>Source!E906/100</x:f>
        <x:v>387.16</x:v>
      </x:c>
      <x:c r="F912" s="8" t="n">
        <x:f>Source!F906/100</x:f>
        <x:v>0</x:v>
      </x:c>
      <x:c r="G912" s="8" t="n">
        <x:f>Source!G906/100</x:f>
        <x:v>387.16</x:v>
      </x:c>
      <x:c r="H912" s="8" t="n">
        <x:f>G912-D912</x:f>
        <x:v>193.58</x:v>
      </x:c>
      <x:c r="I912" s="1" t="str">
        <x:f>IF(H912&gt;0,"Overbilled","Shortfall")</x:f>
        <x:v>Overbilled</x:v>
      </x:c>
      <x:c r="J912" s="7"/>
      <x:c r="K912" s="7" t="str">
        <x:v>Open</x:v>
      </x:c>
      <x:c r="L912" s="7"/>
    </x:row>
    <x:row r="913" ht="21" customHeight="1">
      <x:c r="A913" s="1" t="str">
        <x:f>Source!A907</x:f>
        <x:v>C0004451</x:v>
      </x:c>
      <x:c r="B913" s="1" t="str">
        <x:f>_xlfn.IFNA(VLOOKUP(Source!B907,Advertisers!$A$5:$B$34,2,FALSE),"Missing advertiser")</x:f>
        <x:v>Synthetic advertiser 9</x:v>
      </x:c>
      <x:c r="C913" s="1" t="n">
        <x:f>Source!C907</x:f>
        <x:v>9</x:v>
      </x:c>
      <x:c r="D913" s="8" t="n">
        <x:f>Source!D907/100</x:f>
        <x:v>193.58</x:v>
      </x:c>
      <x:c r="E913" s="8" t="n">
        <x:f>Source!E907/100</x:f>
        <x:v>0</x:v>
      </x:c>
      <x:c r="F913" s="8" t="n">
        <x:f>Source!F907/100</x:f>
        <x:v>0</x:v>
      </x:c>
      <x:c r="G913" s="8" t="n">
        <x:f>Source!G907/100</x:f>
        <x:v>0</x:v>
      </x:c>
      <x:c r="H913" s="8" t="n">
        <x:f>G913-D913</x:f>
        <x:v>-193.58</x:v>
      </x:c>
      <x:c r="I913" s="1" t="str">
        <x:f>IF(H913&gt;0,"Overbilled","Shortfall")</x:f>
        <x:v>Shortfall</x:v>
      </x:c>
      <x:c r="J913" s="7"/>
      <x:c r="K913" s="7" t="str">
        <x:v>Open</x:v>
      </x:c>
      <x:c r="L913" s="7"/>
    </x:row>
    <x:row r="914" ht="21" customHeight="1">
      <x:c r="A914" s="1" t="str">
        <x:f>Source!A908</x:f>
        <x:v>C0001972</x:v>
      </x:c>
      <x:c r="B914" s="1" t="str">
        <x:f>_xlfn.IFNA(VLOOKUP(Source!B908,Advertisers!$A$5:$B$34,2,FALSE),"Missing advertiser")</x:f>
        <x:v>Synthetic advertiser 9</x:v>
      </x:c>
      <x:c r="C914" s="1" t="n">
        <x:f>Source!C908</x:f>
        <x:v>9</x:v>
      </x:c>
      <x:c r="D914" s="8" t="n">
        <x:f>Source!D908/100</x:f>
        <x:v>193.58</x:v>
      </x:c>
      <x:c r="E914" s="8" t="n">
        <x:f>Source!E908/100</x:f>
        <x:v>0</x:v>
      </x:c>
      <x:c r="F914" s="8" t="n">
        <x:f>Source!F908/100</x:f>
        <x:v>0</x:v>
      </x:c>
      <x:c r="G914" s="8" t="n">
        <x:f>Source!G908/100</x:f>
        <x:v>0</x:v>
      </x:c>
      <x:c r="H914" s="8" t="n">
        <x:f>G914-D914</x:f>
        <x:v>-193.58</x:v>
      </x:c>
      <x:c r="I914" s="1" t="str">
        <x:f>IF(H914&gt;0,"Overbilled","Shortfall")</x:f>
        <x:v>Shortfall</x:v>
      </x:c>
      <x:c r="J914" s="7"/>
      <x:c r="K914" s="7" t="str">
        <x:v>Open</x:v>
      </x:c>
      <x:c r="L914" s="7"/>
    </x:row>
    <x:row r="915" ht="21" customHeight="1">
      <x:c r="A915" s="1" t="str">
        <x:f>Source!A909</x:f>
        <x:v>C0014186</x:v>
      </x:c>
      <x:c r="B915" s="1" t="str">
        <x:f>_xlfn.IFNA(VLOOKUP(Source!B909,Advertisers!$A$5:$B$34,2,FALSE),"Missing advertiser")</x:f>
        <x:v>Synthetic advertiser 9</x:v>
      </x:c>
      <x:c r="C915" s="1" t="n">
        <x:f>Source!C909</x:f>
        <x:v>9</x:v>
      </x:c>
      <x:c r="D915" s="8" t="n">
        <x:f>Source!D909/100</x:f>
        <x:v>193.58</x:v>
      </x:c>
      <x:c r="E915" s="8" t="n">
        <x:f>Source!E909/100</x:f>
        <x:v>0</x:v>
      </x:c>
      <x:c r="F915" s="8" t="n">
        <x:f>Source!F909/100</x:f>
        <x:v>0</x:v>
      </x:c>
      <x:c r="G915" s="8" t="n">
        <x:f>Source!G909/100</x:f>
        <x:v>0</x:v>
      </x:c>
      <x:c r="H915" s="8" t="n">
        <x:f>G915-D915</x:f>
        <x:v>-193.58</x:v>
      </x:c>
      <x:c r="I915" s="1" t="str">
        <x:f>IF(H915&gt;0,"Overbilled","Shortfall")</x:f>
        <x:v>Shortfall</x:v>
      </x:c>
      <x:c r="J915" s="7"/>
      <x:c r="K915" s="7" t="str">
        <x:v>Open</x:v>
      </x:c>
      <x:c r="L915" s="7"/>
    </x:row>
    <x:row r="916" ht="21" customHeight="1">
      <x:c r="A916" s="1" t="str">
        <x:f>Source!A910</x:f>
        <x:v>C0003100</x:v>
      </x:c>
      <x:c r="B916" s="1" t="str">
        <x:f>_xlfn.IFNA(VLOOKUP(Source!B910,Advertisers!$A$5:$B$34,2,FALSE),"Missing advertiser")</x:f>
        <x:v>Synthetic advertiser 9</x:v>
      </x:c>
      <x:c r="C916" s="1" t="n">
        <x:f>Source!C910</x:f>
        <x:v>9</x:v>
      </x:c>
      <x:c r="D916" s="8" t="n">
        <x:f>Source!D910/100</x:f>
        <x:v>193.58</x:v>
      </x:c>
      <x:c r="E916" s="8" t="n">
        <x:f>Source!E910/100</x:f>
        <x:v>387.16</x:v>
      </x:c>
      <x:c r="F916" s="8" t="n">
        <x:f>Source!F910/100</x:f>
        <x:v>0</x:v>
      </x:c>
      <x:c r="G916" s="8" t="n">
        <x:f>Source!G910/100</x:f>
        <x:v>387.16</x:v>
      </x:c>
      <x:c r="H916" s="8" t="n">
        <x:f>G916-D916</x:f>
        <x:v>193.58</x:v>
      </x:c>
      <x:c r="I916" s="1" t="str">
        <x:f>IF(H916&gt;0,"Overbilled","Shortfall")</x:f>
        <x:v>Overbilled</x:v>
      </x:c>
      <x:c r="J916" s="7"/>
      <x:c r="K916" s="7" t="str">
        <x:v>Open</x:v>
      </x:c>
      <x:c r="L916" s="7"/>
    </x:row>
    <x:row r="917" ht="21" customHeight="1">
      <x:c r="A917" s="1" t="str">
        <x:f>Source!A911</x:f>
        <x:v>C0006756</x:v>
      </x:c>
      <x:c r="B917" s="1" t="str">
        <x:f>_xlfn.IFNA(VLOOKUP(Source!B911,Advertisers!$A$5:$B$34,2,FALSE),"Missing advertiser")</x:f>
        <x:v>Synthetic advertiser 9</x:v>
      </x:c>
      <x:c r="C917" s="1" t="n">
        <x:f>Source!C911</x:f>
        <x:v>9</x:v>
      </x:c>
      <x:c r="D917" s="8" t="n">
        <x:f>Source!D911/100</x:f>
        <x:v>193.58</x:v>
      </x:c>
      <x:c r="E917" s="8" t="n">
        <x:f>Source!E911/100</x:f>
        <x:v>0</x:v>
      </x:c>
      <x:c r="F917" s="8" t="n">
        <x:f>Source!F911/100</x:f>
        <x:v>0</x:v>
      </x:c>
      <x:c r="G917" s="8" t="n">
        <x:f>Source!G911/100</x:f>
        <x:v>0</x:v>
      </x:c>
      <x:c r="H917" s="8" t="n">
        <x:f>G917-D917</x:f>
        <x:v>-193.58</x:v>
      </x:c>
      <x:c r="I917" s="1" t="str">
        <x:f>IF(H917&gt;0,"Overbilled","Shortfall")</x:f>
        <x:v>Shortfall</x:v>
      </x:c>
      <x:c r="J917" s="7"/>
      <x:c r="K917" s="7" t="str">
        <x:v>Open</x:v>
      </x:c>
      <x:c r="L917" s="7"/>
    </x:row>
    <x:row r="918" ht="21" customHeight="1">
      <x:c r="A918" s="1" t="str">
        <x:f>Source!A912</x:f>
        <x:v>C0011425</x:v>
      </x:c>
      <x:c r="B918" s="1" t="str">
        <x:f>_xlfn.IFNA(VLOOKUP(Source!B912,Advertisers!$A$5:$B$34,2,FALSE),"Missing advertiser")</x:f>
        <x:v>Synthetic advertiser 11</x:v>
      </x:c>
      <x:c r="C918" s="1" t="n">
        <x:f>Source!C912</x:f>
        <x:v>11</x:v>
      </x:c>
      <x:c r="D918" s="8" t="n">
        <x:f>Source!D912/100</x:f>
        <x:v>193.41</x:v>
      </x:c>
      <x:c r="E918" s="8" t="n">
        <x:f>Source!E912/100</x:f>
        <x:v>386.82</x:v>
      </x:c>
      <x:c r="F918" s="8" t="n">
        <x:f>Source!F912/100</x:f>
        <x:v>0</x:v>
      </x:c>
      <x:c r="G918" s="8" t="n">
        <x:f>Source!G912/100</x:f>
        <x:v>386.82</x:v>
      </x:c>
      <x:c r="H918" s="8" t="n">
        <x:f>G918-D918</x:f>
        <x:v>193.41</x:v>
      </x:c>
      <x:c r="I918" s="1" t="str">
        <x:f>IF(H918&gt;0,"Overbilled","Shortfall")</x:f>
        <x:v>Overbilled</x:v>
      </x:c>
      <x:c r="J918" s="7"/>
      <x:c r="K918" s="7" t="str">
        <x:v>Open</x:v>
      </x:c>
      <x:c r="L918" s="7"/>
    </x:row>
    <x:row r="919" ht="21" customHeight="1">
      <x:c r="A919" s="1" t="str">
        <x:f>Source!A913</x:f>
        <x:v>C0007855</x:v>
      </x:c>
      <x:c r="B919" s="1" t="str">
        <x:f>_xlfn.IFNA(VLOOKUP(Source!B913,Advertisers!$A$5:$B$34,2,FALSE),"Missing advertiser")</x:f>
        <x:v>Synthetic advertiser 11</x:v>
      </x:c>
      <x:c r="C919" s="1" t="n">
        <x:f>Source!C913</x:f>
        <x:v>11</x:v>
      </x:c>
      <x:c r="D919" s="8" t="n">
        <x:f>Source!D913/100</x:f>
        <x:v>193.41</x:v>
      </x:c>
      <x:c r="E919" s="8" t="n">
        <x:f>Source!E913/100</x:f>
        <x:v>386.82</x:v>
      </x:c>
      <x:c r="F919" s="8" t="n">
        <x:f>Source!F913/100</x:f>
        <x:v>0</x:v>
      </x:c>
      <x:c r="G919" s="8" t="n">
        <x:f>Source!G913/100</x:f>
        <x:v>386.82</x:v>
      </x:c>
      <x:c r="H919" s="8" t="n">
        <x:f>G919-D919</x:f>
        <x:v>193.41</x:v>
      </x:c>
      <x:c r="I919" s="1" t="str">
        <x:f>IF(H919&gt;0,"Overbilled","Shortfall")</x:f>
        <x:v>Overbilled</x:v>
      </x:c>
      <x:c r="J919" s="7"/>
      <x:c r="K919" s="7" t="str">
        <x:v>Open</x:v>
      </x:c>
      <x:c r="L919" s="7"/>
    </x:row>
    <x:row r="920" ht="21" customHeight="1">
      <x:c r="A920" s="1" t="str">
        <x:f>Source!A914</x:f>
        <x:v>C0002755</x:v>
      </x:c>
      <x:c r="B920" s="1" t="str">
        <x:f>_xlfn.IFNA(VLOOKUP(Source!B914,Advertisers!$A$5:$B$34,2,FALSE),"Missing advertiser")</x:f>
        <x:v>Synthetic advertiser 11</x:v>
      </x:c>
      <x:c r="C920" s="1" t="n">
        <x:f>Source!C914</x:f>
        <x:v>71</x:v>
      </x:c>
      <x:c r="D920" s="8" t="n">
        <x:f>Source!D914/100</x:f>
        <x:v>192.7</x:v>
      </x:c>
      <x:c r="E920" s="8" t="n">
        <x:f>Source!E914/100</x:f>
        <x:v>385.4</x:v>
      </x:c>
      <x:c r="F920" s="8" t="n">
        <x:f>Source!F914/100</x:f>
        <x:v>0</x:v>
      </x:c>
      <x:c r="G920" s="8" t="n">
        <x:f>Source!G914/100</x:f>
        <x:v>385.4</x:v>
      </x:c>
      <x:c r="H920" s="8" t="n">
        <x:f>G920-D920</x:f>
        <x:v>192.7</x:v>
      </x:c>
      <x:c r="I920" s="1" t="str">
        <x:f>IF(H920&gt;0,"Overbilled","Shortfall")</x:f>
        <x:v>Overbilled</x:v>
      </x:c>
      <x:c r="J920" s="7"/>
      <x:c r="K920" s="7" t="str">
        <x:v>Open</x:v>
      </x:c>
      <x:c r="L920" s="7"/>
    </x:row>
    <x:row r="921" ht="21" customHeight="1">
      <x:c r="A921" s="1" t="str">
        <x:f>Source!A915</x:f>
        <x:v>C0015915</x:v>
      </x:c>
      <x:c r="B921" s="1" t="str">
        <x:f>_xlfn.IFNA(VLOOKUP(Source!B915,Advertisers!$A$5:$B$34,2,FALSE),"Missing advertiser")</x:f>
        <x:v>Synthetic advertiser 11</x:v>
      </x:c>
      <x:c r="C921" s="1" t="n">
        <x:f>Source!C915</x:f>
        <x:v>71</x:v>
      </x:c>
      <x:c r="D921" s="8" t="n">
        <x:f>Source!D915/100</x:f>
        <x:v>192.7</x:v>
      </x:c>
      <x:c r="E921" s="8" t="n">
        <x:f>Source!E915/100</x:f>
        <x:v>0</x:v>
      </x:c>
      <x:c r="F921" s="8" t="n">
        <x:f>Source!F915/100</x:f>
        <x:v>0</x:v>
      </x:c>
      <x:c r="G921" s="8" t="n">
        <x:f>Source!G915/100</x:f>
        <x:v>0</x:v>
      </x:c>
      <x:c r="H921" s="8" t="n">
        <x:f>G921-D921</x:f>
        <x:v>-192.7</x:v>
      </x:c>
      <x:c r="I921" s="1" t="str">
        <x:f>IF(H921&gt;0,"Overbilled","Shortfall")</x:f>
        <x:v>Shortfall</x:v>
      </x:c>
      <x:c r="J921" s="7"/>
      <x:c r="K921" s="7" t="str">
        <x:v>Open</x:v>
      </x:c>
      <x:c r="L921" s="7"/>
    </x:row>
    <x:row r="922" ht="21" customHeight="1">
      <x:c r="A922" s="1" t="str">
        <x:f>Source!A916</x:f>
        <x:v>C0008068</x:v>
      </x:c>
      <x:c r="B922" s="1" t="str">
        <x:f>_xlfn.IFNA(VLOOKUP(Source!B916,Advertisers!$A$5:$B$34,2,FALSE),"Missing advertiser")</x:f>
        <x:v>Synthetic advertiser 11</x:v>
      </x:c>
      <x:c r="C922" s="1" t="n">
        <x:f>Source!C916</x:f>
        <x:v>71</x:v>
      </x:c>
      <x:c r="D922" s="8" t="n">
        <x:f>Source!D916/100</x:f>
        <x:v>192.7</x:v>
      </x:c>
      <x:c r="E922" s="8" t="n">
        <x:f>Source!E916/100</x:f>
        <x:v>0</x:v>
      </x:c>
      <x:c r="F922" s="8" t="n">
        <x:f>Source!F916/100</x:f>
        <x:v>0</x:v>
      </x:c>
      <x:c r="G922" s="8" t="n">
        <x:f>Source!G916/100</x:f>
        <x:v>0</x:v>
      </x:c>
      <x:c r="H922" s="8" t="n">
        <x:f>G922-D922</x:f>
        <x:v>-192.7</x:v>
      </x:c>
      <x:c r="I922" s="1" t="str">
        <x:f>IF(H922&gt;0,"Overbilled","Shortfall")</x:f>
        <x:v>Shortfall</x:v>
      </x:c>
      <x:c r="J922" s="7"/>
      <x:c r="K922" s="7" t="str">
        <x:v>Open</x:v>
      </x:c>
      <x:c r="L922" s="7"/>
    </x:row>
    <x:row r="923" ht="21" customHeight="1">
      <x:c r="A923" s="1" t="str">
        <x:f>Source!A917</x:f>
        <x:v>C0009715</x:v>
      </x:c>
      <x:c r="B923" s="1" t="str">
        <x:f>_xlfn.IFNA(VLOOKUP(Source!B917,Advertisers!$A$5:$B$34,2,FALSE),"Missing advertiser")</x:f>
        <x:v>Synthetic advertiser 11</x:v>
      </x:c>
      <x:c r="C923" s="1" t="n">
        <x:f>Source!C917</x:f>
        <x:v>71</x:v>
      </x:c>
      <x:c r="D923" s="8" t="n">
        <x:f>Source!D917/100</x:f>
        <x:v>192.7</x:v>
      </x:c>
      <x:c r="E923" s="8" t="n">
        <x:f>Source!E917/100</x:f>
        <x:v>0</x:v>
      </x:c>
      <x:c r="F923" s="8" t="n">
        <x:f>Source!F917/100</x:f>
        <x:v>0</x:v>
      </x:c>
      <x:c r="G923" s="8" t="n">
        <x:f>Source!G917/100</x:f>
        <x:v>0</x:v>
      </x:c>
      <x:c r="H923" s="8" t="n">
        <x:f>G923-D923</x:f>
        <x:v>-192.7</x:v>
      </x:c>
      <x:c r="I923" s="1" t="str">
        <x:f>IF(H923&gt;0,"Overbilled","Shortfall")</x:f>
        <x:v>Shortfall</x:v>
      </x:c>
      <x:c r="J923" s="7"/>
      <x:c r="K923" s="7" t="str">
        <x:v>Open</x:v>
      </x:c>
      <x:c r="L923" s="7"/>
    </x:row>
    <x:row r="924" ht="21" customHeight="1">
      <x:c r="A924" s="1" t="str">
        <x:f>Source!A918</x:f>
        <x:v>C0014114</x:v>
      </x:c>
      <x:c r="B924" s="1" t="str">
        <x:f>_xlfn.IFNA(VLOOKUP(Source!B918,Advertisers!$A$5:$B$34,2,FALSE),"Missing advertiser")</x:f>
        <x:v>Synthetic advertiser 11</x:v>
      </x:c>
      <x:c r="C924" s="1" t="n">
        <x:f>Source!C918</x:f>
        <x:v>71</x:v>
      </x:c>
      <x:c r="D924" s="8" t="n">
        <x:f>Source!D918/100</x:f>
        <x:v>0</x:v>
      </x:c>
      <x:c r="E924" s="8" t="n">
        <x:f>Source!E918/100</x:f>
        <x:v>192.7</x:v>
      </x:c>
      <x:c r="F924" s="8" t="n">
        <x:f>Source!F918/100</x:f>
        <x:v>0</x:v>
      </x:c>
      <x:c r="G924" s="8" t="n">
        <x:f>Source!G918/100</x:f>
        <x:v>192.7</x:v>
      </x:c>
      <x:c r="H924" s="8" t="n">
        <x:f>G924-D924</x:f>
        <x:v>192.7</x:v>
      </x:c>
      <x:c r="I924" s="1" t="str">
        <x:f>IF(H924&gt;0,"Overbilled","Shortfall")</x:f>
        <x:v>Overbilled</x:v>
      </x:c>
      <x:c r="J924" s="7"/>
      <x:c r="K924" s="7" t="str">
        <x:v>Open</x:v>
      </x:c>
      <x:c r="L924" s="7"/>
    </x:row>
    <x:row r="925" ht="21" customHeight="1">
      <x:c r="A925" s="1" t="str">
        <x:f>Source!A919</x:f>
        <x:v>C0015155</x:v>
      </x:c>
      <x:c r="B925" s="1" t="str">
        <x:f>_xlfn.IFNA(VLOOKUP(Source!B919,Advertisers!$A$5:$B$34,2,FALSE),"Missing advertiser")</x:f>
        <x:v>Synthetic advertiser 22</x:v>
      </x:c>
      <x:c r="C925" s="1" t="n">
        <x:f>Source!C919</x:f>
        <x:v>112</x:v>
      </x:c>
      <x:c r="D925" s="8" t="n">
        <x:f>Source!D919/100</x:f>
        <x:v>192.05</x:v>
      </x:c>
      <x:c r="E925" s="8" t="n">
        <x:f>Source!E919/100</x:f>
        <x:v>384.1</x:v>
      </x:c>
      <x:c r="F925" s="8" t="n">
        <x:f>Source!F919/100</x:f>
        <x:v>0</x:v>
      </x:c>
      <x:c r="G925" s="8" t="n">
        <x:f>Source!G919/100</x:f>
        <x:v>384.1</x:v>
      </x:c>
      <x:c r="H925" s="8" t="n">
        <x:f>G925-D925</x:f>
        <x:v>192.05</x:v>
      </x:c>
      <x:c r="I925" s="1" t="str">
        <x:f>IF(H925&gt;0,"Overbilled","Shortfall")</x:f>
        <x:v>Overbilled</x:v>
      </x:c>
      <x:c r="J925" s="7"/>
      <x:c r="K925" s="7" t="str">
        <x:v>Open</x:v>
      </x:c>
      <x:c r="L925" s="7"/>
    </x:row>
    <x:row r="926" ht="21" customHeight="1">
      <x:c r="A926" s="1" t="str">
        <x:f>Source!A920</x:f>
        <x:v>C0016865</x:v>
      </x:c>
      <x:c r="B926" s="1" t="str">
        <x:f>_xlfn.IFNA(VLOOKUP(Source!B920,Advertisers!$A$5:$B$34,2,FALSE),"Missing advertiser")</x:f>
        <x:v>Synthetic advertiser 22</x:v>
      </x:c>
      <x:c r="C926" s="1" t="n">
        <x:f>Source!C920</x:f>
        <x:v>112</x:v>
      </x:c>
      <x:c r="D926" s="8" t="n">
        <x:f>Source!D920/100</x:f>
        <x:v>192.05</x:v>
      </x:c>
      <x:c r="E926" s="8" t="n">
        <x:f>Source!E920/100</x:f>
        <x:v>384.1</x:v>
      </x:c>
      <x:c r="F926" s="8" t="n">
        <x:f>Source!F920/100</x:f>
        <x:v>0</x:v>
      </x:c>
      <x:c r="G926" s="8" t="n">
        <x:f>Source!G920/100</x:f>
        <x:v>384.1</x:v>
      </x:c>
      <x:c r="H926" s="8" t="n">
        <x:f>G926-D926</x:f>
        <x:v>192.05</x:v>
      </x:c>
      <x:c r="I926" s="1" t="str">
        <x:f>IF(H926&gt;0,"Overbilled","Shortfall")</x:f>
        <x:v>Overbilled</x:v>
      </x:c>
      <x:c r="J926" s="7"/>
      <x:c r="K926" s="7" t="str">
        <x:v>Open</x:v>
      </x:c>
      <x:c r="L926" s="7"/>
    </x:row>
    <x:row r="927" ht="21" customHeight="1">
      <x:c r="A927" s="1" t="str">
        <x:f>Source!A921</x:f>
        <x:v>C0012400</x:v>
      </x:c>
      <x:c r="B927" s="1" t="str">
        <x:f>_xlfn.IFNA(VLOOKUP(Source!B921,Advertisers!$A$5:$B$34,2,FALSE),"Missing advertiser")</x:f>
        <x:v>Synthetic advertiser 22</x:v>
      </x:c>
      <x:c r="C927" s="1" t="n">
        <x:f>Source!C921</x:f>
        <x:v>112</x:v>
      </x:c>
      <x:c r="D927" s="8" t="n">
        <x:f>Source!D921/100</x:f>
        <x:v>0</x:v>
      </x:c>
      <x:c r="E927" s="8" t="n">
        <x:f>Source!E921/100</x:f>
        <x:v>192.05</x:v>
      </x:c>
      <x:c r="F927" s="8" t="n">
        <x:f>Source!F921/100</x:f>
        <x:v>0</x:v>
      </x:c>
      <x:c r="G927" s="8" t="n">
        <x:f>Source!G921/100</x:f>
        <x:v>192.05</x:v>
      </x:c>
      <x:c r="H927" s="8" t="n">
        <x:f>G927-D927</x:f>
        <x:v>192.05</x:v>
      </x:c>
      <x:c r="I927" s="1" t="str">
        <x:f>IF(H927&gt;0,"Overbilled","Shortfall")</x:f>
        <x:v>Overbilled</x:v>
      </x:c>
      <x:c r="J927" s="7"/>
      <x:c r="K927" s="7" t="str">
        <x:v>Open</x:v>
      </x:c>
      <x:c r="L927" s="7"/>
    </x:row>
    <x:row r="928" ht="21" customHeight="1">
      <x:c r="A928" s="1" t="str">
        <x:f>Source!A922</x:f>
        <x:v>C0013060</x:v>
      </x:c>
      <x:c r="B928" s="1" t="str">
        <x:f>_xlfn.IFNA(VLOOKUP(Source!B922,Advertisers!$A$5:$B$34,2,FALSE),"Missing advertiser")</x:f>
        <x:v>Synthetic advertiser 22</x:v>
      </x:c>
      <x:c r="C928" s="1" t="n">
        <x:f>Source!C922</x:f>
        <x:v>112</x:v>
      </x:c>
      <x:c r="D928" s="8" t="n">
        <x:f>Source!D922/100</x:f>
        <x:v>192.05</x:v>
      </x:c>
      <x:c r="E928" s="8" t="n">
        <x:f>Source!E922/100</x:f>
        <x:v>384.1</x:v>
      </x:c>
      <x:c r="F928" s="8" t="n">
        <x:f>Source!F922/100</x:f>
        <x:v>0</x:v>
      </x:c>
      <x:c r="G928" s="8" t="n">
        <x:f>Source!G922/100</x:f>
        <x:v>384.1</x:v>
      </x:c>
      <x:c r="H928" s="8" t="n">
        <x:f>G928-D928</x:f>
        <x:v>192.05</x:v>
      </x:c>
      <x:c r="I928" s="1" t="str">
        <x:f>IF(H928&gt;0,"Overbilled","Shortfall")</x:f>
        <x:v>Overbilled</x:v>
      </x:c>
      <x:c r="J928" s="7"/>
      <x:c r="K928" s="7" t="str">
        <x:v>Open</x:v>
      </x:c>
      <x:c r="L928" s="7"/>
    </x:row>
    <x:row r="929" ht="21" customHeight="1">
      <x:c r="A929" s="1" t="str">
        <x:f>Source!A923</x:f>
        <x:v>C0011427</x:v>
      </x:c>
      <x:c r="B929" s="1" t="str">
        <x:f>_xlfn.IFNA(VLOOKUP(Source!B923,Advertisers!$A$5:$B$34,2,FALSE),"Missing advertiser")</x:f>
        <x:v>Synthetic advertiser 22</x:v>
      </x:c>
      <x:c r="C929" s="1" t="n">
        <x:f>Source!C923</x:f>
        <x:v>112</x:v>
      </x:c>
      <x:c r="D929" s="8" t="n">
        <x:f>Source!D923/100</x:f>
        <x:v>192.05</x:v>
      </x:c>
      <x:c r="E929" s="8" t="n">
        <x:f>Source!E923/100</x:f>
        <x:v>0</x:v>
      </x:c>
      <x:c r="F929" s="8" t="n">
        <x:f>Source!F923/100</x:f>
        <x:v>0</x:v>
      </x:c>
      <x:c r="G929" s="8" t="n">
        <x:f>Source!G923/100</x:f>
        <x:v>0</x:v>
      </x:c>
      <x:c r="H929" s="8" t="n">
        <x:f>G929-D929</x:f>
        <x:v>-192.05</x:v>
      </x:c>
      <x:c r="I929" s="1" t="str">
        <x:f>IF(H929&gt;0,"Overbilled","Shortfall")</x:f>
        <x:v>Shortfall</x:v>
      </x:c>
      <x:c r="J929" s="7"/>
      <x:c r="K929" s="7" t="str">
        <x:v>Open</x:v>
      </x:c>
      <x:c r="L929" s="7"/>
    </x:row>
    <x:row r="930" ht="21" customHeight="1">
      <x:c r="A930" s="1" t="str">
        <x:f>Source!A924</x:f>
        <x:v>C0013313</x:v>
      </x:c>
      <x:c r="B930" s="1" t="str">
        <x:f>_xlfn.IFNA(VLOOKUP(Source!B924,Advertisers!$A$5:$B$34,2,FALSE),"Missing advertiser")</x:f>
        <x:v>Synthetic advertiser 22</x:v>
      </x:c>
      <x:c r="C930" s="1" t="n">
        <x:f>Source!C924</x:f>
        <x:v>112</x:v>
      </x:c>
      <x:c r="D930" s="8" t="n">
        <x:f>Source!D924/100</x:f>
        <x:v>192.05</x:v>
      </x:c>
      <x:c r="E930" s="8" t="n">
        <x:f>Source!E924/100</x:f>
        <x:v>0</x:v>
      </x:c>
      <x:c r="F930" s="8" t="n">
        <x:f>Source!F924/100</x:f>
        <x:v>0</x:v>
      </x:c>
      <x:c r="G930" s="8" t="n">
        <x:f>Source!G924/100</x:f>
        <x:v>0</x:v>
      </x:c>
      <x:c r="H930" s="8" t="n">
        <x:f>G930-D930</x:f>
        <x:v>-192.05</x:v>
      </x:c>
      <x:c r="I930" s="1" t="str">
        <x:f>IF(H930&gt;0,"Overbilled","Shortfall")</x:f>
        <x:v>Shortfall</x:v>
      </x:c>
      <x:c r="J930" s="7"/>
      <x:c r="K930" s="7" t="str">
        <x:v>Open</x:v>
      </x:c>
      <x:c r="L930" s="7"/>
    </x:row>
    <x:row r="931" ht="21" customHeight="1">
      <x:c r="A931" s="1" t="str">
        <x:f>Source!A925</x:f>
        <x:v>C0005858</x:v>
      </x:c>
      <x:c r="B931" s="1" t="str">
        <x:f>_xlfn.IFNA(VLOOKUP(Source!B925,Advertisers!$A$5:$B$34,2,FALSE),"Missing advertiser")</x:f>
        <x:v>Synthetic advertiser 20</x:v>
      </x:c>
      <x:c r="C931" s="1" t="n">
        <x:f>Source!C925</x:f>
        <x:v>80</x:v>
      </x:c>
      <x:c r="D931" s="8" t="n">
        <x:f>Source!D925/100</x:f>
        <x:v>187.8</x:v>
      </x:c>
      <x:c r="E931" s="8" t="n">
        <x:f>Source!E925/100</x:f>
        <x:v>0</x:v>
      </x:c>
      <x:c r="F931" s="8" t="n">
        <x:f>Source!F925/100</x:f>
        <x:v>0</x:v>
      </x:c>
      <x:c r="G931" s="8" t="n">
        <x:f>Source!G925/100</x:f>
        <x:v>0</x:v>
      </x:c>
      <x:c r="H931" s="8" t="n">
        <x:f>G931-D931</x:f>
        <x:v>-187.8</x:v>
      </x:c>
      <x:c r="I931" s="1" t="str">
        <x:f>IF(H931&gt;0,"Overbilled","Shortfall")</x:f>
        <x:v>Shortfall</x:v>
      </x:c>
      <x:c r="J931" s="7"/>
      <x:c r="K931" s="7" t="str">
        <x:v>Open</x:v>
      </x:c>
      <x:c r="L931" s="7"/>
    </x:row>
    <x:row r="932" ht="21" customHeight="1">
      <x:c r="A932" s="1" t="str">
        <x:f>Source!A926</x:f>
        <x:v>C0000562</x:v>
      </x:c>
      <x:c r="B932" s="1" t="str">
        <x:f>_xlfn.IFNA(VLOOKUP(Source!B926,Advertisers!$A$5:$B$34,2,FALSE),"Missing advertiser")</x:f>
        <x:v>Synthetic advertiser 20</x:v>
      </x:c>
      <x:c r="C932" s="1" t="n">
        <x:f>Source!C926</x:f>
        <x:v>80</x:v>
      </x:c>
      <x:c r="D932" s="8" t="n">
        <x:f>Source!D926/100</x:f>
        <x:v>187.8</x:v>
      </x:c>
      <x:c r="E932" s="8" t="n">
        <x:f>Source!E926/100</x:f>
        <x:v>0</x:v>
      </x:c>
      <x:c r="F932" s="8" t="n">
        <x:f>Source!F926/100</x:f>
        <x:v>0</x:v>
      </x:c>
      <x:c r="G932" s="8" t="n">
        <x:f>Source!G926/100</x:f>
        <x:v>0</x:v>
      </x:c>
      <x:c r="H932" s="8" t="n">
        <x:f>G932-D932</x:f>
        <x:v>-187.8</x:v>
      </x:c>
      <x:c r="I932" s="1" t="str">
        <x:f>IF(H932&gt;0,"Overbilled","Shortfall")</x:f>
        <x:v>Shortfall</x:v>
      </x:c>
      <x:c r="J932" s="7"/>
      <x:c r="K932" s="7" t="str">
        <x:v>Open</x:v>
      </x:c>
      <x:c r="L932" s="7"/>
    </x:row>
    <x:row r="933" ht="21" customHeight="1">
      <x:c r="A933" s="1" t="str">
        <x:f>Source!A927</x:f>
        <x:v>C0017124</x:v>
      </x:c>
      <x:c r="B933" s="1" t="str">
        <x:f>_xlfn.IFNA(VLOOKUP(Source!B927,Advertisers!$A$5:$B$34,2,FALSE),"Missing advertiser")</x:f>
        <x:v>Synthetic advertiser 20</x:v>
      </x:c>
      <x:c r="C933" s="1" t="n">
        <x:f>Source!C927</x:f>
        <x:v>80</x:v>
      </x:c>
      <x:c r="D933" s="8" t="n">
        <x:f>Source!D927/100</x:f>
        <x:v>187.8</x:v>
      </x:c>
      <x:c r="E933" s="8" t="n">
        <x:f>Source!E927/100</x:f>
        <x:v>375.6</x:v>
      </x:c>
      <x:c r="F933" s="8" t="n">
        <x:f>Source!F927/100</x:f>
        <x:v>0</x:v>
      </x:c>
      <x:c r="G933" s="8" t="n">
        <x:f>Source!G927/100</x:f>
        <x:v>375.6</x:v>
      </x:c>
      <x:c r="H933" s="8" t="n">
        <x:f>G933-D933</x:f>
        <x:v>187.8</x:v>
      </x:c>
      <x:c r="I933" s="1" t="str">
        <x:f>IF(H933&gt;0,"Overbilled","Shortfall")</x:f>
        <x:v>Overbilled</x:v>
      </x:c>
      <x:c r="J933" s="7"/>
      <x:c r="K933" s="7" t="str">
        <x:v>Open</x:v>
      </x:c>
      <x:c r="L933" s="7"/>
    </x:row>
    <x:row r="934" ht="21" customHeight="1">
      <x:c r="A934" s="1" t="str">
        <x:f>Source!A928</x:f>
        <x:v>C0002249</x:v>
      </x:c>
      <x:c r="B934" s="1" t="str">
        <x:f>_xlfn.IFNA(VLOOKUP(Source!B928,Advertisers!$A$5:$B$34,2,FALSE),"Missing advertiser")</x:f>
        <x:v>Synthetic advertiser 20</x:v>
      </x:c>
      <x:c r="C934" s="1" t="n">
        <x:f>Source!C928</x:f>
        <x:v>80</x:v>
      </x:c>
      <x:c r="D934" s="8" t="n">
        <x:f>Source!D928/100</x:f>
        <x:v>187.8</x:v>
      </x:c>
      <x:c r="E934" s="8" t="n">
        <x:f>Source!E928/100</x:f>
        <x:v>375.6</x:v>
      </x:c>
      <x:c r="F934" s="8" t="n">
        <x:f>Source!F928/100</x:f>
        <x:v>0</x:v>
      </x:c>
      <x:c r="G934" s="8" t="n">
        <x:f>Source!G928/100</x:f>
        <x:v>375.6</x:v>
      </x:c>
      <x:c r="H934" s="8" t="n">
        <x:f>G934-D934</x:f>
        <x:v>187.8</x:v>
      </x:c>
      <x:c r="I934" s="1" t="str">
        <x:f>IF(H934&gt;0,"Overbilled","Shortfall")</x:f>
        <x:v>Overbilled</x:v>
      </x:c>
      <x:c r="J934" s="7"/>
      <x:c r="K934" s="7" t="str">
        <x:v>Open</x:v>
      </x:c>
      <x:c r="L934" s="7"/>
    </x:row>
    <x:row r="935" ht="21" customHeight="1">
      <x:c r="A935" s="1" t="str">
        <x:f>Source!A929</x:f>
        <x:v>C0010661</x:v>
      </x:c>
      <x:c r="B935" s="1" t="str">
        <x:f>_xlfn.IFNA(VLOOKUP(Source!B929,Advertisers!$A$5:$B$34,2,FALSE),"Missing advertiser")</x:f>
        <x:v>Synthetic advertiser 20</x:v>
      </x:c>
      <x:c r="C935" s="1" t="n">
        <x:f>Source!C929</x:f>
        <x:v>80</x:v>
      </x:c>
      <x:c r="D935" s="8" t="n">
        <x:f>Source!D929/100</x:f>
        <x:v>187.8</x:v>
      </x:c>
      <x:c r="E935" s="8" t="n">
        <x:f>Source!E929/100</x:f>
        <x:v>375.6</x:v>
      </x:c>
      <x:c r="F935" s="8" t="n">
        <x:f>Source!F929/100</x:f>
        <x:v>0</x:v>
      </x:c>
      <x:c r="G935" s="8" t="n">
        <x:f>Source!G929/100</x:f>
        <x:v>375.6</x:v>
      </x:c>
      <x:c r="H935" s="8" t="n">
        <x:f>G935-D935</x:f>
        <x:v>187.8</x:v>
      </x:c>
      <x:c r="I935" s="1" t="str">
        <x:f>IF(H935&gt;0,"Overbilled","Shortfall")</x:f>
        <x:v>Overbilled</x:v>
      </x:c>
      <x:c r="J935" s="7"/>
      <x:c r="K935" s="7" t="str">
        <x:v>Open</x:v>
      </x:c>
      <x:c r="L935" s="7"/>
    </x:row>
    <x:row r="936" ht="21" customHeight="1">
      <x:c r="A936" s="1" t="str">
        <x:f>Source!A930</x:f>
        <x:v>C0013697</x:v>
      </x:c>
      <x:c r="B936" s="1" t="str">
        <x:f>_xlfn.IFNA(VLOOKUP(Source!B930,Advertisers!$A$5:$B$34,2,FALSE),"Missing advertiser")</x:f>
        <x:v>Synthetic advertiser 20</x:v>
      </x:c>
      <x:c r="C936" s="1" t="n">
        <x:f>Source!C930</x:f>
        <x:v>80</x:v>
      </x:c>
      <x:c r="D936" s="8" t="n">
        <x:f>Source!D930/100</x:f>
        <x:v>187.8</x:v>
      </x:c>
      <x:c r="E936" s="8" t="n">
        <x:f>Source!E930/100</x:f>
        <x:v>375.6</x:v>
      </x:c>
      <x:c r="F936" s="8" t="n">
        <x:f>Source!F930/100</x:f>
        <x:v>0</x:v>
      </x:c>
      <x:c r="G936" s="8" t="n">
        <x:f>Source!G930/100</x:f>
        <x:v>375.6</x:v>
      </x:c>
      <x:c r="H936" s="8" t="n">
        <x:f>G936-D936</x:f>
        <x:v>187.8</x:v>
      </x:c>
      <x:c r="I936" s="1" t="str">
        <x:f>IF(H936&gt;0,"Overbilled","Shortfall")</x:f>
        <x:v>Overbilled</x:v>
      </x:c>
      <x:c r="J936" s="7"/>
      <x:c r="K936" s="7" t="str">
        <x:v>Open</x:v>
      </x:c>
      <x:c r="L936" s="7"/>
    </x:row>
    <x:row r="937" ht="21" customHeight="1">
      <x:c r="A937" s="1" t="str">
        <x:f>Source!A931</x:f>
        <x:v>C0007483</x:v>
      </x:c>
      <x:c r="B937" s="1" t="str">
        <x:f>_xlfn.IFNA(VLOOKUP(Source!B931,Advertisers!$A$5:$B$34,2,FALSE),"Missing advertiser")</x:f>
        <x:v>Synthetic advertiser 20</x:v>
      </x:c>
      <x:c r="C937" s="1" t="n">
        <x:f>Source!C931</x:f>
        <x:v>80</x:v>
      </x:c>
      <x:c r="D937" s="8" t="n">
        <x:f>Source!D931/100</x:f>
        <x:v>187.8</x:v>
      </x:c>
      <x:c r="E937" s="8" t="n">
        <x:f>Source!E931/100</x:f>
        <x:v>375.6</x:v>
      </x:c>
      <x:c r="F937" s="8" t="n">
        <x:f>Source!F931/100</x:f>
        <x:v>0</x:v>
      </x:c>
      <x:c r="G937" s="8" t="n">
        <x:f>Source!G931/100</x:f>
        <x:v>375.6</x:v>
      </x:c>
      <x:c r="H937" s="8" t="n">
        <x:f>G937-D937</x:f>
        <x:v>187.8</x:v>
      </x:c>
      <x:c r="I937" s="1" t="str">
        <x:f>IF(H937&gt;0,"Overbilled","Shortfall")</x:f>
        <x:v>Overbilled</x:v>
      </x:c>
      <x:c r="J937" s="7"/>
      <x:c r="K937" s="7" t="str">
        <x:v>Open</x:v>
      </x:c>
      <x:c r="L937" s="7"/>
    </x:row>
    <x:row r="938" ht="21" customHeight="1">
      <x:c r="A938" s="1" t="str">
        <x:f>Source!A932</x:f>
        <x:v>C0015530</x:v>
      </x:c>
      <x:c r="B938" s="1" t="str">
        <x:f>_xlfn.IFNA(VLOOKUP(Source!B932,Advertisers!$A$5:$B$34,2,FALSE),"Missing advertiser")</x:f>
        <x:v>Synthetic advertiser 20</x:v>
      </x:c>
      <x:c r="C938" s="1" t="n">
        <x:f>Source!C932</x:f>
        <x:v>80</x:v>
      </x:c>
      <x:c r="D938" s="8" t="n">
        <x:f>Source!D932/100</x:f>
        <x:v>187.8</x:v>
      </x:c>
      <x:c r="E938" s="8" t="n">
        <x:f>Source!E932/100</x:f>
        <x:v>375.6</x:v>
      </x:c>
      <x:c r="F938" s="8" t="n">
        <x:f>Source!F932/100</x:f>
        <x:v>0</x:v>
      </x:c>
      <x:c r="G938" s="8" t="n">
        <x:f>Source!G932/100</x:f>
        <x:v>375.6</x:v>
      </x:c>
      <x:c r="H938" s="8" t="n">
        <x:f>G938-D938</x:f>
        <x:v>187.8</x:v>
      </x:c>
      <x:c r="I938" s="1" t="str">
        <x:f>IF(H938&gt;0,"Overbilled","Shortfall")</x:f>
        <x:v>Overbilled</x:v>
      </x:c>
      <x:c r="J938" s="7"/>
      <x:c r="K938" s="7" t="str">
        <x:v>Open</x:v>
      </x:c>
      <x:c r="L938" s="7"/>
    </x:row>
    <x:row r="939" ht="21" customHeight="1">
      <x:c r="A939" s="1" t="str">
        <x:f>Source!A933</x:f>
        <x:v>C0016864</x:v>
      </x:c>
      <x:c r="B939" s="1" t="str">
        <x:f>_xlfn.IFNA(VLOOKUP(Source!B933,Advertisers!$A$5:$B$34,2,FALSE),"Missing advertiser")</x:f>
        <x:v>Synthetic advertiser 1</x:v>
      </x:c>
      <x:c r="C939" s="1" t="n">
        <x:f>Source!C933</x:f>
        <x:v>91</x:v>
      </x:c>
      <x:c r="D939" s="8" t="n">
        <x:f>Source!D933/100</x:f>
        <x:v>187.5</x:v>
      </x:c>
      <x:c r="E939" s="8" t="n">
        <x:f>Source!E933/100</x:f>
        <x:v>0</x:v>
      </x:c>
      <x:c r="F939" s="8" t="n">
        <x:f>Source!F933/100</x:f>
        <x:v>0</x:v>
      </x:c>
      <x:c r="G939" s="8" t="n">
        <x:f>Source!G933/100</x:f>
        <x:v>0</x:v>
      </x:c>
      <x:c r="H939" s="8" t="n">
        <x:f>G939-D939</x:f>
        <x:v>-187.5</x:v>
      </x:c>
      <x:c r="I939" s="1" t="str">
        <x:f>IF(H939&gt;0,"Overbilled","Shortfall")</x:f>
        <x:v>Shortfall</x:v>
      </x:c>
      <x:c r="J939" s="7"/>
      <x:c r="K939" s="7" t="str">
        <x:v>Open</x:v>
      </x:c>
      <x:c r="L939" s="7"/>
    </x:row>
    <x:row r="940" ht="21" customHeight="1">
      <x:c r="A940" s="1" t="str">
        <x:f>Source!A934</x:f>
        <x:v>C0008872</x:v>
      </x:c>
      <x:c r="B940" s="1" t="str">
        <x:f>_xlfn.IFNA(VLOOKUP(Source!B934,Advertisers!$A$5:$B$34,2,FALSE),"Missing advertiser")</x:f>
        <x:v>Synthetic advertiser 1</x:v>
      </x:c>
      <x:c r="C940" s="1" t="n">
        <x:f>Source!C934</x:f>
        <x:v>91</x:v>
      </x:c>
      <x:c r="D940" s="8" t="n">
        <x:f>Source!D934/100</x:f>
        <x:v>187.5</x:v>
      </x:c>
      <x:c r="E940" s="8" t="n">
        <x:f>Source!E934/100</x:f>
        <x:v>375</x:v>
      </x:c>
      <x:c r="F940" s="8" t="n">
        <x:f>Source!F934/100</x:f>
        <x:v>0</x:v>
      </x:c>
      <x:c r="G940" s="8" t="n">
        <x:f>Source!G934/100</x:f>
        <x:v>375</x:v>
      </x:c>
      <x:c r="H940" s="8" t="n">
        <x:f>G940-D940</x:f>
        <x:v>187.5</x:v>
      </x:c>
      <x:c r="I940" s="1" t="str">
        <x:f>IF(H940&gt;0,"Overbilled","Shortfall")</x:f>
        <x:v>Overbilled</x:v>
      </x:c>
      <x:c r="J940" s="7"/>
      <x:c r="K940" s="7" t="str">
        <x:v>Open</x:v>
      </x:c>
      <x:c r="L940" s="7"/>
    </x:row>
    <x:row r="941" ht="21" customHeight="1">
      <x:c r="A941" s="1" t="str">
        <x:f>Source!A935</x:f>
        <x:v>C0007338</x:v>
      </x:c>
      <x:c r="B941" s="1" t="str">
        <x:f>_xlfn.IFNA(VLOOKUP(Source!B935,Advertisers!$A$5:$B$34,2,FALSE),"Missing advertiser")</x:f>
        <x:v>Synthetic advertiser 1</x:v>
      </x:c>
      <x:c r="C941" s="1" t="n">
        <x:f>Source!C935</x:f>
        <x:v>91</x:v>
      </x:c>
      <x:c r="D941" s="8" t="n">
        <x:f>Source!D935/100</x:f>
        <x:v>187.5</x:v>
      </x:c>
      <x:c r="E941" s="8" t="n">
        <x:f>Source!E935/100</x:f>
        <x:v>0</x:v>
      </x:c>
      <x:c r="F941" s="8" t="n">
        <x:f>Source!F935/100</x:f>
        <x:v>0</x:v>
      </x:c>
      <x:c r="G941" s="8" t="n">
        <x:f>Source!G935/100</x:f>
        <x:v>0</x:v>
      </x:c>
      <x:c r="H941" s="8" t="n">
        <x:f>G941-D941</x:f>
        <x:v>-187.5</x:v>
      </x:c>
      <x:c r="I941" s="1" t="str">
        <x:f>IF(H941&gt;0,"Overbilled","Shortfall")</x:f>
        <x:v>Shortfall</x:v>
      </x:c>
      <x:c r="J941" s="7"/>
      <x:c r="K941" s="7" t="str">
        <x:v>Open</x:v>
      </x:c>
      <x:c r="L941" s="7"/>
    </x:row>
    <x:row r="942" ht="21" customHeight="1">
      <x:c r="A942" s="1" t="str">
        <x:f>Source!A936</x:f>
        <x:v>C0017133</x:v>
      </x:c>
      <x:c r="B942" s="1" t="str">
        <x:f>_xlfn.IFNA(VLOOKUP(Source!B936,Advertisers!$A$5:$B$34,2,FALSE),"Missing advertiser")</x:f>
        <x:v>Synthetic advertiser 1</x:v>
      </x:c>
      <x:c r="C942" s="1" t="n">
        <x:f>Source!C936</x:f>
        <x:v>91</x:v>
      </x:c>
      <x:c r="D942" s="8" t="n">
        <x:f>Source!D936/100</x:f>
        <x:v>187.5</x:v>
      </x:c>
      <x:c r="E942" s="8" t="n">
        <x:f>Source!E936/100</x:f>
        <x:v>0</x:v>
      </x:c>
      <x:c r="F942" s="8" t="n">
        <x:f>Source!F936/100</x:f>
        <x:v>0</x:v>
      </x:c>
      <x:c r="G942" s="8" t="n">
        <x:f>Source!G936/100</x:f>
        <x:v>0</x:v>
      </x:c>
      <x:c r="H942" s="8" t="n">
        <x:f>G942-D942</x:f>
        <x:v>-187.5</x:v>
      </x:c>
      <x:c r="I942" s="1" t="str">
        <x:f>IF(H942&gt;0,"Overbilled","Shortfall")</x:f>
        <x:v>Shortfall</x:v>
      </x:c>
      <x:c r="J942" s="7"/>
      <x:c r="K942" s="7" t="str">
        <x:v>Open</x:v>
      </x:c>
      <x:c r="L942" s="7"/>
    </x:row>
    <x:row r="943" ht="21" customHeight="1">
      <x:c r="A943" s="1" t="str">
        <x:f>Source!A937</x:f>
        <x:v>C0003219</x:v>
      </x:c>
      <x:c r="B943" s="1" t="str">
        <x:f>_xlfn.IFNA(VLOOKUP(Source!B937,Advertisers!$A$5:$B$34,2,FALSE),"Missing advertiser")</x:f>
        <x:v>Synthetic advertiser 1</x:v>
      </x:c>
      <x:c r="C943" s="1" t="n">
        <x:f>Source!C937</x:f>
        <x:v>91</x:v>
      </x:c>
      <x:c r="D943" s="8" t="n">
        <x:f>Source!D937/100</x:f>
        <x:v>0</x:v>
      </x:c>
      <x:c r="E943" s="8" t="n">
        <x:f>Source!E937/100</x:f>
        <x:v>187.5</x:v>
      </x:c>
      <x:c r="F943" s="8" t="n">
        <x:f>Source!F937/100</x:f>
        <x:v>0</x:v>
      </x:c>
      <x:c r="G943" s="8" t="n">
        <x:f>Source!G937/100</x:f>
        <x:v>187.5</x:v>
      </x:c>
      <x:c r="H943" s="8" t="n">
        <x:f>G943-D943</x:f>
        <x:v>187.5</x:v>
      </x:c>
      <x:c r="I943" s="1" t="str">
        <x:f>IF(H943&gt;0,"Overbilled","Shortfall")</x:f>
        <x:v>Overbilled</x:v>
      </x:c>
      <x:c r="J943" s="7"/>
      <x:c r="K943" s="7" t="str">
        <x:v>Open</x:v>
      </x:c>
      <x:c r="L943" s="7"/>
    </x:row>
    <x:row r="944" ht="21" customHeight="1">
      <x:c r="A944" s="1" t="str">
        <x:f>Source!A938</x:f>
        <x:v>C0003427</x:v>
      </x:c>
      <x:c r="B944" s="1" t="str">
        <x:f>_xlfn.IFNA(VLOOKUP(Source!B938,Advertisers!$A$5:$B$34,2,FALSE),"Missing advertiser")</x:f>
        <x:v>Synthetic advertiser 1</x:v>
      </x:c>
      <x:c r="C944" s="1" t="n">
        <x:f>Source!C938</x:f>
        <x:v>91</x:v>
      </x:c>
      <x:c r="D944" s="8" t="n">
        <x:f>Source!D938/100</x:f>
        <x:v>187.5</x:v>
      </x:c>
      <x:c r="E944" s="8" t="n">
        <x:f>Source!E938/100</x:f>
        <x:v>0</x:v>
      </x:c>
      <x:c r="F944" s="8" t="n">
        <x:f>Source!F938/100</x:f>
        <x:v>0</x:v>
      </x:c>
      <x:c r="G944" s="8" t="n">
        <x:f>Source!G938/100</x:f>
        <x:v>0</x:v>
      </x:c>
      <x:c r="H944" s="8" t="n">
        <x:f>G944-D944</x:f>
        <x:v>-187.5</x:v>
      </x:c>
      <x:c r="I944" s="1" t="str">
        <x:f>IF(H944&gt;0,"Overbilled","Shortfall")</x:f>
        <x:v>Shortfall</x:v>
      </x:c>
      <x:c r="J944" s="7"/>
      <x:c r="K944" s="7" t="str">
        <x:v>Open</x:v>
      </x:c>
      <x:c r="L944" s="7"/>
    </x:row>
    <x:row r="945" ht="21" customHeight="1">
      <x:c r="A945" s="1" t="str">
        <x:f>Source!A939</x:f>
        <x:v>C0000742</x:v>
      </x:c>
      <x:c r="B945" s="1" t="str">
        <x:f>_xlfn.IFNA(VLOOKUP(Source!B939,Advertisers!$A$5:$B$34,2,FALSE),"Missing advertiser")</x:f>
        <x:v>Synthetic advertiser 1</x:v>
      </x:c>
      <x:c r="C945" s="1" t="n">
        <x:f>Source!C939</x:f>
        <x:v>91</x:v>
      </x:c>
      <x:c r="D945" s="8" t="n">
        <x:f>Source!D939/100</x:f>
        <x:v>187.5</x:v>
      </x:c>
      <x:c r="E945" s="8" t="n">
        <x:f>Source!E939/100</x:f>
        <x:v>375</x:v>
      </x:c>
      <x:c r="F945" s="8" t="n">
        <x:f>Source!F939/100</x:f>
        <x:v>0</x:v>
      </x:c>
      <x:c r="G945" s="8" t="n">
        <x:f>Source!G939/100</x:f>
        <x:v>375</x:v>
      </x:c>
      <x:c r="H945" s="8" t="n">
        <x:f>G945-D945</x:f>
        <x:v>187.5</x:v>
      </x:c>
      <x:c r="I945" s="1" t="str">
        <x:f>IF(H945&gt;0,"Overbilled","Shortfall")</x:f>
        <x:v>Overbilled</x:v>
      </x:c>
      <x:c r="J945" s="7"/>
      <x:c r="K945" s="7" t="str">
        <x:v>Open</x:v>
      </x:c>
      <x:c r="L945" s="7"/>
    </x:row>
    <x:row r="946" ht="21" customHeight="1">
      <x:c r="A946" s="1" t="str">
        <x:f>Source!A940</x:f>
        <x:v>C0013098</x:v>
      </x:c>
      <x:c r="B946" s="1" t="str">
        <x:f>_xlfn.IFNA(VLOOKUP(Source!B940,Advertisers!$A$5:$B$34,2,FALSE),"Missing advertiser")</x:f>
        <x:v>Synthetic advertiser 5</x:v>
      </x:c>
      <x:c r="C946" s="1" t="n">
        <x:f>Source!C940</x:f>
        <x:v>5</x:v>
      </x:c>
      <x:c r="D946" s="8" t="n">
        <x:f>Source!D940/100</x:f>
        <x:v>187.3</x:v>
      </x:c>
      <x:c r="E946" s="8" t="n">
        <x:f>Source!E940/100</x:f>
        <x:v>0</x:v>
      </x:c>
      <x:c r="F946" s="8" t="n">
        <x:f>Source!F940/100</x:f>
        <x:v>0</x:v>
      </x:c>
      <x:c r="G946" s="8" t="n">
        <x:f>Source!G940/100</x:f>
        <x:v>0</x:v>
      </x:c>
      <x:c r="H946" s="8" t="n">
        <x:f>G946-D946</x:f>
        <x:v>-187.3</x:v>
      </x:c>
      <x:c r="I946" s="1" t="str">
        <x:f>IF(H946&gt;0,"Overbilled","Shortfall")</x:f>
        <x:v>Shortfall</x:v>
      </x:c>
      <x:c r="J946" s="7"/>
      <x:c r="K946" s="7" t="str">
        <x:v>Open</x:v>
      </x:c>
      <x:c r="L946" s="7"/>
    </x:row>
    <x:row r="947" ht="21" customHeight="1">
      <x:c r="A947" s="1" t="str">
        <x:f>Source!A941</x:f>
        <x:v>C0013521</x:v>
      </x:c>
      <x:c r="B947" s="1" t="str">
        <x:f>_xlfn.IFNA(VLOOKUP(Source!B941,Advertisers!$A$5:$B$34,2,FALSE),"Missing advertiser")</x:f>
        <x:v>Synthetic advertiser 5</x:v>
      </x:c>
      <x:c r="C947" s="1" t="n">
        <x:f>Source!C941</x:f>
        <x:v>5</x:v>
      </x:c>
      <x:c r="D947" s="8" t="n">
        <x:f>Source!D941/100</x:f>
        <x:v>187.3</x:v>
      </x:c>
      <x:c r="E947" s="8" t="n">
        <x:f>Source!E941/100</x:f>
        <x:v>0</x:v>
      </x:c>
      <x:c r="F947" s="8" t="n">
        <x:f>Source!F941/100</x:f>
        <x:v>0</x:v>
      </x:c>
      <x:c r="G947" s="8" t="n">
        <x:f>Source!G941/100</x:f>
        <x:v>0</x:v>
      </x:c>
      <x:c r="H947" s="8" t="n">
        <x:f>G947-D947</x:f>
        <x:v>-187.3</x:v>
      </x:c>
      <x:c r="I947" s="1" t="str">
        <x:f>IF(H947&gt;0,"Overbilled","Shortfall")</x:f>
        <x:v>Shortfall</x:v>
      </x:c>
      <x:c r="J947" s="7"/>
      <x:c r="K947" s="7" t="str">
        <x:v>Open</x:v>
      </x:c>
      <x:c r="L947" s="7"/>
    </x:row>
    <x:row r="948" ht="21" customHeight="1">
      <x:c r="A948" s="1" t="str">
        <x:f>Source!A942</x:f>
        <x:v>C0004613</x:v>
      </x:c>
      <x:c r="B948" s="1" t="str">
        <x:f>_xlfn.IFNA(VLOOKUP(Source!B942,Advertisers!$A$5:$B$34,2,FALSE),"Missing advertiser")</x:f>
        <x:v>Synthetic advertiser 5</x:v>
      </x:c>
      <x:c r="C948" s="1" t="n">
        <x:f>Source!C942</x:f>
        <x:v>5</x:v>
      </x:c>
      <x:c r="D948" s="8" t="n">
        <x:f>Source!D942/100</x:f>
        <x:v>187.3</x:v>
      </x:c>
      <x:c r="E948" s="8" t="n">
        <x:f>Source!E942/100</x:f>
        <x:v>0</x:v>
      </x:c>
      <x:c r="F948" s="8" t="n">
        <x:f>Source!F942/100</x:f>
        <x:v>0</x:v>
      </x:c>
      <x:c r="G948" s="8" t="n">
        <x:f>Source!G942/100</x:f>
        <x:v>0</x:v>
      </x:c>
      <x:c r="H948" s="8" t="n">
        <x:f>G948-D948</x:f>
        <x:v>-187.3</x:v>
      </x:c>
      <x:c r="I948" s="1" t="str">
        <x:f>IF(H948&gt;0,"Overbilled","Shortfall")</x:f>
        <x:v>Shortfall</x:v>
      </x:c>
      <x:c r="J948" s="7"/>
      <x:c r="K948" s="7" t="str">
        <x:v>Open</x:v>
      </x:c>
      <x:c r="L948" s="7"/>
    </x:row>
    <x:row r="949" ht="21" customHeight="1">
      <x:c r="A949" s="1" t="str">
        <x:f>Source!A943</x:f>
        <x:v>C0008957</x:v>
      </x:c>
      <x:c r="B949" s="1" t="str">
        <x:f>_xlfn.IFNA(VLOOKUP(Source!B943,Advertisers!$A$5:$B$34,2,FALSE),"Missing advertiser")</x:f>
        <x:v>Synthetic advertiser 5</x:v>
      </x:c>
      <x:c r="C949" s="1" t="n">
        <x:f>Source!C943</x:f>
        <x:v>5</x:v>
      </x:c>
      <x:c r="D949" s="8" t="n">
        <x:f>Source!D943/100</x:f>
        <x:v>187.3</x:v>
      </x:c>
      <x:c r="E949" s="8" t="n">
        <x:f>Source!E943/100</x:f>
        <x:v>374.6</x:v>
      </x:c>
      <x:c r="F949" s="8" t="n">
        <x:f>Source!F943/100</x:f>
        <x:v>0</x:v>
      </x:c>
      <x:c r="G949" s="8" t="n">
        <x:f>Source!G943/100</x:f>
        <x:v>374.6</x:v>
      </x:c>
      <x:c r="H949" s="8" t="n">
        <x:f>G949-D949</x:f>
        <x:v>187.3</x:v>
      </x:c>
      <x:c r="I949" s="1" t="str">
        <x:f>IF(H949&gt;0,"Overbilled","Shortfall")</x:f>
        <x:v>Overbilled</x:v>
      </x:c>
      <x:c r="J949" s="7"/>
      <x:c r="K949" s="7" t="str">
        <x:v>Open</x:v>
      </x:c>
      <x:c r="L949" s="7"/>
    </x:row>
    <x:row r="950" ht="21" customHeight="1">
      <x:c r="A950" s="1" t="str">
        <x:f>Source!A944</x:f>
        <x:v>C0003823</x:v>
      </x:c>
      <x:c r="B950" s="1" t="str">
        <x:f>_xlfn.IFNA(VLOOKUP(Source!B944,Advertisers!$A$5:$B$34,2,FALSE),"Missing advertiser")</x:f>
        <x:v>Synthetic advertiser 5</x:v>
      </x:c>
      <x:c r="C950" s="1" t="n">
        <x:f>Source!C944</x:f>
        <x:v>5</x:v>
      </x:c>
      <x:c r="D950" s="8" t="n">
        <x:f>Source!D944/100</x:f>
        <x:v>187.3</x:v>
      </x:c>
      <x:c r="E950" s="8" t="n">
        <x:f>Source!E944/100</x:f>
        <x:v>374.6</x:v>
      </x:c>
      <x:c r="F950" s="8" t="n">
        <x:f>Source!F944/100</x:f>
        <x:v>0</x:v>
      </x:c>
      <x:c r="G950" s="8" t="n">
        <x:f>Source!G944/100</x:f>
        <x:v>374.6</x:v>
      </x:c>
      <x:c r="H950" s="8" t="n">
        <x:f>G950-D950</x:f>
        <x:v>187.3</x:v>
      </x:c>
      <x:c r="I950" s="1" t="str">
        <x:f>IF(H950&gt;0,"Overbilled","Shortfall")</x:f>
        <x:v>Overbilled</x:v>
      </x:c>
      <x:c r="J950" s="7"/>
      <x:c r="K950" s="7" t="str">
        <x:v>Open</x:v>
      </x:c>
      <x:c r="L950" s="7"/>
    </x:row>
    <x:row r="951" ht="21" customHeight="1">
      <x:c r="A951" s="1" t="str">
        <x:f>Source!A945</x:f>
        <x:v>C0016589</x:v>
      </x:c>
      <x:c r="B951" s="1" t="str">
        <x:f>_xlfn.IFNA(VLOOKUP(Source!B945,Advertisers!$A$5:$B$34,2,FALSE),"Missing advertiser")</x:f>
        <x:v>Synthetic advertiser 5</x:v>
      </x:c>
      <x:c r="C951" s="1" t="n">
        <x:f>Source!C945</x:f>
        <x:v>5</x:v>
      </x:c>
      <x:c r="D951" s="8" t="n">
        <x:f>Source!D945/100</x:f>
        <x:v>187.3</x:v>
      </x:c>
      <x:c r="E951" s="8" t="n">
        <x:f>Source!E945/100</x:f>
        <x:v>0</x:v>
      </x:c>
      <x:c r="F951" s="8" t="n">
        <x:f>Source!F945/100</x:f>
        <x:v>0</x:v>
      </x:c>
      <x:c r="G951" s="8" t="n">
        <x:f>Source!G945/100</x:f>
        <x:v>0</x:v>
      </x:c>
      <x:c r="H951" s="8" t="n">
        <x:f>G951-D951</x:f>
        <x:v>-187.3</x:v>
      </x:c>
      <x:c r="I951" s="1" t="str">
        <x:f>IF(H951&gt;0,"Overbilled","Shortfall")</x:f>
        <x:v>Shortfall</x:v>
      </x:c>
      <x:c r="J951" s="7"/>
      <x:c r="K951" s="7" t="str">
        <x:v>Open</x:v>
      </x:c>
      <x:c r="L951" s="7"/>
    </x:row>
    <x:row r="952" ht="21" customHeight="1">
      <x:c r="A952" s="1" t="str">
        <x:f>Source!A946</x:f>
        <x:v>C0011397</x:v>
      </x:c>
      <x:c r="B952" s="1" t="str">
        <x:f>_xlfn.IFNA(VLOOKUP(Source!B946,Advertisers!$A$5:$B$34,2,FALSE),"Missing advertiser")</x:f>
        <x:v>Synthetic advertiser 5</x:v>
      </x:c>
      <x:c r="C952" s="1" t="n">
        <x:f>Source!C946</x:f>
        <x:v>5</x:v>
      </x:c>
      <x:c r="D952" s="8" t="n">
        <x:f>Source!D946/100</x:f>
        <x:v>187.3</x:v>
      </x:c>
      <x:c r="E952" s="8" t="n">
        <x:f>Source!E946/100</x:f>
        <x:v>0</x:v>
      </x:c>
      <x:c r="F952" s="8" t="n">
        <x:f>Source!F946/100</x:f>
        <x:v>0</x:v>
      </x:c>
      <x:c r="G952" s="8" t="n">
        <x:f>Source!G946/100</x:f>
        <x:v>0</x:v>
      </x:c>
      <x:c r="H952" s="8" t="n">
        <x:f>G952-D952</x:f>
        <x:v>-187.3</x:v>
      </x:c>
      <x:c r="I952" s="1" t="str">
        <x:f>IF(H952&gt;0,"Overbilled","Shortfall")</x:f>
        <x:v>Shortfall</x:v>
      </x:c>
      <x:c r="J952" s="7"/>
      <x:c r="K952" s="7" t="str">
        <x:v>Open</x:v>
      </x:c>
      <x:c r="L952" s="7"/>
    </x:row>
    <x:row r="953" ht="21" customHeight="1">
      <x:c r="A953" s="1" t="str">
        <x:f>Source!A947</x:f>
        <x:v>C0007666</x:v>
      </x:c>
      <x:c r="B953" s="1" t="str">
        <x:f>_xlfn.IFNA(VLOOKUP(Source!B947,Advertisers!$A$5:$B$34,2,FALSE),"Missing advertiser")</x:f>
        <x:v>Synthetic advertiser 5</x:v>
      </x:c>
      <x:c r="C953" s="1" t="n">
        <x:f>Source!C947</x:f>
        <x:v>5</x:v>
      </x:c>
      <x:c r="D953" s="8" t="n">
        <x:f>Source!D947/100</x:f>
        <x:v>187.3</x:v>
      </x:c>
      <x:c r="E953" s="8" t="n">
        <x:f>Source!E947/100</x:f>
        <x:v>374.6</x:v>
      </x:c>
      <x:c r="F953" s="8" t="n">
        <x:f>Source!F947/100</x:f>
        <x:v>0</x:v>
      </x:c>
      <x:c r="G953" s="8" t="n">
        <x:f>Source!G947/100</x:f>
        <x:v>374.6</x:v>
      </x:c>
      <x:c r="H953" s="8" t="n">
        <x:f>G953-D953</x:f>
        <x:v>187.3</x:v>
      </x:c>
      <x:c r="I953" s="1" t="str">
        <x:f>IF(H953&gt;0,"Overbilled","Shortfall")</x:f>
        <x:v>Overbilled</x:v>
      </x:c>
      <x:c r="J953" s="7"/>
      <x:c r="K953" s="7" t="str">
        <x:v>Open</x:v>
      </x:c>
      <x:c r="L953" s="7"/>
    </x:row>
    <x:row r="954" ht="21" customHeight="1">
      <x:c r="A954" s="1" t="str">
        <x:f>Source!A948</x:f>
        <x:v>C0006114</x:v>
      </x:c>
      <x:c r="B954" s="1" t="str">
        <x:f>_xlfn.IFNA(VLOOKUP(Source!B948,Advertisers!$A$5:$B$34,2,FALSE),"Missing advertiser")</x:f>
        <x:v>Synthetic advertiser 8</x:v>
      </x:c>
      <x:c r="C954" s="1" t="n">
        <x:f>Source!C948</x:f>
        <x:v>38</x:v>
      </x:c>
      <x:c r="D954" s="8" t="n">
        <x:f>Source!D948/100</x:f>
        <x:v>0</x:v>
      </x:c>
      <x:c r="E954" s="8" t="n">
        <x:f>Source!E948/100</x:f>
        <x:v>187.15</x:v>
      </x:c>
      <x:c r="F954" s="8" t="n">
        <x:f>Source!F948/100</x:f>
        <x:v>0</x:v>
      </x:c>
      <x:c r="G954" s="8" t="n">
        <x:f>Source!G948/100</x:f>
        <x:v>187.15</x:v>
      </x:c>
      <x:c r="H954" s="8" t="n">
        <x:f>G954-D954</x:f>
        <x:v>187.15</x:v>
      </x:c>
      <x:c r="I954" s="1" t="str">
        <x:f>IF(H954&gt;0,"Overbilled","Shortfall")</x:f>
        <x:v>Overbilled</x:v>
      </x:c>
      <x:c r="J954" s="7"/>
      <x:c r="K954" s="7" t="str">
        <x:v>Open</x:v>
      </x:c>
      <x:c r="L954" s="7"/>
    </x:row>
    <x:row r="955" ht="21" customHeight="1">
      <x:c r="A955" s="1" t="str">
        <x:f>Source!A949</x:f>
        <x:v>C0013999</x:v>
      </x:c>
      <x:c r="B955" s="1" t="str">
        <x:f>_xlfn.IFNA(VLOOKUP(Source!B949,Advertisers!$A$5:$B$34,2,FALSE),"Missing advertiser")</x:f>
        <x:v>Synthetic advertiser 8</x:v>
      </x:c>
      <x:c r="C955" s="1" t="n">
        <x:f>Source!C949</x:f>
        <x:v>38</x:v>
      </x:c>
      <x:c r="D955" s="8" t="n">
        <x:f>Source!D949/100</x:f>
        <x:v>187.15</x:v>
      </x:c>
      <x:c r="E955" s="8" t="n">
        <x:f>Source!E949/100</x:f>
        <x:v>374.3</x:v>
      </x:c>
      <x:c r="F955" s="8" t="n">
        <x:f>Source!F949/100</x:f>
        <x:v>0</x:v>
      </x:c>
      <x:c r="G955" s="8" t="n">
        <x:f>Source!G949/100</x:f>
        <x:v>374.3</x:v>
      </x:c>
      <x:c r="H955" s="8" t="n">
        <x:f>G955-D955</x:f>
        <x:v>187.15</x:v>
      </x:c>
      <x:c r="I955" s="1" t="str">
        <x:f>IF(H955&gt;0,"Overbilled","Shortfall")</x:f>
        <x:v>Overbilled</x:v>
      </x:c>
      <x:c r="J955" s="7"/>
      <x:c r="K955" s="7" t="str">
        <x:v>Open</x:v>
      </x:c>
      <x:c r="L955" s="7"/>
    </x:row>
    <x:row r="956" ht="21" customHeight="1">
      <x:c r="A956" s="1" t="str">
        <x:f>Source!A950</x:f>
        <x:v>C0006488</x:v>
      </x:c>
      <x:c r="B956" s="1" t="str">
        <x:f>_xlfn.IFNA(VLOOKUP(Source!B950,Advertisers!$A$5:$B$34,2,FALSE),"Missing advertiser")</x:f>
        <x:v>Synthetic advertiser 8</x:v>
      </x:c>
      <x:c r="C956" s="1" t="n">
        <x:f>Source!C950</x:f>
        <x:v>38</x:v>
      </x:c>
      <x:c r="D956" s="8" t="n">
        <x:f>Source!D950/100</x:f>
        <x:v>187.15</x:v>
      </x:c>
      <x:c r="E956" s="8" t="n">
        <x:f>Source!E950/100</x:f>
        <x:v>374.3</x:v>
      </x:c>
      <x:c r="F956" s="8" t="n">
        <x:f>Source!F950/100</x:f>
        <x:v>0</x:v>
      </x:c>
      <x:c r="G956" s="8" t="n">
        <x:f>Source!G950/100</x:f>
        <x:v>374.3</x:v>
      </x:c>
      <x:c r="H956" s="8" t="n">
        <x:f>G956-D956</x:f>
        <x:v>187.15</x:v>
      </x:c>
      <x:c r="I956" s="1" t="str">
        <x:f>IF(H956&gt;0,"Overbilled","Shortfall")</x:f>
        <x:v>Overbilled</x:v>
      </x:c>
      <x:c r="J956" s="7"/>
      <x:c r="K956" s="7" t="str">
        <x:v>Open</x:v>
      </x:c>
      <x:c r="L956" s="7"/>
    </x:row>
    <x:row r="957" ht="21" customHeight="1">
      <x:c r="A957" s="1" t="str">
        <x:f>Source!A951</x:f>
        <x:v>C0006435</x:v>
      </x:c>
      <x:c r="B957" s="1" t="str">
        <x:f>_xlfn.IFNA(VLOOKUP(Source!B951,Advertisers!$A$5:$B$34,2,FALSE),"Missing advertiser")</x:f>
        <x:v>Synthetic advertiser 8</x:v>
      </x:c>
      <x:c r="C957" s="1" t="n">
        <x:f>Source!C951</x:f>
        <x:v>38</x:v>
      </x:c>
      <x:c r="D957" s="8" t="n">
        <x:f>Source!D951/100</x:f>
        <x:v>187.15</x:v>
      </x:c>
      <x:c r="E957" s="8" t="n">
        <x:f>Source!E951/100</x:f>
        <x:v>374.3</x:v>
      </x:c>
      <x:c r="F957" s="8" t="n">
        <x:f>Source!F951/100</x:f>
        <x:v>0</x:v>
      </x:c>
      <x:c r="G957" s="8" t="n">
        <x:f>Source!G951/100</x:f>
        <x:v>374.3</x:v>
      </x:c>
      <x:c r="H957" s="8" t="n">
        <x:f>G957-D957</x:f>
        <x:v>187.15</x:v>
      </x:c>
      <x:c r="I957" s="1" t="str">
        <x:f>IF(H957&gt;0,"Overbilled","Shortfall")</x:f>
        <x:v>Overbilled</x:v>
      </x:c>
      <x:c r="J957" s="7"/>
      <x:c r="K957" s="7" t="str">
        <x:v>Open</x:v>
      </x:c>
      <x:c r="L957" s="7"/>
    </x:row>
    <x:row r="958" ht="21" customHeight="1">
      <x:c r="A958" s="1" t="str">
        <x:f>Source!A952</x:f>
        <x:v>C0008637</x:v>
      </x:c>
      <x:c r="B958" s="1" t="str">
        <x:f>_xlfn.IFNA(VLOOKUP(Source!B952,Advertisers!$A$5:$B$34,2,FALSE),"Missing advertiser")</x:f>
        <x:v>Synthetic advertiser 8</x:v>
      </x:c>
      <x:c r="C958" s="1" t="n">
        <x:f>Source!C952</x:f>
        <x:v>38</x:v>
      </x:c>
      <x:c r="D958" s="8" t="n">
        <x:f>Source!D952/100</x:f>
        <x:v>187.15</x:v>
      </x:c>
      <x:c r="E958" s="8" t="n">
        <x:f>Source!E952/100</x:f>
        <x:v>374.3</x:v>
      </x:c>
      <x:c r="F958" s="8" t="n">
        <x:f>Source!F952/100</x:f>
        <x:v>0</x:v>
      </x:c>
      <x:c r="G958" s="8" t="n">
        <x:f>Source!G952/100</x:f>
        <x:v>374.3</x:v>
      </x:c>
      <x:c r="H958" s="8" t="n">
        <x:f>G958-D958</x:f>
        <x:v>187.15</x:v>
      </x:c>
      <x:c r="I958" s="1" t="str">
        <x:f>IF(H958&gt;0,"Overbilled","Shortfall")</x:f>
        <x:v>Overbilled</x:v>
      </x:c>
      <x:c r="J958" s="7"/>
      <x:c r="K958" s="7" t="str">
        <x:v>Open</x:v>
      </x:c>
      <x:c r="L958" s="7"/>
    </x:row>
    <x:row r="959" ht="21" customHeight="1">
      <x:c r="A959" s="1" t="str">
        <x:f>Source!A953</x:f>
        <x:v>C0015687</x:v>
      </x:c>
      <x:c r="B959" s="1" t="str">
        <x:f>_xlfn.IFNA(VLOOKUP(Source!B953,Advertisers!$A$5:$B$34,2,FALSE),"Missing advertiser")</x:f>
        <x:v>Synthetic advertiser 8</x:v>
      </x:c>
      <x:c r="C959" s="1" t="n">
        <x:f>Source!C953</x:f>
        <x:v>38</x:v>
      </x:c>
      <x:c r="D959" s="8" t="n">
        <x:f>Source!D953/100</x:f>
        <x:v>187.15</x:v>
      </x:c>
      <x:c r="E959" s="8" t="n">
        <x:f>Source!E953/100</x:f>
        <x:v>374.3</x:v>
      </x:c>
      <x:c r="F959" s="8" t="n">
        <x:f>Source!F953/100</x:f>
        <x:v>0</x:v>
      </x:c>
      <x:c r="G959" s="8" t="n">
        <x:f>Source!G953/100</x:f>
        <x:v>374.3</x:v>
      </x:c>
      <x:c r="H959" s="8" t="n">
        <x:f>G959-D959</x:f>
        <x:v>187.15</x:v>
      </x:c>
      <x:c r="I959" s="1" t="str">
        <x:f>IF(H959&gt;0,"Overbilled","Shortfall")</x:f>
        <x:v>Overbilled</x:v>
      </x:c>
      <x:c r="J959" s="7"/>
      <x:c r="K959" s="7" t="str">
        <x:v>Open</x:v>
      </x:c>
      <x:c r="L959" s="7"/>
    </x:row>
    <x:row r="960" ht="21" customHeight="1">
      <x:c r="A960" s="1" t="str">
        <x:f>Source!A954</x:f>
        <x:v>C0002610</x:v>
      </x:c>
      <x:c r="B960" s="1" t="str">
        <x:f>_xlfn.IFNA(VLOOKUP(Source!B954,Advertisers!$A$5:$B$34,2,FALSE),"Missing advertiser")</x:f>
        <x:v>Synthetic advertiser 8</x:v>
      </x:c>
      <x:c r="C960" s="1" t="n">
        <x:f>Source!C954</x:f>
        <x:v>38</x:v>
      </x:c>
      <x:c r="D960" s="8" t="n">
        <x:f>Source!D954/100</x:f>
        <x:v>187.15</x:v>
      </x:c>
      <x:c r="E960" s="8" t="n">
        <x:f>Source!E954/100</x:f>
        <x:v>374.3</x:v>
      </x:c>
      <x:c r="F960" s="8" t="n">
        <x:f>Source!F954/100</x:f>
        <x:v>0</x:v>
      </x:c>
      <x:c r="G960" s="8" t="n">
        <x:f>Source!G954/100</x:f>
        <x:v>374.3</x:v>
      </x:c>
      <x:c r="H960" s="8" t="n">
        <x:f>G960-D960</x:f>
        <x:v>187.15</x:v>
      </x:c>
      <x:c r="I960" s="1" t="str">
        <x:f>IF(H960&gt;0,"Overbilled","Shortfall")</x:f>
        <x:v>Overbilled</x:v>
      </x:c>
      <x:c r="J960" s="7"/>
      <x:c r="K960" s="7" t="str">
        <x:v>Open</x:v>
      </x:c>
      <x:c r="L960" s="7"/>
    </x:row>
    <x:row r="961" ht="21" customHeight="1">
      <x:c r="A961" s="1" t="str">
        <x:f>Source!A955</x:f>
        <x:v>C0003669</x:v>
      </x:c>
      <x:c r="B961" s="1" t="str">
        <x:f>_xlfn.IFNA(VLOOKUP(Source!B955,Advertisers!$A$5:$B$34,2,FALSE),"Missing advertiser")</x:f>
        <x:v>Synthetic advertiser 8</x:v>
      </x:c>
      <x:c r="C961" s="1" t="n">
        <x:f>Source!C955</x:f>
        <x:v>38</x:v>
      </x:c>
      <x:c r="D961" s="8" t="n">
        <x:f>Source!D955/100</x:f>
        <x:v>187.15</x:v>
      </x:c>
      <x:c r="E961" s="8" t="n">
        <x:f>Source!E955/100</x:f>
        <x:v>374.3</x:v>
      </x:c>
      <x:c r="F961" s="8" t="n">
        <x:f>Source!F955/100</x:f>
        <x:v>0</x:v>
      </x:c>
      <x:c r="G961" s="8" t="n">
        <x:f>Source!G955/100</x:f>
        <x:v>374.3</x:v>
      </x:c>
      <x:c r="H961" s="8" t="n">
        <x:f>G961-D961</x:f>
        <x:v>187.15</x:v>
      </x:c>
      <x:c r="I961" s="1" t="str">
        <x:f>IF(H961&gt;0,"Overbilled","Shortfall")</x:f>
        <x:v>Overbilled</x:v>
      </x:c>
      <x:c r="J961" s="7"/>
      <x:c r="K961" s="7" t="str">
        <x:v>Open</x:v>
      </x:c>
      <x:c r="L961" s="7"/>
    </x:row>
    <x:row r="962" ht="21" customHeight="1">
      <x:c r="A962" s="1" t="str">
        <x:f>Source!A956</x:f>
        <x:v>C0005818</x:v>
      </x:c>
      <x:c r="B962" s="1" t="str">
        <x:f>_xlfn.IFNA(VLOOKUP(Source!B956,Advertisers!$A$5:$B$34,2,FALSE),"Missing advertiser")</x:f>
        <x:v>Synthetic advertiser 8</x:v>
      </x:c>
      <x:c r="C962" s="1" t="n">
        <x:f>Source!C956</x:f>
        <x:v>38</x:v>
      </x:c>
      <x:c r="D962" s="8" t="n">
        <x:f>Source!D956/100</x:f>
        <x:v>187.15</x:v>
      </x:c>
      <x:c r="E962" s="8" t="n">
        <x:f>Source!E956/100</x:f>
        <x:v>0</x:v>
      </x:c>
      <x:c r="F962" s="8" t="n">
        <x:f>Source!F956/100</x:f>
        <x:v>0</x:v>
      </x:c>
      <x:c r="G962" s="8" t="n">
        <x:f>Source!G956/100</x:f>
        <x:v>0</x:v>
      </x:c>
      <x:c r="H962" s="8" t="n">
        <x:f>G962-D962</x:f>
        <x:v>-187.15</x:v>
      </x:c>
      <x:c r="I962" s="1" t="str">
        <x:f>IF(H962&gt;0,"Overbilled","Shortfall")</x:f>
        <x:v>Shortfall</x:v>
      </x:c>
      <x:c r="J962" s="7"/>
      <x:c r="K962" s="7" t="str">
        <x:v>Open</x:v>
      </x:c>
      <x:c r="L962" s="7"/>
    </x:row>
    <x:row r="963" ht="21" customHeight="1">
      <x:c r="A963" s="1" t="str">
        <x:f>Source!A957</x:f>
        <x:v>C0003345</x:v>
      </x:c>
      <x:c r="B963" s="1" t="str">
        <x:f>_xlfn.IFNA(VLOOKUP(Source!B957,Advertisers!$A$5:$B$34,2,FALSE),"Missing advertiser")</x:f>
        <x:v>Synthetic advertiser 15</x:v>
      </x:c>
      <x:c r="C963" s="1" t="n">
        <x:f>Source!C957</x:f>
        <x:v>105</x:v>
      </x:c>
      <x:c r="D963" s="8" t="n">
        <x:f>Source!D957/100</x:f>
        <x:v>186.91</x:v>
      </x:c>
      <x:c r="E963" s="8" t="n">
        <x:f>Source!E957/100</x:f>
        <x:v>373.82</x:v>
      </x:c>
      <x:c r="F963" s="8" t="n">
        <x:f>Source!F957/100</x:f>
        <x:v>0</x:v>
      </x:c>
      <x:c r="G963" s="8" t="n">
        <x:f>Source!G957/100</x:f>
        <x:v>373.82</x:v>
      </x:c>
      <x:c r="H963" s="8" t="n">
        <x:f>G963-D963</x:f>
        <x:v>186.91</x:v>
      </x:c>
      <x:c r="I963" s="1" t="str">
        <x:f>IF(H963&gt;0,"Overbilled","Shortfall")</x:f>
        <x:v>Overbilled</x:v>
      </x:c>
      <x:c r="J963" s="7"/>
      <x:c r="K963" s="7" t="str">
        <x:v>Open</x:v>
      </x:c>
      <x:c r="L963" s="7"/>
    </x:row>
    <x:row r="964" ht="21" customHeight="1">
      <x:c r="A964" s="1" t="str">
        <x:f>Source!A958</x:f>
        <x:v>C0001199</x:v>
      </x:c>
      <x:c r="B964" s="1" t="str">
        <x:f>_xlfn.IFNA(VLOOKUP(Source!B958,Advertisers!$A$5:$B$34,2,FALSE),"Missing advertiser")</x:f>
        <x:v>Synthetic advertiser 15</x:v>
      </x:c>
      <x:c r="C964" s="1" t="n">
        <x:f>Source!C958</x:f>
        <x:v>105</x:v>
      </x:c>
      <x:c r="D964" s="8" t="n">
        <x:f>Source!D958/100</x:f>
        <x:v>186.91</x:v>
      </x:c>
      <x:c r="E964" s="8" t="n">
        <x:f>Source!E958/100</x:f>
        <x:v>0</x:v>
      </x:c>
      <x:c r="F964" s="8" t="n">
        <x:f>Source!F958/100</x:f>
        <x:v>0</x:v>
      </x:c>
      <x:c r="G964" s="8" t="n">
        <x:f>Source!G958/100</x:f>
        <x:v>0</x:v>
      </x:c>
      <x:c r="H964" s="8" t="n">
        <x:f>G964-D964</x:f>
        <x:v>-186.91</x:v>
      </x:c>
      <x:c r="I964" s="1" t="str">
        <x:f>IF(H964&gt;0,"Overbilled","Shortfall")</x:f>
        <x:v>Shortfall</x:v>
      </x:c>
      <x:c r="J964" s="7"/>
      <x:c r="K964" s="7" t="str">
        <x:v>Open</x:v>
      </x:c>
      <x:c r="L964" s="7"/>
    </x:row>
    <x:row r="965" ht="21" customHeight="1">
      <x:c r="A965" s="1" t="str">
        <x:f>Source!A959</x:f>
        <x:v>C0011197</x:v>
      </x:c>
      <x:c r="B965" s="1" t="str">
        <x:f>_xlfn.IFNA(VLOOKUP(Source!B959,Advertisers!$A$5:$B$34,2,FALSE),"Missing advertiser")</x:f>
        <x:v>Synthetic advertiser 15</x:v>
      </x:c>
      <x:c r="C965" s="1" t="n">
        <x:f>Source!C959</x:f>
        <x:v>105</x:v>
      </x:c>
      <x:c r="D965" s="8" t="n">
        <x:f>Source!D959/100</x:f>
        <x:v>186.91</x:v>
      </x:c>
      <x:c r="E965" s="8" t="n">
        <x:f>Source!E959/100</x:f>
        <x:v>373.82</x:v>
      </x:c>
      <x:c r="F965" s="8" t="n">
        <x:f>Source!F959/100</x:f>
        <x:v>0</x:v>
      </x:c>
      <x:c r="G965" s="8" t="n">
        <x:f>Source!G959/100</x:f>
        <x:v>373.82</x:v>
      </x:c>
      <x:c r="H965" s="8" t="n">
        <x:f>G965-D965</x:f>
        <x:v>186.91</x:v>
      </x:c>
      <x:c r="I965" s="1" t="str">
        <x:f>IF(H965&gt;0,"Overbilled","Shortfall")</x:f>
        <x:v>Overbilled</x:v>
      </x:c>
      <x:c r="J965" s="7"/>
      <x:c r="K965" s="7" t="str">
        <x:v>Open</x:v>
      </x:c>
      <x:c r="L965" s="7"/>
    </x:row>
    <x:row r="966" ht="21" customHeight="1">
      <x:c r="A966" s="1" t="str">
        <x:f>Source!A960</x:f>
        <x:v>C0009551</x:v>
      </x:c>
      <x:c r="B966" s="1" t="str">
        <x:f>_xlfn.IFNA(VLOOKUP(Source!B960,Advertisers!$A$5:$B$34,2,FALSE),"Missing advertiser")</x:f>
        <x:v>Synthetic advertiser 15</x:v>
      </x:c>
      <x:c r="C966" s="1" t="n">
        <x:f>Source!C960</x:f>
        <x:v>105</x:v>
      </x:c>
      <x:c r="D966" s="8" t="n">
        <x:f>Source!D960/100</x:f>
        <x:v>0</x:v>
      </x:c>
      <x:c r="E966" s="8" t="n">
        <x:f>Source!E960/100</x:f>
        <x:v>186.91</x:v>
      </x:c>
      <x:c r="F966" s="8" t="n">
        <x:f>Source!F960/100</x:f>
        <x:v>0</x:v>
      </x:c>
      <x:c r="G966" s="8" t="n">
        <x:f>Source!G960/100</x:f>
        <x:v>186.91</x:v>
      </x:c>
      <x:c r="H966" s="8" t="n">
        <x:f>G966-D966</x:f>
        <x:v>186.91</x:v>
      </x:c>
      <x:c r="I966" s="1" t="str">
        <x:f>IF(H966&gt;0,"Overbilled","Shortfall")</x:f>
        <x:v>Overbilled</x:v>
      </x:c>
      <x:c r="J966" s="7"/>
      <x:c r="K966" s="7" t="str">
        <x:v>Open</x:v>
      </x:c>
      <x:c r="L966" s="7"/>
    </x:row>
    <x:row r="967" ht="21" customHeight="1">
      <x:c r="A967" s="1" t="str">
        <x:f>Source!A961</x:f>
        <x:v>C0012275</x:v>
      </x:c>
      <x:c r="B967" s="1" t="str">
        <x:f>_xlfn.IFNA(VLOOKUP(Source!B961,Advertisers!$A$5:$B$34,2,FALSE),"Missing advertiser")</x:f>
        <x:v>Synthetic advertiser 15</x:v>
      </x:c>
      <x:c r="C967" s="1" t="n">
        <x:f>Source!C961</x:f>
        <x:v>105</x:v>
      </x:c>
      <x:c r="D967" s="8" t="n">
        <x:f>Source!D961/100</x:f>
        <x:v>186.91</x:v>
      </x:c>
      <x:c r="E967" s="8" t="n">
        <x:f>Source!E961/100</x:f>
        <x:v>0</x:v>
      </x:c>
      <x:c r="F967" s="8" t="n">
        <x:f>Source!F961/100</x:f>
        <x:v>0</x:v>
      </x:c>
      <x:c r="G967" s="8" t="n">
        <x:f>Source!G961/100</x:f>
        <x:v>0</x:v>
      </x:c>
      <x:c r="H967" s="8" t="n">
        <x:f>G967-D967</x:f>
        <x:v>-186.91</x:v>
      </x:c>
      <x:c r="I967" s="1" t="str">
        <x:f>IF(H967&gt;0,"Overbilled","Shortfall")</x:f>
        <x:v>Shortfall</x:v>
      </x:c>
      <x:c r="J967" s="7"/>
      <x:c r="K967" s="7" t="str">
        <x:v>Open</x:v>
      </x:c>
      <x:c r="L967" s="7"/>
    </x:row>
    <x:row r="968" ht="21" customHeight="1">
      <x:c r="A968" s="1" t="str">
        <x:f>Source!A962</x:f>
        <x:v>C0012766</x:v>
      </x:c>
      <x:c r="B968" s="1" t="str">
        <x:f>_xlfn.IFNA(VLOOKUP(Source!B962,Advertisers!$A$5:$B$34,2,FALSE),"Missing advertiser")</x:f>
        <x:v>Synthetic advertiser 3</x:v>
      </x:c>
      <x:c r="C968" s="1" t="n">
        <x:f>Source!C962</x:f>
        <x:v>63</x:v>
      </x:c>
      <x:c r="D968" s="8" t="n">
        <x:f>Source!D962/100</x:f>
        <x:v>184.99</x:v>
      </x:c>
      <x:c r="E968" s="8" t="n">
        <x:f>Source!E962/100</x:f>
        <x:v>0</x:v>
      </x:c>
      <x:c r="F968" s="8" t="n">
        <x:f>Source!F962/100</x:f>
        <x:v>0</x:v>
      </x:c>
      <x:c r="G968" s="8" t="n">
        <x:f>Source!G962/100</x:f>
        <x:v>0</x:v>
      </x:c>
      <x:c r="H968" s="8" t="n">
        <x:f>G968-D968</x:f>
        <x:v>-184.99</x:v>
      </x:c>
      <x:c r="I968" s="1" t="str">
        <x:f>IF(H968&gt;0,"Overbilled","Shortfall")</x:f>
        <x:v>Shortfall</x:v>
      </x:c>
      <x:c r="J968" s="7"/>
      <x:c r="K968" s="7" t="str">
        <x:v>Open</x:v>
      </x:c>
      <x:c r="L968" s="7"/>
    </x:row>
    <x:row r="969" ht="21" customHeight="1">
      <x:c r="A969" s="1" t="str">
        <x:f>Source!A963</x:f>
        <x:v>C0004994</x:v>
      </x:c>
      <x:c r="B969" s="1" t="str">
        <x:f>_xlfn.IFNA(VLOOKUP(Source!B963,Advertisers!$A$5:$B$34,2,FALSE),"Missing advertiser")</x:f>
        <x:v>Synthetic advertiser 3</x:v>
      </x:c>
      <x:c r="C969" s="1" t="n">
        <x:f>Source!C963</x:f>
        <x:v>63</x:v>
      </x:c>
      <x:c r="D969" s="8" t="n">
        <x:f>Source!D963/100</x:f>
        <x:v>184.99</x:v>
      </x:c>
      <x:c r="E969" s="8" t="n">
        <x:f>Source!E963/100</x:f>
        <x:v>0</x:v>
      </x:c>
      <x:c r="F969" s="8" t="n">
        <x:f>Source!F963/100</x:f>
        <x:v>0</x:v>
      </x:c>
      <x:c r="G969" s="8" t="n">
        <x:f>Source!G963/100</x:f>
        <x:v>0</x:v>
      </x:c>
      <x:c r="H969" s="8" t="n">
        <x:f>G969-D969</x:f>
        <x:v>-184.99</x:v>
      </x:c>
      <x:c r="I969" s="1" t="str">
        <x:f>IF(H969&gt;0,"Overbilled","Shortfall")</x:f>
        <x:v>Shortfall</x:v>
      </x:c>
      <x:c r="J969" s="7"/>
      <x:c r="K969" s="7" t="str">
        <x:v>Open</x:v>
      </x:c>
      <x:c r="L969" s="7"/>
    </x:row>
    <x:row r="970" ht="21" customHeight="1">
      <x:c r="A970" s="1" t="str">
        <x:f>Source!A964</x:f>
        <x:v>C0015472</x:v>
      </x:c>
      <x:c r="B970" s="1" t="str">
        <x:f>_xlfn.IFNA(VLOOKUP(Source!B964,Advertisers!$A$5:$B$34,2,FALSE),"Missing advertiser")</x:f>
        <x:v>Synthetic advertiser 3</x:v>
      </x:c>
      <x:c r="C970" s="1" t="n">
        <x:f>Source!C964</x:f>
        <x:v>63</x:v>
      </x:c>
      <x:c r="D970" s="8" t="n">
        <x:f>Source!D964/100</x:f>
        <x:v>184.99</x:v>
      </x:c>
      <x:c r="E970" s="8" t="n">
        <x:f>Source!E964/100</x:f>
        <x:v>369.98</x:v>
      </x:c>
      <x:c r="F970" s="8" t="n">
        <x:f>Source!F964/100</x:f>
        <x:v>0</x:v>
      </x:c>
      <x:c r="G970" s="8" t="n">
        <x:f>Source!G964/100</x:f>
        <x:v>369.98</x:v>
      </x:c>
      <x:c r="H970" s="8" t="n">
        <x:f>G970-D970</x:f>
        <x:v>184.99</x:v>
      </x:c>
      <x:c r="I970" s="1" t="str">
        <x:f>IF(H970&gt;0,"Overbilled","Shortfall")</x:f>
        <x:v>Overbilled</x:v>
      </x:c>
      <x:c r="J970" s="7"/>
      <x:c r="K970" s="7" t="str">
        <x:v>Open</x:v>
      </x:c>
      <x:c r="L970" s="7"/>
    </x:row>
    <x:row r="971" ht="21" customHeight="1">
      <x:c r="A971" s="1" t="str">
        <x:f>Source!A965</x:f>
        <x:v>C0005064</x:v>
      </x:c>
      <x:c r="B971" s="1" t="str">
        <x:f>_xlfn.IFNA(VLOOKUP(Source!B965,Advertisers!$A$5:$B$34,2,FALSE),"Missing advertiser")</x:f>
        <x:v>Synthetic advertiser 5</x:v>
      </x:c>
      <x:c r="C971" s="1" t="n">
        <x:f>Source!C965</x:f>
        <x:v>5</x:v>
      </x:c>
      <x:c r="D971" s="8" t="n">
        <x:f>Source!D965/100</x:f>
        <x:v>183.96</x:v>
      </x:c>
      <x:c r="E971" s="8" t="n">
        <x:f>Source!E965/100</x:f>
        <x:v>0</x:v>
      </x:c>
      <x:c r="F971" s="8" t="n">
        <x:f>Source!F965/100</x:f>
        <x:v>0</x:v>
      </x:c>
      <x:c r="G971" s="8" t="n">
        <x:f>Source!G965/100</x:f>
        <x:v>0</x:v>
      </x:c>
      <x:c r="H971" s="8" t="n">
        <x:f>G971-D971</x:f>
        <x:v>-183.96</x:v>
      </x:c>
      <x:c r="I971" s="1" t="str">
        <x:f>IF(H971&gt;0,"Overbilled","Shortfall")</x:f>
        <x:v>Shortfall</x:v>
      </x:c>
      <x:c r="J971" s="7"/>
      <x:c r="K971" s="7" t="str">
        <x:v>Open</x:v>
      </x:c>
      <x:c r="L971" s="7"/>
    </x:row>
    <x:row r="972" ht="21" customHeight="1">
      <x:c r="A972" s="1" t="str">
        <x:f>Source!A966</x:f>
        <x:v>C0017811</x:v>
      </x:c>
      <x:c r="B972" s="1" t="str">
        <x:f>_xlfn.IFNA(VLOOKUP(Source!B966,Advertisers!$A$5:$B$34,2,FALSE),"Missing advertiser")</x:f>
        <x:v>Synthetic advertiser 5</x:v>
      </x:c>
      <x:c r="C972" s="1" t="n">
        <x:f>Source!C966</x:f>
        <x:v>5</x:v>
      </x:c>
      <x:c r="D972" s="8" t="n">
        <x:f>Source!D966/100</x:f>
        <x:v>0</x:v>
      </x:c>
      <x:c r="E972" s="8" t="n">
        <x:f>Source!E966/100</x:f>
        <x:v>183.96</x:v>
      </x:c>
      <x:c r="F972" s="8" t="n">
        <x:f>Source!F966/100</x:f>
        <x:v>0</x:v>
      </x:c>
      <x:c r="G972" s="8" t="n">
        <x:f>Source!G966/100</x:f>
        <x:v>183.96</x:v>
      </x:c>
      <x:c r="H972" s="8" t="n">
        <x:f>G972-D972</x:f>
        <x:v>183.96</x:v>
      </x:c>
      <x:c r="I972" s="1" t="str">
        <x:f>IF(H972&gt;0,"Overbilled","Shortfall")</x:f>
        <x:v>Overbilled</x:v>
      </x:c>
      <x:c r="J972" s="7"/>
      <x:c r="K972" s="7" t="str">
        <x:v>Open</x:v>
      </x:c>
      <x:c r="L972" s="7"/>
    </x:row>
    <x:row r="973" ht="21" customHeight="1">
      <x:c r="A973" s="1" t="str">
        <x:f>Source!A967</x:f>
        <x:v>C0004599</x:v>
      </x:c>
      <x:c r="B973" s="1" t="str">
        <x:f>_xlfn.IFNA(VLOOKUP(Source!B967,Advertisers!$A$5:$B$34,2,FALSE),"Missing advertiser")</x:f>
        <x:v>Synthetic advertiser 5</x:v>
      </x:c>
      <x:c r="C973" s="1" t="n">
        <x:f>Source!C967</x:f>
        <x:v>5</x:v>
      </x:c>
      <x:c r="D973" s="8" t="n">
        <x:f>Source!D967/100</x:f>
        <x:v>183.96</x:v>
      </x:c>
      <x:c r="E973" s="8" t="n">
        <x:f>Source!E967/100</x:f>
        <x:v>0</x:v>
      </x:c>
      <x:c r="F973" s="8" t="n">
        <x:f>Source!F967/100</x:f>
        <x:v>0</x:v>
      </x:c>
      <x:c r="G973" s="8" t="n">
        <x:f>Source!G967/100</x:f>
        <x:v>0</x:v>
      </x:c>
      <x:c r="H973" s="8" t="n">
        <x:f>G973-D973</x:f>
        <x:v>-183.96</x:v>
      </x:c>
      <x:c r="I973" s="1" t="str">
        <x:f>IF(H973&gt;0,"Overbilled","Shortfall")</x:f>
        <x:v>Shortfall</x:v>
      </x:c>
      <x:c r="J973" s="7"/>
      <x:c r="K973" s="7" t="str">
        <x:v>Open</x:v>
      </x:c>
      <x:c r="L973" s="7"/>
    </x:row>
    <x:row r="974" ht="21" customHeight="1">
      <x:c r="A974" s="1" t="str">
        <x:f>Source!A968</x:f>
        <x:v>C0009872</x:v>
      </x:c>
      <x:c r="B974" s="1" t="str">
        <x:f>_xlfn.IFNA(VLOOKUP(Source!B968,Advertisers!$A$5:$B$34,2,FALSE),"Missing advertiser")</x:f>
        <x:v>Synthetic advertiser 5</x:v>
      </x:c>
      <x:c r="C974" s="1" t="n">
        <x:f>Source!C968</x:f>
        <x:v>5</x:v>
      </x:c>
      <x:c r="D974" s="8" t="n">
        <x:f>Source!D968/100</x:f>
        <x:v>183.96</x:v>
      </x:c>
      <x:c r="E974" s="8" t="n">
        <x:f>Source!E968/100</x:f>
        <x:v>0</x:v>
      </x:c>
      <x:c r="F974" s="8" t="n">
        <x:f>Source!F968/100</x:f>
        <x:v>0</x:v>
      </x:c>
      <x:c r="G974" s="8" t="n">
        <x:f>Source!G968/100</x:f>
        <x:v>0</x:v>
      </x:c>
      <x:c r="H974" s="8" t="n">
        <x:f>G974-D974</x:f>
        <x:v>-183.96</x:v>
      </x:c>
      <x:c r="I974" s="1" t="str">
        <x:f>IF(H974&gt;0,"Overbilled","Shortfall")</x:f>
        <x:v>Shortfall</x:v>
      </x:c>
      <x:c r="J974" s="7"/>
      <x:c r="K974" s="7" t="str">
        <x:v>Open</x:v>
      </x:c>
      <x:c r="L974" s="7"/>
    </x:row>
    <x:row r="975" ht="21" customHeight="1">
      <x:c r="A975" s="1" t="str">
        <x:f>Source!A969</x:f>
        <x:v>C0007673</x:v>
      </x:c>
      <x:c r="B975" s="1" t="str">
        <x:f>_xlfn.IFNA(VLOOKUP(Source!B969,Advertisers!$A$5:$B$34,2,FALSE),"Missing advertiser")</x:f>
        <x:v>Synthetic advertiser 5</x:v>
      </x:c>
      <x:c r="C975" s="1" t="n">
        <x:f>Source!C969</x:f>
        <x:v>5</x:v>
      </x:c>
      <x:c r="D975" s="8" t="n">
        <x:f>Source!D969/100</x:f>
        <x:v>183.96</x:v>
      </x:c>
      <x:c r="E975" s="8" t="n">
        <x:f>Source!E969/100</x:f>
        <x:v>367.92</x:v>
      </x:c>
      <x:c r="F975" s="8" t="n">
        <x:f>Source!F969/100</x:f>
        <x:v>0</x:v>
      </x:c>
      <x:c r="G975" s="8" t="n">
        <x:f>Source!G969/100</x:f>
        <x:v>367.92</x:v>
      </x:c>
      <x:c r="H975" s="8" t="n">
        <x:f>G975-D975</x:f>
        <x:v>183.96</x:v>
      </x:c>
      <x:c r="I975" s="1" t="str">
        <x:f>IF(H975&gt;0,"Overbilled","Shortfall")</x:f>
        <x:v>Overbilled</x:v>
      </x:c>
      <x:c r="J975" s="7"/>
      <x:c r="K975" s="7" t="str">
        <x:v>Open</x:v>
      </x:c>
      <x:c r="L975" s="7"/>
    </x:row>
    <x:row r="976" ht="21" customHeight="1">
      <x:c r="A976" s="1" t="str">
        <x:f>Source!A970</x:f>
        <x:v>C0014073</x:v>
      </x:c>
      <x:c r="B976" s="1" t="str">
        <x:f>_xlfn.IFNA(VLOOKUP(Source!B970,Advertisers!$A$5:$B$34,2,FALSE),"Missing advertiser")</x:f>
        <x:v>Synthetic advertiser 5</x:v>
      </x:c>
      <x:c r="C976" s="1" t="n">
        <x:f>Source!C970</x:f>
        <x:v>5</x:v>
      </x:c>
      <x:c r="D976" s="8" t="n">
        <x:f>Source!D970/100</x:f>
        <x:v>183.96</x:v>
      </x:c>
      <x:c r="E976" s="8" t="n">
        <x:f>Source!E970/100</x:f>
        <x:v>0</x:v>
      </x:c>
      <x:c r="F976" s="8" t="n">
        <x:f>Source!F970/100</x:f>
        <x:v>0</x:v>
      </x:c>
      <x:c r="G976" s="8" t="n">
        <x:f>Source!G970/100</x:f>
        <x:v>0</x:v>
      </x:c>
      <x:c r="H976" s="8" t="n">
        <x:f>G976-D976</x:f>
        <x:v>-183.96</x:v>
      </x:c>
      <x:c r="I976" s="1" t="str">
        <x:f>IF(H976&gt;0,"Overbilled","Shortfall")</x:f>
        <x:v>Shortfall</x:v>
      </x:c>
      <x:c r="J976" s="7"/>
      <x:c r="K976" s="7" t="str">
        <x:v>Open</x:v>
      </x:c>
      <x:c r="L976" s="7"/>
    </x:row>
    <x:row r="977" ht="21" customHeight="1">
      <x:c r="A977" s="1" t="str">
        <x:f>Source!A971</x:f>
        <x:v>C0014323</x:v>
      </x:c>
      <x:c r="B977" s="1" t="str">
        <x:f>_xlfn.IFNA(VLOOKUP(Source!B971,Advertisers!$A$5:$B$34,2,FALSE),"Missing advertiser")</x:f>
        <x:v>Synthetic advertiser 5</x:v>
      </x:c>
      <x:c r="C977" s="1" t="n">
        <x:f>Source!C971</x:f>
        <x:v>5</x:v>
      </x:c>
      <x:c r="D977" s="8" t="n">
        <x:f>Source!D971/100</x:f>
        <x:v>183.96</x:v>
      </x:c>
      <x:c r="E977" s="8" t="n">
        <x:f>Source!E971/100</x:f>
        <x:v>367.92</x:v>
      </x:c>
      <x:c r="F977" s="8" t="n">
        <x:f>Source!F971/100</x:f>
        <x:v>0</x:v>
      </x:c>
      <x:c r="G977" s="8" t="n">
        <x:f>Source!G971/100</x:f>
        <x:v>367.92</x:v>
      </x:c>
      <x:c r="H977" s="8" t="n">
        <x:f>G977-D977</x:f>
        <x:v>183.96</x:v>
      </x:c>
      <x:c r="I977" s="1" t="str">
        <x:f>IF(H977&gt;0,"Overbilled","Shortfall")</x:f>
        <x:v>Overbilled</x:v>
      </x:c>
      <x:c r="J977" s="7"/>
      <x:c r="K977" s="7" t="str">
        <x:v>Open</x:v>
      </x:c>
      <x:c r="L977" s="7"/>
    </x:row>
    <x:row r="978" ht="21" customHeight="1">
      <x:c r="A978" s="1" t="str">
        <x:f>Source!A972</x:f>
        <x:v>C0007812</x:v>
      </x:c>
      <x:c r="B978" s="1" t="str">
        <x:f>_xlfn.IFNA(VLOOKUP(Source!B972,Advertisers!$A$5:$B$34,2,FALSE),"Missing advertiser")</x:f>
        <x:v>Synthetic advertiser 5</x:v>
      </x:c>
      <x:c r="C978" s="1" t="n">
        <x:f>Source!C972</x:f>
        <x:v>5</x:v>
      </x:c>
      <x:c r="D978" s="8" t="n">
        <x:f>Source!D972/100</x:f>
        <x:v>183.96</x:v>
      </x:c>
      <x:c r="E978" s="8" t="n">
        <x:f>Source!E972/100</x:f>
        <x:v>367.92</x:v>
      </x:c>
      <x:c r="F978" s="8" t="n">
        <x:f>Source!F972/100</x:f>
        <x:v>0</x:v>
      </x:c>
      <x:c r="G978" s="8" t="n">
        <x:f>Source!G972/100</x:f>
        <x:v>367.92</x:v>
      </x:c>
      <x:c r="H978" s="8" t="n">
        <x:f>G978-D978</x:f>
        <x:v>183.96</x:v>
      </x:c>
      <x:c r="I978" s="1" t="str">
        <x:f>IF(H978&gt;0,"Overbilled","Shortfall")</x:f>
        <x:v>Overbilled</x:v>
      </x:c>
      <x:c r="J978" s="7"/>
      <x:c r="K978" s="7" t="str">
        <x:v>Open</x:v>
      </x:c>
      <x:c r="L978" s="7"/>
    </x:row>
    <x:row r="979" ht="21" customHeight="1">
      <x:c r="A979" s="1" t="str">
        <x:f>Source!A973</x:f>
        <x:v>C0006115</x:v>
      </x:c>
      <x:c r="B979" s="1" t="str">
        <x:f>_xlfn.IFNA(VLOOKUP(Source!B973,Advertisers!$A$5:$B$34,2,FALSE),"Missing advertiser")</x:f>
        <x:v>Synthetic advertiser 5</x:v>
      </x:c>
      <x:c r="C979" s="1" t="n">
        <x:f>Source!C973</x:f>
        <x:v>5</x:v>
      </x:c>
      <x:c r="D979" s="8" t="n">
        <x:f>Source!D973/100</x:f>
        <x:v>183.96</x:v>
      </x:c>
      <x:c r="E979" s="8" t="n">
        <x:f>Source!E973/100</x:f>
        <x:v>367.92</x:v>
      </x:c>
      <x:c r="F979" s="8" t="n">
        <x:f>Source!F973/100</x:f>
        <x:v>0</x:v>
      </x:c>
      <x:c r="G979" s="8" t="n">
        <x:f>Source!G973/100</x:f>
        <x:v>367.92</x:v>
      </x:c>
      <x:c r="H979" s="8" t="n">
        <x:f>G979-D979</x:f>
        <x:v>183.96</x:v>
      </x:c>
      <x:c r="I979" s="1" t="str">
        <x:f>IF(H979&gt;0,"Overbilled","Shortfall")</x:f>
        <x:v>Overbilled</x:v>
      </x:c>
      <x:c r="J979" s="7"/>
      <x:c r="K979" s="7" t="str">
        <x:v>Open</x:v>
      </x:c>
      <x:c r="L979" s="7"/>
    </x:row>
    <x:row r="980" ht="21" customHeight="1">
      <x:c r="A980" s="1" t="str">
        <x:f>Source!A974</x:f>
        <x:v>C0013246</x:v>
      </x:c>
      <x:c r="B980" s="1" t="str">
        <x:f>_xlfn.IFNA(VLOOKUP(Source!B974,Advertisers!$A$5:$B$34,2,FALSE),"Missing advertiser")</x:f>
        <x:v>Synthetic advertiser 5</x:v>
      </x:c>
      <x:c r="C980" s="1" t="n">
        <x:f>Source!C974</x:f>
        <x:v>5</x:v>
      </x:c>
      <x:c r="D980" s="8" t="n">
        <x:f>Source!D974/100</x:f>
        <x:v>183.96</x:v>
      </x:c>
      <x:c r="E980" s="8" t="n">
        <x:f>Source!E974/100</x:f>
        <x:v>0</x:v>
      </x:c>
      <x:c r="F980" s="8" t="n">
        <x:f>Source!F974/100</x:f>
        <x:v>0</x:v>
      </x:c>
      <x:c r="G980" s="8" t="n">
        <x:f>Source!G974/100</x:f>
        <x:v>0</x:v>
      </x:c>
      <x:c r="H980" s="8" t="n">
        <x:f>G980-D980</x:f>
        <x:v>-183.96</x:v>
      </x:c>
      <x:c r="I980" s="1" t="str">
        <x:f>IF(H980&gt;0,"Overbilled","Shortfall")</x:f>
        <x:v>Shortfall</x:v>
      </x:c>
      <x:c r="J980" s="7"/>
      <x:c r="K980" s="7" t="str">
        <x:v>Open</x:v>
      </x:c>
      <x:c r="L980" s="7"/>
    </x:row>
    <x:row r="981" ht="21" customHeight="1">
      <x:c r="A981" s="1" t="str">
        <x:f>Source!A975</x:f>
        <x:v>C0000185</x:v>
      </x:c>
      <x:c r="B981" s="1" t="str">
        <x:f>_xlfn.IFNA(VLOOKUP(Source!B975,Advertisers!$A$5:$B$34,2,FALSE),"Missing advertiser")</x:f>
        <x:v>Synthetic advertiser 2</x:v>
      </x:c>
      <x:c r="C981" s="1" t="n">
        <x:f>Source!C975</x:f>
        <x:v>62</x:v>
      </x:c>
      <x:c r="D981" s="8" t="n">
        <x:f>Source!D975/100</x:f>
        <x:v>183.69</x:v>
      </x:c>
      <x:c r="E981" s="8" t="n">
        <x:f>Source!E975/100</x:f>
        <x:v>367.38</x:v>
      </x:c>
      <x:c r="F981" s="8" t="n">
        <x:f>Source!F975/100</x:f>
        <x:v>0</x:v>
      </x:c>
      <x:c r="G981" s="8" t="n">
        <x:f>Source!G975/100</x:f>
        <x:v>367.38</x:v>
      </x:c>
      <x:c r="H981" s="8" t="n">
        <x:f>G981-D981</x:f>
        <x:v>183.69</x:v>
      </x:c>
      <x:c r="I981" s="1" t="str">
        <x:f>IF(H981&gt;0,"Overbilled","Shortfall")</x:f>
        <x:v>Overbilled</x:v>
      </x:c>
      <x:c r="J981" s="7"/>
      <x:c r="K981" s="7" t="str">
        <x:v>Open</x:v>
      </x:c>
      <x:c r="L981" s="7"/>
    </x:row>
    <x:row r="982" ht="21" customHeight="1">
      <x:c r="A982" s="1" t="str">
        <x:f>Source!A976</x:f>
        <x:v>C0009996</x:v>
      </x:c>
      <x:c r="B982" s="1" t="str">
        <x:f>_xlfn.IFNA(VLOOKUP(Source!B976,Advertisers!$A$5:$B$34,2,FALSE),"Missing advertiser")</x:f>
        <x:v>Synthetic advertiser 2</x:v>
      </x:c>
      <x:c r="C982" s="1" t="n">
        <x:f>Source!C976</x:f>
        <x:v>62</x:v>
      </x:c>
      <x:c r="D982" s="8" t="n">
        <x:f>Source!D976/100</x:f>
        <x:v>183.69</x:v>
      </x:c>
      <x:c r="E982" s="8" t="n">
        <x:f>Source!E976/100</x:f>
        <x:v>0</x:v>
      </x:c>
      <x:c r="F982" s="8" t="n">
        <x:f>Source!F976/100</x:f>
        <x:v>0</x:v>
      </x:c>
      <x:c r="G982" s="8" t="n">
        <x:f>Source!G976/100</x:f>
        <x:v>0</x:v>
      </x:c>
      <x:c r="H982" s="8" t="n">
        <x:f>G982-D982</x:f>
        <x:v>-183.69</x:v>
      </x:c>
      <x:c r="I982" s="1" t="str">
        <x:f>IF(H982&gt;0,"Overbilled","Shortfall")</x:f>
        <x:v>Shortfall</x:v>
      </x:c>
      <x:c r="J982" s="7"/>
      <x:c r="K982" s="7" t="str">
        <x:v>Open</x:v>
      </x:c>
      <x:c r="L982" s="7"/>
    </x:row>
    <x:row r="983" ht="21" customHeight="1">
      <x:c r="A983" s="1" t="str">
        <x:f>Source!A977</x:f>
        <x:v>C0014622</x:v>
      </x:c>
      <x:c r="B983" s="1" t="str">
        <x:f>_xlfn.IFNA(VLOOKUP(Source!B977,Advertisers!$A$5:$B$34,2,FALSE),"Missing advertiser")</x:f>
        <x:v>Synthetic advertiser 2</x:v>
      </x:c>
      <x:c r="C983" s="1" t="n">
        <x:f>Source!C977</x:f>
        <x:v>62</x:v>
      </x:c>
      <x:c r="D983" s="8" t="n">
        <x:f>Source!D977/100</x:f>
        <x:v>183.69</x:v>
      </x:c>
      <x:c r="E983" s="8" t="n">
        <x:f>Source!E977/100</x:f>
        <x:v>0</x:v>
      </x:c>
      <x:c r="F983" s="8" t="n">
        <x:f>Source!F977/100</x:f>
        <x:v>0</x:v>
      </x:c>
      <x:c r="G983" s="8" t="n">
        <x:f>Source!G977/100</x:f>
        <x:v>0</x:v>
      </x:c>
      <x:c r="H983" s="8" t="n">
        <x:f>G983-D983</x:f>
        <x:v>-183.69</x:v>
      </x:c>
      <x:c r="I983" s="1" t="str">
        <x:f>IF(H983&gt;0,"Overbilled","Shortfall")</x:f>
        <x:v>Shortfall</x:v>
      </x:c>
      <x:c r="J983" s="7"/>
      <x:c r="K983" s="7" t="str">
        <x:v>Open</x:v>
      </x:c>
      <x:c r="L983" s="7"/>
    </x:row>
    <x:row r="984" ht="21" customHeight="1">
      <x:c r="A984" s="1" t="str">
        <x:f>Source!A978</x:f>
        <x:v>C0008275</x:v>
      </x:c>
      <x:c r="B984" s="1" t="str">
        <x:f>_xlfn.IFNA(VLOOKUP(Source!B978,Advertisers!$A$5:$B$34,2,FALSE),"Missing advertiser")</x:f>
        <x:v>Synthetic advertiser 2</x:v>
      </x:c>
      <x:c r="C984" s="1" t="n">
        <x:f>Source!C978</x:f>
        <x:v>62</x:v>
      </x:c>
      <x:c r="D984" s="8" t="n">
        <x:f>Source!D978/100</x:f>
        <x:v>183.69</x:v>
      </x:c>
      <x:c r="E984" s="8" t="n">
        <x:f>Source!E978/100</x:f>
        <x:v>0</x:v>
      </x:c>
      <x:c r="F984" s="8" t="n">
        <x:f>Source!F978/100</x:f>
        <x:v>0</x:v>
      </x:c>
      <x:c r="G984" s="8" t="n">
        <x:f>Source!G978/100</x:f>
        <x:v>0</x:v>
      </x:c>
      <x:c r="H984" s="8" t="n">
        <x:f>G984-D984</x:f>
        <x:v>-183.69</x:v>
      </x:c>
      <x:c r="I984" s="1" t="str">
        <x:f>IF(H984&gt;0,"Overbilled","Shortfall")</x:f>
        <x:v>Shortfall</x:v>
      </x:c>
      <x:c r="J984" s="7"/>
      <x:c r="K984" s="7" t="str">
        <x:v>Open</x:v>
      </x:c>
      <x:c r="L984" s="7"/>
    </x:row>
    <x:row r="985" ht="21" customHeight="1">
      <x:c r="A985" s="1" t="str">
        <x:f>Source!A979</x:f>
        <x:v>C0013526</x:v>
      </x:c>
      <x:c r="B985" s="1" t="str">
        <x:f>_xlfn.IFNA(VLOOKUP(Source!B979,Advertisers!$A$5:$B$34,2,FALSE),"Missing advertiser")</x:f>
        <x:v>Synthetic advertiser 2</x:v>
      </x:c>
      <x:c r="C985" s="1" t="n">
        <x:f>Source!C979</x:f>
        <x:v>62</x:v>
      </x:c>
      <x:c r="D985" s="8" t="n">
        <x:f>Source!D979/100</x:f>
        <x:v>183.69</x:v>
      </x:c>
      <x:c r="E985" s="8" t="n">
        <x:f>Source!E979/100</x:f>
        <x:v>0</x:v>
      </x:c>
      <x:c r="F985" s="8" t="n">
        <x:f>Source!F979/100</x:f>
        <x:v>0</x:v>
      </x:c>
      <x:c r="G985" s="8" t="n">
        <x:f>Source!G979/100</x:f>
        <x:v>0</x:v>
      </x:c>
      <x:c r="H985" s="8" t="n">
        <x:f>G985-D985</x:f>
        <x:v>-183.69</x:v>
      </x:c>
      <x:c r="I985" s="1" t="str">
        <x:f>IF(H985&gt;0,"Overbilled","Shortfall")</x:f>
        <x:v>Shortfall</x:v>
      </x:c>
      <x:c r="J985" s="7"/>
      <x:c r="K985" s="7" t="str">
        <x:v>Open</x:v>
      </x:c>
      <x:c r="L985" s="7"/>
    </x:row>
    <x:row r="986" ht="21" customHeight="1">
      <x:c r="A986" s="1" t="str">
        <x:f>Source!A980</x:f>
        <x:v>C0013660</x:v>
      </x:c>
      <x:c r="B986" s="1" t="str">
        <x:f>_xlfn.IFNA(VLOOKUP(Source!B980,Advertisers!$A$5:$B$34,2,FALSE),"Missing advertiser")</x:f>
        <x:v>Synthetic advertiser 2</x:v>
      </x:c>
      <x:c r="C986" s="1" t="n">
        <x:f>Source!C980</x:f>
        <x:v>62</x:v>
      </x:c>
      <x:c r="D986" s="8" t="n">
        <x:f>Source!D980/100</x:f>
        <x:v>183.69</x:v>
      </x:c>
      <x:c r="E986" s="8" t="n">
        <x:f>Source!E980/100</x:f>
        <x:v>0</x:v>
      </x:c>
      <x:c r="F986" s="8" t="n">
        <x:f>Source!F980/100</x:f>
        <x:v>0</x:v>
      </x:c>
      <x:c r="G986" s="8" t="n">
        <x:f>Source!G980/100</x:f>
        <x:v>0</x:v>
      </x:c>
      <x:c r="H986" s="8" t="n">
        <x:f>G986-D986</x:f>
        <x:v>-183.69</x:v>
      </x:c>
      <x:c r="I986" s="1" t="str">
        <x:f>IF(H986&gt;0,"Overbilled","Shortfall")</x:f>
        <x:v>Shortfall</x:v>
      </x:c>
      <x:c r="J986" s="7"/>
      <x:c r="K986" s="7" t="str">
        <x:v>Open</x:v>
      </x:c>
      <x:c r="L986" s="7"/>
    </x:row>
    <x:row r="987" ht="21" customHeight="1">
      <x:c r="A987" s="1" t="str">
        <x:f>Source!A981</x:f>
        <x:v>C0007066</x:v>
      </x:c>
      <x:c r="B987" s="1" t="str">
        <x:f>_xlfn.IFNA(VLOOKUP(Source!B981,Advertisers!$A$5:$B$34,2,FALSE),"Missing advertiser")</x:f>
        <x:v>Synthetic advertiser 2</x:v>
      </x:c>
      <x:c r="C987" s="1" t="n">
        <x:f>Source!C981</x:f>
        <x:v>62</x:v>
      </x:c>
      <x:c r="D987" s="8" t="n">
        <x:f>Source!D981/100</x:f>
        <x:v>183.69</x:v>
      </x:c>
      <x:c r="E987" s="8" t="n">
        <x:f>Source!E981/100</x:f>
        <x:v>0</x:v>
      </x:c>
      <x:c r="F987" s="8" t="n">
        <x:f>Source!F981/100</x:f>
        <x:v>0</x:v>
      </x:c>
      <x:c r="G987" s="8" t="n">
        <x:f>Source!G981/100</x:f>
        <x:v>0</x:v>
      </x:c>
      <x:c r="H987" s="8" t="n">
        <x:f>G987-D987</x:f>
        <x:v>-183.69</x:v>
      </x:c>
      <x:c r="I987" s="1" t="str">
        <x:f>IF(H987&gt;0,"Overbilled","Shortfall")</x:f>
        <x:v>Shortfall</x:v>
      </x:c>
      <x:c r="J987" s="7"/>
      <x:c r="K987" s="7" t="str">
        <x:v>Open</x:v>
      </x:c>
      <x:c r="L987" s="7"/>
    </x:row>
    <x:row r="988" ht="21" customHeight="1">
      <x:c r="A988" s="1" t="str">
        <x:f>Source!A982</x:f>
        <x:v>C0006519</x:v>
      </x:c>
      <x:c r="B988" s="1" t="str">
        <x:f>_xlfn.IFNA(VLOOKUP(Source!B982,Advertisers!$A$5:$B$34,2,FALSE),"Missing advertiser")</x:f>
        <x:v>Synthetic advertiser 2</x:v>
      </x:c>
      <x:c r="C988" s="1" t="n">
        <x:f>Source!C982</x:f>
        <x:v>62</x:v>
      </x:c>
      <x:c r="D988" s="8" t="n">
        <x:f>Source!D982/100</x:f>
        <x:v>0</x:v>
      </x:c>
      <x:c r="E988" s="8" t="n">
        <x:f>Source!E982/100</x:f>
        <x:v>183.69</x:v>
      </x:c>
      <x:c r="F988" s="8" t="n">
        <x:f>Source!F982/100</x:f>
        <x:v>0</x:v>
      </x:c>
      <x:c r="G988" s="8" t="n">
        <x:f>Source!G982/100</x:f>
        <x:v>183.69</x:v>
      </x:c>
      <x:c r="H988" s="8" t="n">
        <x:f>G988-D988</x:f>
        <x:v>183.69</x:v>
      </x:c>
      <x:c r="I988" s="1" t="str">
        <x:f>IF(H988&gt;0,"Overbilled","Shortfall")</x:f>
        <x:v>Overbilled</x:v>
      </x:c>
      <x:c r="J988" s="7"/>
      <x:c r="K988" s="7" t="str">
        <x:v>Open</x:v>
      </x:c>
      <x:c r="L988" s="7"/>
    </x:row>
    <x:row r="989" ht="21" customHeight="1">
      <x:c r="A989" s="1" t="str">
        <x:f>Source!A983</x:f>
        <x:v>C0003762</x:v>
      </x:c>
      <x:c r="B989" s="1" t="str">
        <x:f>_xlfn.IFNA(VLOOKUP(Source!B983,Advertisers!$A$5:$B$34,2,FALSE),"Missing advertiser")</x:f>
        <x:v>Synthetic advertiser 2</x:v>
      </x:c>
      <x:c r="C989" s="1" t="n">
        <x:f>Source!C983</x:f>
        <x:v>62</x:v>
      </x:c>
      <x:c r="D989" s="8" t="n">
        <x:f>Source!D983/100</x:f>
        <x:v>183.69</x:v>
      </x:c>
      <x:c r="E989" s="8" t="n">
        <x:f>Source!E983/100</x:f>
        <x:v>0</x:v>
      </x:c>
      <x:c r="F989" s="8" t="n">
        <x:f>Source!F983/100</x:f>
        <x:v>0</x:v>
      </x:c>
      <x:c r="G989" s="8" t="n">
        <x:f>Source!G983/100</x:f>
        <x:v>0</x:v>
      </x:c>
      <x:c r="H989" s="8" t="n">
        <x:f>G989-D989</x:f>
        <x:v>-183.69</x:v>
      </x:c>
      <x:c r="I989" s="1" t="str">
        <x:f>IF(H989&gt;0,"Overbilled","Shortfall")</x:f>
        <x:v>Shortfall</x:v>
      </x:c>
      <x:c r="J989" s="7"/>
      <x:c r="K989" s="7" t="str">
        <x:v>Open</x:v>
      </x:c>
      <x:c r="L989" s="7"/>
    </x:row>
    <x:row r="990" ht="21" customHeight="1">
      <x:c r="A990" s="1" t="str">
        <x:f>Source!A984</x:f>
        <x:v>C0012067</x:v>
      </x:c>
      <x:c r="B990" s="1" t="str">
        <x:f>_xlfn.IFNA(VLOOKUP(Source!B984,Advertisers!$A$5:$B$34,2,FALSE),"Missing advertiser")</x:f>
        <x:v>Synthetic advertiser 15</x:v>
      </x:c>
      <x:c r="C990" s="1" t="n">
        <x:f>Source!C984</x:f>
        <x:v>15</x:v>
      </x:c>
      <x:c r="D990" s="8" t="n">
        <x:f>Source!D984/100</x:f>
        <x:v>182.12</x:v>
      </x:c>
      <x:c r="E990" s="8" t="n">
        <x:f>Source!E984/100</x:f>
        <x:v>364.24</x:v>
      </x:c>
      <x:c r="F990" s="8" t="n">
        <x:f>Source!F984/100</x:f>
        <x:v>0</x:v>
      </x:c>
      <x:c r="G990" s="8" t="n">
        <x:f>Source!G984/100</x:f>
        <x:v>364.24</x:v>
      </x:c>
      <x:c r="H990" s="8" t="n">
        <x:f>G990-D990</x:f>
        <x:v>182.12</x:v>
      </x:c>
      <x:c r="I990" s="1" t="str">
        <x:f>IF(H990&gt;0,"Overbilled","Shortfall")</x:f>
        <x:v>Overbilled</x:v>
      </x:c>
      <x:c r="J990" s="7"/>
      <x:c r="K990" s="7" t="str">
        <x:v>Open</x:v>
      </x:c>
      <x:c r="L990" s="7"/>
    </x:row>
    <x:row r="991" ht="21" customHeight="1">
      <x:c r="A991" s="1" t="str">
        <x:f>Source!A985</x:f>
        <x:v>C0007339</x:v>
      </x:c>
      <x:c r="B991" s="1" t="str">
        <x:f>_xlfn.IFNA(VLOOKUP(Source!B985,Advertisers!$A$5:$B$34,2,FALSE),"Missing advertiser")</x:f>
        <x:v>Synthetic advertiser 15</x:v>
      </x:c>
      <x:c r="C991" s="1" t="n">
        <x:f>Source!C985</x:f>
        <x:v>15</x:v>
      </x:c>
      <x:c r="D991" s="8" t="n">
        <x:f>Source!D985/100</x:f>
        <x:v>182.12</x:v>
      </x:c>
      <x:c r="E991" s="8" t="n">
        <x:f>Source!E985/100</x:f>
        <x:v>0</x:v>
      </x:c>
      <x:c r="F991" s="8" t="n">
        <x:f>Source!F985/100</x:f>
        <x:v>0</x:v>
      </x:c>
      <x:c r="G991" s="8" t="n">
        <x:f>Source!G985/100</x:f>
        <x:v>0</x:v>
      </x:c>
      <x:c r="H991" s="8" t="n">
        <x:f>G991-D991</x:f>
        <x:v>-182.12</x:v>
      </x:c>
      <x:c r="I991" s="1" t="str">
        <x:f>IF(H991&gt;0,"Overbilled","Shortfall")</x:f>
        <x:v>Shortfall</x:v>
      </x:c>
      <x:c r="J991" s="7"/>
      <x:c r="K991" s="7" t="str">
        <x:v>Open</x:v>
      </x:c>
      <x:c r="L991" s="7"/>
    </x:row>
    <x:row r="992" ht="21" customHeight="1">
      <x:c r="A992" s="1" t="str">
        <x:f>Source!A986</x:f>
        <x:v>C0011957</x:v>
      </x:c>
      <x:c r="B992" s="1" t="str">
        <x:f>_xlfn.IFNA(VLOOKUP(Source!B986,Advertisers!$A$5:$B$34,2,FALSE),"Missing advertiser")</x:f>
        <x:v>Synthetic advertiser 15</x:v>
      </x:c>
      <x:c r="C992" s="1" t="n">
        <x:f>Source!C986</x:f>
        <x:v>15</x:v>
      </x:c>
      <x:c r="D992" s="8" t="n">
        <x:f>Source!D986/100</x:f>
        <x:v>182.12</x:v>
      </x:c>
      <x:c r="E992" s="8" t="n">
        <x:f>Source!E986/100</x:f>
        <x:v>0</x:v>
      </x:c>
      <x:c r="F992" s="8" t="n">
        <x:f>Source!F986/100</x:f>
        <x:v>0</x:v>
      </x:c>
      <x:c r="G992" s="8" t="n">
        <x:f>Source!G986/100</x:f>
        <x:v>0</x:v>
      </x:c>
      <x:c r="H992" s="8" t="n">
        <x:f>G992-D992</x:f>
        <x:v>-182.12</x:v>
      </x:c>
      <x:c r="I992" s="1" t="str">
        <x:f>IF(H992&gt;0,"Overbilled","Shortfall")</x:f>
        <x:v>Shortfall</x:v>
      </x:c>
      <x:c r="J992" s="7"/>
      <x:c r="K992" s="7" t="str">
        <x:v>Open</x:v>
      </x:c>
      <x:c r="L992" s="7"/>
    </x:row>
    <x:row r="993" ht="21" customHeight="1">
      <x:c r="A993" s="1" t="str">
        <x:f>Source!A987</x:f>
        <x:v>C0008043</x:v>
      </x:c>
      <x:c r="B993" s="1" t="str">
        <x:f>_xlfn.IFNA(VLOOKUP(Source!B987,Advertisers!$A$5:$B$34,2,FALSE),"Missing advertiser")</x:f>
        <x:v>Synthetic advertiser 15</x:v>
      </x:c>
      <x:c r="C993" s="1" t="n">
        <x:f>Source!C987</x:f>
        <x:v>15</x:v>
      </x:c>
      <x:c r="D993" s="8" t="n">
        <x:f>Source!D987/100</x:f>
        <x:v>182.12</x:v>
      </x:c>
      <x:c r="E993" s="8" t="n">
        <x:f>Source!E987/100</x:f>
        <x:v>364.24</x:v>
      </x:c>
      <x:c r="F993" s="8" t="n">
        <x:f>Source!F987/100</x:f>
        <x:v>0</x:v>
      </x:c>
      <x:c r="G993" s="8" t="n">
        <x:f>Source!G987/100</x:f>
        <x:v>364.24</x:v>
      </x:c>
      <x:c r="H993" s="8" t="n">
        <x:f>G993-D993</x:f>
        <x:v>182.12</x:v>
      </x:c>
      <x:c r="I993" s="1" t="str">
        <x:f>IF(H993&gt;0,"Overbilled","Shortfall")</x:f>
        <x:v>Overbilled</x:v>
      </x:c>
      <x:c r="J993" s="7"/>
      <x:c r="K993" s="7" t="str">
        <x:v>Open</x:v>
      </x:c>
      <x:c r="L993" s="7"/>
    </x:row>
    <x:row r="994" ht="21" customHeight="1">
      <x:c r="A994" s="1" t="str">
        <x:f>Source!A988</x:f>
        <x:v>C0007998</x:v>
      </x:c>
      <x:c r="B994" s="1" t="str">
        <x:f>_xlfn.IFNA(VLOOKUP(Source!B988,Advertisers!$A$5:$B$34,2,FALSE),"Missing advertiser")</x:f>
        <x:v>Synthetic advertiser 15</x:v>
      </x:c>
      <x:c r="C994" s="1" t="n">
        <x:f>Source!C988</x:f>
        <x:v>15</x:v>
      </x:c>
      <x:c r="D994" s="8" t="n">
        <x:f>Source!D988/100</x:f>
        <x:v>182.12</x:v>
      </x:c>
      <x:c r="E994" s="8" t="n">
        <x:f>Source!E988/100</x:f>
        <x:v>364.24</x:v>
      </x:c>
      <x:c r="F994" s="8" t="n">
        <x:f>Source!F988/100</x:f>
        <x:v>0</x:v>
      </x:c>
      <x:c r="G994" s="8" t="n">
        <x:f>Source!G988/100</x:f>
        <x:v>364.24</x:v>
      </x:c>
      <x:c r="H994" s="8" t="n">
        <x:f>G994-D994</x:f>
        <x:v>182.12</x:v>
      </x:c>
      <x:c r="I994" s="1" t="str">
        <x:f>IF(H994&gt;0,"Overbilled","Shortfall")</x:f>
        <x:v>Overbilled</x:v>
      </x:c>
      <x:c r="J994" s="7"/>
      <x:c r="K994" s="7" t="str">
        <x:v>Open</x:v>
      </x:c>
      <x:c r="L994" s="7"/>
    </x:row>
    <x:row r="995" ht="21" customHeight="1">
      <x:c r="A995" s="1" t="str">
        <x:f>Source!A989</x:f>
        <x:v>C0001819</x:v>
      </x:c>
      <x:c r="B995" s="1" t="str">
        <x:f>_xlfn.IFNA(VLOOKUP(Source!B989,Advertisers!$A$5:$B$34,2,FALSE),"Missing advertiser")</x:f>
        <x:v>Synthetic advertiser 15</x:v>
      </x:c>
      <x:c r="C995" s="1" t="n">
        <x:f>Source!C989</x:f>
        <x:v>15</x:v>
      </x:c>
      <x:c r="D995" s="8" t="n">
        <x:f>Source!D989/100</x:f>
        <x:v>182.12</x:v>
      </x:c>
      <x:c r="E995" s="8" t="n">
        <x:f>Source!E989/100</x:f>
        <x:v>0</x:v>
      </x:c>
      <x:c r="F995" s="8" t="n">
        <x:f>Source!F989/100</x:f>
        <x:v>0</x:v>
      </x:c>
      <x:c r="G995" s="8" t="n">
        <x:f>Source!G989/100</x:f>
        <x:v>0</x:v>
      </x:c>
      <x:c r="H995" s="8" t="n">
        <x:f>G995-D995</x:f>
        <x:v>-182.12</x:v>
      </x:c>
      <x:c r="I995" s="1" t="str">
        <x:f>IF(H995&gt;0,"Overbilled","Shortfall")</x:f>
        <x:v>Shortfall</x:v>
      </x:c>
      <x:c r="J995" s="7"/>
      <x:c r="K995" s="7" t="str">
        <x:v>Open</x:v>
      </x:c>
      <x:c r="L995" s="7"/>
    </x:row>
    <x:row r="996" ht="21" customHeight="1">
      <x:c r="A996" s="1" t="str">
        <x:f>Source!A990</x:f>
        <x:v>C0013371</x:v>
      </x:c>
      <x:c r="B996" s="1" t="str">
        <x:f>_xlfn.IFNA(VLOOKUP(Source!B990,Advertisers!$A$5:$B$34,2,FALSE),"Missing advertiser")</x:f>
        <x:v>Synthetic advertiser 15</x:v>
      </x:c>
      <x:c r="C996" s="1" t="n">
        <x:f>Source!C990</x:f>
        <x:v>15</x:v>
      </x:c>
      <x:c r="D996" s="8" t="n">
        <x:f>Source!D990/100</x:f>
        <x:v>182.12</x:v>
      </x:c>
      <x:c r="E996" s="8" t="n">
        <x:f>Source!E990/100</x:f>
        <x:v>364.24</x:v>
      </x:c>
      <x:c r="F996" s="8" t="n">
        <x:f>Source!F990/100</x:f>
        <x:v>0</x:v>
      </x:c>
      <x:c r="G996" s="8" t="n">
        <x:f>Source!G990/100</x:f>
        <x:v>364.24</x:v>
      </x:c>
      <x:c r="H996" s="8" t="n">
        <x:f>G996-D996</x:f>
        <x:v>182.12</x:v>
      </x:c>
      <x:c r="I996" s="1" t="str">
        <x:f>IF(H996&gt;0,"Overbilled","Shortfall")</x:f>
        <x:v>Overbilled</x:v>
      </x:c>
      <x:c r="J996" s="7"/>
      <x:c r="K996" s="7" t="str">
        <x:v>Open</x:v>
      </x:c>
      <x:c r="L996" s="7"/>
    </x:row>
    <x:row r="997" ht="21" customHeight="1">
      <x:c r="A997" s="1" t="str">
        <x:f>Source!A991</x:f>
        <x:v>C0004081</x:v>
      </x:c>
      <x:c r="B997" s="1" t="str">
        <x:f>_xlfn.IFNA(VLOOKUP(Source!B991,Advertisers!$A$5:$B$34,2,FALSE),"Missing advertiser")</x:f>
        <x:v>Synthetic advertiser 15</x:v>
      </x:c>
      <x:c r="C997" s="1" t="n">
        <x:f>Source!C991</x:f>
        <x:v>15</x:v>
      </x:c>
      <x:c r="D997" s="8" t="n">
        <x:f>Source!D991/100</x:f>
        <x:v>182.12</x:v>
      </x:c>
      <x:c r="E997" s="8" t="n">
        <x:f>Source!E991/100</x:f>
        <x:v>364.24</x:v>
      </x:c>
      <x:c r="F997" s="8" t="n">
        <x:f>Source!F991/100</x:f>
        <x:v>0</x:v>
      </x:c>
      <x:c r="G997" s="8" t="n">
        <x:f>Source!G991/100</x:f>
        <x:v>364.24</x:v>
      </x:c>
      <x:c r="H997" s="8" t="n">
        <x:f>G997-D997</x:f>
        <x:v>182.12</x:v>
      </x:c>
      <x:c r="I997" s="1" t="str">
        <x:f>IF(H997&gt;0,"Overbilled","Shortfall")</x:f>
        <x:v>Overbilled</x:v>
      </x:c>
      <x:c r="J997" s="7"/>
      <x:c r="K997" s="7" t="str">
        <x:v>Open</x:v>
      </x:c>
      <x:c r="L997" s="7"/>
    </x:row>
    <x:row r="998" ht="21" customHeight="1">
      <x:c r="A998" s="1" t="str">
        <x:f>Source!A992</x:f>
        <x:v>C0009714</x:v>
      </x:c>
      <x:c r="B998" s="1" t="str">
        <x:f>_xlfn.IFNA(VLOOKUP(Source!B992,Advertisers!$A$5:$B$34,2,FALSE),"Missing advertiser")</x:f>
        <x:v>Synthetic advertiser 15</x:v>
      </x:c>
      <x:c r="C998" s="1" t="n">
        <x:f>Source!C992</x:f>
        <x:v>15</x:v>
      </x:c>
      <x:c r="D998" s="8" t="n">
        <x:f>Source!D992/100</x:f>
        <x:v>182.12</x:v>
      </x:c>
      <x:c r="E998" s="8" t="n">
        <x:f>Source!E992/100</x:f>
        <x:v>364.24</x:v>
      </x:c>
      <x:c r="F998" s="8" t="n">
        <x:f>Source!F992/100</x:f>
        <x:v>0</x:v>
      </x:c>
      <x:c r="G998" s="8" t="n">
        <x:f>Source!G992/100</x:f>
        <x:v>364.24</x:v>
      </x:c>
      <x:c r="H998" s="8" t="n">
        <x:f>G998-D998</x:f>
        <x:v>182.12</x:v>
      </x:c>
      <x:c r="I998" s="1" t="str">
        <x:f>IF(H998&gt;0,"Overbilled","Shortfall")</x:f>
        <x:v>Overbilled</x:v>
      </x:c>
      <x:c r="J998" s="7"/>
      <x:c r="K998" s="7" t="str">
        <x:v>Open</x:v>
      </x:c>
      <x:c r="L998" s="7"/>
    </x:row>
    <x:row r="999" ht="21" customHeight="1">
      <x:c r="A999" s="1" t="str">
        <x:f>Source!A993</x:f>
        <x:v>C0017489</x:v>
      </x:c>
      <x:c r="B999" s="1" t="str">
        <x:f>_xlfn.IFNA(VLOOKUP(Source!B993,Advertisers!$A$5:$B$34,2,FALSE),"Missing advertiser")</x:f>
        <x:v>Synthetic advertiser 29</x:v>
      </x:c>
      <x:c r="C999" s="1" t="n">
        <x:f>Source!C993</x:f>
        <x:v>119</x:v>
      </x:c>
      <x:c r="D999" s="8" t="n">
        <x:f>Source!D993/100</x:f>
        <x:v>0</x:v>
      </x:c>
      <x:c r="E999" s="8" t="n">
        <x:f>Source!E993/100</x:f>
        <x:v>181.65</x:v>
      </x:c>
      <x:c r="F999" s="8" t="n">
        <x:f>Source!F993/100</x:f>
        <x:v>0</x:v>
      </x:c>
      <x:c r="G999" s="8" t="n">
        <x:f>Source!G993/100</x:f>
        <x:v>181.65</x:v>
      </x:c>
      <x:c r="H999" s="8" t="n">
        <x:f>G999-D999</x:f>
        <x:v>181.65</x:v>
      </x:c>
      <x:c r="I999" s="1" t="str">
        <x:f>IF(H999&gt;0,"Overbilled","Shortfall")</x:f>
        <x:v>Overbilled</x:v>
      </x:c>
      <x:c r="J999" s="7"/>
      <x:c r="K999" s="7" t="str">
        <x:v>Open</x:v>
      </x:c>
      <x:c r="L999" s="7"/>
    </x:row>
    <x:row r="1000" ht="21" customHeight="1">
      <x:c r="A1000" s="1" t="str">
        <x:f>Source!A994</x:f>
        <x:v>C0006265</x:v>
      </x:c>
      <x:c r="B1000" s="1" t="str">
        <x:f>_xlfn.IFNA(VLOOKUP(Source!B994,Advertisers!$A$5:$B$34,2,FALSE),"Missing advertiser")</x:f>
        <x:v>Synthetic advertiser 29</x:v>
      </x:c>
      <x:c r="C1000" s="1" t="n">
        <x:f>Source!C994</x:f>
        <x:v>119</x:v>
      </x:c>
      <x:c r="D1000" s="8" t="n">
        <x:f>Source!D994/100</x:f>
        <x:v>181.65</x:v>
      </x:c>
      <x:c r="E1000" s="8" t="n">
        <x:f>Source!E994/100</x:f>
        <x:v>0</x:v>
      </x:c>
      <x:c r="F1000" s="8" t="n">
        <x:f>Source!F994/100</x:f>
        <x:v>0</x:v>
      </x:c>
      <x:c r="G1000" s="8" t="n">
        <x:f>Source!G994/100</x:f>
        <x:v>0</x:v>
      </x:c>
      <x:c r="H1000" s="8" t="n">
        <x:f>G1000-D1000</x:f>
        <x:v>-181.65</x:v>
      </x:c>
      <x:c r="I1000" s="1" t="str">
        <x:f>IF(H1000&gt;0,"Overbilled","Shortfall")</x:f>
        <x:v>Shortfall</x:v>
      </x:c>
      <x:c r="J1000" s="7"/>
      <x:c r="K1000" s="7" t="str">
        <x:v>Open</x:v>
      </x:c>
      <x:c r="L1000" s="7"/>
    </x:row>
    <x:row r="1001" ht="21" customHeight="1">
      <x:c r="A1001" s="1" t="str">
        <x:f>Source!A995</x:f>
        <x:v>C0008161</x:v>
      </x:c>
      <x:c r="B1001" s="1" t="str">
        <x:f>_xlfn.IFNA(VLOOKUP(Source!B995,Advertisers!$A$5:$B$34,2,FALSE),"Missing advertiser")</x:f>
        <x:v>Synthetic advertiser 29</x:v>
      </x:c>
      <x:c r="C1001" s="1" t="n">
        <x:f>Source!C995</x:f>
        <x:v>119</x:v>
      </x:c>
      <x:c r="D1001" s="8" t="n">
        <x:f>Source!D995/100</x:f>
        <x:v>181.65</x:v>
      </x:c>
      <x:c r="E1001" s="8" t="n">
        <x:f>Source!E995/100</x:f>
        <x:v>0</x:v>
      </x:c>
      <x:c r="F1001" s="8" t="n">
        <x:f>Source!F995/100</x:f>
        <x:v>0</x:v>
      </x:c>
      <x:c r="G1001" s="8" t="n">
        <x:f>Source!G995/100</x:f>
        <x:v>0</x:v>
      </x:c>
      <x:c r="H1001" s="8" t="n">
        <x:f>G1001-D1001</x:f>
        <x:v>-181.65</x:v>
      </x:c>
      <x:c r="I1001" s="1" t="str">
        <x:f>IF(H1001&gt;0,"Overbilled","Shortfall")</x:f>
        <x:v>Shortfall</x:v>
      </x:c>
      <x:c r="J1001" s="7"/>
      <x:c r="K1001" s="7" t="str">
        <x:v>Open</x:v>
      </x:c>
      <x:c r="L1001" s="7"/>
    </x:row>
    <x:row r="1002" ht="21" customHeight="1">
      <x:c r="A1002" s="1" t="str">
        <x:f>Source!A996</x:f>
        <x:v>C0013725</x:v>
      </x:c>
      <x:c r="B1002" s="1" t="str">
        <x:f>_xlfn.IFNA(VLOOKUP(Source!B996,Advertisers!$A$5:$B$34,2,FALSE),"Missing advertiser")</x:f>
        <x:v>Synthetic advertiser 29</x:v>
      </x:c>
      <x:c r="C1002" s="1" t="n">
        <x:f>Source!C996</x:f>
        <x:v>119</x:v>
      </x:c>
      <x:c r="D1002" s="8" t="n">
        <x:f>Source!D996/100</x:f>
        <x:v>181.65</x:v>
      </x:c>
      <x:c r="E1002" s="8" t="n">
        <x:f>Source!E996/100</x:f>
        <x:v>0</x:v>
      </x:c>
      <x:c r="F1002" s="8" t="n">
        <x:f>Source!F996/100</x:f>
        <x:v>0</x:v>
      </x:c>
      <x:c r="G1002" s="8" t="n">
        <x:f>Source!G996/100</x:f>
        <x:v>0</x:v>
      </x:c>
      <x:c r="H1002" s="8" t="n">
        <x:f>G1002-D1002</x:f>
        <x:v>-181.65</x:v>
      </x:c>
      <x:c r="I1002" s="1" t="str">
        <x:f>IF(H1002&gt;0,"Overbilled","Shortfall")</x:f>
        <x:v>Shortfall</x:v>
      </x:c>
      <x:c r="J1002" s="7"/>
      <x:c r="K1002" s="7" t="str">
        <x:v>Open</x:v>
      </x:c>
      <x:c r="L1002" s="7"/>
    </x:row>
    <x:row r="1003" ht="21" customHeight="1">
      <x:c r="A1003" s="1" t="str">
        <x:f>Source!A997</x:f>
        <x:v>C0001469</x:v>
      </x:c>
      <x:c r="B1003" s="1" t="str">
        <x:f>_xlfn.IFNA(VLOOKUP(Source!B997,Advertisers!$A$5:$B$34,2,FALSE),"Missing advertiser")</x:f>
        <x:v>Synthetic advertiser 29</x:v>
      </x:c>
      <x:c r="C1003" s="1" t="n">
        <x:f>Source!C997</x:f>
        <x:v>119</x:v>
      </x:c>
      <x:c r="D1003" s="8" t="n">
        <x:f>Source!D997/100</x:f>
        <x:v>181.65</x:v>
      </x:c>
      <x:c r="E1003" s="8" t="n">
        <x:f>Source!E997/100</x:f>
        <x:v>0</x:v>
      </x:c>
      <x:c r="F1003" s="8" t="n">
        <x:f>Source!F997/100</x:f>
        <x:v>0</x:v>
      </x:c>
      <x:c r="G1003" s="8" t="n">
        <x:f>Source!G997/100</x:f>
        <x:v>0</x:v>
      </x:c>
      <x:c r="H1003" s="8" t="n">
        <x:f>G1003-D1003</x:f>
        <x:v>-181.65</x:v>
      </x:c>
      <x:c r="I1003" s="1" t="str">
        <x:f>IF(H1003&gt;0,"Overbilled","Shortfall")</x:f>
        <x:v>Shortfall</x:v>
      </x:c>
      <x:c r="J1003" s="7"/>
      <x:c r="K1003" s="7" t="str">
        <x:v>Open</x:v>
      </x:c>
      <x:c r="L1003" s="7"/>
    </x:row>
    <x:row r="1004" ht="21" customHeight="1">
      <x:c r="A1004" s="1" t="str">
        <x:f>Source!A998</x:f>
        <x:v>C0006247</x:v>
      </x:c>
      <x:c r="B1004" s="1" t="str">
        <x:f>_xlfn.IFNA(VLOOKUP(Source!B998,Advertisers!$A$5:$B$34,2,FALSE),"Missing advertiser")</x:f>
        <x:v>Synthetic advertiser 29</x:v>
      </x:c>
      <x:c r="C1004" s="1" t="n">
        <x:f>Source!C998</x:f>
        <x:v>119</x:v>
      </x:c>
      <x:c r="D1004" s="8" t="n">
        <x:f>Source!D998/100</x:f>
        <x:v>181.65</x:v>
      </x:c>
      <x:c r="E1004" s="8" t="n">
        <x:f>Source!E998/100</x:f>
        <x:v>363.3</x:v>
      </x:c>
      <x:c r="F1004" s="8" t="n">
        <x:f>Source!F998/100</x:f>
        <x:v>0</x:v>
      </x:c>
      <x:c r="G1004" s="8" t="n">
        <x:f>Source!G998/100</x:f>
        <x:v>363.3</x:v>
      </x:c>
      <x:c r="H1004" s="8" t="n">
        <x:f>G1004-D1004</x:f>
        <x:v>181.65</x:v>
      </x:c>
      <x:c r="I1004" s="1" t="str">
        <x:f>IF(H1004&gt;0,"Overbilled","Shortfall")</x:f>
        <x:v>Overbilled</x:v>
      </x:c>
      <x:c r="J1004" s="7"/>
      <x:c r="K1004" s="7" t="str">
        <x:v>Open</x:v>
      </x:c>
      <x:c r="L1004" s="7"/>
    </x:row>
    <x:row r="1005" ht="21" customHeight="1">
      <x:c r="A1005" s="1" t="str">
        <x:f>Source!A999</x:f>
        <x:v>C0005371</x:v>
      </x:c>
      <x:c r="B1005" s="1" t="str">
        <x:f>_xlfn.IFNA(VLOOKUP(Source!B999,Advertisers!$A$5:$B$34,2,FALSE),"Missing advertiser")</x:f>
        <x:v>Synthetic advertiser 29</x:v>
      </x:c>
      <x:c r="C1005" s="1" t="n">
        <x:f>Source!C999</x:f>
        <x:v>119</x:v>
      </x:c>
      <x:c r="D1005" s="8" t="n">
        <x:f>Source!D999/100</x:f>
        <x:v>181.65</x:v>
      </x:c>
      <x:c r="E1005" s="8" t="n">
        <x:f>Source!E999/100</x:f>
        <x:v>363.3</x:v>
      </x:c>
      <x:c r="F1005" s="8" t="n">
        <x:f>Source!F999/100</x:f>
        <x:v>0</x:v>
      </x:c>
      <x:c r="G1005" s="8" t="n">
        <x:f>Source!G999/100</x:f>
        <x:v>363.3</x:v>
      </x:c>
      <x:c r="H1005" s="8" t="n">
        <x:f>G1005-D1005</x:f>
        <x:v>181.65</x:v>
      </x:c>
      <x:c r="I1005" s="1" t="str">
        <x:f>IF(H1005&gt;0,"Overbilled","Shortfall")</x:f>
        <x:v>Overbilled</x:v>
      </x:c>
      <x:c r="J1005" s="7"/>
      <x:c r="K1005" s="7" t="str">
        <x:v>Open</x:v>
      </x:c>
      <x:c r="L1005" s="7"/>
    </x:row>
    <x:row r="1006" ht="21" customHeight="1">
      <x:c r="A1006" s="1" t="str">
        <x:f>Source!A1000</x:f>
        <x:v>C0016647</x:v>
      </x:c>
      <x:c r="B1006" s="1" t="str">
        <x:f>_xlfn.IFNA(VLOOKUP(Source!B1000,Advertisers!$A$5:$B$34,2,FALSE),"Missing advertiser")</x:f>
        <x:v>Synthetic advertiser 29</x:v>
      </x:c>
      <x:c r="C1006" s="1" t="n">
        <x:f>Source!C1000</x:f>
        <x:v>119</x:v>
      </x:c>
      <x:c r="D1006" s="8" t="n">
        <x:f>Source!D1000/100</x:f>
        <x:v>181.65</x:v>
      </x:c>
      <x:c r="E1006" s="8" t="n">
        <x:f>Source!E1000/100</x:f>
        <x:v>363.3</x:v>
      </x:c>
      <x:c r="F1006" s="8" t="n">
        <x:f>Source!F1000/100</x:f>
        <x:v>0</x:v>
      </x:c>
      <x:c r="G1006" s="8" t="n">
        <x:f>Source!G1000/100</x:f>
        <x:v>363.3</x:v>
      </x:c>
      <x:c r="H1006" s="8" t="n">
        <x:f>G1006-D1006</x:f>
        <x:v>181.65</x:v>
      </x:c>
      <x:c r="I1006" s="1" t="str">
        <x:f>IF(H1006&gt;0,"Overbilled","Shortfall")</x:f>
        <x:v>Overbilled</x:v>
      </x:c>
      <x:c r="J1006" s="7"/>
      <x:c r="K1006" s="7" t="str">
        <x:v>Open</x:v>
      </x:c>
      <x:c r="L1006" s="7"/>
    </x:row>
    <x:row r="1007" ht="21" customHeight="1">
      <x:c r="A1007" s="1" t="str">
        <x:f>Source!A1001</x:f>
        <x:v>C0015604</x:v>
      </x:c>
      <x:c r="B1007" s="1" t="str">
        <x:f>_xlfn.IFNA(VLOOKUP(Source!B1001,Advertisers!$A$5:$B$34,2,FALSE),"Missing advertiser")</x:f>
        <x:v>Synthetic advertiser 29</x:v>
      </x:c>
      <x:c r="C1007" s="1" t="n">
        <x:f>Source!C1001</x:f>
        <x:v>119</x:v>
      </x:c>
      <x:c r="D1007" s="8" t="n">
        <x:f>Source!D1001/100</x:f>
        <x:v>181.65</x:v>
      </x:c>
      <x:c r="E1007" s="8" t="n">
        <x:f>Source!E1001/100</x:f>
        <x:v>363.3</x:v>
      </x:c>
      <x:c r="F1007" s="8" t="n">
        <x:f>Source!F1001/100</x:f>
        <x:v>0</x:v>
      </x:c>
      <x:c r="G1007" s="8" t="n">
        <x:f>Source!G1001/100</x:f>
        <x:v>363.3</x:v>
      </x:c>
      <x:c r="H1007" s="8" t="n">
        <x:f>G1007-D1007</x:f>
        <x:v>181.65</x:v>
      </x:c>
      <x:c r="I1007" s="1" t="str">
        <x:f>IF(H1007&gt;0,"Overbilled","Shortfall")</x:f>
        <x:v>Overbilled</x:v>
      </x:c>
      <x:c r="J1007" s="7"/>
      <x:c r="K1007" s="7" t="str">
        <x:v>Open</x:v>
      </x:c>
      <x:c r="L1007" s="7"/>
    </x:row>
    <x:row r="1008" ht="21" customHeight="1">
      <x:c r="A1008" s="1" t="str">
        <x:f>Source!A1002</x:f>
        <x:v>C0013178</x:v>
      </x:c>
      <x:c r="B1008" s="1" t="str">
        <x:f>_xlfn.IFNA(VLOOKUP(Source!B1002,Advertisers!$A$5:$B$34,2,FALSE),"Missing advertiser")</x:f>
        <x:v>Synthetic advertiser 12</x:v>
      </x:c>
      <x:c r="C1008" s="1" t="n">
        <x:f>Source!C1002</x:f>
        <x:v>72</x:v>
      </x:c>
      <x:c r="D1008" s="8" t="n">
        <x:f>Source!D1002/100</x:f>
        <x:v>180.82</x:v>
      </x:c>
      <x:c r="E1008" s="8" t="n">
        <x:f>Source!E1002/100</x:f>
        <x:v>0</x:v>
      </x:c>
      <x:c r="F1008" s="8" t="n">
        <x:f>Source!F1002/100</x:f>
        <x:v>0</x:v>
      </x:c>
      <x:c r="G1008" s="8" t="n">
        <x:f>Source!G1002/100</x:f>
        <x:v>0</x:v>
      </x:c>
      <x:c r="H1008" s="8" t="n">
        <x:f>G1008-D1008</x:f>
        <x:v>-180.82</x:v>
      </x:c>
      <x:c r="I1008" s="1" t="str">
        <x:f>IF(H1008&gt;0,"Overbilled","Shortfall")</x:f>
        <x:v>Shortfall</x:v>
      </x:c>
      <x:c r="J1008" s="7"/>
      <x:c r="K1008" s="7" t="str">
        <x:v>Open</x:v>
      </x:c>
      <x:c r="L1008" s="7"/>
    </x:row>
    <x:row r="1009" ht="21" customHeight="1">
      <x:c r="A1009" s="1" t="str">
        <x:f>Source!A1003</x:f>
        <x:v>C0012294</x:v>
      </x:c>
      <x:c r="B1009" s="1" t="str">
        <x:f>_xlfn.IFNA(VLOOKUP(Source!B1003,Advertisers!$A$5:$B$34,2,FALSE),"Missing advertiser")</x:f>
        <x:v>Synthetic advertiser 12</x:v>
      </x:c>
      <x:c r="C1009" s="1" t="n">
        <x:f>Source!C1003</x:f>
        <x:v>72</x:v>
      </x:c>
      <x:c r="D1009" s="8" t="n">
        <x:f>Source!D1003/100</x:f>
        <x:v>180.82</x:v>
      </x:c>
      <x:c r="E1009" s="8" t="n">
        <x:f>Source!E1003/100</x:f>
        <x:v>0</x:v>
      </x:c>
      <x:c r="F1009" s="8" t="n">
        <x:f>Source!F1003/100</x:f>
        <x:v>0</x:v>
      </x:c>
      <x:c r="G1009" s="8" t="n">
        <x:f>Source!G1003/100</x:f>
        <x:v>0</x:v>
      </x:c>
      <x:c r="H1009" s="8" t="n">
        <x:f>G1009-D1009</x:f>
        <x:v>-180.82</x:v>
      </x:c>
      <x:c r="I1009" s="1" t="str">
        <x:f>IF(H1009&gt;0,"Overbilled","Shortfall")</x:f>
        <x:v>Shortfall</x:v>
      </x:c>
      <x:c r="J1009" s="7"/>
      <x:c r="K1009" s="7" t="str">
        <x:v>Open</x:v>
      </x:c>
      <x:c r="L1009" s="7"/>
    </x:row>
    <x:row r="1010" ht="21" customHeight="1">
      <x:c r="A1010" s="1" t="str">
        <x:f>Source!A1004</x:f>
        <x:v>C0015381</x:v>
      </x:c>
      <x:c r="B1010" s="1" t="str">
        <x:f>_xlfn.IFNA(VLOOKUP(Source!B1004,Advertisers!$A$5:$B$34,2,FALSE),"Missing advertiser")</x:f>
        <x:v>Synthetic advertiser 12</x:v>
      </x:c>
      <x:c r="C1010" s="1" t="n">
        <x:f>Source!C1004</x:f>
        <x:v>72</x:v>
      </x:c>
      <x:c r="D1010" s="8" t="n">
        <x:f>Source!D1004/100</x:f>
        <x:v>180.82</x:v>
      </x:c>
      <x:c r="E1010" s="8" t="n">
        <x:f>Source!E1004/100</x:f>
        <x:v>361.64</x:v>
      </x:c>
      <x:c r="F1010" s="8" t="n">
        <x:f>Source!F1004/100</x:f>
        <x:v>0</x:v>
      </x:c>
      <x:c r="G1010" s="8" t="n">
        <x:f>Source!G1004/100</x:f>
        <x:v>361.64</x:v>
      </x:c>
      <x:c r="H1010" s="8" t="n">
        <x:f>G1010-D1010</x:f>
        <x:v>180.82</x:v>
      </x:c>
      <x:c r="I1010" s="1" t="str">
        <x:f>IF(H1010&gt;0,"Overbilled","Shortfall")</x:f>
        <x:v>Overbilled</x:v>
      </x:c>
      <x:c r="J1010" s="7"/>
      <x:c r="K1010" s="7" t="str">
        <x:v>Open</x:v>
      </x:c>
      <x:c r="L1010" s="7"/>
    </x:row>
    <x:row r="1011" ht="21" customHeight="1">
      <x:c r="A1011" s="1" t="str">
        <x:f>Source!A1005</x:f>
        <x:v>C0007051</x:v>
      </x:c>
      <x:c r="B1011" s="1" t="str">
        <x:f>_xlfn.IFNA(VLOOKUP(Source!B1005,Advertisers!$A$5:$B$34,2,FALSE),"Missing advertiser")</x:f>
        <x:v>Synthetic advertiser 12</x:v>
      </x:c>
      <x:c r="C1011" s="1" t="n">
        <x:f>Source!C1005</x:f>
        <x:v>72</x:v>
      </x:c>
      <x:c r="D1011" s="8" t="n">
        <x:f>Source!D1005/100</x:f>
        <x:v>180.82</x:v>
      </x:c>
      <x:c r="E1011" s="8" t="n">
        <x:f>Source!E1005/100</x:f>
        <x:v>0</x:v>
      </x:c>
      <x:c r="F1011" s="8" t="n">
        <x:f>Source!F1005/100</x:f>
        <x:v>0</x:v>
      </x:c>
      <x:c r="G1011" s="8" t="n">
        <x:f>Source!G1005/100</x:f>
        <x:v>0</x:v>
      </x:c>
      <x:c r="H1011" s="8" t="n">
        <x:f>G1011-D1011</x:f>
        <x:v>-180.82</x:v>
      </x:c>
      <x:c r="I1011" s="1" t="str">
        <x:f>IF(H1011&gt;0,"Overbilled","Shortfall")</x:f>
        <x:v>Shortfall</x:v>
      </x:c>
      <x:c r="J1011" s="7"/>
      <x:c r="K1011" s="7" t="str">
        <x:v>Open</x:v>
      </x:c>
      <x:c r="L1011" s="7"/>
    </x:row>
    <x:row r="1012" ht="21" customHeight="1">
      <x:c r="A1012" s="1" t="str">
        <x:f>Source!A1006</x:f>
        <x:v>C0013260</x:v>
      </x:c>
      <x:c r="B1012" s="1" t="str">
        <x:f>_xlfn.IFNA(VLOOKUP(Source!B1006,Advertisers!$A$5:$B$34,2,FALSE),"Missing advertiser")</x:f>
        <x:v>Synthetic advertiser 12</x:v>
      </x:c>
      <x:c r="C1012" s="1" t="n">
        <x:f>Source!C1006</x:f>
        <x:v>72</x:v>
      </x:c>
      <x:c r="D1012" s="8" t="n">
        <x:f>Source!D1006/100</x:f>
        <x:v>0</x:v>
      </x:c>
      <x:c r="E1012" s="8" t="n">
        <x:f>Source!E1006/100</x:f>
        <x:v>180.82</x:v>
      </x:c>
      <x:c r="F1012" s="8" t="n">
        <x:f>Source!F1006/100</x:f>
        <x:v>0</x:v>
      </x:c>
      <x:c r="G1012" s="8" t="n">
        <x:f>Source!G1006/100</x:f>
        <x:v>180.82</x:v>
      </x:c>
      <x:c r="H1012" s="8" t="n">
        <x:f>G1012-D1012</x:f>
        <x:v>180.82</x:v>
      </x:c>
      <x:c r="I1012" s="1" t="str">
        <x:f>IF(H1012&gt;0,"Overbilled","Shortfall")</x:f>
        <x:v>Overbilled</x:v>
      </x:c>
      <x:c r="J1012" s="7"/>
      <x:c r="K1012" s="7" t="str">
        <x:v>Open</x:v>
      </x:c>
      <x:c r="L1012" s="7"/>
    </x:row>
    <x:row r="1013" ht="21" customHeight="1">
      <x:c r="A1013" s="1" t="str">
        <x:f>Source!A1007</x:f>
        <x:v>C0016495</x:v>
      </x:c>
      <x:c r="B1013" s="1" t="str">
        <x:f>_xlfn.IFNA(VLOOKUP(Source!B1007,Advertisers!$A$5:$B$34,2,FALSE),"Missing advertiser")</x:f>
        <x:v>Synthetic advertiser 12</x:v>
      </x:c>
      <x:c r="C1013" s="1" t="n">
        <x:f>Source!C1007</x:f>
        <x:v>72</x:v>
      </x:c>
      <x:c r="D1013" s="8" t="n">
        <x:f>Source!D1007/100</x:f>
        <x:v>180.82</x:v>
      </x:c>
      <x:c r="E1013" s="8" t="n">
        <x:f>Source!E1007/100</x:f>
        <x:v>0</x:v>
      </x:c>
      <x:c r="F1013" s="8" t="n">
        <x:f>Source!F1007/100</x:f>
        <x:v>0</x:v>
      </x:c>
      <x:c r="G1013" s="8" t="n">
        <x:f>Source!G1007/100</x:f>
        <x:v>0</x:v>
      </x:c>
      <x:c r="H1013" s="8" t="n">
        <x:f>G1013-D1013</x:f>
        <x:v>-180.82</x:v>
      </x:c>
      <x:c r="I1013" s="1" t="str">
        <x:f>IF(H1013&gt;0,"Overbilled","Shortfall")</x:f>
        <x:v>Shortfall</x:v>
      </x:c>
      <x:c r="J1013" s="7"/>
      <x:c r="K1013" s="7" t="str">
        <x:v>Open</x:v>
      </x:c>
      <x:c r="L1013" s="7"/>
    </x:row>
    <x:row r="1014" ht="21" customHeight="1">
      <x:c r="A1014" s="1" t="str">
        <x:f>Source!A1008</x:f>
        <x:v>C0016028</x:v>
      </x:c>
      <x:c r="B1014" s="1" t="str">
        <x:f>_xlfn.IFNA(VLOOKUP(Source!B1008,Advertisers!$A$5:$B$34,2,FALSE),"Missing advertiser")</x:f>
        <x:v>Synthetic advertiser 12</x:v>
      </x:c>
      <x:c r="C1014" s="1" t="n">
        <x:f>Source!C1008</x:f>
        <x:v>72</x:v>
      </x:c>
      <x:c r="D1014" s="8" t="n">
        <x:f>Source!D1008/100</x:f>
        <x:v>180.82</x:v>
      </x:c>
      <x:c r="E1014" s="8" t="n">
        <x:f>Source!E1008/100</x:f>
        <x:v>0</x:v>
      </x:c>
      <x:c r="F1014" s="8" t="n">
        <x:f>Source!F1008/100</x:f>
        <x:v>0</x:v>
      </x:c>
      <x:c r="G1014" s="8" t="n">
        <x:f>Source!G1008/100</x:f>
        <x:v>0</x:v>
      </x:c>
      <x:c r="H1014" s="8" t="n">
        <x:f>G1014-D1014</x:f>
        <x:v>-180.82</x:v>
      </x:c>
      <x:c r="I1014" s="1" t="str">
        <x:f>IF(H1014&gt;0,"Overbilled","Shortfall")</x:f>
        <x:v>Shortfall</x:v>
      </x:c>
      <x:c r="J1014" s="7"/>
      <x:c r="K1014" s="7" t="str">
        <x:v>Open</x:v>
      </x:c>
      <x:c r="L1014" s="7"/>
    </x:row>
    <x:row r="1015" ht="21" customHeight="1">
      <x:c r="A1015" s="1" t="str">
        <x:f>Source!A1009</x:f>
        <x:v>C0005456</x:v>
      </x:c>
      <x:c r="B1015" s="1" t="str">
        <x:f>_xlfn.IFNA(VLOOKUP(Source!B1009,Advertisers!$A$5:$B$34,2,FALSE),"Missing advertiser")</x:f>
        <x:v>Synthetic advertiser 28</x:v>
      </x:c>
      <x:c r="C1015" s="1" t="n">
        <x:f>Source!C1009</x:f>
        <x:v>58</x:v>
      </x:c>
      <x:c r="D1015" s="8" t="n">
        <x:f>Source!D1009/100</x:f>
        <x:v>180.49</x:v>
      </x:c>
      <x:c r="E1015" s="8" t="n">
        <x:f>Source!E1009/100</x:f>
        <x:v>0</x:v>
      </x:c>
      <x:c r="F1015" s="8" t="n">
        <x:f>Source!F1009/100</x:f>
        <x:v>0</x:v>
      </x:c>
      <x:c r="G1015" s="8" t="n">
        <x:f>Source!G1009/100</x:f>
        <x:v>0</x:v>
      </x:c>
      <x:c r="H1015" s="8" t="n">
        <x:f>G1015-D1015</x:f>
        <x:v>-180.49</x:v>
      </x:c>
      <x:c r="I1015" s="1" t="str">
        <x:f>IF(H1015&gt;0,"Overbilled","Shortfall")</x:f>
        <x:v>Shortfall</x:v>
      </x:c>
      <x:c r="J1015" s="7"/>
      <x:c r="K1015" s="7" t="str">
        <x:v>Open</x:v>
      </x:c>
      <x:c r="L1015" s="7"/>
    </x:row>
    <x:row r="1016" ht="21" customHeight="1">
      <x:c r="A1016" s="1" t="str">
        <x:f>Source!A1010</x:f>
        <x:v>C0010300</x:v>
      </x:c>
      <x:c r="B1016" s="1" t="str">
        <x:f>_xlfn.IFNA(VLOOKUP(Source!B1010,Advertisers!$A$5:$B$34,2,FALSE),"Missing advertiser")</x:f>
        <x:v>Synthetic advertiser 28</x:v>
      </x:c>
      <x:c r="C1016" s="1" t="n">
        <x:f>Source!C1010</x:f>
        <x:v>58</x:v>
      </x:c>
      <x:c r="D1016" s="8" t="n">
        <x:f>Source!D1010/100</x:f>
        <x:v>180.49</x:v>
      </x:c>
      <x:c r="E1016" s="8" t="n">
        <x:f>Source!E1010/100</x:f>
        <x:v>0</x:v>
      </x:c>
      <x:c r="F1016" s="8" t="n">
        <x:f>Source!F1010/100</x:f>
        <x:v>0</x:v>
      </x:c>
      <x:c r="G1016" s="8" t="n">
        <x:f>Source!G1010/100</x:f>
        <x:v>0</x:v>
      </x:c>
      <x:c r="H1016" s="8" t="n">
        <x:f>G1016-D1016</x:f>
        <x:v>-180.49</x:v>
      </x:c>
      <x:c r="I1016" s="1" t="str">
        <x:f>IF(H1016&gt;0,"Overbilled","Shortfall")</x:f>
        <x:v>Shortfall</x:v>
      </x:c>
      <x:c r="J1016" s="7"/>
      <x:c r="K1016" s="7" t="str">
        <x:v>Open</x:v>
      </x:c>
      <x:c r="L1016" s="7"/>
    </x:row>
    <x:row r="1017" ht="21" customHeight="1">
      <x:c r="A1017" s="1" t="str">
        <x:f>Source!A1011</x:f>
        <x:v>C0000174</x:v>
      </x:c>
      <x:c r="B1017" s="1" t="str">
        <x:f>_xlfn.IFNA(VLOOKUP(Source!B1011,Advertisers!$A$5:$B$34,2,FALSE),"Missing advertiser")</x:f>
        <x:v>Synthetic advertiser 28</x:v>
      </x:c>
      <x:c r="C1017" s="1" t="n">
        <x:f>Source!C1011</x:f>
        <x:v>58</x:v>
      </x:c>
      <x:c r="D1017" s="8" t="n">
        <x:f>Source!D1011/100</x:f>
        <x:v>180.49</x:v>
      </x:c>
      <x:c r="E1017" s="8" t="n">
        <x:f>Source!E1011/100</x:f>
        <x:v>0</x:v>
      </x:c>
      <x:c r="F1017" s="8" t="n">
        <x:f>Source!F1011/100</x:f>
        <x:v>0</x:v>
      </x:c>
      <x:c r="G1017" s="8" t="n">
        <x:f>Source!G1011/100</x:f>
        <x:v>0</x:v>
      </x:c>
      <x:c r="H1017" s="8" t="n">
        <x:f>G1017-D1017</x:f>
        <x:v>-180.49</x:v>
      </x:c>
      <x:c r="I1017" s="1" t="str">
        <x:f>IF(H1017&gt;0,"Overbilled","Shortfall")</x:f>
        <x:v>Shortfall</x:v>
      </x:c>
      <x:c r="J1017" s="7"/>
      <x:c r="K1017" s="7" t="str">
        <x:v>Open</x:v>
      </x:c>
      <x:c r="L1017" s="7"/>
    </x:row>
    <x:row r="1018" ht="21" customHeight="1">
      <x:c r="A1018" s="1" t="str">
        <x:f>Source!A1012</x:f>
        <x:v>C0005257</x:v>
      </x:c>
      <x:c r="B1018" s="1" t="str">
        <x:f>_xlfn.IFNA(VLOOKUP(Source!B1012,Advertisers!$A$5:$B$34,2,FALSE),"Missing advertiser")</x:f>
        <x:v>Synthetic advertiser 28</x:v>
      </x:c>
      <x:c r="C1018" s="1" t="n">
        <x:f>Source!C1012</x:f>
        <x:v>58</x:v>
      </x:c>
      <x:c r="D1018" s="8" t="n">
        <x:f>Source!D1012/100</x:f>
        <x:v>0</x:v>
      </x:c>
      <x:c r="E1018" s="8" t="n">
        <x:f>Source!E1012/100</x:f>
        <x:v>180.49</x:v>
      </x:c>
      <x:c r="F1018" s="8" t="n">
        <x:f>Source!F1012/100</x:f>
        <x:v>0</x:v>
      </x:c>
      <x:c r="G1018" s="8" t="n">
        <x:f>Source!G1012/100</x:f>
        <x:v>180.49</x:v>
      </x:c>
      <x:c r="H1018" s="8" t="n">
        <x:f>G1018-D1018</x:f>
        <x:v>180.49</x:v>
      </x:c>
      <x:c r="I1018" s="1" t="str">
        <x:f>IF(H1018&gt;0,"Overbilled","Shortfall")</x:f>
        <x:v>Overbilled</x:v>
      </x:c>
      <x:c r="J1018" s="7"/>
      <x:c r="K1018" s="7" t="str">
        <x:v>Open</x:v>
      </x:c>
      <x:c r="L1018" s="7"/>
    </x:row>
    <x:row r="1019" ht="21" customHeight="1">
      <x:c r="A1019" s="1" t="str">
        <x:f>Source!A1013</x:f>
        <x:v>C0005036</x:v>
      </x:c>
      <x:c r="B1019" s="1" t="str">
        <x:f>_xlfn.IFNA(VLOOKUP(Source!B1013,Advertisers!$A$5:$B$34,2,FALSE),"Missing advertiser")</x:f>
        <x:v>Synthetic advertiser 28</x:v>
      </x:c>
      <x:c r="C1019" s="1" t="n">
        <x:f>Source!C1013</x:f>
        <x:v>58</x:v>
      </x:c>
      <x:c r="D1019" s="8" t="n">
        <x:f>Source!D1013/100</x:f>
        <x:v>0</x:v>
      </x:c>
      <x:c r="E1019" s="8" t="n">
        <x:f>Source!E1013/100</x:f>
        <x:v>180.49</x:v>
      </x:c>
      <x:c r="F1019" s="8" t="n">
        <x:f>Source!F1013/100</x:f>
        <x:v>0</x:v>
      </x:c>
      <x:c r="G1019" s="8" t="n">
        <x:f>Source!G1013/100</x:f>
        <x:v>180.49</x:v>
      </x:c>
      <x:c r="H1019" s="8" t="n">
        <x:f>G1019-D1019</x:f>
        <x:v>180.49</x:v>
      </x:c>
      <x:c r="I1019" s="1" t="str">
        <x:f>IF(H1019&gt;0,"Overbilled","Shortfall")</x:f>
        <x:v>Overbilled</x:v>
      </x:c>
      <x:c r="J1019" s="7"/>
      <x:c r="K1019" s="7" t="str">
        <x:v>Open</x:v>
      </x:c>
      <x:c r="L1019" s="7"/>
    </x:row>
    <x:row r="1020" ht="21" customHeight="1">
      <x:c r="A1020" s="1" t="str">
        <x:f>Source!A1014</x:f>
        <x:v>C0006492</x:v>
      </x:c>
      <x:c r="B1020" s="1" t="str">
        <x:f>_xlfn.IFNA(VLOOKUP(Source!B1014,Advertisers!$A$5:$B$34,2,FALSE),"Missing advertiser")</x:f>
        <x:v>Synthetic advertiser 21</x:v>
      </x:c>
      <x:c r="C1020" s="1" t="n">
        <x:f>Source!C1014</x:f>
        <x:v>111</x:v>
      </x:c>
      <x:c r="D1020" s="8" t="n">
        <x:f>Source!D1014/100</x:f>
        <x:v>180.14</x:v>
      </x:c>
      <x:c r="E1020" s="8" t="n">
        <x:f>Source!E1014/100</x:f>
        <x:v>0</x:v>
      </x:c>
      <x:c r="F1020" s="8" t="n">
        <x:f>Source!F1014/100</x:f>
        <x:v>0</x:v>
      </x:c>
      <x:c r="G1020" s="8" t="n">
        <x:f>Source!G1014/100</x:f>
        <x:v>0</x:v>
      </x:c>
      <x:c r="H1020" s="8" t="n">
        <x:f>G1020-D1020</x:f>
        <x:v>-180.14</x:v>
      </x:c>
      <x:c r="I1020" s="1" t="str">
        <x:f>IF(H1020&gt;0,"Overbilled","Shortfall")</x:f>
        <x:v>Shortfall</x:v>
      </x:c>
      <x:c r="J1020" s="7"/>
      <x:c r="K1020" s="7" t="str">
        <x:v>Open</x:v>
      </x:c>
      <x:c r="L1020" s="7"/>
    </x:row>
    <x:row r="1021" ht="21" customHeight="1">
      <x:c r="A1021" s="1" t="str">
        <x:f>Source!A1015</x:f>
        <x:v>C0014583</x:v>
      </x:c>
      <x:c r="B1021" s="1" t="str">
        <x:f>_xlfn.IFNA(VLOOKUP(Source!B1015,Advertisers!$A$5:$B$34,2,FALSE),"Missing advertiser")</x:f>
        <x:v>Synthetic advertiser 21</x:v>
      </x:c>
      <x:c r="C1021" s="1" t="n">
        <x:f>Source!C1015</x:f>
        <x:v>111</x:v>
      </x:c>
      <x:c r="D1021" s="8" t="n">
        <x:f>Source!D1015/100</x:f>
        <x:v>180.14</x:v>
      </x:c>
      <x:c r="E1021" s="8" t="n">
        <x:f>Source!E1015/100</x:f>
        <x:v>360.28</x:v>
      </x:c>
      <x:c r="F1021" s="8" t="n">
        <x:f>Source!F1015/100</x:f>
        <x:v>0</x:v>
      </x:c>
      <x:c r="G1021" s="8" t="n">
        <x:f>Source!G1015/100</x:f>
        <x:v>360.28</x:v>
      </x:c>
      <x:c r="H1021" s="8" t="n">
        <x:f>G1021-D1021</x:f>
        <x:v>180.14</x:v>
      </x:c>
      <x:c r="I1021" s="1" t="str">
        <x:f>IF(H1021&gt;0,"Overbilled","Shortfall")</x:f>
        <x:v>Overbilled</x:v>
      </x:c>
      <x:c r="J1021" s="7"/>
      <x:c r="K1021" s="7" t="str">
        <x:v>Open</x:v>
      </x:c>
      <x:c r="L1021" s="7"/>
    </x:row>
    <x:row r="1022" ht="21" customHeight="1">
      <x:c r="A1022" s="1" t="str">
        <x:f>Source!A1016</x:f>
        <x:v>C0002901</x:v>
      </x:c>
      <x:c r="B1022" s="1" t="str">
        <x:f>_xlfn.IFNA(VLOOKUP(Source!B1016,Advertisers!$A$5:$B$34,2,FALSE),"Missing advertiser")</x:f>
        <x:v>Synthetic advertiser 24</x:v>
      </x:c>
      <x:c r="C1022" s="1" t="n">
        <x:f>Source!C1016</x:f>
        <x:v>24</x:v>
      </x:c>
      <x:c r="D1022" s="8" t="n">
        <x:f>Source!D1016/100</x:f>
        <x:v>178.56</x:v>
      </x:c>
      <x:c r="E1022" s="8" t="n">
        <x:f>Source!E1016/100</x:f>
        <x:v>0</x:v>
      </x:c>
      <x:c r="F1022" s="8" t="n">
        <x:f>Source!F1016/100</x:f>
        <x:v>0</x:v>
      </x:c>
      <x:c r="G1022" s="8" t="n">
        <x:f>Source!G1016/100</x:f>
        <x:v>0</x:v>
      </x:c>
      <x:c r="H1022" s="8" t="n">
        <x:f>G1022-D1022</x:f>
        <x:v>-178.56</x:v>
      </x:c>
      <x:c r="I1022" s="1" t="str">
        <x:f>IF(H1022&gt;0,"Overbilled","Shortfall")</x:f>
        <x:v>Shortfall</x:v>
      </x:c>
      <x:c r="J1022" s="7"/>
      <x:c r="K1022" s="7" t="str">
        <x:v>Open</x:v>
      </x:c>
      <x:c r="L1022" s="7"/>
    </x:row>
    <x:row r="1023" ht="21" customHeight="1">
      <x:c r="A1023" s="1" t="str">
        <x:f>Source!A1017</x:f>
        <x:v>C0012778</x:v>
      </x:c>
      <x:c r="B1023" s="1" t="str">
        <x:f>_xlfn.IFNA(VLOOKUP(Source!B1017,Advertisers!$A$5:$B$34,2,FALSE),"Missing advertiser")</x:f>
        <x:v>Synthetic advertiser 24</x:v>
      </x:c>
      <x:c r="C1023" s="1" t="n">
        <x:f>Source!C1017</x:f>
        <x:v>24</x:v>
      </x:c>
      <x:c r="D1023" s="8" t="n">
        <x:f>Source!D1017/100</x:f>
        <x:v>178.56</x:v>
      </x:c>
      <x:c r="E1023" s="8" t="n">
        <x:f>Source!E1017/100</x:f>
        <x:v>0</x:v>
      </x:c>
      <x:c r="F1023" s="8" t="n">
        <x:f>Source!F1017/100</x:f>
        <x:v>0</x:v>
      </x:c>
      <x:c r="G1023" s="8" t="n">
        <x:f>Source!G1017/100</x:f>
        <x:v>0</x:v>
      </x:c>
      <x:c r="H1023" s="8" t="n">
        <x:f>G1023-D1023</x:f>
        <x:v>-178.56</x:v>
      </x:c>
      <x:c r="I1023" s="1" t="str">
        <x:f>IF(H1023&gt;0,"Overbilled","Shortfall")</x:f>
        <x:v>Shortfall</x:v>
      </x:c>
      <x:c r="J1023" s="7"/>
      <x:c r="K1023" s="7" t="str">
        <x:v>Open</x:v>
      </x:c>
      <x:c r="L1023" s="7"/>
    </x:row>
    <x:row r="1024" ht="21" customHeight="1">
      <x:c r="A1024" s="1" t="str">
        <x:f>Source!A1018</x:f>
        <x:v>C0008778</x:v>
      </x:c>
      <x:c r="B1024" s="1" t="str">
        <x:f>_xlfn.IFNA(VLOOKUP(Source!B1018,Advertisers!$A$5:$B$34,2,FALSE),"Missing advertiser")</x:f>
        <x:v>Synthetic advertiser 24</x:v>
      </x:c>
      <x:c r="C1024" s="1" t="n">
        <x:f>Source!C1018</x:f>
        <x:v>24</x:v>
      </x:c>
      <x:c r="D1024" s="8" t="n">
        <x:f>Source!D1018/100</x:f>
        <x:v>178.56</x:v>
      </x:c>
      <x:c r="E1024" s="8" t="n">
        <x:f>Source!E1018/100</x:f>
        <x:v>0</x:v>
      </x:c>
      <x:c r="F1024" s="8" t="n">
        <x:f>Source!F1018/100</x:f>
        <x:v>0</x:v>
      </x:c>
      <x:c r="G1024" s="8" t="n">
        <x:f>Source!G1018/100</x:f>
        <x:v>0</x:v>
      </x:c>
      <x:c r="H1024" s="8" t="n">
        <x:f>G1024-D1024</x:f>
        <x:v>-178.56</x:v>
      </x:c>
      <x:c r="I1024" s="1" t="str">
        <x:f>IF(H1024&gt;0,"Overbilled","Shortfall")</x:f>
        <x:v>Shortfall</x:v>
      </x:c>
      <x:c r="J1024" s="7"/>
      <x:c r="K1024" s="7" t="str">
        <x:v>Open</x:v>
      </x:c>
      <x:c r="L1024" s="7"/>
    </x:row>
    <x:row r="1025" ht="21" customHeight="1">
      <x:c r="A1025" s="1" t="str">
        <x:f>Source!A1019</x:f>
        <x:v>C0017983</x:v>
      </x:c>
      <x:c r="B1025" s="1" t="str">
        <x:f>_xlfn.IFNA(VLOOKUP(Source!B1019,Advertisers!$A$5:$B$34,2,FALSE),"Missing advertiser")</x:f>
        <x:v>Synthetic advertiser 24</x:v>
      </x:c>
      <x:c r="C1025" s="1" t="n">
        <x:f>Source!C1019</x:f>
        <x:v>24</x:v>
      </x:c>
      <x:c r="D1025" s="8" t="n">
        <x:f>Source!D1019/100</x:f>
        <x:v>178.56</x:v>
      </x:c>
      <x:c r="E1025" s="8" t="n">
        <x:f>Source!E1019/100</x:f>
        <x:v>357.12</x:v>
      </x:c>
      <x:c r="F1025" s="8" t="n">
        <x:f>Source!F1019/100</x:f>
        <x:v>0</x:v>
      </x:c>
      <x:c r="G1025" s="8" t="n">
        <x:f>Source!G1019/100</x:f>
        <x:v>357.12</x:v>
      </x:c>
      <x:c r="H1025" s="8" t="n">
        <x:f>G1025-D1025</x:f>
        <x:v>178.56</x:v>
      </x:c>
      <x:c r="I1025" s="1" t="str">
        <x:f>IF(H1025&gt;0,"Overbilled","Shortfall")</x:f>
        <x:v>Overbilled</x:v>
      </x:c>
      <x:c r="J1025" s="7"/>
      <x:c r="K1025" s="7" t="str">
        <x:v>Open</x:v>
      </x:c>
      <x:c r="L1025" s="7"/>
    </x:row>
    <x:row r="1026" ht="21" customHeight="1">
      <x:c r="A1026" s="1" t="str">
        <x:f>Source!A1020</x:f>
        <x:v>C0016275</x:v>
      </x:c>
      <x:c r="B1026" s="1" t="str">
        <x:f>_xlfn.IFNA(VLOOKUP(Source!B1020,Advertisers!$A$5:$B$34,2,FALSE),"Missing advertiser")</x:f>
        <x:v>Synthetic advertiser 24</x:v>
      </x:c>
      <x:c r="C1026" s="1" t="n">
        <x:f>Source!C1020</x:f>
        <x:v>24</x:v>
      </x:c>
      <x:c r="D1026" s="8" t="n">
        <x:f>Source!D1020/100</x:f>
        <x:v>178.56</x:v>
      </x:c>
      <x:c r="E1026" s="8" t="n">
        <x:f>Source!E1020/100</x:f>
        <x:v>0</x:v>
      </x:c>
      <x:c r="F1026" s="8" t="n">
        <x:f>Source!F1020/100</x:f>
        <x:v>0</x:v>
      </x:c>
      <x:c r="G1026" s="8" t="n">
        <x:f>Source!G1020/100</x:f>
        <x:v>0</x:v>
      </x:c>
      <x:c r="H1026" s="8" t="n">
        <x:f>G1026-D1026</x:f>
        <x:v>-178.56</x:v>
      </x:c>
      <x:c r="I1026" s="1" t="str">
        <x:f>IF(H1026&gt;0,"Overbilled","Shortfall")</x:f>
        <x:v>Shortfall</x:v>
      </x:c>
      <x:c r="J1026" s="7"/>
      <x:c r="K1026" s="7" t="str">
        <x:v>Open</x:v>
      </x:c>
      <x:c r="L1026" s="7"/>
    </x:row>
    <x:row r="1027" ht="21" customHeight="1">
      <x:c r="A1027" s="1" t="str">
        <x:f>Source!A1021</x:f>
        <x:v>C0014095</x:v>
      </x:c>
      <x:c r="B1027" s="1" t="str">
        <x:f>_xlfn.IFNA(VLOOKUP(Source!B1021,Advertisers!$A$5:$B$34,2,FALSE),"Missing advertiser")</x:f>
        <x:v>Synthetic advertiser 14</x:v>
      </x:c>
      <x:c r="C1027" s="1" t="n">
        <x:f>Source!C1021</x:f>
        <x:v>44</x:v>
      </x:c>
      <x:c r="D1027" s="8" t="n">
        <x:f>Source!D1021/100</x:f>
        <x:v>176.9</x:v>
      </x:c>
      <x:c r="E1027" s="8" t="n">
        <x:f>Source!E1021/100</x:f>
        <x:v>353.8</x:v>
      </x:c>
      <x:c r="F1027" s="8" t="n">
        <x:f>Source!F1021/100</x:f>
        <x:v>0</x:v>
      </x:c>
      <x:c r="G1027" s="8" t="n">
        <x:f>Source!G1021/100</x:f>
        <x:v>353.8</x:v>
      </x:c>
      <x:c r="H1027" s="8" t="n">
        <x:f>G1027-D1027</x:f>
        <x:v>176.9</x:v>
      </x:c>
      <x:c r="I1027" s="1" t="str">
        <x:f>IF(H1027&gt;0,"Overbilled","Shortfall")</x:f>
        <x:v>Overbilled</x:v>
      </x:c>
      <x:c r="J1027" s="7"/>
      <x:c r="K1027" s="7" t="str">
        <x:v>Open</x:v>
      </x:c>
      <x:c r="L1027" s="7"/>
    </x:row>
    <x:row r="1028" ht="21" customHeight="1">
      <x:c r="A1028" s="1" t="str">
        <x:f>Source!A1022</x:f>
        <x:v>C0011833</x:v>
      </x:c>
      <x:c r="B1028" s="1" t="str">
        <x:f>_xlfn.IFNA(VLOOKUP(Source!B1022,Advertisers!$A$5:$B$34,2,FALSE),"Missing advertiser")</x:f>
        <x:v>Synthetic advertiser 14</x:v>
      </x:c>
      <x:c r="C1028" s="1" t="n">
        <x:f>Source!C1022</x:f>
        <x:v>44</x:v>
      </x:c>
      <x:c r="D1028" s="8" t="n">
        <x:f>Source!D1022/100</x:f>
        <x:v>176.9</x:v>
      </x:c>
      <x:c r="E1028" s="8" t="n">
        <x:f>Source!E1022/100</x:f>
        <x:v>353.8</x:v>
      </x:c>
      <x:c r="F1028" s="8" t="n">
        <x:f>Source!F1022/100</x:f>
        <x:v>0</x:v>
      </x:c>
      <x:c r="G1028" s="8" t="n">
        <x:f>Source!G1022/100</x:f>
        <x:v>353.8</x:v>
      </x:c>
      <x:c r="H1028" s="8" t="n">
        <x:f>G1028-D1028</x:f>
        <x:v>176.9</x:v>
      </x:c>
      <x:c r="I1028" s="1" t="str">
        <x:f>IF(H1028&gt;0,"Overbilled","Shortfall")</x:f>
        <x:v>Overbilled</x:v>
      </x:c>
      <x:c r="J1028" s="7"/>
      <x:c r="K1028" s="7" t="str">
        <x:v>Open</x:v>
      </x:c>
      <x:c r="L1028" s="7"/>
    </x:row>
    <x:row r="1029" ht="21" customHeight="1">
      <x:c r="A1029" s="1" t="str">
        <x:f>Source!A1023</x:f>
        <x:v>C0000465</x:v>
      </x:c>
      <x:c r="B1029" s="1" t="str">
        <x:f>_xlfn.IFNA(VLOOKUP(Source!B1023,Advertisers!$A$5:$B$34,2,FALSE),"Missing advertiser")</x:f>
        <x:v>Synthetic advertiser 14</x:v>
      </x:c>
      <x:c r="C1029" s="1" t="n">
        <x:f>Source!C1023</x:f>
        <x:v>44</x:v>
      </x:c>
      <x:c r="D1029" s="8" t="n">
        <x:f>Source!D1023/100</x:f>
        <x:v>176.9</x:v>
      </x:c>
      <x:c r="E1029" s="8" t="n">
        <x:f>Source!E1023/100</x:f>
        <x:v>0</x:v>
      </x:c>
      <x:c r="F1029" s="8" t="n">
        <x:f>Source!F1023/100</x:f>
        <x:v>0</x:v>
      </x:c>
      <x:c r="G1029" s="8" t="n">
        <x:f>Source!G1023/100</x:f>
        <x:v>0</x:v>
      </x:c>
      <x:c r="H1029" s="8" t="n">
        <x:f>G1029-D1029</x:f>
        <x:v>-176.9</x:v>
      </x:c>
      <x:c r="I1029" s="1" t="str">
        <x:f>IF(H1029&gt;0,"Overbilled","Shortfall")</x:f>
        <x:v>Shortfall</x:v>
      </x:c>
      <x:c r="J1029" s="7"/>
      <x:c r="K1029" s="7" t="str">
        <x:v>Open</x:v>
      </x:c>
      <x:c r="L1029" s="7"/>
    </x:row>
    <x:row r="1030" ht="21" customHeight="1">
      <x:c r="A1030" s="1" t="str">
        <x:f>Source!A1024</x:f>
        <x:v>C0009809</x:v>
      </x:c>
      <x:c r="B1030" s="1" t="str">
        <x:f>_xlfn.IFNA(VLOOKUP(Source!B1024,Advertisers!$A$5:$B$34,2,FALSE),"Missing advertiser")</x:f>
        <x:v>Synthetic advertiser 14</x:v>
      </x:c>
      <x:c r="C1030" s="1" t="n">
        <x:f>Source!C1024</x:f>
        <x:v>44</x:v>
      </x:c>
      <x:c r="D1030" s="8" t="n">
        <x:f>Source!D1024/100</x:f>
        <x:v>0</x:v>
      </x:c>
      <x:c r="E1030" s="8" t="n">
        <x:f>Source!E1024/100</x:f>
        <x:v>176.9</x:v>
      </x:c>
      <x:c r="F1030" s="8" t="n">
        <x:f>Source!F1024/100</x:f>
        <x:v>0</x:v>
      </x:c>
      <x:c r="G1030" s="8" t="n">
        <x:f>Source!G1024/100</x:f>
        <x:v>176.9</x:v>
      </x:c>
      <x:c r="H1030" s="8" t="n">
        <x:f>G1030-D1030</x:f>
        <x:v>176.9</x:v>
      </x:c>
      <x:c r="I1030" s="1" t="str">
        <x:f>IF(H1030&gt;0,"Overbilled","Shortfall")</x:f>
        <x:v>Overbilled</x:v>
      </x:c>
      <x:c r="J1030" s="7"/>
      <x:c r="K1030" s="7" t="str">
        <x:v>Open</x:v>
      </x:c>
      <x:c r="L1030" s="7"/>
    </x:row>
    <x:row r="1031" ht="21" customHeight="1">
      <x:c r="A1031" s="1" t="str">
        <x:f>Source!A1025</x:f>
        <x:v>C0013333</x:v>
      </x:c>
      <x:c r="B1031" s="1" t="str">
        <x:f>_xlfn.IFNA(VLOOKUP(Source!B1025,Advertisers!$A$5:$B$34,2,FALSE),"Missing advertiser")</x:f>
        <x:v>Synthetic advertiser 14</x:v>
      </x:c>
      <x:c r="C1031" s="1" t="n">
        <x:f>Source!C1025</x:f>
        <x:v>44</x:v>
      </x:c>
      <x:c r="D1031" s="8" t="n">
        <x:f>Source!D1025/100</x:f>
        <x:v>176.9</x:v>
      </x:c>
      <x:c r="E1031" s="8" t="n">
        <x:f>Source!E1025/100</x:f>
        <x:v>0</x:v>
      </x:c>
      <x:c r="F1031" s="8" t="n">
        <x:f>Source!F1025/100</x:f>
        <x:v>0</x:v>
      </x:c>
      <x:c r="G1031" s="8" t="n">
        <x:f>Source!G1025/100</x:f>
        <x:v>0</x:v>
      </x:c>
      <x:c r="H1031" s="8" t="n">
        <x:f>G1031-D1031</x:f>
        <x:v>-176.9</x:v>
      </x:c>
      <x:c r="I1031" s="1" t="str">
        <x:f>IF(H1031&gt;0,"Overbilled","Shortfall")</x:f>
        <x:v>Shortfall</x:v>
      </x:c>
      <x:c r="J1031" s="7"/>
      <x:c r="K1031" s="7" t="str">
        <x:v>Open</x:v>
      </x:c>
      <x:c r="L1031" s="7"/>
    </x:row>
    <x:row r="1032" ht="21" customHeight="1">
      <x:c r="A1032" s="1" t="str">
        <x:f>Source!A1026</x:f>
        <x:v>C0008194</x:v>
      </x:c>
      <x:c r="B1032" s="1" t="str">
        <x:f>_xlfn.IFNA(VLOOKUP(Source!B1026,Advertisers!$A$5:$B$34,2,FALSE),"Missing advertiser")</x:f>
        <x:v>Synthetic advertiser 14</x:v>
      </x:c>
      <x:c r="C1032" s="1" t="n">
        <x:f>Source!C1026</x:f>
        <x:v>44</x:v>
      </x:c>
      <x:c r="D1032" s="8" t="n">
        <x:f>Source!D1026/100</x:f>
        <x:v>0</x:v>
      </x:c>
      <x:c r="E1032" s="8" t="n">
        <x:f>Source!E1026/100</x:f>
        <x:v>176.9</x:v>
      </x:c>
      <x:c r="F1032" s="8" t="n">
        <x:f>Source!F1026/100</x:f>
        <x:v>0</x:v>
      </x:c>
      <x:c r="G1032" s="8" t="n">
        <x:f>Source!G1026/100</x:f>
        <x:v>176.9</x:v>
      </x:c>
      <x:c r="H1032" s="8" t="n">
        <x:f>G1032-D1032</x:f>
        <x:v>176.9</x:v>
      </x:c>
      <x:c r="I1032" s="1" t="str">
        <x:f>IF(H1032&gt;0,"Overbilled","Shortfall")</x:f>
        <x:v>Overbilled</x:v>
      </x:c>
      <x:c r="J1032" s="7"/>
      <x:c r="K1032" s="7" t="str">
        <x:v>Open</x:v>
      </x:c>
      <x:c r="L1032" s="7"/>
    </x:row>
    <x:row r="1033" ht="21" customHeight="1">
      <x:c r="A1033" s="1" t="str">
        <x:f>Source!A1027</x:f>
        <x:v>C0006213</x:v>
      </x:c>
      <x:c r="B1033" s="1" t="str">
        <x:f>_xlfn.IFNA(VLOOKUP(Source!B1027,Advertisers!$A$5:$B$34,2,FALSE),"Missing advertiser")</x:f>
        <x:v>Synthetic advertiser 9</x:v>
      </x:c>
      <x:c r="C1033" s="1" t="n">
        <x:f>Source!C1027</x:f>
        <x:v>39</x:v>
      </x:c>
      <x:c r="D1033" s="8" t="n">
        <x:f>Source!D1027/100</x:f>
        <x:v>176.58</x:v>
      </x:c>
      <x:c r="E1033" s="8" t="n">
        <x:f>Source!E1027/100</x:f>
        <x:v>0</x:v>
      </x:c>
      <x:c r="F1033" s="8" t="n">
        <x:f>Source!F1027/100</x:f>
        <x:v>0</x:v>
      </x:c>
      <x:c r="G1033" s="8" t="n">
        <x:f>Source!G1027/100</x:f>
        <x:v>0</x:v>
      </x:c>
      <x:c r="H1033" s="8" t="n">
        <x:f>G1033-D1033</x:f>
        <x:v>-176.58</x:v>
      </x:c>
      <x:c r="I1033" s="1" t="str">
        <x:f>IF(H1033&gt;0,"Overbilled","Shortfall")</x:f>
        <x:v>Shortfall</x:v>
      </x:c>
      <x:c r="J1033" s="7"/>
      <x:c r="K1033" s="7" t="str">
        <x:v>Open</x:v>
      </x:c>
      <x:c r="L1033" s="7"/>
    </x:row>
    <x:row r="1034" ht="21" customHeight="1">
      <x:c r="A1034" s="1" t="str">
        <x:f>Source!A1028</x:f>
        <x:v>C0008376</x:v>
      </x:c>
      <x:c r="B1034" s="1" t="str">
        <x:f>_xlfn.IFNA(VLOOKUP(Source!B1028,Advertisers!$A$5:$B$34,2,FALSE),"Missing advertiser")</x:f>
        <x:v>Synthetic advertiser 9</x:v>
      </x:c>
      <x:c r="C1034" s="1" t="n">
        <x:f>Source!C1028</x:f>
        <x:v>39</x:v>
      </x:c>
      <x:c r="D1034" s="8" t="n">
        <x:f>Source!D1028/100</x:f>
        <x:v>176.58</x:v>
      </x:c>
      <x:c r="E1034" s="8" t="n">
        <x:f>Source!E1028/100</x:f>
        <x:v>0</x:v>
      </x:c>
      <x:c r="F1034" s="8" t="n">
        <x:f>Source!F1028/100</x:f>
        <x:v>0</x:v>
      </x:c>
      <x:c r="G1034" s="8" t="n">
        <x:f>Source!G1028/100</x:f>
        <x:v>0</x:v>
      </x:c>
      <x:c r="H1034" s="8" t="n">
        <x:f>G1034-D1034</x:f>
        <x:v>-176.58</x:v>
      </x:c>
      <x:c r="I1034" s="1" t="str">
        <x:f>IF(H1034&gt;0,"Overbilled","Shortfall")</x:f>
        <x:v>Shortfall</x:v>
      </x:c>
      <x:c r="J1034" s="7"/>
      <x:c r="K1034" s="7" t="str">
        <x:v>Open</x:v>
      </x:c>
      <x:c r="L1034" s="7"/>
    </x:row>
    <x:row r="1035" ht="21" customHeight="1">
      <x:c r="A1035" s="1" t="str">
        <x:f>Source!A1029</x:f>
        <x:v>C0017457</x:v>
      </x:c>
      <x:c r="B1035" s="1" t="str">
        <x:f>_xlfn.IFNA(VLOOKUP(Source!B1029,Advertisers!$A$5:$B$34,2,FALSE),"Missing advertiser")</x:f>
        <x:v>Synthetic advertiser 9</x:v>
      </x:c>
      <x:c r="C1035" s="1" t="n">
        <x:f>Source!C1029</x:f>
        <x:v>39</x:v>
      </x:c>
      <x:c r="D1035" s="8" t="n">
        <x:f>Source!D1029/100</x:f>
        <x:v>176.58</x:v>
      </x:c>
      <x:c r="E1035" s="8" t="n">
        <x:f>Source!E1029/100</x:f>
        <x:v>353.16</x:v>
      </x:c>
      <x:c r="F1035" s="8" t="n">
        <x:f>Source!F1029/100</x:f>
        <x:v>0</x:v>
      </x:c>
      <x:c r="G1035" s="8" t="n">
        <x:f>Source!G1029/100</x:f>
        <x:v>353.16</x:v>
      </x:c>
      <x:c r="H1035" s="8" t="n">
        <x:f>G1035-D1035</x:f>
        <x:v>176.58</x:v>
      </x:c>
      <x:c r="I1035" s="1" t="str">
        <x:f>IF(H1035&gt;0,"Overbilled","Shortfall")</x:f>
        <x:v>Overbilled</x:v>
      </x:c>
      <x:c r="J1035" s="7"/>
      <x:c r="K1035" s="7" t="str">
        <x:v>Open</x:v>
      </x:c>
      <x:c r="L1035" s="7"/>
    </x:row>
    <x:row r="1036" ht="21" customHeight="1">
      <x:c r="A1036" s="1" t="str">
        <x:f>Source!A1030</x:f>
        <x:v>C0008077</x:v>
      </x:c>
      <x:c r="B1036" s="1" t="str">
        <x:f>_xlfn.IFNA(VLOOKUP(Source!B1030,Advertisers!$A$5:$B$34,2,FALSE),"Missing advertiser")</x:f>
        <x:v>Synthetic advertiser 9</x:v>
      </x:c>
      <x:c r="C1036" s="1" t="n">
        <x:f>Source!C1030</x:f>
        <x:v>39</x:v>
      </x:c>
      <x:c r="D1036" s="8" t="n">
        <x:f>Source!D1030/100</x:f>
        <x:v>176.58</x:v>
      </x:c>
      <x:c r="E1036" s="8" t="n">
        <x:f>Source!E1030/100</x:f>
        <x:v>353.16</x:v>
      </x:c>
      <x:c r="F1036" s="8" t="n">
        <x:f>Source!F1030/100</x:f>
        <x:v>0</x:v>
      </x:c>
      <x:c r="G1036" s="8" t="n">
        <x:f>Source!G1030/100</x:f>
        <x:v>353.16</x:v>
      </x:c>
      <x:c r="H1036" s="8" t="n">
        <x:f>G1036-D1036</x:f>
        <x:v>176.58</x:v>
      </x:c>
      <x:c r="I1036" s="1" t="str">
        <x:f>IF(H1036&gt;0,"Overbilled","Shortfall")</x:f>
        <x:v>Overbilled</x:v>
      </x:c>
      <x:c r="J1036" s="7"/>
      <x:c r="K1036" s="7" t="str">
        <x:v>Open</x:v>
      </x:c>
      <x:c r="L1036" s="7"/>
    </x:row>
    <x:row r="1037" ht="21" customHeight="1">
      <x:c r="A1037" s="1" t="str">
        <x:f>Source!A1031</x:f>
        <x:v>C0004194</x:v>
      </x:c>
      <x:c r="B1037" s="1" t="str">
        <x:f>_xlfn.IFNA(VLOOKUP(Source!B1031,Advertisers!$A$5:$B$34,2,FALSE),"Missing advertiser")</x:f>
        <x:v>Synthetic advertiser 9</x:v>
      </x:c>
      <x:c r="C1037" s="1" t="n">
        <x:f>Source!C1031</x:f>
        <x:v>39</x:v>
      </x:c>
      <x:c r="D1037" s="8" t="n">
        <x:f>Source!D1031/100</x:f>
        <x:v>176.58</x:v>
      </x:c>
      <x:c r="E1037" s="8" t="n">
        <x:f>Source!E1031/100</x:f>
        <x:v>0</x:v>
      </x:c>
      <x:c r="F1037" s="8" t="n">
        <x:f>Source!F1031/100</x:f>
        <x:v>0</x:v>
      </x:c>
      <x:c r="G1037" s="8" t="n">
        <x:f>Source!G1031/100</x:f>
        <x:v>0</x:v>
      </x:c>
      <x:c r="H1037" s="8" t="n">
        <x:f>G1037-D1037</x:f>
        <x:v>-176.58</x:v>
      </x:c>
      <x:c r="I1037" s="1" t="str">
        <x:f>IF(H1037&gt;0,"Overbilled","Shortfall")</x:f>
        <x:v>Shortfall</x:v>
      </x:c>
      <x:c r="J1037" s="7"/>
      <x:c r="K1037" s="7" t="str">
        <x:v>Open</x:v>
      </x:c>
      <x:c r="L1037" s="7"/>
    </x:row>
    <x:row r="1038" ht="21" customHeight="1">
      <x:c r="A1038" s="1" t="str">
        <x:f>Source!A1032</x:f>
        <x:v>C0001248</x:v>
      </x:c>
      <x:c r="B1038" s="1" t="str">
        <x:f>_xlfn.IFNA(VLOOKUP(Source!B1032,Advertisers!$A$5:$B$34,2,FALSE),"Missing advertiser")</x:f>
        <x:v>Synthetic advertiser 9</x:v>
      </x:c>
      <x:c r="C1038" s="1" t="n">
        <x:f>Source!C1032</x:f>
        <x:v>39</x:v>
      </x:c>
      <x:c r="D1038" s="8" t="n">
        <x:f>Source!D1032/100</x:f>
        <x:v>176.58</x:v>
      </x:c>
      <x:c r="E1038" s="8" t="n">
        <x:f>Source!E1032/100</x:f>
        <x:v>0</x:v>
      </x:c>
      <x:c r="F1038" s="8" t="n">
        <x:f>Source!F1032/100</x:f>
        <x:v>0</x:v>
      </x:c>
      <x:c r="G1038" s="8" t="n">
        <x:f>Source!G1032/100</x:f>
        <x:v>0</x:v>
      </x:c>
      <x:c r="H1038" s="8" t="n">
        <x:f>G1038-D1038</x:f>
        <x:v>-176.58</x:v>
      </x:c>
      <x:c r="I1038" s="1" t="str">
        <x:f>IF(H1038&gt;0,"Overbilled","Shortfall")</x:f>
        <x:v>Shortfall</x:v>
      </x:c>
      <x:c r="J1038" s="7"/>
      <x:c r="K1038" s="7" t="str">
        <x:v>Open</x:v>
      </x:c>
      <x:c r="L1038" s="7"/>
    </x:row>
    <x:row r="1039" ht="21" customHeight="1">
      <x:c r="A1039" s="1" t="str">
        <x:f>Source!A1033</x:f>
        <x:v>C0013436</x:v>
      </x:c>
      <x:c r="B1039" s="1" t="str">
        <x:f>_xlfn.IFNA(VLOOKUP(Source!B1033,Advertisers!$A$5:$B$34,2,FALSE),"Missing advertiser")</x:f>
        <x:v>Synthetic advertiser 9</x:v>
      </x:c>
      <x:c r="C1039" s="1" t="n">
        <x:f>Source!C1033</x:f>
        <x:v>39</x:v>
      </x:c>
      <x:c r="D1039" s="8" t="n">
        <x:f>Source!D1033/100</x:f>
        <x:v>176.58</x:v>
      </x:c>
      <x:c r="E1039" s="8" t="n">
        <x:f>Source!E1033/100</x:f>
        <x:v>0</x:v>
      </x:c>
      <x:c r="F1039" s="8" t="n">
        <x:f>Source!F1033/100</x:f>
        <x:v>0</x:v>
      </x:c>
      <x:c r="G1039" s="8" t="n">
        <x:f>Source!G1033/100</x:f>
        <x:v>0</x:v>
      </x:c>
      <x:c r="H1039" s="8" t="n">
        <x:f>G1039-D1039</x:f>
        <x:v>-176.58</x:v>
      </x:c>
      <x:c r="I1039" s="1" t="str">
        <x:f>IF(H1039&gt;0,"Overbilled","Shortfall")</x:f>
        <x:v>Shortfall</x:v>
      </x:c>
      <x:c r="J1039" s="7"/>
      <x:c r="K1039" s="7" t="str">
        <x:v>Open</x:v>
      </x:c>
      <x:c r="L1039" s="7"/>
    </x:row>
    <x:row r="1040" ht="21" customHeight="1">
      <x:c r="A1040" s="1" t="str">
        <x:f>Source!A1034</x:f>
        <x:v>C0016464</x:v>
      </x:c>
      <x:c r="B1040" s="1" t="str">
        <x:f>_xlfn.IFNA(VLOOKUP(Source!B1034,Advertisers!$A$5:$B$34,2,FALSE),"Missing advertiser")</x:f>
        <x:v>Synthetic advertiser 9</x:v>
      </x:c>
      <x:c r="C1040" s="1" t="n">
        <x:f>Source!C1034</x:f>
        <x:v>39</x:v>
      </x:c>
      <x:c r="D1040" s="8" t="n">
        <x:f>Source!D1034/100</x:f>
        <x:v>176.58</x:v>
      </x:c>
      <x:c r="E1040" s="8" t="n">
        <x:f>Source!E1034/100</x:f>
        <x:v>353.16</x:v>
      </x:c>
      <x:c r="F1040" s="8" t="n">
        <x:f>Source!F1034/100</x:f>
        <x:v>0</x:v>
      </x:c>
      <x:c r="G1040" s="8" t="n">
        <x:f>Source!G1034/100</x:f>
        <x:v>353.16</x:v>
      </x:c>
      <x:c r="H1040" s="8" t="n">
        <x:f>G1040-D1040</x:f>
        <x:v>176.58</x:v>
      </x:c>
      <x:c r="I1040" s="1" t="str">
        <x:f>IF(H1040&gt;0,"Overbilled","Shortfall")</x:f>
        <x:v>Overbilled</x:v>
      </x:c>
      <x:c r="J1040" s="7"/>
      <x:c r="K1040" s="7" t="str">
        <x:v>Open</x:v>
      </x:c>
      <x:c r="L1040" s="7"/>
    </x:row>
    <x:row r="1041" ht="21" customHeight="1">
      <x:c r="A1041" s="1" t="str">
        <x:f>Source!A1035</x:f>
        <x:v>C0007052</x:v>
      </x:c>
      <x:c r="B1041" s="1" t="str">
        <x:f>_xlfn.IFNA(VLOOKUP(Source!B1035,Advertisers!$A$5:$B$34,2,FALSE),"Missing advertiser")</x:f>
        <x:v>Synthetic advertiser 15</x:v>
      </x:c>
      <x:c r="C1041" s="1" t="n">
        <x:f>Source!C1035</x:f>
        <x:v>15</x:v>
      </x:c>
      <x:c r="D1041" s="8" t="n">
        <x:f>Source!D1035/100</x:f>
        <x:v>175.75</x:v>
      </x:c>
      <x:c r="E1041" s="8" t="n">
        <x:f>Source!E1035/100</x:f>
        <x:v>0</x:v>
      </x:c>
      <x:c r="F1041" s="8" t="n">
        <x:f>Source!F1035/100</x:f>
        <x:v>0</x:v>
      </x:c>
      <x:c r="G1041" s="8" t="n">
        <x:f>Source!G1035/100</x:f>
        <x:v>0</x:v>
      </x:c>
      <x:c r="H1041" s="8" t="n">
        <x:f>G1041-D1041</x:f>
        <x:v>-175.75</x:v>
      </x:c>
      <x:c r="I1041" s="1" t="str">
        <x:f>IF(H1041&gt;0,"Overbilled","Shortfall")</x:f>
        <x:v>Shortfall</x:v>
      </x:c>
      <x:c r="J1041" s="7"/>
      <x:c r="K1041" s="7" t="str">
        <x:v>Open</x:v>
      </x:c>
      <x:c r="L1041" s="7"/>
    </x:row>
    <x:row r="1042" ht="21" customHeight="1">
      <x:c r="A1042" s="1" t="str">
        <x:f>Source!A1036</x:f>
        <x:v>C0004149</x:v>
      </x:c>
      <x:c r="B1042" s="1" t="str">
        <x:f>_xlfn.IFNA(VLOOKUP(Source!B1036,Advertisers!$A$5:$B$34,2,FALSE),"Missing advertiser")</x:f>
        <x:v>Synthetic advertiser 15</x:v>
      </x:c>
      <x:c r="C1042" s="1" t="n">
        <x:f>Source!C1036</x:f>
        <x:v>15</x:v>
      </x:c>
      <x:c r="D1042" s="8" t="n">
        <x:f>Source!D1036/100</x:f>
        <x:v>175.75</x:v>
      </x:c>
      <x:c r="E1042" s="8" t="n">
        <x:f>Source!E1036/100</x:f>
        <x:v>351.5</x:v>
      </x:c>
      <x:c r="F1042" s="8" t="n">
        <x:f>Source!F1036/100</x:f>
        <x:v>0</x:v>
      </x:c>
      <x:c r="G1042" s="8" t="n">
        <x:f>Source!G1036/100</x:f>
        <x:v>351.5</x:v>
      </x:c>
      <x:c r="H1042" s="8" t="n">
        <x:f>G1042-D1042</x:f>
        <x:v>175.75</x:v>
      </x:c>
      <x:c r="I1042" s="1" t="str">
        <x:f>IF(H1042&gt;0,"Overbilled","Shortfall")</x:f>
        <x:v>Overbilled</x:v>
      </x:c>
      <x:c r="J1042" s="7"/>
      <x:c r="K1042" s="7" t="str">
        <x:v>Open</x:v>
      </x:c>
      <x:c r="L1042" s="7"/>
    </x:row>
    <x:row r="1043" ht="21" customHeight="1">
      <x:c r="A1043" s="1" t="str">
        <x:f>Source!A1037</x:f>
        <x:v>C0016204</x:v>
      </x:c>
      <x:c r="B1043" s="1" t="str">
        <x:f>_xlfn.IFNA(VLOOKUP(Source!B1037,Advertisers!$A$5:$B$34,2,FALSE),"Missing advertiser")</x:f>
        <x:v>Synthetic advertiser 15</x:v>
      </x:c>
      <x:c r="C1043" s="1" t="n">
        <x:f>Source!C1037</x:f>
        <x:v>15</x:v>
      </x:c>
      <x:c r="D1043" s="8" t="n">
        <x:f>Source!D1037/100</x:f>
        <x:v>175.75</x:v>
      </x:c>
      <x:c r="E1043" s="8" t="n">
        <x:f>Source!E1037/100</x:f>
        <x:v>351.5</x:v>
      </x:c>
      <x:c r="F1043" s="8" t="n">
        <x:f>Source!F1037/100</x:f>
        <x:v>0</x:v>
      </x:c>
      <x:c r="G1043" s="8" t="n">
        <x:f>Source!G1037/100</x:f>
        <x:v>351.5</x:v>
      </x:c>
      <x:c r="H1043" s="8" t="n">
        <x:f>G1043-D1043</x:f>
        <x:v>175.75</x:v>
      </x:c>
      <x:c r="I1043" s="1" t="str">
        <x:f>IF(H1043&gt;0,"Overbilled","Shortfall")</x:f>
        <x:v>Overbilled</x:v>
      </x:c>
      <x:c r="J1043" s="7"/>
      <x:c r="K1043" s="7" t="str">
        <x:v>Open</x:v>
      </x:c>
      <x:c r="L1043" s="7"/>
    </x:row>
    <x:row r="1044" ht="21" customHeight="1">
      <x:c r="A1044" s="1" t="str">
        <x:f>Source!A1038</x:f>
        <x:v>C0000043</x:v>
      </x:c>
      <x:c r="B1044" s="1" t="str">
        <x:f>_xlfn.IFNA(VLOOKUP(Source!B1038,Advertisers!$A$5:$B$34,2,FALSE),"Missing advertiser")</x:f>
        <x:v>Synthetic advertiser 15</x:v>
      </x:c>
      <x:c r="C1044" s="1" t="n">
        <x:f>Source!C1038</x:f>
        <x:v>15</x:v>
      </x:c>
      <x:c r="D1044" s="8" t="n">
        <x:f>Source!D1038/100</x:f>
        <x:v>175.75</x:v>
      </x:c>
      <x:c r="E1044" s="8" t="n">
        <x:f>Source!E1038/100</x:f>
        <x:v>351.5</x:v>
      </x:c>
      <x:c r="F1044" s="8" t="n">
        <x:f>Source!F1038/100</x:f>
        <x:v>0</x:v>
      </x:c>
      <x:c r="G1044" s="8" t="n">
        <x:f>Source!G1038/100</x:f>
        <x:v>351.5</x:v>
      </x:c>
      <x:c r="H1044" s="8" t="n">
        <x:f>G1044-D1044</x:f>
        <x:v>175.75</x:v>
      </x:c>
      <x:c r="I1044" s="1" t="str">
        <x:f>IF(H1044&gt;0,"Overbilled","Shortfall")</x:f>
        <x:v>Overbilled</x:v>
      </x:c>
      <x:c r="J1044" s="7"/>
      <x:c r="K1044" s="7" t="str">
        <x:v>Open</x:v>
      </x:c>
      <x:c r="L1044" s="7"/>
    </x:row>
    <x:row r="1045" ht="21" customHeight="1">
      <x:c r="A1045" s="1" t="str">
        <x:f>Source!A1039</x:f>
        <x:v>C0003930</x:v>
      </x:c>
      <x:c r="B1045" s="1" t="str">
        <x:f>_xlfn.IFNA(VLOOKUP(Source!B1039,Advertisers!$A$5:$B$34,2,FALSE),"Missing advertiser")</x:f>
        <x:v>Synthetic advertiser 15</x:v>
      </x:c>
      <x:c r="C1045" s="1" t="n">
        <x:f>Source!C1039</x:f>
        <x:v>15</x:v>
      </x:c>
      <x:c r="D1045" s="8" t="n">
        <x:f>Source!D1039/100</x:f>
        <x:v>175.75</x:v>
      </x:c>
      <x:c r="E1045" s="8" t="n">
        <x:f>Source!E1039/100</x:f>
        <x:v>351.5</x:v>
      </x:c>
      <x:c r="F1045" s="8" t="n">
        <x:f>Source!F1039/100</x:f>
        <x:v>0</x:v>
      </x:c>
      <x:c r="G1045" s="8" t="n">
        <x:f>Source!G1039/100</x:f>
        <x:v>351.5</x:v>
      </x:c>
      <x:c r="H1045" s="8" t="n">
        <x:f>G1045-D1045</x:f>
        <x:v>175.75</x:v>
      </x:c>
      <x:c r="I1045" s="1" t="str">
        <x:f>IF(H1045&gt;0,"Overbilled","Shortfall")</x:f>
        <x:v>Overbilled</x:v>
      </x:c>
      <x:c r="J1045" s="7"/>
      <x:c r="K1045" s="7" t="str">
        <x:v>Open</x:v>
      </x:c>
      <x:c r="L1045" s="7"/>
    </x:row>
    <x:row r="1046" ht="21" customHeight="1">
      <x:c r="A1046" s="1" t="str">
        <x:f>Source!A1040</x:f>
        <x:v>C0002722</x:v>
      </x:c>
      <x:c r="B1046" s="1" t="str">
        <x:f>_xlfn.IFNA(VLOOKUP(Source!B1040,Advertisers!$A$5:$B$34,2,FALSE),"Missing advertiser")</x:f>
        <x:v>Synthetic advertiser 15</x:v>
      </x:c>
      <x:c r="C1046" s="1" t="n">
        <x:f>Source!C1040</x:f>
        <x:v>15</x:v>
      </x:c>
      <x:c r="D1046" s="8" t="n">
        <x:f>Source!D1040/100</x:f>
        <x:v>175.75</x:v>
      </x:c>
      <x:c r="E1046" s="8" t="n">
        <x:f>Source!E1040/100</x:f>
        <x:v>351.5</x:v>
      </x:c>
      <x:c r="F1046" s="8" t="n">
        <x:f>Source!F1040/100</x:f>
        <x:v>0</x:v>
      </x:c>
      <x:c r="G1046" s="8" t="n">
        <x:f>Source!G1040/100</x:f>
        <x:v>351.5</x:v>
      </x:c>
      <x:c r="H1046" s="8" t="n">
        <x:f>G1046-D1046</x:f>
        <x:v>175.75</x:v>
      </x:c>
      <x:c r="I1046" s="1" t="str">
        <x:f>IF(H1046&gt;0,"Overbilled","Shortfall")</x:f>
        <x:v>Overbilled</x:v>
      </x:c>
      <x:c r="J1046" s="7"/>
      <x:c r="K1046" s="7" t="str">
        <x:v>Open</x:v>
      </x:c>
      <x:c r="L1046" s="7"/>
    </x:row>
    <x:row r="1047" ht="21" customHeight="1">
      <x:c r="A1047" s="1" t="str">
        <x:f>Source!A1041</x:f>
        <x:v>C0010376</x:v>
      </x:c>
      <x:c r="B1047" s="1" t="str">
        <x:f>_xlfn.IFNA(VLOOKUP(Source!B1041,Advertisers!$A$5:$B$34,2,FALSE),"Missing advertiser")</x:f>
        <x:v>Synthetic advertiser 15</x:v>
      </x:c>
      <x:c r="C1047" s="1" t="n">
        <x:f>Source!C1041</x:f>
        <x:v>15</x:v>
      </x:c>
      <x:c r="D1047" s="8" t="n">
        <x:f>Source!D1041/100</x:f>
        <x:v>175.75</x:v>
      </x:c>
      <x:c r="E1047" s="8" t="n">
        <x:f>Source!E1041/100</x:f>
        <x:v>0</x:v>
      </x:c>
      <x:c r="F1047" s="8" t="n">
        <x:f>Source!F1041/100</x:f>
        <x:v>0</x:v>
      </x:c>
      <x:c r="G1047" s="8" t="n">
        <x:f>Source!G1041/100</x:f>
        <x:v>0</x:v>
      </x:c>
      <x:c r="H1047" s="8" t="n">
        <x:f>G1047-D1047</x:f>
        <x:v>-175.75</x:v>
      </x:c>
      <x:c r="I1047" s="1" t="str">
        <x:f>IF(H1047&gt;0,"Overbilled","Shortfall")</x:f>
        <x:v>Shortfall</x:v>
      </x:c>
      <x:c r="J1047" s="7"/>
      <x:c r="K1047" s="7" t="str">
        <x:v>Open</x:v>
      </x:c>
      <x:c r="L1047" s="7"/>
    </x:row>
    <x:row r="1048" ht="21" customHeight="1">
      <x:c r="A1048" s="1" t="str">
        <x:f>Source!A1042</x:f>
        <x:v>C0006474</x:v>
      </x:c>
      <x:c r="B1048" s="1" t="str">
        <x:f>_xlfn.IFNA(VLOOKUP(Source!B1042,Advertisers!$A$5:$B$34,2,FALSE),"Missing advertiser")</x:f>
        <x:v>Synthetic advertiser 18</x:v>
      </x:c>
      <x:c r="C1048" s="1" t="n">
        <x:f>Source!C1042</x:f>
        <x:v>78</x:v>
      </x:c>
      <x:c r="D1048" s="8" t="n">
        <x:f>Source!D1042/100</x:f>
        <x:v>175.04</x:v>
      </x:c>
      <x:c r="E1048" s="8" t="n">
        <x:f>Source!E1042/100</x:f>
        <x:v>350.08</x:v>
      </x:c>
      <x:c r="F1048" s="8" t="n">
        <x:f>Source!F1042/100</x:f>
        <x:v>0</x:v>
      </x:c>
      <x:c r="G1048" s="8" t="n">
        <x:f>Source!G1042/100</x:f>
        <x:v>350.08</x:v>
      </x:c>
      <x:c r="H1048" s="8" t="n">
        <x:f>G1048-D1048</x:f>
        <x:v>175.04</x:v>
      </x:c>
      <x:c r="I1048" s="1" t="str">
        <x:f>IF(H1048&gt;0,"Overbilled","Shortfall")</x:f>
        <x:v>Overbilled</x:v>
      </x:c>
      <x:c r="J1048" s="7"/>
      <x:c r="K1048" s="7" t="str">
        <x:v>Open</x:v>
      </x:c>
      <x:c r="L1048" s="7"/>
    </x:row>
    <x:row r="1049" ht="21" customHeight="1">
      <x:c r="A1049" s="1" t="str">
        <x:f>Source!A1043</x:f>
        <x:v>C0004778</x:v>
      </x:c>
      <x:c r="B1049" s="1" t="str">
        <x:f>_xlfn.IFNA(VLOOKUP(Source!B1043,Advertisers!$A$5:$B$34,2,FALSE),"Missing advertiser")</x:f>
        <x:v>Synthetic advertiser 18</x:v>
      </x:c>
      <x:c r="C1049" s="1" t="n">
        <x:f>Source!C1043</x:f>
        <x:v>78</x:v>
      </x:c>
      <x:c r="D1049" s="8" t="n">
        <x:f>Source!D1043/100</x:f>
        <x:v>175.04</x:v>
      </x:c>
      <x:c r="E1049" s="8" t="n">
        <x:f>Source!E1043/100</x:f>
        <x:v>350.08</x:v>
      </x:c>
      <x:c r="F1049" s="8" t="n">
        <x:f>Source!F1043/100</x:f>
        <x:v>0</x:v>
      </x:c>
      <x:c r="G1049" s="8" t="n">
        <x:f>Source!G1043/100</x:f>
        <x:v>350.08</x:v>
      </x:c>
      <x:c r="H1049" s="8" t="n">
        <x:f>G1049-D1049</x:f>
        <x:v>175.04</x:v>
      </x:c>
      <x:c r="I1049" s="1" t="str">
        <x:f>IF(H1049&gt;0,"Overbilled","Shortfall")</x:f>
        <x:v>Overbilled</x:v>
      </x:c>
      <x:c r="J1049" s="7"/>
      <x:c r="K1049" s="7" t="str">
        <x:v>Open</x:v>
      </x:c>
      <x:c r="L1049" s="7"/>
    </x:row>
    <x:row r="1050" ht="21" customHeight="1">
      <x:c r="A1050" s="1" t="str">
        <x:f>Source!A1044</x:f>
        <x:v>C0004219</x:v>
      </x:c>
      <x:c r="B1050" s="1" t="str">
        <x:f>_xlfn.IFNA(VLOOKUP(Source!B1044,Advertisers!$A$5:$B$34,2,FALSE),"Missing advertiser")</x:f>
        <x:v>Synthetic advertiser 18</x:v>
      </x:c>
      <x:c r="C1050" s="1" t="n">
        <x:f>Source!C1044</x:f>
        <x:v>78</x:v>
      </x:c>
      <x:c r="D1050" s="8" t="n">
        <x:f>Source!D1044/100</x:f>
        <x:v>175.04</x:v>
      </x:c>
      <x:c r="E1050" s="8" t="n">
        <x:f>Source!E1044/100</x:f>
        <x:v>0</x:v>
      </x:c>
      <x:c r="F1050" s="8" t="n">
        <x:f>Source!F1044/100</x:f>
        <x:v>0</x:v>
      </x:c>
      <x:c r="G1050" s="8" t="n">
        <x:f>Source!G1044/100</x:f>
        <x:v>0</x:v>
      </x:c>
      <x:c r="H1050" s="8" t="n">
        <x:f>G1050-D1050</x:f>
        <x:v>-175.04</x:v>
      </x:c>
      <x:c r="I1050" s="1" t="str">
        <x:f>IF(H1050&gt;0,"Overbilled","Shortfall")</x:f>
        <x:v>Shortfall</x:v>
      </x:c>
      <x:c r="J1050" s="7"/>
      <x:c r="K1050" s="7" t="str">
        <x:v>Open</x:v>
      </x:c>
      <x:c r="L1050" s="7"/>
    </x:row>
    <x:row r="1051" ht="21" customHeight="1">
      <x:c r="A1051" s="1" t="str">
        <x:f>Source!A1045</x:f>
        <x:v>C0005056</x:v>
      </x:c>
      <x:c r="B1051" s="1" t="str">
        <x:f>_xlfn.IFNA(VLOOKUP(Source!B1045,Advertisers!$A$5:$B$34,2,FALSE),"Missing advertiser")</x:f>
        <x:v>Synthetic advertiser 18</x:v>
      </x:c>
      <x:c r="C1051" s="1" t="n">
        <x:f>Source!C1045</x:f>
        <x:v>78</x:v>
      </x:c>
      <x:c r="D1051" s="8" t="n">
        <x:f>Source!D1045/100</x:f>
        <x:v>175.04</x:v>
      </x:c>
      <x:c r="E1051" s="8" t="n">
        <x:f>Source!E1045/100</x:f>
        <x:v>350.08</x:v>
      </x:c>
      <x:c r="F1051" s="8" t="n">
        <x:f>Source!F1045/100</x:f>
        <x:v>0</x:v>
      </x:c>
      <x:c r="G1051" s="8" t="n">
        <x:f>Source!G1045/100</x:f>
        <x:v>350.08</x:v>
      </x:c>
      <x:c r="H1051" s="8" t="n">
        <x:f>G1051-D1051</x:f>
        <x:v>175.04</x:v>
      </x:c>
      <x:c r="I1051" s="1" t="str">
        <x:f>IF(H1051&gt;0,"Overbilled","Shortfall")</x:f>
        <x:v>Overbilled</x:v>
      </x:c>
      <x:c r="J1051" s="7"/>
      <x:c r="K1051" s="7" t="str">
        <x:v>Open</x:v>
      </x:c>
      <x:c r="L1051" s="7"/>
    </x:row>
    <x:row r="1052" ht="21" customHeight="1">
      <x:c r="A1052" s="1" t="str">
        <x:f>Source!A1046</x:f>
        <x:v>C0016580</x:v>
      </x:c>
      <x:c r="B1052" s="1" t="str">
        <x:f>_xlfn.IFNA(VLOOKUP(Source!B1046,Advertisers!$A$5:$B$34,2,FALSE),"Missing advertiser")</x:f>
        <x:v>Synthetic advertiser 18</x:v>
      </x:c>
      <x:c r="C1052" s="1" t="n">
        <x:f>Source!C1046</x:f>
        <x:v>78</x:v>
      </x:c>
      <x:c r="D1052" s="8" t="n">
        <x:f>Source!D1046/100</x:f>
        <x:v>0</x:v>
      </x:c>
      <x:c r="E1052" s="8" t="n">
        <x:f>Source!E1046/100</x:f>
        <x:v>175.04</x:v>
      </x:c>
      <x:c r="F1052" s="8" t="n">
        <x:f>Source!F1046/100</x:f>
        <x:v>0</x:v>
      </x:c>
      <x:c r="G1052" s="8" t="n">
        <x:f>Source!G1046/100</x:f>
        <x:v>175.04</x:v>
      </x:c>
      <x:c r="H1052" s="8" t="n">
        <x:f>G1052-D1052</x:f>
        <x:v>175.04</x:v>
      </x:c>
      <x:c r="I1052" s="1" t="str">
        <x:f>IF(H1052&gt;0,"Overbilled","Shortfall")</x:f>
        <x:v>Overbilled</x:v>
      </x:c>
      <x:c r="J1052" s="7"/>
      <x:c r="K1052" s="7" t="str">
        <x:v>Open</x:v>
      </x:c>
      <x:c r="L1052" s="7"/>
    </x:row>
    <x:row r="1053" ht="21" customHeight="1">
      <x:c r="A1053" s="1" t="str">
        <x:f>Source!A1047</x:f>
        <x:v>C0016461</x:v>
      </x:c>
      <x:c r="B1053" s="1" t="str">
        <x:f>_xlfn.IFNA(VLOOKUP(Source!B1047,Advertisers!$A$5:$B$34,2,FALSE),"Missing advertiser")</x:f>
        <x:v>Synthetic advertiser 18</x:v>
      </x:c>
      <x:c r="C1053" s="1" t="n">
        <x:f>Source!C1047</x:f>
        <x:v>78</x:v>
      </x:c>
      <x:c r="D1053" s="8" t="n">
        <x:f>Source!D1047/100</x:f>
        <x:v>175.04</x:v>
      </x:c>
      <x:c r="E1053" s="8" t="n">
        <x:f>Source!E1047/100</x:f>
        <x:v>350.08</x:v>
      </x:c>
      <x:c r="F1053" s="8" t="n">
        <x:f>Source!F1047/100</x:f>
        <x:v>0</x:v>
      </x:c>
      <x:c r="G1053" s="8" t="n">
        <x:f>Source!G1047/100</x:f>
        <x:v>350.08</x:v>
      </x:c>
      <x:c r="H1053" s="8" t="n">
        <x:f>G1053-D1053</x:f>
        <x:v>175.04</x:v>
      </x:c>
      <x:c r="I1053" s="1" t="str">
        <x:f>IF(H1053&gt;0,"Overbilled","Shortfall")</x:f>
        <x:v>Overbilled</x:v>
      </x:c>
      <x:c r="J1053" s="7"/>
      <x:c r="K1053" s="7" t="str">
        <x:v>Open</x:v>
      </x:c>
      <x:c r="L1053" s="7"/>
    </x:row>
    <x:row r="1054" ht="21" customHeight="1">
      <x:c r="A1054" s="1" t="str">
        <x:f>Source!A1048</x:f>
        <x:v>C0002361</x:v>
      </x:c>
      <x:c r="B1054" s="1" t="str">
        <x:f>_xlfn.IFNA(VLOOKUP(Source!B1048,Advertisers!$A$5:$B$34,2,FALSE),"Missing advertiser")</x:f>
        <x:v>Synthetic advertiser 10</x:v>
      </x:c>
      <x:c r="C1054" s="1" t="n">
        <x:f>Source!C1048</x:f>
        <x:v>40</x:v>
      </x:c>
      <x:c r="D1054" s="8" t="n">
        <x:f>Source!D1048/100</x:f>
        <x:v>174.38</x:v>
      </x:c>
      <x:c r="E1054" s="8" t="n">
        <x:f>Source!E1048/100</x:f>
        <x:v>0</x:v>
      </x:c>
      <x:c r="F1054" s="8" t="n">
        <x:f>Source!F1048/100</x:f>
        <x:v>0</x:v>
      </x:c>
      <x:c r="G1054" s="8" t="n">
        <x:f>Source!G1048/100</x:f>
        <x:v>0</x:v>
      </x:c>
      <x:c r="H1054" s="8" t="n">
        <x:f>G1054-D1054</x:f>
        <x:v>-174.38</x:v>
      </x:c>
      <x:c r="I1054" s="1" t="str">
        <x:f>IF(H1054&gt;0,"Overbilled","Shortfall")</x:f>
        <x:v>Shortfall</x:v>
      </x:c>
      <x:c r="J1054" s="7"/>
      <x:c r="K1054" s="7" t="str">
        <x:v>Open</x:v>
      </x:c>
      <x:c r="L1054" s="7"/>
    </x:row>
    <x:row r="1055" ht="21" customHeight="1">
      <x:c r="A1055" s="1" t="str">
        <x:f>Source!A1049</x:f>
        <x:v>C0012029</x:v>
      </x:c>
      <x:c r="B1055" s="1" t="str">
        <x:f>_xlfn.IFNA(VLOOKUP(Source!B1049,Advertisers!$A$5:$B$34,2,FALSE),"Missing advertiser")</x:f>
        <x:v>Synthetic advertiser 10</x:v>
      </x:c>
      <x:c r="C1055" s="1" t="n">
        <x:f>Source!C1049</x:f>
        <x:v>40</x:v>
      </x:c>
      <x:c r="D1055" s="8" t="n">
        <x:f>Source!D1049/100</x:f>
        <x:v>174.38</x:v>
      </x:c>
      <x:c r="E1055" s="8" t="n">
        <x:f>Source!E1049/100</x:f>
        <x:v>0</x:v>
      </x:c>
      <x:c r="F1055" s="8" t="n">
        <x:f>Source!F1049/100</x:f>
        <x:v>0</x:v>
      </x:c>
      <x:c r="G1055" s="8" t="n">
        <x:f>Source!G1049/100</x:f>
        <x:v>0</x:v>
      </x:c>
      <x:c r="H1055" s="8" t="n">
        <x:f>G1055-D1055</x:f>
        <x:v>-174.38</x:v>
      </x:c>
      <x:c r="I1055" s="1" t="str">
        <x:f>IF(H1055&gt;0,"Overbilled","Shortfall")</x:f>
        <x:v>Shortfall</x:v>
      </x:c>
      <x:c r="J1055" s="7"/>
      <x:c r="K1055" s="7" t="str">
        <x:v>Open</x:v>
      </x:c>
      <x:c r="L1055" s="7"/>
    </x:row>
    <x:row r="1056" ht="21" customHeight="1">
      <x:c r="A1056" s="1" t="str">
        <x:f>Source!A1050</x:f>
        <x:v>C0005504</x:v>
      </x:c>
      <x:c r="B1056" s="1" t="str">
        <x:f>_xlfn.IFNA(VLOOKUP(Source!B1050,Advertisers!$A$5:$B$34,2,FALSE),"Missing advertiser")</x:f>
        <x:v>Synthetic advertiser 10</x:v>
      </x:c>
      <x:c r="C1056" s="1" t="n">
        <x:f>Source!C1050</x:f>
        <x:v>40</x:v>
      </x:c>
      <x:c r="D1056" s="8" t="n">
        <x:f>Source!D1050/100</x:f>
        <x:v>174.38</x:v>
      </x:c>
      <x:c r="E1056" s="8" t="n">
        <x:f>Source!E1050/100</x:f>
        <x:v>348.76</x:v>
      </x:c>
      <x:c r="F1056" s="8" t="n">
        <x:f>Source!F1050/100</x:f>
        <x:v>0</x:v>
      </x:c>
      <x:c r="G1056" s="8" t="n">
        <x:f>Source!G1050/100</x:f>
        <x:v>348.76</x:v>
      </x:c>
      <x:c r="H1056" s="8" t="n">
        <x:f>G1056-D1056</x:f>
        <x:v>174.38</x:v>
      </x:c>
      <x:c r="I1056" s="1" t="str">
        <x:f>IF(H1056&gt;0,"Overbilled","Shortfall")</x:f>
        <x:v>Overbilled</x:v>
      </x:c>
      <x:c r="J1056" s="7"/>
      <x:c r="K1056" s="7" t="str">
        <x:v>Open</x:v>
      </x:c>
      <x:c r="L1056" s="7"/>
    </x:row>
    <x:row r="1057" ht="21" customHeight="1">
      <x:c r="A1057" s="1" t="str">
        <x:f>Source!A1051</x:f>
        <x:v>C0007229</x:v>
      </x:c>
      <x:c r="B1057" s="1" t="str">
        <x:f>_xlfn.IFNA(VLOOKUP(Source!B1051,Advertisers!$A$5:$B$34,2,FALSE),"Missing advertiser")</x:f>
        <x:v>Synthetic advertiser 10</x:v>
      </x:c>
      <x:c r="C1057" s="1" t="n">
        <x:f>Source!C1051</x:f>
        <x:v>40</x:v>
      </x:c>
      <x:c r="D1057" s="8" t="n">
        <x:f>Source!D1051/100</x:f>
        <x:v>174.38</x:v>
      </x:c>
      <x:c r="E1057" s="8" t="n">
        <x:f>Source!E1051/100</x:f>
        <x:v>0</x:v>
      </x:c>
      <x:c r="F1057" s="8" t="n">
        <x:f>Source!F1051/100</x:f>
        <x:v>0</x:v>
      </x:c>
      <x:c r="G1057" s="8" t="n">
        <x:f>Source!G1051/100</x:f>
        <x:v>0</x:v>
      </x:c>
      <x:c r="H1057" s="8" t="n">
        <x:f>G1057-D1057</x:f>
        <x:v>-174.38</x:v>
      </x:c>
      <x:c r="I1057" s="1" t="str">
        <x:f>IF(H1057&gt;0,"Overbilled","Shortfall")</x:f>
        <x:v>Shortfall</x:v>
      </x:c>
      <x:c r="J1057" s="7"/>
      <x:c r="K1057" s="7" t="str">
        <x:v>Open</x:v>
      </x:c>
      <x:c r="L1057" s="7"/>
    </x:row>
    <x:row r="1058" ht="21" customHeight="1">
      <x:c r="A1058" s="1" t="str">
        <x:f>Source!A1052</x:f>
        <x:v>C0008843</x:v>
      </x:c>
      <x:c r="B1058" s="1" t="str">
        <x:f>_xlfn.IFNA(VLOOKUP(Source!B1052,Advertisers!$A$5:$B$34,2,FALSE),"Missing advertiser")</x:f>
        <x:v>Synthetic advertiser 10</x:v>
      </x:c>
      <x:c r="C1058" s="1" t="n">
        <x:f>Source!C1052</x:f>
        <x:v>40</x:v>
      </x:c>
      <x:c r="D1058" s="8" t="n">
        <x:f>Source!D1052/100</x:f>
        <x:v>174.38</x:v>
      </x:c>
      <x:c r="E1058" s="8" t="n">
        <x:f>Source!E1052/100</x:f>
        <x:v>0</x:v>
      </x:c>
      <x:c r="F1058" s="8" t="n">
        <x:f>Source!F1052/100</x:f>
        <x:v>0</x:v>
      </x:c>
      <x:c r="G1058" s="8" t="n">
        <x:f>Source!G1052/100</x:f>
        <x:v>0</x:v>
      </x:c>
      <x:c r="H1058" s="8" t="n">
        <x:f>G1058-D1058</x:f>
        <x:v>-174.38</x:v>
      </x:c>
      <x:c r="I1058" s="1" t="str">
        <x:f>IF(H1058&gt;0,"Overbilled","Shortfall")</x:f>
        <x:v>Shortfall</x:v>
      </x:c>
      <x:c r="J1058" s="7"/>
      <x:c r="K1058" s="7" t="str">
        <x:v>Open</x:v>
      </x:c>
      <x:c r="L1058" s="7"/>
    </x:row>
    <x:row r="1059" ht="21" customHeight="1">
      <x:c r="A1059" s="1" t="str">
        <x:f>Source!A1053</x:f>
        <x:v>C0005223</x:v>
      </x:c>
      <x:c r="B1059" s="1" t="str">
        <x:f>_xlfn.IFNA(VLOOKUP(Source!B1053,Advertisers!$A$5:$B$34,2,FALSE),"Missing advertiser")</x:f>
        <x:v>Synthetic advertiser 8</x:v>
      </x:c>
      <x:c r="C1059" s="1" t="n">
        <x:f>Source!C1053</x:f>
        <x:v>98</x:v>
      </x:c>
      <x:c r="D1059" s="8" t="n">
        <x:f>Source!D1053/100</x:f>
        <x:v>173.94</x:v>
      </x:c>
      <x:c r="E1059" s="8" t="n">
        <x:f>Source!E1053/100</x:f>
        <x:v>347.88</x:v>
      </x:c>
      <x:c r="F1059" s="8" t="n">
        <x:f>Source!F1053/100</x:f>
        <x:v>0</x:v>
      </x:c>
      <x:c r="G1059" s="8" t="n">
        <x:f>Source!G1053/100</x:f>
        <x:v>347.88</x:v>
      </x:c>
      <x:c r="H1059" s="8" t="n">
        <x:f>G1059-D1059</x:f>
        <x:v>173.94</x:v>
      </x:c>
      <x:c r="I1059" s="1" t="str">
        <x:f>IF(H1059&gt;0,"Overbilled","Shortfall")</x:f>
        <x:v>Overbilled</x:v>
      </x:c>
      <x:c r="J1059" s="7"/>
      <x:c r="K1059" s="7" t="str">
        <x:v>Open</x:v>
      </x:c>
      <x:c r="L1059" s="7"/>
    </x:row>
    <x:row r="1060" ht="21" customHeight="1">
      <x:c r="A1060" s="1" t="str">
        <x:f>Source!A1054</x:f>
        <x:v>C0017742</x:v>
      </x:c>
      <x:c r="B1060" s="1" t="str">
        <x:f>_xlfn.IFNA(VLOOKUP(Source!B1054,Advertisers!$A$5:$B$34,2,FALSE),"Missing advertiser")</x:f>
        <x:v>Synthetic advertiser 8</x:v>
      </x:c>
      <x:c r="C1060" s="1" t="n">
        <x:f>Source!C1054</x:f>
        <x:v>98</x:v>
      </x:c>
      <x:c r="D1060" s="8" t="n">
        <x:f>Source!D1054/100</x:f>
        <x:v>173.94</x:v>
      </x:c>
      <x:c r="E1060" s="8" t="n">
        <x:f>Source!E1054/100</x:f>
        <x:v>347.88</x:v>
      </x:c>
      <x:c r="F1060" s="8" t="n">
        <x:f>Source!F1054/100</x:f>
        <x:v>0</x:v>
      </x:c>
      <x:c r="G1060" s="8" t="n">
        <x:f>Source!G1054/100</x:f>
        <x:v>347.88</x:v>
      </x:c>
      <x:c r="H1060" s="8" t="n">
        <x:f>G1060-D1060</x:f>
        <x:v>173.94</x:v>
      </x:c>
      <x:c r="I1060" s="1" t="str">
        <x:f>IF(H1060&gt;0,"Overbilled","Shortfall")</x:f>
        <x:v>Overbilled</x:v>
      </x:c>
      <x:c r="J1060" s="7"/>
      <x:c r="K1060" s="7" t="str">
        <x:v>Open</x:v>
      </x:c>
      <x:c r="L1060" s="7"/>
    </x:row>
    <x:row r="1061" ht="21" customHeight="1">
      <x:c r="A1061" s="1" t="str">
        <x:f>Source!A1055</x:f>
        <x:v>C0011152</x:v>
      </x:c>
      <x:c r="B1061" s="1" t="str">
        <x:f>_xlfn.IFNA(VLOOKUP(Source!B1055,Advertisers!$A$5:$B$34,2,FALSE),"Missing advertiser")</x:f>
        <x:v>Synthetic advertiser 19</x:v>
      </x:c>
      <x:c r="C1061" s="1" t="n">
        <x:f>Source!C1055</x:f>
        <x:v>19</x:v>
      </x:c>
      <x:c r="D1061" s="8" t="n">
        <x:f>Source!D1055/100</x:f>
        <x:v>172.93</x:v>
      </x:c>
      <x:c r="E1061" s="8" t="n">
        <x:f>Source!E1055/100</x:f>
        <x:v>345.86</x:v>
      </x:c>
      <x:c r="F1061" s="8" t="n">
        <x:f>Source!F1055/100</x:f>
        <x:v>0</x:v>
      </x:c>
      <x:c r="G1061" s="8" t="n">
        <x:f>Source!G1055/100</x:f>
        <x:v>345.86</x:v>
      </x:c>
      <x:c r="H1061" s="8" t="n">
        <x:f>G1061-D1061</x:f>
        <x:v>172.93</x:v>
      </x:c>
      <x:c r="I1061" s="1" t="str">
        <x:f>IF(H1061&gt;0,"Overbilled","Shortfall")</x:f>
        <x:v>Overbilled</x:v>
      </x:c>
      <x:c r="J1061" s="7"/>
      <x:c r="K1061" s="7" t="str">
        <x:v>Open</x:v>
      </x:c>
      <x:c r="L1061" s="7"/>
    </x:row>
    <x:row r="1062" ht="21" customHeight="1">
      <x:c r="A1062" s="1" t="str">
        <x:f>Source!A1056</x:f>
        <x:v>C0012537</x:v>
      </x:c>
      <x:c r="B1062" s="1" t="str">
        <x:f>_xlfn.IFNA(VLOOKUP(Source!B1056,Advertisers!$A$5:$B$34,2,FALSE),"Missing advertiser")</x:f>
        <x:v>Synthetic advertiser 19</x:v>
      </x:c>
      <x:c r="C1062" s="1" t="n">
        <x:f>Source!C1056</x:f>
        <x:v>19</x:v>
      </x:c>
      <x:c r="D1062" s="8" t="n">
        <x:f>Source!D1056/100</x:f>
        <x:v>0</x:v>
      </x:c>
      <x:c r="E1062" s="8" t="n">
        <x:f>Source!E1056/100</x:f>
        <x:v>172.93</x:v>
      </x:c>
      <x:c r="F1062" s="8" t="n">
        <x:f>Source!F1056/100</x:f>
        <x:v>0</x:v>
      </x:c>
      <x:c r="G1062" s="8" t="n">
        <x:f>Source!G1056/100</x:f>
        <x:v>172.93</x:v>
      </x:c>
      <x:c r="H1062" s="8" t="n">
        <x:f>G1062-D1062</x:f>
        <x:v>172.93</x:v>
      </x:c>
      <x:c r="I1062" s="1" t="str">
        <x:f>IF(H1062&gt;0,"Overbilled","Shortfall")</x:f>
        <x:v>Overbilled</x:v>
      </x:c>
      <x:c r="J1062" s="7"/>
      <x:c r="K1062" s="7" t="str">
        <x:v>Open</x:v>
      </x:c>
      <x:c r="L1062" s="7"/>
    </x:row>
    <x:row r="1063" ht="21" customHeight="1">
      <x:c r="A1063" s="1" t="str">
        <x:f>Source!A1057</x:f>
        <x:v>C0010244</x:v>
      </x:c>
      <x:c r="B1063" s="1" t="str">
        <x:f>_xlfn.IFNA(VLOOKUP(Source!B1057,Advertisers!$A$5:$B$34,2,FALSE),"Missing advertiser")</x:f>
        <x:v>Synthetic advertiser 19</x:v>
      </x:c>
      <x:c r="C1063" s="1" t="n">
        <x:f>Source!C1057</x:f>
        <x:v>19</x:v>
      </x:c>
      <x:c r="D1063" s="8" t="n">
        <x:f>Source!D1057/100</x:f>
        <x:v>172.93</x:v>
      </x:c>
      <x:c r="E1063" s="8" t="n">
        <x:f>Source!E1057/100</x:f>
        <x:v>0</x:v>
      </x:c>
      <x:c r="F1063" s="8" t="n">
        <x:f>Source!F1057/100</x:f>
        <x:v>0</x:v>
      </x:c>
      <x:c r="G1063" s="8" t="n">
        <x:f>Source!G1057/100</x:f>
        <x:v>0</x:v>
      </x:c>
      <x:c r="H1063" s="8" t="n">
        <x:f>G1063-D1063</x:f>
        <x:v>-172.93</x:v>
      </x:c>
      <x:c r="I1063" s="1" t="str">
        <x:f>IF(H1063&gt;0,"Overbilled","Shortfall")</x:f>
        <x:v>Shortfall</x:v>
      </x:c>
      <x:c r="J1063" s="7"/>
      <x:c r="K1063" s="7" t="str">
        <x:v>Open</x:v>
      </x:c>
      <x:c r="L1063" s="7"/>
    </x:row>
    <x:row r="1064" ht="21" customHeight="1">
      <x:c r="A1064" s="1" t="str">
        <x:f>Source!A1058</x:f>
        <x:v>C0010604</x:v>
      </x:c>
      <x:c r="B1064" s="1" t="str">
        <x:f>_xlfn.IFNA(VLOOKUP(Source!B1058,Advertisers!$A$5:$B$34,2,FALSE),"Missing advertiser")</x:f>
        <x:v>Synthetic advertiser 19</x:v>
      </x:c>
      <x:c r="C1064" s="1" t="n">
        <x:f>Source!C1058</x:f>
        <x:v>19</x:v>
      </x:c>
      <x:c r="D1064" s="8" t="n">
        <x:f>Source!D1058/100</x:f>
        <x:v>172.93</x:v>
      </x:c>
      <x:c r="E1064" s="8" t="n">
        <x:f>Source!E1058/100</x:f>
        <x:v>345.86</x:v>
      </x:c>
      <x:c r="F1064" s="8" t="n">
        <x:f>Source!F1058/100</x:f>
        <x:v>0</x:v>
      </x:c>
      <x:c r="G1064" s="8" t="n">
        <x:f>Source!G1058/100</x:f>
        <x:v>345.86</x:v>
      </x:c>
      <x:c r="H1064" s="8" t="n">
        <x:f>G1064-D1064</x:f>
        <x:v>172.93</x:v>
      </x:c>
      <x:c r="I1064" s="1" t="str">
        <x:f>IF(H1064&gt;0,"Overbilled","Shortfall")</x:f>
        <x:v>Overbilled</x:v>
      </x:c>
      <x:c r="J1064" s="7"/>
      <x:c r="K1064" s="7" t="str">
        <x:v>Open</x:v>
      </x:c>
      <x:c r="L1064" s="7"/>
    </x:row>
    <x:row r="1065" ht="21" customHeight="1">
      <x:c r="A1065" s="1" t="str">
        <x:f>Source!A1059</x:f>
        <x:v>C0016220</x:v>
      </x:c>
      <x:c r="B1065" s="1" t="str">
        <x:f>_xlfn.IFNA(VLOOKUP(Source!B1059,Advertisers!$A$5:$B$34,2,FALSE),"Missing advertiser")</x:f>
        <x:v>Synthetic advertiser 19</x:v>
      </x:c>
      <x:c r="C1065" s="1" t="n">
        <x:f>Source!C1059</x:f>
        <x:v>19</x:v>
      </x:c>
      <x:c r="D1065" s="8" t="n">
        <x:f>Source!D1059/100</x:f>
        <x:v>172.93</x:v>
      </x:c>
      <x:c r="E1065" s="8" t="n">
        <x:f>Source!E1059/100</x:f>
        <x:v>0</x:v>
      </x:c>
      <x:c r="F1065" s="8" t="n">
        <x:f>Source!F1059/100</x:f>
        <x:v>0</x:v>
      </x:c>
      <x:c r="G1065" s="8" t="n">
        <x:f>Source!G1059/100</x:f>
        <x:v>0</x:v>
      </x:c>
      <x:c r="H1065" s="8" t="n">
        <x:f>G1065-D1065</x:f>
        <x:v>-172.93</x:v>
      </x:c>
      <x:c r="I1065" s="1" t="str">
        <x:f>IF(H1065&gt;0,"Overbilled","Shortfall")</x:f>
        <x:v>Shortfall</x:v>
      </x:c>
      <x:c r="J1065" s="7"/>
      <x:c r="K1065" s="7" t="str">
        <x:v>Open</x:v>
      </x:c>
      <x:c r="L1065" s="7"/>
    </x:row>
    <x:row r="1066" ht="21" customHeight="1">
      <x:c r="A1066" s="1" t="str">
        <x:f>Source!A1060</x:f>
        <x:v>C0006256</x:v>
      </x:c>
      <x:c r="B1066" s="1" t="str">
        <x:f>_xlfn.IFNA(VLOOKUP(Source!B1060,Advertisers!$A$5:$B$34,2,FALSE),"Missing advertiser")</x:f>
        <x:v>Synthetic advertiser 19</x:v>
      </x:c>
      <x:c r="C1066" s="1" t="n">
        <x:f>Source!C1060</x:f>
        <x:v>19</x:v>
      </x:c>
      <x:c r="D1066" s="8" t="n">
        <x:f>Source!D1060/100</x:f>
        <x:v>172.93</x:v>
      </x:c>
      <x:c r="E1066" s="8" t="n">
        <x:f>Source!E1060/100</x:f>
        <x:v>345.86</x:v>
      </x:c>
      <x:c r="F1066" s="8" t="n">
        <x:f>Source!F1060/100</x:f>
        <x:v>0</x:v>
      </x:c>
      <x:c r="G1066" s="8" t="n">
        <x:f>Source!G1060/100</x:f>
        <x:v>345.86</x:v>
      </x:c>
      <x:c r="H1066" s="8" t="n">
        <x:f>G1066-D1066</x:f>
        <x:v>172.93</x:v>
      </x:c>
      <x:c r="I1066" s="1" t="str">
        <x:f>IF(H1066&gt;0,"Overbilled","Shortfall")</x:f>
        <x:v>Overbilled</x:v>
      </x:c>
      <x:c r="J1066" s="7"/>
      <x:c r="K1066" s="7" t="str">
        <x:v>Open</x:v>
      </x:c>
      <x:c r="L1066" s="7"/>
    </x:row>
    <x:row r="1067" ht="21" customHeight="1">
      <x:c r="A1067" s="1" t="str">
        <x:f>Source!A1061</x:f>
        <x:v>C0006478</x:v>
      </x:c>
      <x:c r="B1067" s="1" t="str">
        <x:f>_xlfn.IFNA(VLOOKUP(Source!B1061,Advertisers!$A$5:$B$34,2,FALSE),"Missing advertiser")</x:f>
        <x:v>Synthetic advertiser 19</x:v>
      </x:c>
      <x:c r="C1067" s="1" t="n">
        <x:f>Source!C1061</x:f>
        <x:v>19</x:v>
      </x:c>
      <x:c r="D1067" s="8" t="n">
        <x:f>Source!D1061/100</x:f>
        <x:v>172.93</x:v>
      </x:c>
      <x:c r="E1067" s="8" t="n">
        <x:f>Source!E1061/100</x:f>
        <x:v>0</x:v>
      </x:c>
      <x:c r="F1067" s="8" t="n">
        <x:f>Source!F1061/100</x:f>
        <x:v>0</x:v>
      </x:c>
      <x:c r="G1067" s="8" t="n">
        <x:f>Source!G1061/100</x:f>
        <x:v>0</x:v>
      </x:c>
      <x:c r="H1067" s="8" t="n">
        <x:f>G1067-D1067</x:f>
        <x:v>-172.93</x:v>
      </x:c>
      <x:c r="I1067" s="1" t="str">
        <x:f>IF(H1067&gt;0,"Overbilled","Shortfall")</x:f>
        <x:v>Shortfall</x:v>
      </x:c>
      <x:c r="J1067" s="7"/>
      <x:c r="K1067" s="7" t="str">
        <x:v>Open</x:v>
      </x:c>
      <x:c r="L1067" s="7"/>
    </x:row>
    <x:row r="1068" ht="21" customHeight="1">
      <x:c r="A1068" s="1" t="str">
        <x:f>Source!A1062</x:f>
        <x:v>C0010247</x:v>
      </x:c>
      <x:c r="B1068" s="1" t="str">
        <x:f>_xlfn.IFNA(VLOOKUP(Source!B1062,Advertisers!$A$5:$B$34,2,FALSE),"Missing advertiser")</x:f>
        <x:v>Synthetic advertiser 19</x:v>
      </x:c>
      <x:c r="C1068" s="1" t="n">
        <x:f>Source!C1062</x:f>
        <x:v>19</x:v>
      </x:c>
      <x:c r="D1068" s="8" t="n">
        <x:f>Source!D1062/100</x:f>
        <x:v>172.93</x:v>
      </x:c>
      <x:c r="E1068" s="8" t="n">
        <x:f>Source!E1062/100</x:f>
        <x:v>345.86</x:v>
      </x:c>
      <x:c r="F1068" s="8" t="n">
        <x:f>Source!F1062/100</x:f>
        <x:v>0</x:v>
      </x:c>
      <x:c r="G1068" s="8" t="n">
        <x:f>Source!G1062/100</x:f>
        <x:v>345.86</x:v>
      </x:c>
      <x:c r="H1068" s="8" t="n">
        <x:f>G1068-D1068</x:f>
        <x:v>172.93</x:v>
      </x:c>
      <x:c r="I1068" s="1" t="str">
        <x:f>IF(H1068&gt;0,"Overbilled","Shortfall")</x:f>
        <x:v>Overbilled</x:v>
      </x:c>
      <x:c r="J1068" s="7"/>
      <x:c r="K1068" s="7" t="str">
        <x:v>Open</x:v>
      </x:c>
      <x:c r="L1068" s="7"/>
    </x:row>
    <x:row r="1069" ht="21" customHeight="1">
      <x:c r="A1069" s="1" t="str">
        <x:f>Source!A1063</x:f>
        <x:v>C0004618</x:v>
      </x:c>
      <x:c r="B1069" s="1" t="str">
        <x:f>_xlfn.IFNA(VLOOKUP(Source!B1063,Advertisers!$A$5:$B$34,2,FALSE),"Missing advertiser")</x:f>
        <x:v>Synthetic advertiser 14</x:v>
      </x:c>
      <x:c r="C1069" s="1" t="n">
        <x:f>Source!C1063</x:f>
        <x:v>104</x:v>
      </x:c>
      <x:c r="D1069" s="8" t="n">
        <x:f>Source!D1063/100</x:f>
        <x:v>171.75</x:v>
      </x:c>
      <x:c r="E1069" s="8" t="n">
        <x:f>Source!E1063/100</x:f>
        <x:v>0</x:v>
      </x:c>
      <x:c r="F1069" s="8" t="n">
        <x:f>Source!F1063/100</x:f>
        <x:v>0</x:v>
      </x:c>
      <x:c r="G1069" s="8" t="n">
        <x:f>Source!G1063/100</x:f>
        <x:v>0</x:v>
      </x:c>
      <x:c r="H1069" s="8" t="n">
        <x:f>G1069-D1069</x:f>
        <x:v>-171.75</x:v>
      </x:c>
      <x:c r="I1069" s="1" t="str">
        <x:f>IF(H1069&gt;0,"Overbilled","Shortfall")</x:f>
        <x:v>Shortfall</x:v>
      </x:c>
      <x:c r="J1069" s="7"/>
      <x:c r="K1069" s="7" t="str">
        <x:v>Open</x:v>
      </x:c>
      <x:c r="L1069" s="7"/>
    </x:row>
    <x:row r="1070" ht="21" customHeight="1">
      <x:c r="A1070" s="1" t="str">
        <x:f>Source!A1064</x:f>
        <x:v>C0002771</x:v>
      </x:c>
      <x:c r="B1070" s="1" t="str">
        <x:f>_xlfn.IFNA(VLOOKUP(Source!B1064,Advertisers!$A$5:$B$34,2,FALSE),"Missing advertiser")</x:f>
        <x:v>Synthetic advertiser 14</x:v>
      </x:c>
      <x:c r="C1070" s="1" t="n">
        <x:f>Source!C1064</x:f>
        <x:v>104</x:v>
      </x:c>
      <x:c r="D1070" s="8" t="n">
        <x:f>Source!D1064/100</x:f>
        <x:v>171.75</x:v>
      </x:c>
      <x:c r="E1070" s="8" t="n">
        <x:f>Source!E1064/100</x:f>
        <x:v>343.5</x:v>
      </x:c>
      <x:c r="F1070" s="8" t="n">
        <x:f>Source!F1064/100</x:f>
        <x:v>0</x:v>
      </x:c>
      <x:c r="G1070" s="8" t="n">
        <x:f>Source!G1064/100</x:f>
        <x:v>343.5</x:v>
      </x:c>
      <x:c r="H1070" s="8" t="n">
        <x:f>G1070-D1070</x:f>
        <x:v>171.75</x:v>
      </x:c>
      <x:c r="I1070" s="1" t="str">
        <x:f>IF(H1070&gt;0,"Overbilled","Shortfall")</x:f>
        <x:v>Overbilled</x:v>
      </x:c>
      <x:c r="J1070" s="7"/>
      <x:c r="K1070" s="7" t="str">
        <x:v>Open</x:v>
      </x:c>
      <x:c r="L1070" s="7"/>
    </x:row>
    <x:row r="1071" ht="21" customHeight="1">
      <x:c r="A1071" s="1" t="str">
        <x:f>Source!A1065</x:f>
        <x:v>C0000310</x:v>
      </x:c>
      <x:c r="B1071" s="1" t="str">
        <x:f>_xlfn.IFNA(VLOOKUP(Source!B1065,Advertisers!$A$5:$B$34,2,FALSE),"Missing advertiser")</x:f>
        <x:v>Synthetic advertiser 14</x:v>
      </x:c>
      <x:c r="C1071" s="1" t="n">
        <x:f>Source!C1065</x:f>
        <x:v>104</x:v>
      </x:c>
      <x:c r="D1071" s="8" t="n">
        <x:f>Source!D1065/100</x:f>
        <x:v>0</x:v>
      </x:c>
      <x:c r="E1071" s="8" t="n">
        <x:f>Source!E1065/100</x:f>
        <x:v>171.75</x:v>
      </x:c>
      <x:c r="F1071" s="8" t="n">
        <x:f>Source!F1065/100</x:f>
        <x:v>0</x:v>
      </x:c>
      <x:c r="G1071" s="8" t="n">
        <x:f>Source!G1065/100</x:f>
        <x:v>171.75</x:v>
      </x:c>
      <x:c r="H1071" s="8" t="n">
        <x:f>G1071-D1071</x:f>
        <x:v>171.75</x:v>
      </x:c>
      <x:c r="I1071" s="1" t="str">
        <x:f>IF(H1071&gt;0,"Overbilled","Shortfall")</x:f>
        <x:v>Overbilled</x:v>
      </x:c>
      <x:c r="J1071" s="7"/>
      <x:c r="K1071" s="7" t="str">
        <x:v>Open</x:v>
      </x:c>
      <x:c r="L1071" s="7"/>
    </x:row>
    <x:row r="1072" ht="21" customHeight="1">
      <x:c r="A1072" s="1" t="str">
        <x:f>Source!A1066</x:f>
        <x:v>C0017071</x:v>
      </x:c>
      <x:c r="B1072" s="1" t="str">
        <x:f>_xlfn.IFNA(VLOOKUP(Source!B1066,Advertisers!$A$5:$B$34,2,FALSE),"Missing advertiser")</x:f>
        <x:v>Synthetic advertiser 14</x:v>
      </x:c>
      <x:c r="C1072" s="1" t="n">
        <x:f>Source!C1066</x:f>
        <x:v>104</x:v>
      </x:c>
      <x:c r="D1072" s="8" t="n">
        <x:f>Source!D1066/100</x:f>
        <x:v>0</x:v>
      </x:c>
      <x:c r="E1072" s="8" t="n">
        <x:f>Source!E1066/100</x:f>
        <x:v>171.75</x:v>
      </x:c>
      <x:c r="F1072" s="8" t="n">
        <x:f>Source!F1066/100</x:f>
        <x:v>0</x:v>
      </x:c>
      <x:c r="G1072" s="8" t="n">
        <x:f>Source!G1066/100</x:f>
        <x:v>171.75</x:v>
      </x:c>
      <x:c r="H1072" s="8" t="n">
        <x:f>G1072-D1072</x:f>
        <x:v>171.75</x:v>
      </x:c>
      <x:c r="I1072" s="1" t="str">
        <x:f>IF(H1072&gt;0,"Overbilled","Shortfall")</x:f>
        <x:v>Overbilled</x:v>
      </x:c>
      <x:c r="J1072" s="7"/>
      <x:c r="K1072" s="7" t="str">
        <x:v>Open</x:v>
      </x:c>
      <x:c r="L1072" s="7"/>
    </x:row>
    <x:row r="1073" ht="21" customHeight="1">
      <x:c r="A1073" s="1" t="str">
        <x:f>Source!A1067</x:f>
        <x:v>C0001427</x:v>
      </x:c>
      <x:c r="B1073" s="1" t="str">
        <x:f>_xlfn.IFNA(VLOOKUP(Source!B1067,Advertisers!$A$5:$B$34,2,FALSE),"Missing advertiser")</x:f>
        <x:v>Synthetic advertiser 14</x:v>
      </x:c>
      <x:c r="C1073" s="1" t="n">
        <x:f>Source!C1067</x:f>
        <x:v>104</x:v>
      </x:c>
      <x:c r="D1073" s="8" t="n">
        <x:f>Source!D1067/100</x:f>
        <x:v>0</x:v>
      </x:c>
      <x:c r="E1073" s="8" t="n">
        <x:f>Source!E1067/100</x:f>
        <x:v>171.75</x:v>
      </x:c>
      <x:c r="F1073" s="8" t="n">
        <x:f>Source!F1067/100</x:f>
        <x:v>0</x:v>
      </x:c>
      <x:c r="G1073" s="8" t="n">
        <x:f>Source!G1067/100</x:f>
        <x:v>171.75</x:v>
      </x:c>
      <x:c r="H1073" s="8" t="n">
        <x:f>G1073-D1073</x:f>
        <x:v>171.75</x:v>
      </x:c>
      <x:c r="I1073" s="1" t="str">
        <x:f>IF(H1073&gt;0,"Overbilled","Shortfall")</x:f>
        <x:v>Overbilled</x:v>
      </x:c>
      <x:c r="J1073" s="7"/>
      <x:c r="K1073" s="7" t="str">
        <x:v>Open</x:v>
      </x:c>
      <x:c r="L1073" s="7"/>
    </x:row>
    <x:row r="1074" ht="21" customHeight="1">
      <x:c r="A1074" s="1" t="str">
        <x:f>Source!A1068</x:f>
        <x:v>C0008533</x:v>
      </x:c>
      <x:c r="B1074" s="1" t="str">
        <x:f>_xlfn.IFNA(VLOOKUP(Source!B1068,Advertisers!$A$5:$B$34,2,FALSE),"Missing advertiser")</x:f>
        <x:v>Synthetic advertiser 14</x:v>
      </x:c>
      <x:c r="C1074" s="1" t="n">
        <x:f>Source!C1068</x:f>
        <x:v>104</x:v>
      </x:c>
      <x:c r="D1074" s="8" t="n">
        <x:f>Source!D1068/100</x:f>
        <x:v>171.75</x:v>
      </x:c>
      <x:c r="E1074" s="8" t="n">
        <x:f>Source!E1068/100</x:f>
        <x:v>0</x:v>
      </x:c>
      <x:c r="F1074" s="8" t="n">
        <x:f>Source!F1068/100</x:f>
        <x:v>0</x:v>
      </x:c>
      <x:c r="G1074" s="8" t="n">
        <x:f>Source!G1068/100</x:f>
        <x:v>0</x:v>
      </x:c>
      <x:c r="H1074" s="8" t="n">
        <x:f>G1074-D1074</x:f>
        <x:v>-171.75</x:v>
      </x:c>
      <x:c r="I1074" s="1" t="str">
        <x:f>IF(H1074&gt;0,"Overbilled","Shortfall")</x:f>
        <x:v>Shortfall</x:v>
      </x:c>
      <x:c r="J1074" s="7"/>
      <x:c r="K1074" s="7" t="str">
        <x:v>Open</x:v>
      </x:c>
      <x:c r="L1074" s="7"/>
    </x:row>
    <x:row r="1075" ht="21" customHeight="1">
      <x:c r="A1075" s="1" t="str">
        <x:f>Source!A1069</x:f>
        <x:v>C0000518</x:v>
      </x:c>
      <x:c r="B1075" s="1" t="str">
        <x:f>_xlfn.IFNA(VLOOKUP(Source!B1069,Advertisers!$A$5:$B$34,2,FALSE),"Missing advertiser")</x:f>
        <x:v>Synthetic advertiser 14</x:v>
      </x:c>
      <x:c r="C1075" s="1" t="n">
        <x:f>Source!C1069</x:f>
        <x:v>104</x:v>
      </x:c>
      <x:c r="D1075" s="8" t="n">
        <x:f>Source!D1069/100</x:f>
        <x:v>171.75</x:v>
      </x:c>
      <x:c r="E1075" s="8" t="n">
        <x:f>Source!E1069/100</x:f>
        <x:v>343.5</x:v>
      </x:c>
      <x:c r="F1075" s="8" t="n">
        <x:f>Source!F1069/100</x:f>
        <x:v>0</x:v>
      </x:c>
      <x:c r="G1075" s="8" t="n">
        <x:f>Source!G1069/100</x:f>
        <x:v>343.5</x:v>
      </x:c>
      <x:c r="H1075" s="8" t="n">
        <x:f>G1075-D1075</x:f>
        <x:v>171.75</x:v>
      </x:c>
      <x:c r="I1075" s="1" t="str">
        <x:f>IF(H1075&gt;0,"Overbilled","Shortfall")</x:f>
        <x:v>Overbilled</x:v>
      </x:c>
      <x:c r="J1075" s="7"/>
      <x:c r="K1075" s="7" t="str">
        <x:v>Open</x:v>
      </x:c>
      <x:c r="L1075" s="7"/>
    </x:row>
    <x:row r="1076" ht="21" customHeight="1">
      <x:c r="A1076" s="1" t="str">
        <x:f>Source!A1070</x:f>
        <x:v>C0016665</x:v>
      </x:c>
      <x:c r="B1076" s="1" t="str">
        <x:f>_xlfn.IFNA(VLOOKUP(Source!B1070,Advertisers!$A$5:$B$34,2,FALSE),"Missing advertiser")</x:f>
        <x:v>Synthetic advertiser 20</x:v>
      </x:c>
      <x:c r="C1076" s="1" t="n">
        <x:f>Source!C1070</x:f>
        <x:v>50</x:v>
      </x:c>
      <x:c r="D1076" s="8" t="n">
        <x:f>Source!D1070/100</x:f>
        <x:v>171.19</x:v>
      </x:c>
      <x:c r="E1076" s="8" t="n">
        <x:f>Source!E1070/100</x:f>
        <x:v>0</x:v>
      </x:c>
      <x:c r="F1076" s="8" t="n">
        <x:f>Source!F1070/100</x:f>
        <x:v>0</x:v>
      </x:c>
      <x:c r="G1076" s="8" t="n">
        <x:f>Source!G1070/100</x:f>
        <x:v>0</x:v>
      </x:c>
      <x:c r="H1076" s="8" t="n">
        <x:f>G1076-D1076</x:f>
        <x:v>-171.19</x:v>
      </x:c>
      <x:c r="I1076" s="1" t="str">
        <x:f>IF(H1076&gt;0,"Overbilled","Shortfall")</x:f>
        <x:v>Shortfall</x:v>
      </x:c>
      <x:c r="J1076" s="7"/>
      <x:c r="K1076" s="7" t="str">
        <x:v>Open</x:v>
      </x:c>
      <x:c r="L1076" s="7"/>
    </x:row>
    <x:row r="1077" ht="21" customHeight="1">
      <x:c r="A1077" s="1" t="str">
        <x:f>Source!A1071</x:f>
        <x:v>C0004050</x:v>
      </x:c>
      <x:c r="B1077" s="1" t="str">
        <x:f>_xlfn.IFNA(VLOOKUP(Source!B1071,Advertisers!$A$5:$B$34,2,FALSE),"Missing advertiser")</x:f>
        <x:v>Synthetic advertiser 20</x:v>
      </x:c>
      <x:c r="C1077" s="1" t="n">
        <x:f>Source!C1071</x:f>
        <x:v>50</x:v>
      </x:c>
      <x:c r="D1077" s="8" t="n">
        <x:f>Source!D1071/100</x:f>
        <x:v>171.19</x:v>
      </x:c>
      <x:c r="E1077" s="8" t="n">
        <x:f>Source!E1071/100</x:f>
        <x:v>342.38</x:v>
      </x:c>
      <x:c r="F1077" s="8" t="n">
        <x:f>Source!F1071/100</x:f>
        <x:v>0</x:v>
      </x:c>
      <x:c r="G1077" s="8" t="n">
        <x:f>Source!G1071/100</x:f>
        <x:v>342.38</x:v>
      </x:c>
      <x:c r="H1077" s="8" t="n">
        <x:f>G1077-D1077</x:f>
        <x:v>171.19</x:v>
      </x:c>
      <x:c r="I1077" s="1" t="str">
        <x:f>IF(H1077&gt;0,"Overbilled","Shortfall")</x:f>
        <x:v>Overbilled</x:v>
      </x:c>
      <x:c r="J1077" s="7"/>
      <x:c r="K1077" s="7" t="str">
        <x:v>Open</x:v>
      </x:c>
      <x:c r="L1077" s="7"/>
    </x:row>
    <x:row r="1078" ht="21" customHeight="1">
      <x:c r="A1078" s="1" t="str">
        <x:f>Source!A1072</x:f>
        <x:v>C0005322</x:v>
      </x:c>
      <x:c r="B1078" s="1" t="str">
        <x:f>_xlfn.IFNA(VLOOKUP(Source!B1072,Advertisers!$A$5:$B$34,2,FALSE),"Missing advertiser")</x:f>
        <x:v>Synthetic advertiser 20</x:v>
      </x:c>
      <x:c r="C1078" s="1" t="n">
        <x:f>Source!C1072</x:f>
        <x:v>50</x:v>
      </x:c>
      <x:c r="D1078" s="8" t="n">
        <x:f>Source!D1072/100</x:f>
        <x:v>171.19</x:v>
      </x:c>
      <x:c r="E1078" s="8" t="n">
        <x:f>Source!E1072/100</x:f>
        <x:v>0</x:v>
      </x:c>
      <x:c r="F1078" s="8" t="n">
        <x:f>Source!F1072/100</x:f>
        <x:v>0</x:v>
      </x:c>
      <x:c r="G1078" s="8" t="n">
        <x:f>Source!G1072/100</x:f>
        <x:v>0</x:v>
      </x:c>
      <x:c r="H1078" s="8" t="n">
        <x:f>G1078-D1078</x:f>
        <x:v>-171.19</x:v>
      </x:c>
      <x:c r="I1078" s="1" t="str">
        <x:f>IF(H1078&gt;0,"Overbilled","Shortfall")</x:f>
        <x:v>Shortfall</x:v>
      </x:c>
      <x:c r="J1078" s="7"/>
      <x:c r="K1078" s="7" t="str">
        <x:v>Open</x:v>
      </x:c>
      <x:c r="L1078" s="7"/>
    </x:row>
    <x:row r="1079" ht="21" customHeight="1">
      <x:c r="A1079" s="1" t="str">
        <x:f>Source!A1073</x:f>
        <x:v>C0008496</x:v>
      </x:c>
      <x:c r="B1079" s="1" t="str">
        <x:f>_xlfn.IFNA(VLOOKUP(Source!B1073,Advertisers!$A$5:$B$34,2,FALSE),"Missing advertiser")</x:f>
        <x:v>Synthetic advertiser 20</x:v>
      </x:c>
      <x:c r="C1079" s="1" t="n">
        <x:f>Source!C1073</x:f>
        <x:v>50</x:v>
      </x:c>
      <x:c r="D1079" s="8" t="n">
        <x:f>Source!D1073/100</x:f>
        <x:v>171.19</x:v>
      </x:c>
      <x:c r="E1079" s="8" t="n">
        <x:f>Source!E1073/100</x:f>
        <x:v>0</x:v>
      </x:c>
      <x:c r="F1079" s="8" t="n">
        <x:f>Source!F1073/100</x:f>
        <x:v>0</x:v>
      </x:c>
      <x:c r="G1079" s="8" t="n">
        <x:f>Source!G1073/100</x:f>
        <x:v>0</x:v>
      </x:c>
      <x:c r="H1079" s="8" t="n">
        <x:f>G1079-D1079</x:f>
        <x:v>-171.19</x:v>
      </x:c>
      <x:c r="I1079" s="1" t="str">
        <x:f>IF(H1079&gt;0,"Overbilled","Shortfall")</x:f>
        <x:v>Shortfall</x:v>
      </x:c>
      <x:c r="J1079" s="7"/>
      <x:c r="K1079" s="7" t="str">
        <x:v>Open</x:v>
      </x:c>
      <x:c r="L1079" s="7"/>
    </x:row>
    <x:row r="1080" ht="21" customHeight="1">
      <x:c r="A1080" s="1" t="str">
        <x:f>Source!A1074</x:f>
        <x:v>C0002533</x:v>
      </x:c>
      <x:c r="B1080" s="1" t="str">
        <x:f>_xlfn.IFNA(VLOOKUP(Source!B1074,Advertisers!$A$5:$B$34,2,FALSE),"Missing advertiser")</x:f>
        <x:v>Synthetic advertiser 20</x:v>
      </x:c>
      <x:c r="C1080" s="1" t="n">
        <x:f>Source!C1074</x:f>
        <x:v>50</x:v>
      </x:c>
      <x:c r="D1080" s="8" t="n">
        <x:f>Source!D1074/100</x:f>
        <x:v>0</x:v>
      </x:c>
      <x:c r="E1080" s="8" t="n">
        <x:f>Source!E1074/100</x:f>
        <x:v>171.19</x:v>
      </x:c>
      <x:c r="F1080" s="8" t="n">
        <x:f>Source!F1074/100</x:f>
        <x:v>0</x:v>
      </x:c>
      <x:c r="G1080" s="8" t="n">
        <x:f>Source!G1074/100</x:f>
        <x:v>171.19</x:v>
      </x:c>
      <x:c r="H1080" s="8" t="n">
        <x:f>G1080-D1080</x:f>
        <x:v>171.19</x:v>
      </x:c>
      <x:c r="I1080" s="1" t="str">
        <x:f>IF(H1080&gt;0,"Overbilled","Shortfall")</x:f>
        <x:v>Overbilled</x:v>
      </x:c>
      <x:c r="J1080" s="7"/>
      <x:c r="K1080" s="7" t="str">
        <x:v>Open</x:v>
      </x:c>
      <x:c r="L1080" s="7"/>
    </x:row>
    <x:row r="1081" ht="21" customHeight="1">
      <x:c r="A1081" s="1" t="str">
        <x:f>Source!A1075</x:f>
        <x:v>C0002522</x:v>
      </x:c>
      <x:c r="B1081" s="1" t="str">
        <x:f>_xlfn.IFNA(VLOOKUP(Source!B1075,Advertisers!$A$5:$B$34,2,FALSE),"Missing advertiser")</x:f>
        <x:v>Synthetic advertiser 30</x:v>
      </x:c>
      <x:c r="C1081" s="1" t="n">
        <x:f>Source!C1075</x:f>
        <x:v>90</x:v>
      </x:c>
      <x:c r="D1081" s="8" t="n">
        <x:f>Source!D1075/100</x:f>
        <x:v>170.72</x:v>
      </x:c>
      <x:c r="E1081" s="8" t="n">
        <x:f>Source!E1075/100</x:f>
        <x:v>341.44</x:v>
      </x:c>
      <x:c r="F1081" s="8" t="n">
        <x:f>Source!F1075/100</x:f>
        <x:v>0</x:v>
      </x:c>
      <x:c r="G1081" s="8" t="n">
        <x:f>Source!G1075/100</x:f>
        <x:v>341.44</x:v>
      </x:c>
      <x:c r="H1081" s="8" t="n">
        <x:f>G1081-D1081</x:f>
        <x:v>170.72</x:v>
      </x:c>
      <x:c r="I1081" s="1" t="str">
        <x:f>IF(H1081&gt;0,"Overbilled","Shortfall")</x:f>
        <x:v>Overbilled</x:v>
      </x:c>
      <x:c r="J1081" s="7"/>
      <x:c r="K1081" s="7" t="str">
        <x:v>Open</x:v>
      </x:c>
      <x:c r="L1081" s="7"/>
    </x:row>
    <x:row r="1082" ht="21" customHeight="1">
      <x:c r="A1082" s="1" t="str">
        <x:f>Source!A1076</x:f>
        <x:v>C0010990</x:v>
      </x:c>
      <x:c r="B1082" s="1" t="str">
        <x:f>_xlfn.IFNA(VLOOKUP(Source!B1076,Advertisers!$A$5:$B$34,2,FALSE),"Missing advertiser")</x:f>
        <x:v>Synthetic advertiser 30</x:v>
      </x:c>
      <x:c r="C1082" s="1" t="n">
        <x:f>Source!C1076</x:f>
        <x:v>90</x:v>
      </x:c>
      <x:c r="D1082" s="8" t="n">
        <x:f>Source!D1076/100</x:f>
        <x:v>170.72</x:v>
      </x:c>
      <x:c r="E1082" s="8" t="n">
        <x:f>Source!E1076/100</x:f>
        <x:v>0</x:v>
      </x:c>
      <x:c r="F1082" s="8" t="n">
        <x:f>Source!F1076/100</x:f>
        <x:v>0</x:v>
      </x:c>
      <x:c r="G1082" s="8" t="n">
        <x:f>Source!G1076/100</x:f>
        <x:v>0</x:v>
      </x:c>
      <x:c r="H1082" s="8" t="n">
        <x:f>G1082-D1082</x:f>
        <x:v>-170.72</x:v>
      </x:c>
      <x:c r="I1082" s="1" t="str">
        <x:f>IF(H1082&gt;0,"Overbilled","Shortfall")</x:f>
        <x:v>Shortfall</x:v>
      </x:c>
      <x:c r="J1082" s="7"/>
      <x:c r="K1082" s="7" t="str">
        <x:v>Open</x:v>
      </x:c>
      <x:c r="L1082" s="7"/>
    </x:row>
    <x:row r="1083" ht="21" customHeight="1">
      <x:c r="A1083" s="1" t="str">
        <x:f>Source!A1077</x:f>
        <x:v>C0009860</x:v>
      </x:c>
      <x:c r="B1083" s="1" t="str">
        <x:f>_xlfn.IFNA(VLOOKUP(Source!B1077,Advertisers!$A$5:$B$34,2,FALSE),"Missing advertiser")</x:f>
        <x:v>Synthetic advertiser 30</x:v>
      </x:c>
      <x:c r="C1083" s="1" t="n">
        <x:f>Source!C1077</x:f>
        <x:v>90</x:v>
      </x:c>
      <x:c r="D1083" s="8" t="n">
        <x:f>Source!D1077/100</x:f>
        <x:v>170.72</x:v>
      </x:c>
      <x:c r="E1083" s="8" t="n">
        <x:f>Source!E1077/100</x:f>
        <x:v>0</x:v>
      </x:c>
      <x:c r="F1083" s="8" t="n">
        <x:f>Source!F1077/100</x:f>
        <x:v>0</x:v>
      </x:c>
      <x:c r="G1083" s="8" t="n">
        <x:f>Source!G1077/100</x:f>
        <x:v>0</x:v>
      </x:c>
      <x:c r="H1083" s="8" t="n">
        <x:f>G1083-D1083</x:f>
        <x:v>-170.72</x:v>
      </x:c>
      <x:c r="I1083" s="1" t="str">
        <x:f>IF(H1083&gt;0,"Overbilled","Shortfall")</x:f>
        <x:v>Shortfall</x:v>
      </x:c>
      <x:c r="J1083" s="7"/>
      <x:c r="K1083" s="7" t="str">
        <x:v>Open</x:v>
      </x:c>
      <x:c r="L1083" s="7"/>
    </x:row>
    <x:row r="1084" ht="21" customHeight="1">
      <x:c r="A1084" s="1" t="str">
        <x:f>Source!A1078</x:f>
        <x:v>C0016694</x:v>
      </x:c>
      <x:c r="B1084" s="1" t="str">
        <x:f>_xlfn.IFNA(VLOOKUP(Source!B1078,Advertisers!$A$5:$B$34,2,FALSE),"Missing advertiser")</x:f>
        <x:v>Synthetic advertiser 30</x:v>
      </x:c>
      <x:c r="C1084" s="1" t="n">
        <x:f>Source!C1078</x:f>
        <x:v>90</x:v>
      </x:c>
      <x:c r="D1084" s="8" t="n">
        <x:f>Source!D1078/100</x:f>
        <x:v>170.72</x:v>
      </x:c>
      <x:c r="E1084" s="8" t="n">
        <x:f>Source!E1078/100</x:f>
        <x:v>341.44</x:v>
      </x:c>
      <x:c r="F1084" s="8" t="n">
        <x:f>Source!F1078/100</x:f>
        <x:v>0</x:v>
      </x:c>
      <x:c r="G1084" s="8" t="n">
        <x:f>Source!G1078/100</x:f>
        <x:v>341.44</x:v>
      </x:c>
      <x:c r="H1084" s="8" t="n">
        <x:f>G1084-D1084</x:f>
        <x:v>170.72</x:v>
      </x:c>
      <x:c r="I1084" s="1" t="str">
        <x:f>IF(H1084&gt;0,"Overbilled","Shortfall")</x:f>
        <x:v>Overbilled</x:v>
      </x:c>
      <x:c r="J1084" s="7"/>
      <x:c r="K1084" s="7" t="str">
        <x:v>Open</x:v>
      </x:c>
      <x:c r="L1084" s="7"/>
    </x:row>
    <x:row r="1085" ht="21" customHeight="1">
      <x:c r="A1085" s="1" t="str">
        <x:f>Source!A1079</x:f>
        <x:v>C0009846</x:v>
      </x:c>
      <x:c r="B1085" s="1" t="str">
        <x:f>_xlfn.IFNA(VLOOKUP(Source!B1079,Advertisers!$A$5:$B$34,2,FALSE),"Missing advertiser")</x:f>
        <x:v>Synthetic advertiser 30</x:v>
      </x:c>
      <x:c r="C1085" s="1" t="n">
        <x:f>Source!C1079</x:f>
        <x:v>90</x:v>
      </x:c>
      <x:c r="D1085" s="8" t="n">
        <x:f>Source!D1079/100</x:f>
        <x:v>170.72</x:v>
      </x:c>
      <x:c r="E1085" s="8" t="n">
        <x:f>Source!E1079/100</x:f>
        <x:v>0</x:v>
      </x:c>
      <x:c r="F1085" s="8" t="n">
        <x:f>Source!F1079/100</x:f>
        <x:v>0</x:v>
      </x:c>
      <x:c r="G1085" s="8" t="n">
        <x:f>Source!G1079/100</x:f>
        <x:v>0</x:v>
      </x:c>
      <x:c r="H1085" s="8" t="n">
        <x:f>G1085-D1085</x:f>
        <x:v>-170.72</x:v>
      </x:c>
      <x:c r="I1085" s="1" t="str">
        <x:f>IF(H1085&gt;0,"Overbilled","Shortfall")</x:f>
        <x:v>Shortfall</x:v>
      </x:c>
      <x:c r="J1085" s="7"/>
      <x:c r="K1085" s="7" t="str">
        <x:v>Open</x:v>
      </x:c>
      <x:c r="L1085" s="7"/>
    </x:row>
    <x:row r="1086" ht="21" customHeight="1">
      <x:c r="A1086" s="1" t="str">
        <x:f>Source!A1080</x:f>
        <x:v>C0005787</x:v>
      </x:c>
      <x:c r="B1086" s="1" t="str">
        <x:f>_xlfn.IFNA(VLOOKUP(Source!B1080,Advertisers!$A$5:$B$34,2,FALSE),"Missing advertiser")</x:f>
        <x:v>Synthetic advertiser 20</x:v>
      </x:c>
      <x:c r="C1086" s="1" t="n">
        <x:f>Source!C1080</x:f>
        <x:v>80</x:v>
      </x:c>
      <x:c r="D1086" s="8" t="n">
        <x:f>Source!D1080/100</x:f>
        <x:v>169.04</x:v>
      </x:c>
      <x:c r="E1086" s="8" t="n">
        <x:f>Source!E1080/100</x:f>
        <x:v>338.08</x:v>
      </x:c>
      <x:c r="F1086" s="8" t="n">
        <x:f>Source!F1080/100</x:f>
        <x:v>0</x:v>
      </x:c>
      <x:c r="G1086" s="8" t="n">
        <x:f>Source!G1080/100</x:f>
        <x:v>338.08</x:v>
      </x:c>
      <x:c r="H1086" s="8" t="n">
        <x:f>G1086-D1086</x:f>
        <x:v>169.04</x:v>
      </x:c>
      <x:c r="I1086" s="1" t="str">
        <x:f>IF(H1086&gt;0,"Overbilled","Shortfall")</x:f>
        <x:v>Overbilled</x:v>
      </x:c>
      <x:c r="J1086" s="7"/>
      <x:c r="K1086" s="7" t="str">
        <x:v>Open</x:v>
      </x:c>
      <x:c r="L1086" s="7"/>
    </x:row>
    <x:row r="1087" ht="21" customHeight="1">
      <x:c r="A1087" s="1" t="str">
        <x:f>Source!A1081</x:f>
        <x:v>C0016799</x:v>
      </x:c>
      <x:c r="B1087" s="1" t="str">
        <x:f>_xlfn.IFNA(VLOOKUP(Source!B1081,Advertisers!$A$5:$B$34,2,FALSE),"Missing advertiser")</x:f>
        <x:v>Synthetic advertiser 20</x:v>
      </x:c>
      <x:c r="C1087" s="1" t="n">
        <x:f>Source!C1081</x:f>
        <x:v>80</x:v>
      </x:c>
      <x:c r="D1087" s="8" t="n">
        <x:f>Source!D1081/100</x:f>
        <x:v>0</x:v>
      </x:c>
      <x:c r="E1087" s="8" t="n">
        <x:f>Source!E1081/100</x:f>
        <x:v>169.04</x:v>
      </x:c>
      <x:c r="F1087" s="8" t="n">
        <x:f>Source!F1081/100</x:f>
        <x:v>0</x:v>
      </x:c>
      <x:c r="G1087" s="8" t="n">
        <x:f>Source!G1081/100</x:f>
        <x:v>169.04</x:v>
      </x:c>
      <x:c r="H1087" s="8" t="n">
        <x:f>G1087-D1087</x:f>
        <x:v>169.04</x:v>
      </x:c>
      <x:c r="I1087" s="1" t="str">
        <x:f>IF(H1087&gt;0,"Overbilled","Shortfall")</x:f>
        <x:v>Overbilled</x:v>
      </x:c>
      <x:c r="J1087" s="7"/>
      <x:c r="K1087" s="7" t="str">
        <x:v>Open</x:v>
      </x:c>
      <x:c r="L1087" s="7"/>
    </x:row>
    <x:row r="1088" ht="21" customHeight="1">
      <x:c r="A1088" s="1" t="str">
        <x:f>Source!A1082</x:f>
        <x:v>C0008622</x:v>
      </x:c>
      <x:c r="B1088" s="1" t="str">
        <x:f>_xlfn.IFNA(VLOOKUP(Source!B1082,Advertisers!$A$5:$B$34,2,FALSE),"Missing advertiser")</x:f>
        <x:v>Synthetic advertiser 20</x:v>
      </x:c>
      <x:c r="C1088" s="1" t="n">
        <x:f>Source!C1082</x:f>
        <x:v>80</x:v>
      </x:c>
      <x:c r="D1088" s="8" t="n">
        <x:f>Source!D1082/100</x:f>
        <x:v>169.04</x:v>
      </x:c>
      <x:c r="E1088" s="8" t="n">
        <x:f>Source!E1082/100</x:f>
        <x:v>338.08</x:v>
      </x:c>
      <x:c r="F1088" s="8" t="n">
        <x:f>Source!F1082/100</x:f>
        <x:v>0</x:v>
      </x:c>
      <x:c r="G1088" s="8" t="n">
        <x:f>Source!G1082/100</x:f>
        <x:v>338.08</x:v>
      </x:c>
      <x:c r="H1088" s="8" t="n">
        <x:f>G1088-D1088</x:f>
        <x:v>169.04</x:v>
      </x:c>
      <x:c r="I1088" s="1" t="str">
        <x:f>IF(H1088&gt;0,"Overbilled","Shortfall")</x:f>
        <x:v>Overbilled</x:v>
      </x:c>
      <x:c r="J1088" s="7"/>
      <x:c r="K1088" s="7" t="str">
        <x:v>Open</x:v>
      </x:c>
      <x:c r="L1088" s="7"/>
    </x:row>
    <x:row r="1089" ht="21" customHeight="1">
      <x:c r="A1089" s="1" t="str">
        <x:f>Source!A1083</x:f>
        <x:v>C0013071</x:v>
      </x:c>
      <x:c r="B1089" s="1" t="str">
        <x:f>_xlfn.IFNA(VLOOKUP(Source!B1083,Advertisers!$A$5:$B$34,2,FALSE),"Missing advertiser")</x:f>
        <x:v>Synthetic advertiser 20</x:v>
      </x:c>
      <x:c r="C1089" s="1" t="n">
        <x:f>Source!C1083</x:f>
        <x:v>80</x:v>
      </x:c>
      <x:c r="D1089" s="8" t="n">
        <x:f>Source!D1083/100</x:f>
        <x:v>169.04</x:v>
      </x:c>
      <x:c r="E1089" s="8" t="n">
        <x:f>Source!E1083/100</x:f>
        <x:v>338.08</x:v>
      </x:c>
      <x:c r="F1089" s="8" t="n">
        <x:f>Source!F1083/100</x:f>
        <x:v>0</x:v>
      </x:c>
      <x:c r="G1089" s="8" t="n">
        <x:f>Source!G1083/100</x:f>
        <x:v>338.08</x:v>
      </x:c>
      <x:c r="H1089" s="8" t="n">
        <x:f>G1089-D1089</x:f>
        <x:v>169.04</x:v>
      </x:c>
      <x:c r="I1089" s="1" t="str">
        <x:f>IF(H1089&gt;0,"Overbilled","Shortfall")</x:f>
        <x:v>Overbilled</x:v>
      </x:c>
      <x:c r="J1089" s="7"/>
      <x:c r="K1089" s="7" t="str">
        <x:v>Open</x:v>
      </x:c>
      <x:c r="L1089" s="7"/>
    </x:row>
    <x:row r="1090" ht="21" customHeight="1">
      <x:c r="A1090" s="1" t="str">
        <x:f>Source!A1084</x:f>
        <x:v>C0004486</x:v>
      </x:c>
      <x:c r="B1090" s="1" t="str">
        <x:f>_xlfn.IFNA(VLOOKUP(Source!B1084,Advertisers!$A$5:$B$34,2,FALSE),"Missing advertiser")</x:f>
        <x:v>Synthetic advertiser 20</x:v>
      </x:c>
      <x:c r="C1090" s="1" t="n">
        <x:f>Source!C1084</x:f>
        <x:v>80</x:v>
      </x:c>
      <x:c r="D1090" s="8" t="n">
        <x:f>Source!D1084/100</x:f>
        <x:v>169.04</x:v>
      </x:c>
      <x:c r="E1090" s="8" t="n">
        <x:f>Source!E1084/100</x:f>
        <x:v>0</x:v>
      </x:c>
      <x:c r="F1090" s="8" t="n">
        <x:f>Source!F1084/100</x:f>
        <x:v>0</x:v>
      </x:c>
      <x:c r="G1090" s="8" t="n">
        <x:f>Source!G1084/100</x:f>
        <x:v>0</x:v>
      </x:c>
      <x:c r="H1090" s="8" t="n">
        <x:f>G1090-D1090</x:f>
        <x:v>-169.04</x:v>
      </x:c>
      <x:c r="I1090" s="1" t="str">
        <x:f>IF(H1090&gt;0,"Overbilled","Shortfall")</x:f>
        <x:v>Shortfall</x:v>
      </x:c>
      <x:c r="J1090" s="7"/>
      <x:c r="K1090" s="7" t="str">
        <x:v>Open</x:v>
      </x:c>
      <x:c r="L1090" s="7"/>
    </x:row>
    <x:row r="1091" ht="21" customHeight="1">
      <x:c r="A1091" s="1" t="str">
        <x:f>Source!A1085</x:f>
        <x:v>C0005881</x:v>
      </x:c>
      <x:c r="B1091" s="1" t="str">
        <x:f>_xlfn.IFNA(VLOOKUP(Source!B1085,Advertisers!$A$5:$B$34,2,FALSE),"Missing advertiser")</x:f>
        <x:v>Synthetic advertiser 20</x:v>
      </x:c>
      <x:c r="C1091" s="1" t="n">
        <x:f>Source!C1085</x:f>
        <x:v>80</x:v>
      </x:c>
      <x:c r="D1091" s="8" t="n">
        <x:f>Source!D1085/100</x:f>
        <x:v>169.04</x:v>
      </x:c>
      <x:c r="E1091" s="8" t="n">
        <x:f>Source!E1085/100</x:f>
        <x:v>0</x:v>
      </x:c>
      <x:c r="F1091" s="8" t="n">
        <x:f>Source!F1085/100</x:f>
        <x:v>0</x:v>
      </x:c>
      <x:c r="G1091" s="8" t="n">
        <x:f>Source!G1085/100</x:f>
        <x:v>0</x:v>
      </x:c>
      <x:c r="H1091" s="8" t="n">
        <x:f>G1091-D1091</x:f>
        <x:v>-169.04</x:v>
      </x:c>
      <x:c r="I1091" s="1" t="str">
        <x:f>IF(H1091&gt;0,"Overbilled","Shortfall")</x:f>
        <x:v>Shortfall</x:v>
      </x:c>
      <x:c r="J1091" s="7"/>
      <x:c r="K1091" s="7" t="str">
        <x:v>Open</x:v>
      </x:c>
      <x:c r="L1091" s="7"/>
    </x:row>
    <x:row r="1092" ht="21" customHeight="1">
      <x:c r="A1092" s="1" t="str">
        <x:f>Source!A1086</x:f>
        <x:v>C0007854</x:v>
      </x:c>
      <x:c r="B1092" s="1" t="str">
        <x:f>_xlfn.IFNA(VLOOKUP(Source!B1086,Advertisers!$A$5:$B$34,2,FALSE),"Missing advertiser")</x:f>
        <x:v>Synthetic advertiser 20</x:v>
      </x:c>
      <x:c r="C1092" s="1" t="n">
        <x:f>Source!C1086</x:f>
        <x:v>80</x:v>
      </x:c>
      <x:c r="D1092" s="8" t="n">
        <x:f>Source!D1086/100</x:f>
        <x:v>169.04</x:v>
      </x:c>
      <x:c r="E1092" s="8" t="n">
        <x:f>Source!E1086/100</x:f>
        <x:v>0</x:v>
      </x:c>
      <x:c r="F1092" s="8" t="n">
        <x:f>Source!F1086/100</x:f>
        <x:v>0</x:v>
      </x:c>
      <x:c r="G1092" s="8" t="n">
        <x:f>Source!G1086/100</x:f>
        <x:v>0</x:v>
      </x:c>
      <x:c r="H1092" s="8" t="n">
        <x:f>G1092-D1092</x:f>
        <x:v>-169.04</x:v>
      </x:c>
      <x:c r="I1092" s="1" t="str">
        <x:f>IF(H1092&gt;0,"Overbilled","Shortfall")</x:f>
        <x:v>Shortfall</x:v>
      </x:c>
      <x:c r="J1092" s="7"/>
      <x:c r="K1092" s="7" t="str">
        <x:v>Open</x:v>
      </x:c>
      <x:c r="L1092" s="7"/>
    </x:row>
    <x:row r="1093" ht="21" customHeight="1">
      <x:c r="A1093" s="1" t="str">
        <x:f>Source!A1087</x:f>
        <x:v>C0013455</x:v>
      </x:c>
      <x:c r="B1093" s="1" t="str">
        <x:f>_xlfn.IFNA(VLOOKUP(Source!B1087,Advertisers!$A$5:$B$34,2,FALSE),"Missing advertiser")</x:f>
        <x:v>Synthetic advertiser 20</x:v>
      </x:c>
      <x:c r="C1093" s="1" t="n">
        <x:f>Source!C1087</x:f>
        <x:v>80</x:v>
      </x:c>
      <x:c r="D1093" s="8" t="n">
        <x:f>Source!D1087/100</x:f>
        <x:v>169.04</x:v>
      </x:c>
      <x:c r="E1093" s="8" t="n">
        <x:f>Source!E1087/100</x:f>
        <x:v>338.08</x:v>
      </x:c>
      <x:c r="F1093" s="8" t="n">
        <x:f>Source!F1087/100</x:f>
        <x:v>0</x:v>
      </x:c>
      <x:c r="G1093" s="8" t="n">
        <x:f>Source!G1087/100</x:f>
        <x:v>338.08</x:v>
      </x:c>
      <x:c r="H1093" s="8" t="n">
        <x:f>G1093-D1093</x:f>
        <x:v>169.04</x:v>
      </x:c>
      <x:c r="I1093" s="1" t="str">
        <x:f>IF(H1093&gt;0,"Overbilled","Shortfall")</x:f>
        <x:v>Overbilled</x:v>
      </x:c>
      <x:c r="J1093" s="7"/>
      <x:c r="K1093" s="7" t="str">
        <x:v>Open</x:v>
      </x:c>
      <x:c r="L1093" s="7"/>
    </x:row>
    <x:row r="1094" ht="21" customHeight="1">
      <x:c r="A1094" s="1" t="str">
        <x:f>Source!A1088</x:f>
        <x:v>C0000238</x:v>
      </x:c>
      <x:c r="B1094" s="1" t="str">
        <x:f>_xlfn.IFNA(VLOOKUP(Source!B1088,Advertisers!$A$5:$B$34,2,FALSE),"Missing advertiser")</x:f>
        <x:v>Synthetic advertiser 20</x:v>
      </x:c>
      <x:c r="C1094" s="1" t="n">
        <x:f>Source!C1088</x:f>
        <x:v>80</x:v>
      </x:c>
      <x:c r="D1094" s="8" t="n">
        <x:f>Source!D1088/100</x:f>
        <x:v>169.04</x:v>
      </x:c>
      <x:c r="E1094" s="8" t="n">
        <x:f>Source!E1088/100</x:f>
        <x:v>0</x:v>
      </x:c>
      <x:c r="F1094" s="8" t="n">
        <x:f>Source!F1088/100</x:f>
        <x:v>0</x:v>
      </x:c>
      <x:c r="G1094" s="8" t="n">
        <x:f>Source!G1088/100</x:f>
        <x:v>0</x:v>
      </x:c>
      <x:c r="H1094" s="8" t="n">
        <x:f>G1094-D1094</x:f>
        <x:v>-169.04</x:v>
      </x:c>
      <x:c r="I1094" s="1" t="str">
        <x:f>IF(H1094&gt;0,"Overbilled","Shortfall")</x:f>
        <x:v>Shortfall</x:v>
      </x:c>
      <x:c r="J1094" s="7"/>
      <x:c r="K1094" s="7" t="str">
        <x:v>Open</x:v>
      </x:c>
      <x:c r="L1094" s="7"/>
    </x:row>
    <x:row r="1095" ht="21" customHeight="1">
      <x:c r="A1095" s="1" t="str">
        <x:f>Source!A1089</x:f>
        <x:v>C0008585</x:v>
      </x:c>
      <x:c r="B1095" s="1" t="str">
        <x:f>_xlfn.IFNA(VLOOKUP(Source!B1089,Advertisers!$A$5:$B$34,2,FALSE),"Missing advertiser")</x:f>
        <x:v>Synthetic advertiser 20</x:v>
      </x:c>
      <x:c r="C1095" s="1" t="n">
        <x:f>Source!C1089</x:f>
        <x:v>80</x:v>
      </x:c>
      <x:c r="D1095" s="8" t="n">
        <x:f>Source!D1089/100</x:f>
        <x:v>169.04</x:v>
      </x:c>
      <x:c r="E1095" s="8" t="n">
        <x:f>Source!E1089/100</x:f>
        <x:v>338.08</x:v>
      </x:c>
      <x:c r="F1095" s="8" t="n">
        <x:f>Source!F1089/100</x:f>
        <x:v>0</x:v>
      </x:c>
      <x:c r="G1095" s="8" t="n">
        <x:f>Source!G1089/100</x:f>
        <x:v>338.08</x:v>
      </x:c>
      <x:c r="H1095" s="8" t="n">
        <x:f>G1095-D1095</x:f>
        <x:v>169.04</x:v>
      </x:c>
      <x:c r="I1095" s="1" t="str">
        <x:f>IF(H1095&gt;0,"Overbilled","Shortfall")</x:f>
        <x:v>Overbilled</x:v>
      </x:c>
      <x:c r="J1095" s="7"/>
      <x:c r="K1095" s="7" t="str">
        <x:v>Open</x:v>
      </x:c>
      <x:c r="L1095" s="7"/>
    </x:row>
    <x:row r="1096" ht="21" customHeight="1">
      <x:c r="A1096" s="1" t="str">
        <x:f>Source!A1090</x:f>
        <x:v>C0011849</x:v>
      </x:c>
      <x:c r="B1096" s="1" t="str">
        <x:f>_xlfn.IFNA(VLOOKUP(Source!B1090,Advertisers!$A$5:$B$34,2,FALSE),"Missing advertiser")</x:f>
        <x:v>Synthetic advertiser 20</x:v>
      </x:c>
      <x:c r="C1096" s="1" t="n">
        <x:f>Source!C1090</x:f>
        <x:v>80</x:v>
      </x:c>
      <x:c r="D1096" s="8" t="n">
        <x:f>Source!D1090/100</x:f>
        <x:v>169.04</x:v>
      </x:c>
      <x:c r="E1096" s="8" t="n">
        <x:f>Source!E1090/100</x:f>
        <x:v>0</x:v>
      </x:c>
      <x:c r="F1096" s="8" t="n">
        <x:f>Source!F1090/100</x:f>
        <x:v>0</x:v>
      </x:c>
      <x:c r="G1096" s="8" t="n">
        <x:f>Source!G1090/100</x:f>
        <x:v>0</x:v>
      </x:c>
      <x:c r="H1096" s="8" t="n">
        <x:f>G1096-D1096</x:f>
        <x:v>-169.04</x:v>
      </x:c>
      <x:c r="I1096" s="1" t="str">
        <x:f>IF(H1096&gt;0,"Overbilled","Shortfall")</x:f>
        <x:v>Shortfall</x:v>
      </x:c>
      <x:c r="J1096" s="7"/>
      <x:c r="K1096" s="7" t="str">
        <x:v>Open</x:v>
      </x:c>
      <x:c r="L1096" s="7"/>
    </x:row>
    <x:row r="1097" ht="21" customHeight="1">
      <x:c r="A1097" s="1" t="str">
        <x:f>Source!A1091</x:f>
        <x:v>C0012770</x:v>
      </x:c>
      <x:c r="B1097" s="1" t="str">
        <x:f>_xlfn.IFNA(VLOOKUP(Source!B1091,Advertisers!$A$5:$B$34,2,FALSE),"Missing advertiser")</x:f>
        <x:v>Synthetic advertiser 20</x:v>
      </x:c>
      <x:c r="C1097" s="1" t="n">
        <x:f>Source!C1091</x:f>
        <x:v>80</x:v>
      </x:c>
      <x:c r="D1097" s="8" t="n">
        <x:f>Source!D1091/100</x:f>
        <x:v>169.04</x:v>
      </x:c>
      <x:c r="E1097" s="8" t="n">
        <x:f>Source!E1091/100</x:f>
        <x:v>338.08</x:v>
      </x:c>
      <x:c r="F1097" s="8" t="n">
        <x:f>Source!F1091/100</x:f>
        <x:v>0</x:v>
      </x:c>
      <x:c r="G1097" s="8" t="n">
        <x:f>Source!G1091/100</x:f>
        <x:v>338.08</x:v>
      </x:c>
      <x:c r="H1097" s="8" t="n">
        <x:f>G1097-D1097</x:f>
        <x:v>169.04</x:v>
      </x:c>
      <x:c r="I1097" s="1" t="str">
        <x:f>IF(H1097&gt;0,"Overbilled","Shortfall")</x:f>
        <x:v>Overbilled</x:v>
      </x:c>
      <x:c r="J1097" s="7"/>
      <x:c r="K1097" s="7" t="str">
        <x:v>Open</x:v>
      </x:c>
      <x:c r="L1097" s="7"/>
    </x:row>
    <x:row r="1098" ht="21" customHeight="1">
      <x:c r="A1098" s="1" t="str">
        <x:f>Source!A1092</x:f>
        <x:v>C0005977</x:v>
      </x:c>
      <x:c r="B1098" s="1" t="str">
        <x:f>_xlfn.IFNA(VLOOKUP(Source!B1092,Advertisers!$A$5:$B$34,2,FALSE),"Missing advertiser")</x:f>
        <x:v>Synthetic advertiser 7</x:v>
      </x:c>
      <x:c r="C1098" s="1" t="n">
        <x:f>Source!C1092</x:f>
        <x:v>97</x:v>
      </x:c>
      <x:c r="D1098" s="8" t="n">
        <x:f>Source!D1092/100</x:f>
        <x:v>168.91</x:v>
      </x:c>
      <x:c r="E1098" s="8" t="n">
        <x:f>Source!E1092/100</x:f>
        <x:v>337.82</x:v>
      </x:c>
      <x:c r="F1098" s="8" t="n">
        <x:f>Source!F1092/100</x:f>
        <x:v>0</x:v>
      </x:c>
      <x:c r="G1098" s="8" t="n">
        <x:f>Source!G1092/100</x:f>
        <x:v>337.82</x:v>
      </x:c>
      <x:c r="H1098" s="8" t="n">
        <x:f>G1098-D1098</x:f>
        <x:v>168.91</x:v>
      </x:c>
      <x:c r="I1098" s="1" t="str">
        <x:f>IF(H1098&gt;0,"Overbilled","Shortfall")</x:f>
        <x:v>Overbilled</x:v>
      </x:c>
      <x:c r="J1098" s="7"/>
      <x:c r="K1098" s="7" t="str">
        <x:v>Open</x:v>
      </x:c>
      <x:c r="L1098" s="7"/>
    </x:row>
    <x:row r="1099" ht="21" customHeight="1">
      <x:c r="A1099" s="1" t="str">
        <x:f>Source!A1093</x:f>
        <x:v>C0002123</x:v>
      </x:c>
      <x:c r="B1099" s="1" t="str">
        <x:f>_xlfn.IFNA(VLOOKUP(Source!B1093,Advertisers!$A$5:$B$34,2,FALSE),"Missing advertiser")</x:f>
        <x:v>Synthetic advertiser 7</x:v>
      </x:c>
      <x:c r="C1099" s="1" t="n">
        <x:f>Source!C1093</x:f>
        <x:v>97</x:v>
      </x:c>
      <x:c r="D1099" s="8" t="n">
        <x:f>Source!D1093/100</x:f>
        <x:v>168.91</x:v>
      </x:c>
      <x:c r="E1099" s="8" t="n">
        <x:f>Source!E1093/100</x:f>
        <x:v>0</x:v>
      </x:c>
      <x:c r="F1099" s="8" t="n">
        <x:f>Source!F1093/100</x:f>
        <x:v>0</x:v>
      </x:c>
      <x:c r="G1099" s="8" t="n">
        <x:f>Source!G1093/100</x:f>
        <x:v>0</x:v>
      </x:c>
      <x:c r="H1099" s="8" t="n">
        <x:f>G1099-D1099</x:f>
        <x:v>-168.91</x:v>
      </x:c>
      <x:c r="I1099" s="1" t="str">
        <x:f>IF(H1099&gt;0,"Overbilled","Shortfall")</x:f>
        <x:v>Shortfall</x:v>
      </x:c>
      <x:c r="J1099" s="7"/>
      <x:c r="K1099" s="7" t="str">
        <x:v>Open</x:v>
      </x:c>
      <x:c r="L1099" s="7"/>
    </x:row>
    <x:row r="1100" ht="21" customHeight="1">
      <x:c r="A1100" s="1" t="str">
        <x:f>Source!A1094</x:f>
        <x:v>C0005502</x:v>
      </x:c>
      <x:c r="B1100" s="1" t="str">
        <x:f>_xlfn.IFNA(VLOOKUP(Source!B1094,Advertisers!$A$5:$B$34,2,FALSE),"Missing advertiser")</x:f>
        <x:v>Synthetic advertiser 7</x:v>
      </x:c>
      <x:c r="C1100" s="1" t="n">
        <x:f>Source!C1094</x:f>
        <x:v>97</x:v>
      </x:c>
      <x:c r="D1100" s="8" t="n">
        <x:f>Source!D1094/100</x:f>
        <x:v>168.91</x:v>
      </x:c>
      <x:c r="E1100" s="8" t="n">
        <x:f>Source!E1094/100</x:f>
        <x:v>337.82</x:v>
      </x:c>
      <x:c r="F1100" s="8" t="n">
        <x:f>Source!F1094/100</x:f>
        <x:v>0</x:v>
      </x:c>
      <x:c r="G1100" s="8" t="n">
        <x:f>Source!G1094/100</x:f>
        <x:v>337.82</x:v>
      </x:c>
      <x:c r="H1100" s="8" t="n">
        <x:f>G1100-D1100</x:f>
        <x:v>168.91</x:v>
      </x:c>
      <x:c r="I1100" s="1" t="str">
        <x:f>IF(H1100&gt;0,"Overbilled","Shortfall")</x:f>
        <x:v>Overbilled</x:v>
      </x:c>
      <x:c r="J1100" s="7"/>
      <x:c r="K1100" s="7" t="str">
        <x:v>Open</x:v>
      </x:c>
      <x:c r="L1100" s="7"/>
    </x:row>
    <x:row r="1101" ht="21" customHeight="1">
      <x:c r="A1101" s="1" t="str">
        <x:f>Source!A1095</x:f>
        <x:v>C0010914</x:v>
      </x:c>
      <x:c r="B1101" s="1" t="str">
        <x:f>_xlfn.IFNA(VLOOKUP(Source!B1095,Advertisers!$A$5:$B$34,2,FALSE),"Missing advertiser")</x:f>
        <x:v>Synthetic advertiser 7</x:v>
      </x:c>
      <x:c r="C1101" s="1" t="n">
        <x:f>Source!C1095</x:f>
        <x:v>97</x:v>
      </x:c>
      <x:c r="D1101" s="8" t="n">
        <x:f>Source!D1095/100</x:f>
        <x:v>168.91</x:v>
      </x:c>
      <x:c r="E1101" s="8" t="n">
        <x:f>Source!E1095/100</x:f>
        <x:v>0</x:v>
      </x:c>
      <x:c r="F1101" s="8" t="n">
        <x:f>Source!F1095/100</x:f>
        <x:v>0</x:v>
      </x:c>
      <x:c r="G1101" s="8" t="n">
        <x:f>Source!G1095/100</x:f>
        <x:v>0</x:v>
      </x:c>
      <x:c r="H1101" s="8" t="n">
        <x:f>G1101-D1101</x:f>
        <x:v>-168.91</x:v>
      </x:c>
      <x:c r="I1101" s="1" t="str">
        <x:f>IF(H1101&gt;0,"Overbilled","Shortfall")</x:f>
        <x:v>Shortfall</x:v>
      </x:c>
      <x:c r="J1101" s="7"/>
      <x:c r="K1101" s="7" t="str">
        <x:v>Open</x:v>
      </x:c>
      <x:c r="L1101" s="7"/>
    </x:row>
    <x:row r="1102" ht="21" customHeight="1">
      <x:c r="A1102" s="1" t="str">
        <x:f>Source!A1096</x:f>
        <x:v>C0013349</x:v>
      </x:c>
      <x:c r="B1102" s="1" t="str">
        <x:f>_xlfn.IFNA(VLOOKUP(Source!B1096,Advertisers!$A$5:$B$34,2,FALSE),"Missing advertiser")</x:f>
        <x:v>Synthetic advertiser 28</x:v>
      </x:c>
      <x:c r="C1102" s="1" t="n">
        <x:f>Source!C1096</x:f>
        <x:v>58</x:v>
      </x:c>
      <x:c r="D1102" s="8" t="n">
        <x:f>Source!D1096/100</x:f>
        <x:v>167.94</x:v>
      </x:c>
      <x:c r="E1102" s="8" t="n">
        <x:f>Source!E1096/100</x:f>
        <x:v>335.88</x:v>
      </x:c>
      <x:c r="F1102" s="8" t="n">
        <x:f>Source!F1096/100</x:f>
        <x:v>0</x:v>
      </x:c>
      <x:c r="G1102" s="8" t="n">
        <x:f>Source!G1096/100</x:f>
        <x:v>335.88</x:v>
      </x:c>
      <x:c r="H1102" s="8" t="n">
        <x:f>G1102-D1102</x:f>
        <x:v>167.94</x:v>
      </x:c>
      <x:c r="I1102" s="1" t="str">
        <x:f>IF(H1102&gt;0,"Overbilled","Shortfall")</x:f>
        <x:v>Overbilled</x:v>
      </x:c>
      <x:c r="J1102" s="7"/>
      <x:c r="K1102" s="7" t="str">
        <x:v>Open</x:v>
      </x:c>
      <x:c r="L1102" s="7"/>
    </x:row>
    <x:row r="1103" ht="21" customHeight="1">
      <x:c r="A1103" s="1" t="str">
        <x:f>Source!A1097</x:f>
        <x:v>C0005119</x:v>
      </x:c>
      <x:c r="B1103" s="1" t="str">
        <x:f>_xlfn.IFNA(VLOOKUP(Source!B1097,Advertisers!$A$5:$B$34,2,FALSE),"Missing advertiser")</x:f>
        <x:v>Synthetic advertiser 28</x:v>
      </x:c>
      <x:c r="C1103" s="1" t="n">
        <x:f>Source!C1097</x:f>
        <x:v>58</x:v>
      </x:c>
      <x:c r="D1103" s="8" t="n">
        <x:f>Source!D1097/100</x:f>
        <x:v>167.94</x:v>
      </x:c>
      <x:c r="E1103" s="8" t="n">
        <x:f>Source!E1097/100</x:f>
        <x:v>0</x:v>
      </x:c>
      <x:c r="F1103" s="8" t="n">
        <x:f>Source!F1097/100</x:f>
        <x:v>0</x:v>
      </x:c>
      <x:c r="G1103" s="8" t="n">
        <x:f>Source!G1097/100</x:f>
        <x:v>0</x:v>
      </x:c>
      <x:c r="H1103" s="8" t="n">
        <x:f>G1103-D1103</x:f>
        <x:v>-167.94</x:v>
      </x:c>
      <x:c r="I1103" s="1" t="str">
        <x:f>IF(H1103&gt;0,"Overbilled","Shortfall")</x:f>
        <x:v>Shortfall</x:v>
      </x:c>
      <x:c r="J1103" s="7"/>
      <x:c r="K1103" s="7" t="str">
        <x:v>Open</x:v>
      </x:c>
      <x:c r="L1103" s="7"/>
    </x:row>
    <x:row r="1104" ht="21" customHeight="1">
      <x:c r="A1104" s="1" t="str">
        <x:f>Source!A1098</x:f>
        <x:v>C0007916</x:v>
      </x:c>
      <x:c r="B1104" s="1" t="str">
        <x:f>_xlfn.IFNA(VLOOKUP(Source!B1098,Advertisers!$A$5:$B$34,2,FALSE),"Missing advertiser")</x:f>
        <x:v>Synthetic advertiser 28</x:v>
      </x:c>
      <x:c r="C1104" s="1" t="n">
        <x:f>Source!C1098</x:f>
        <x:v>58</x:v>
      </x:c>
      <x:c r="D1104" s="8" t="n">
        <x:f>Source!D1098/100</x:f>
        <x:v>167.94</x:v>
      </x:c>
      <x:c r="E1104" s="8" t="n">
        <x:f>Source!E1098/100</x:f>
        <x:v>335.88</x:v>
      </x:c>
      <x:c r="F1104" s="8" t="n">
        <x:f>Source!F1098/100</x:f>
        <x:v>0</x:v>
      </x:c>
      <x:c r="G1104" s="8" t="n">
        <x:f>Source!G1098/100</x:f>
        <x:v>335.88</x:v>
      </x:c>
      <x:c r="H1104" s="8" t="n">
        <x:f>G1104-D1104</x:f>
        <x:v>167.94</x:v>
      </x:c>
      <x:c r="I1104" s="1" t="str">
        <x:f>IF(H1104&gt;0,"Overbilled","Shortfall")</x:f>
        <x:v>Overbilled</x:v>
      </x:c>
      <x:c r="J1104" s="7"/>
      <x:c r="K1104" s="7" t="str">
        <x:v>Open</x:v>
      </x:c>
      <x:c r="L1104" s="7"/>
    </x:row>
    <x:row r="1105" ht="21" customHeight="1">
      <x:c r="A1105" s="1" t="str">
        <x:f>Source!A1099</x:f>
        <x:v>C0004669</x:v>
      </x:c>
      <x:c r="B1105" s="1" t="str">
        <x:f>_xlfn.IFNA(VLOOKUP(Source!B1099,Advertisers!$A$5:$B$34,2,FALSE),"Missing advertiser")</x:f>
        <x:v>Synthetic advertiser 28</x:v>
      </x:c>
      <x:c r="C1105" s="1" t="n">
        <x:f>Source!C1099</x:f>
        <x:v>58</x:v>
      </x:c>
      <x:c r="D1105" s="8" t="n">
        <x:f>Source!D1099/100</x:f>
        <x:v>167.94</x:v>
      </x:c>
      <x:c r="E1105" s="8" t="n">
        <x:f>Source!E1099/100</x:f>
        <x:v>0</x:v>
      </x:c>
      <x:c r="F1105" s="8" t="n">
        <x:f>Source!F1099/100</x:f>
        <x:v>0</x:v>
      </x:c>
      <x:c r="G1105" s="8" t="n">
        <x:f>Source!G1099/100</x:f>
        <x:v>0</x:v>
      </x:c>
      <x:c r="H1105" s="8" t="n">
        <x:f>G1105-D1105</x:f>
        <x:v>-167.94</x:v>
      </x:c>
      <x:c r="I1105" s="1" t="str">
        <x:f>IF(H1105&gt;0,"Overbilled","Shortfall")</x:f>
        <x:v>Shortfall</x:v>
      </x:c>
      <x:c r="J1105" s="7"/>
      <x:c r="K1105" s="7" t="str">
        <x:v>Open</x:v>
      </x:c>
      <x:c r="L1105" s="7"/>
    </x:row>
    <x:row r="1106" ht="21" customHeight="1">
      <x:c r="A1106" s="1" t="str">
        <x:f>Source!A1100</x:f>
        <x:v>C0005167</x:v>
      </x:c>
      <x:c r="B1106" s="1" t="str">
        <x:f>_xlfn.IFNA(VLOOKUP(Source!B1100,Advertisers!$A$5:$B$34,2,FALSE),"Missing advertiser")</x:f>
        <x:v>Synthetic advertiser 14</x:v>
      </x:c>
      <x:c r="C1106" s="1" t="n">
        <x:f>Source!C1100</x:f>
        <x:v>14</x:v>
      </x:c>
      <x:c r="D1106" s="8" t="n">
        <x:f>Source!D1100/100</x:f>
        <x:v>165.84</x:v>
      </x:c>
      <x:c r="E1106" s="8" t="n">
        <x:f>Source!E1100/100</x:f>
        <x:v>0</x:v>
      </x:c>
      <x:c r="F1106" s="8" t="n">
        <x:f>Source!F1100/100</x:f>
        <x:v>0</x:v>
      </x:c>
      <x:c r="G1106" s="8" t="n">
        <x:f>Source!G1100/100</x:f>
        <x:v>0</x:v>
      </x:c>
      <x:c r="H1106" s="8" t="n">
        <x:f>G1106-D1106</x:f>
        <x:v>-165.84</x:v>
      </x:c>
      <x:c r="I1106" s="1" t="str">
        <x:f>IF(H1106&gt;0,"Overbilled","Shortfall")</x:f>
        <x:v>Shortfall</x:v>
      </x:c>
      <x:c r="J1106" s="7"/>
      <x:c r="K1106" s="7" t="str">
        <x:v>Open</x:v>
      </x:c>
      <x:c r="L1106" s="7"/>
    </x:row>
    <x:row r="1107" ht="21" customHeight="1">
      <x:c r="A1107" s="1" t="str">
        <x:f>Source!A1101</x:f>
        <x:v>C0011186</x:v>
      </x:c>
      <x:c r="B1107" s="1" t="str">
        <x:f>_xlfn.IFNA(VLOOKUP(Source!B1101,Advertisers!$A$5:$B$34,2,FALSE),"Missing advertiser")</x:f>
        <x:v>Synthetic advertiser 14</x:v>
      </x:c>
      <x:c r="C1107" s="1" t="n">
        <x:f>Source!C1101</x:f>
        <x:v>14</x:v>
      </x:c>
      <x:c r="D1107" s="8" t="n">
        <x:f>Source!D1101/100</x:f>
        <x:v>165.84</x:v>
      </x:c>
      <x:c r="E1107" s="8" t="n">
        <x:f>Source!E1101/100</x:f>
        <x:v>331.68</x:v>
      </x:c>
      <x:c r="F1107" s="8" t="n">
        <x:f>Source!F1101/100</x:f>
        <x:v>0</x:v>
      </x:c>
      <x:c r="G1107" s="8" t="n">
        <x:f>Source!G1101/100</x:f>
        <x:v>331.68</x:v>
      </x:c>
      <x:c r="H1107" s="8" t="n">
        <x:f>G1107-D1107</x:f>
        <x:v>165.84</x:v>
      </x:c>
      <x:c r="I1107" s="1" t="str">
        <x:f>IF(H1107&gt;0,"Overbilled","Shortfall")</x:f>
        <x:v>Overbilled</x:v>
      </x:c>
      <x:c r="J1107" s="7"/>
      <x:c r="K1107" s="7" t="str">
        <x:v>Open</x:v>
      </x:c>
      <x:c r="L1107" s="7"/>
    </x:row>
    <x:row r="1108" ht="21" customHeight="1">
      <x:c r="A1108" s="1" t="str">
        <x:f>Source!A1102</x:f>
        <x:v>C0017245</x:v>
      </x:c>
      <x:c r="B1108" s="1" t="str">
        <x:f>_xlfn.IFNA(VLOOKUP(Source!B1102,Advertisers!$A$5:$B$34,2,FALSE),"Missing advertiser")</x:f>
        <x:v>Synthetic advertiser 14</x:v>
      </x:c>
      <x:c r="C1108" s="1" t="n">
        <x:f>Source!C1102</x:f>
        <x:v>14</x:v>
      </x:c>
      <x:c r="D1108" s="8" t="n">
        <x:f>Source!D1102/100</x:f>
        <x:v>165.84</x:v>
      </x:c>
      <x:c r="E1108" s="8" t="n">
        <x:f>Source!E1102/100</x:f>
        <x:v>0</x:v>
      </x:c>
      <x:c r="F1108" s="8" t="n">
        <x:f>Source!F1102/100</x:f>
        <x:v>0</x:v>
      </x:c>
      <x:c r="G1108" s="8" t="n">
        <x:f>Source!G1102/100</x:f>
        <x:v>0</x:v>
      </x:c>
      <x:c r="H1108" s="8" t="n">
        <x:f>G1108-D1108</x:f>
        <x:v>-165.84</x:v>
      </x:c>
      <x:c r="I1108" s="1" t="str">
        <x:f>IF(H1108&gt;0,"Overbilled","Shortfall")</x:f>
        <x:v>Shortfall</x:v>
      </x:c>
      <x:c r="J1108" s="7"/>
      <x:c r="K1108" s="7" t="str">
        <x:v>Open</x:v>
      </x:c>
      <x:c r="L1108" s="7"/>
    </x:row>
    <x:row r="1109" ht="21" customHeight="1">
      <x:c r="A1109" s="1" t="str">
        <x:f>Source!A1103</x:f>
        <x:v>C0011535</x:v>
      </x:c>
      <x:c r="B1109" s="1" t="str">
        <x:f>_xlfn.IFNA(VLOOKUP(Source!B1103,Advertisers!$A$5:$B$34,2,FALSE),"Missing advertiser")</x:f>
        <x:v>Synthetic advertiser 14</x:v>
      </x:c>
      <x:c r="C1109" s="1" t="n">
        <x:f>Source!C1103</x:f>
        <x:v>14</x:v>
      </x:c>
      <x:c r="D1109" s="8" t="n">
        <x:f>Source!D1103/100</x:f>
        <x:v>0</x:v>
      </x:c>
      <x:c r="E1109" s="8" t="n">
        <x:f>Source!E1103/100</x:f>
        <x:v>165.84</x:v>
      </x:c>
      <x:c r="F1109" s="8" t="n">
        <x:f>Source!F1103/100</x:f>
        <x:v>0</x:v>
      </x:c>
      <x:c r="G1109" s="8" t="n">
        <x:f>Source!G1103/100</x:f>
        <x:v>165.84</x:v>
      </x:c>
      <x:c r="H1109" s="8" t="n">
        <x:f>G1109-D1109</x:f>
        <x:v>165.84</x:v>
      </x:c>
      <x:c r="I1109" s="1" t="str">
        <x:f>IF(H1109&gt;0,"Overbilled","Shortfall")</x:f>
        <x:v>Overbilled</x:v>
      </x:c>
      <x:c r="J1109" s="7"/>
      <x:c r="K1109" s="7" t="str">
        <x:v>Open</x:v>
      </x:c>
      <x:c r="L1109" s="7"/>
    </x:row>
    <x:row r="1110" ht="21" customHeight="1">
      <x:c r="A1110" s="1" t="str">
        <x:f>Source!A1104</x:f>
        <x:v>C0012080</x:v>
      </x:c>
      <x:c r="B1110" s="1" t="str">
        <x:f>_xlfn.IFNA(VLOOKUP(Source!B1104,Advertisers!$A$5:$B$34,2,FALSE),"Missing advertiser")</x:f>
        <x:v>Synthetic advertiser 14</x:v>
      </x:c>
      <x:c r="C1110" s="1" t="n">
        <x:f>Source!C1104</x:f>
        <x:v>14</x:v>
      </x:c>
      <x:c r="D1110" s="8" t="n">
        <x:f>Source!D1104/100</x:f>
        <x:v>165.84</x:v>
      </x:c>
      <x:c r="E1110" s="8" t="n">
        <x:f>Source!E1104/100</x:f>
        <x:v>0</x:v>
      </x:c>
      <x:c r="F1110" s="8" t="n">
        <x:f>Source!F1104/100</x:f>
        <x:v>0</x:v>
      </x:c>
      <x:c r="G1110" s="8" t="n">
        <x:f>Source!G1104/100</x:f>
        <x:v>0</x:v>
      </x:c>
      <x:c r="H1110" s="8" t="n">
        <x:f>G1110-D1110</x:f>
        <x:v>-165.84</x:v>
      </x:c>
      <x:c r="I1110" s="1" t="str">
        <x:f>IF(H1110&gt;0,"Overbilled","Shortfall")</x:f>
        <x:v>Shortfall</x:v>
      </x:c>
      <x:c r="J1110" s="7"/>
      <x:c r="K1110" s="7" t="str">
        <x:v>Open</x:v>
      </x:c>
      <x:c r="L1110" s="7"/>
    </x:row>
    <x:row r="1111" ht="21" customHeight="1">
      <x:c r="A1111" s="1" t="str">
        <x:f>Source!A1105</x:f>
        <x:v>C0007901</x:v>
      </x:c>
      <x:c r="B1111" s="1" t="str">
        <x:f>_xlfn.IFNA(VLOOKUP(Source!B1105,Advertisers!$A$5:$B$34,2,FALSE),"Missing advertiser")</x:f>
        <x:v>Synthetic advertiser 25</x:v>
      </x:c>
      <x:c r="C1111" s="1" t="n">
        <x:f>Source!C1105</x:f>
        <x:v>55</x:v>
      </x:c>
      <x:c r="D1111" s="8" t="n">
        <x:f>Source!D1105/100</x:f>
        <x:v>165.6</x:v>
      </x:c>
      <x:c r="E1111" s="8" t="n">
        <x:f>Source!E1105/100</x:f>
        <x:v>331.2</x:v>
      </x:c>
      <x:c r="F1111" s="8" t="n">
        <x:f>Source!F1105/100</x:f>
        <x:v>0</x:v>
      </x:c>
      <x:c r="G1111" s="8" t="n">
        <x:f>Source!G1105/100</x:f>
        <x:v>331.2</x:v>
      </x:c>
      <x:c r="H1111" s="8" t="n">
        <x:f>G1111-D1111</x:f>
        <x:v>165.6</x:v>
      </x:c>
      <x:c r="I1111" s="1" t="str">
        <x:f>IF(H1111&gt;0,"Overbilled","Shortfall")</x:f>
        <x:v>Overbilled</x:v>
      </x:c>
      <x:c r="J1111" s="7"/>
      <x:c r="K1111" s="7" t="str">
        <x:v>Open</x:v>
      </x:c>
      <x:c r="L1111" s="7"/>
    </x:row>
    <x:row r="1112" ht="21" customHeight="1">
      <x:c r="A1112" s="1" t="str">
        <x:f>Source!A1106</x:f>
        <x:v>C0002204</x:v>
      </x:c>
      <x:c r="B1112" s="1" t="str">
        <x:f>_xlfn.IFNA(VLOOKUP(Source!B1106,Advertisers!$A$5:$B$34,2,FALSE),"Missing advertiser")</x:f>
        <x:v>Synthetic advertiser 25</x:v>
      </x:c>
      <x:c r="C1112" s="1" t="n">
        <x:f>Source!C1106</x:f>
        <x:v>55</x:v>
      </x:c>
      <x:c r="D1112" s="8" t="n">
        <x:f>Source!D1106/100</x:f>
        <x:v>165.6</x:v>
      </x:c>
      <x:c r="E1112" s="8" t="n">
        <x:f>Source!E1106/100</x:f>
        <x:v>0</x:v>
      </x:c>
      <x:c r="F1112" s="8" t="n">
        <x:f>Source!F1106/100</x:f>
        <x:v>0</x:v>
      </x:c>
      <x:c r="G1112" s="8" t="n">
        <x:f>Source!G1106/100</x:f>
        <x:v>0</x:v>
      </x:c>
      <x:c r="H1112" s="8" t="n">
        <x:f>G1112-D1112</x:f>
        <x:v>-165.6</x:v>
      </x:c>
      <x:c r="I1112" s="1" t="str">
        <x:f>IF(H1112&gt;0,"Overbilled","Shortfall")</x:f>
        <x:v>Shortfall</x:v>
      </x:c>
      <x:c r="J1112" s="7"/>
      <x:c r="K1112" s="7" t="str">
        <x:v>Open</x:v>
      </x:c>
      <x:c r="L1112" s="7"/>
    </x:row>
    <x:row r="1113" ht="21" customHeight="1">
      <x:c r="A1113" s="1" t="str">
        <x:f>Source!A1107</x:f>
        <x:v>C0009420</x:v>
      </x:c>
      <x:c r="B1113" s="1" t="str">
        <x:f>_xlfn.IFNA(VLOOKUP(Source!B1107,Advertisers!$A$5:$B$34,2,FALSE),"Missing advertiser")</x:f>
        <x:v>Synthetic advertiser 25</x:v>
      </x:c>
      <x:c r="C1113" s="1" t="n">
        <x:f>Source!C1107</x:f>
        <x:v>55</x:v>
      </x:c>
      <x:c r="D1113" s="8" t="n">
        <x:f>Source!D1107/100</x:f>
        <x:v>165.6</x:v>
      </x:c>
      <x:c r="E1113" s="8" t="n">
        <x:f>Source!E1107/100</x:f>
        <x:v>0</x:v>
      </x:c>
      <x:c r="F1113" s="8" t="n">
        <x:f>Source!F1107/100</x:f>
        <x:v>0</x:v>
      </x:c>
      <x:c r="G1113" s="8" t="n">
        <x:f>Source!G1107/100</x:f>
        <x:v>0</x:v>
      </x:c>
      <x:c r="H1113" s="8" t="n">
        <x:f>G1113-D1113</x:f>
        <x:v>-165.6</x:v>
      </x:c>
      <x:c r="I1113" s="1" t="str">
        <x:f>IF(H1113&gt;0,"Overbilled","Shortfall")</x:f>
        <x:v>Shortfall</x:v>
      </x:c>
      <x:c r="J1113" s="7"/>
      <x:c r="K1113" s="7" t="str">
        <x:v>Open</x:v>
      </x:c>
      <x:c r="L1113" s="7"/>
    </x:row>
    <x:row r="1114" ht="21" customHeight="1">
      <x:c r="A1114" s="1" t="str">
        <x:f>Source!A1108</x:f>
        <x:v>C0007324</x:v>
      </x:c>
      <x:c r="B1114" s="1" t="str">
        <x:f>_xlfn.IFNA(VLOOKUP(Source!B1108,Advertisers!$A$5:$B$34,2,FALSE),"Missing advertiser")</x:f>
        <x:v>Synthetic advertiser 25</x:v>
      </x:c>
      <x:c r="C1114" s="1" t="n">
        <x:f>Source!C1108</x:f>
        <x:v>55</x:v>
      </x:c>
      <x:c r="D1114" s="8" t="n">
        <x:f>Source!D1108/100</x:f>
        <x:v>165.6</x:v>
      </x:c>
      <x:c r="E1114" s="8" t="n">
        <x:f>Source!E1108/100</x:f>
        <x:v>0</x:v>
      </x:c>
      <x:c r="F1114" s="8" t="n">
        <x:f>Source!F1108/100</x:f>
        <x:v>0</x:v>
      </x:c>
      <x:c r="G1114" s="8" t="n">
        <x:f>Source!G1108/100</x:f>
        <x:v>0</x:v>
      </x:c>
      <x:c r="H1114" s="8" t="n">
        <x:f>G1114-D1114</x:f>
        <x:v>-165.6</x:v>
      </x:c>
      <x:c r="I1114" s="1" t="str">
        <x:f>IF(H1114&gt;0,"Overbilled","Shortfall")</x:f>
        <x:v>Shortfall</x:v>
      </x:c>
      <x:c r="J1114" s="7"/>
      <x:c r="K1114" s="7" t="str">
        <x:v>Open</x:v>
      </x:c>
      <x:c r="L1114" s="7"/>
    </x:row>
    <x:row r="1115" ht="21" customHeight="1">
      <x:c r="A1115" s="1" t="str">
        <x:f>Source!A1109</x:f>
        <x:v>C0007015</x:v>
      </x:c>
      <x:c r="B1115" s="1" t="str">
        <x:f>_xlfn.IFNA(VLOOKUP(Source!B1109,Advertisers!$A$5:$B$34,2,FALSE),"Missing advertiser")</x:f>
        <x:v>Synthetic advertiser 25</x:v>
      </x:c>
      <x:c r="C1115" s="1" t="n">
        <x:f>Source!C1109</x:f>
        <x:v>55</x:v>
      </x:c>
      <x:c r="D1115" s="8" t="n">
        <x:f>Source!D1109/100</x:f>
        <x:v>165.6</x:v>
      </x:c>
      <x:c r="E1115" s="8" t="n">
        <x:f>Source!E1109/100</x:f>
        <x:v>331.2</x:v>
      </x:c>
      <x:c r="F1115" s="8" t="n">
        <x:f>Source!F1109/100</x:f>
        <x:v>0</x:v>
      </x:c>
      <x:c r="G1115" s="8" t="n">
        <x:f>Source!G1109/100</x:f>
        <x:v>331.2</x:v>
      </x:c>
      <x:c r="H1115" s="8" t="n">
        <x:f>G1115-D1115</x:f>
        <x:v>165.6</x:v>
      </x:c>
      <x:c r="I1115" s="1" t="str">
        <x:f>IF(H1115&gt;0,"Overbilled","Shortfall")</x:f>
        <x:v>Overbilled</x:v>
      </x:c>
      <x:c r="J1115" s="7"/>
      <x:c r="K1115" s="7" t="str">
        <x:v>Open</x:v>
      </x:c>
      <x:c r="L1115" s="7"/>
    </x:row>
    <x:row r="1116" ht="21" customHeight="1">
      <x:c r="A1116" s="1" t="str">
        <x:f>Source!A1110</x:f>
        <x:v>C0007805</x:v>
      </x:c>
      <x:c r="B1116" s="1" t="str">
        <x:f>_xlfn.IFNA(VLOOKUP(Source!B1110,Advertisers!$A$5:$B$34,2,FALSE),"Missing advertiser")</x:f>
        <x:v>Synthetic advertiser 25</x:v>
      </x:c>
      <x:c r="C1116" s="1" t="n">
        <x:f>Source!C1110</x:f>
        <x:v>55</x:v>
      </x:c>
      <x:c r="D1116" s="8" t="n">
        <x:f>Source!D1110/100</x:f>
        <x:v>165.6</x:v>
      </x:c>
      <x:c r="E1116" s="8" t="n">
        <x:f>Source!E1110/100</x:f>
        <x:v>331.2</x:v>
      </x:c>
      <x:c r="F1116" s="8" t="n">
        <x:f>Source!F1110/100</x:f>
        <x:v>0</x:v>
      </x:c>
      <x:c r="G1116" s="8" t="n">
        <x:f>Source!G1110/100</x:f>
        <x:v>331.2</x:v>
      </x:c>
      <x:c r="H1116" s="8" t="n">
        <x:f>G1116-D1116</x:f>
        <x:v>165.6</x:v>
      </x:c>
      <x:c r="I1116" s="1" t="str">
        <x:f>IF(H1116&gt;0,"Overbilled","Shortfall")</x:f>
        <x:v>Overbilled</x:v>
      </x:c>
      <x:c r="J1116" s="7"/>
      <x:c r="K1116" s="7" t="str">
        <x:v>Open</x:v>
      </x:c>
      <x:c r="L1116" s="7"/>
    </x:row>
    <x:row r="1117" ht="21" customHeight="1">
      <x:c r="A1117" s="1" t="str">
        <x:f>Source!A1111</x:f>
        <x:v>C0008301</x:v>
      </x:c>
      <x:c r="B1117" s="1" t="str">
        <x:f>_xlfn.IFNA(VLOOKUP(Source!B1111,Advertisers!$A$5:$B$34,2,FALSE),"Missing advertiser")</x:f>
        <x:v>Synthetic advertiser 25</x:v>
      </x:c>
      <x:c r="C1117" s="1" t="n">
        <x:f>Source!C1111</x:f>
        <x:v>55</x:v>
      </x:c>
      <x:c r="D1117" s="8" t="n">
        <x:f>Source!D1111/100</x:f>
        <x:v>0</x:v>
      </x:c>
      <x:c r="E1117" s="8" t="n">
        <x:f>Source!E1111/100</x:f>
        <x:v>165.6</x:v>
      </x:c>
      <x:c r="F1117" s="8" t="n">
        <x:f>Source!F1111/100</x:f>
        <x:v>0</x:v>
      </x:c>
      <x:c r="G1117" s="8" t="n">
        <x:f>Source!G1111/100</x:f>
        <x:v>165.6</x:v>
      </x:c>
      <x:c r="H1117" s="8" t="n">
        <x:f>G1117-D1117</x:f>
        <x:v>165.6</x:v>
      </x:c>
      <x:c r="I1117" s="1" t="str">
        <x:f>IF(H1117&gt;0,"Overbilled","Shortfall")</x:f>
        <x:v>Overbilled</x:v>
      </x:c>
      <x:c r="J1117" s="7"/>
      <x:c r="K1117" s="7" t="str">
        <x:v>Open</x:v>
      </x:c>
      <x:c r="L1117" s="7"/>
    </x:row>
    <x:row r="1118" ht="21" customHeight="1">
      <x:c r="A1118" s="1" t="str">
        <x:f>Source!A1112</x:f>
        <x:v>C0015823</x:v>
      </x:c>
      <x:c r="B1118" s="1" t="str">
        <x:f>_xlfn.IFNA(VLOOKUP(Source!B1112,Advertisers!$A$5:$B$34,2,FALSE),"Missing advertiser")</x:f>
        <x:v>Synthetic advertiser 25</x:v>
      </x:c>
      <x:c r="C1118" s="1" t="n">
        <x:f>Source!C1112</x:f>
        <x:v>55</x:v>
      </x:c>
      <x:c r="D1118" s="8" t="n">
        <x:f>Source!D1112/100</x:f>
        <x:v>165.6</x:v>
      </x:c>
      <x:c r="E1118" s="8" t="n">
        <x:f>Source!E1112/100</x:f>
        <x:v>0</x:v>
      </x:c>
      <x:c r="F1118" s="8" t="n">
        <x:f>Source!F1112/100</x:f>
        <x:v>0</x:v>
      </x:c>
      <x:c r="G1118" s="8" t="n">
        <x:f>Source!G1112/100</x:f>
        <x:v>0</x:v>
      </x:c>
      <x:c r="H1118" s="8" t="n">
        <x:f>G1118-D1118</x:f>
        <x:v>-165.6</x:v>
      </x:c>
      <x:c r="I1118" s="1" t="str">
        <x:f>IF(H1118&gt;0,"Overbilled","Shortfall")</x:f>
        <x:v>Shortfall</x:v>
      </x:c>
      <x:c r="J1118" s="7"/>
      <x:c r="K1118" s="7" t="str">
        <x:v>Open</x:v>
      </x:c>
      <x:c r="L1118" s="7"/>
    </x:row>
    <x:row r="1119" ht="21" customHeight="1">
      <x:c r="A1119" s="1" t="str">
        <x:f>Source!A1113</x:f>
        <x:v>C0006211</x:v>
      </x:c>
      <x:c r="B1119" s="1" t="str">
        <x:f>_xlfn.IFNA(VLOOKUP(Source!B1113,Advertisers!$A$5:$B$34,2,FALSE),"Missing advertiser")</x:f>
        <x:v>Synthetic advertiser 26</x:v>
      </x:c>
      <x:c r="C1119" s="1" t="n">
        <x:f>Source!C1113</x:f>
        <x:v>26</x:v>
      </x:c>
      <x:c r="D1119" s="8" t="n">
        <x:f>Source!D1113/100</x:f>
        <x:v>163.46</x:v>
      </x:c>
      <x:c r="E1119" s="8" t="n">
        <x:f>Source!E1113/100</x:f>
        <x:v>326.92</x:v>
      </x:c>
      <x:c r="F1119" s="8" t="n">
        <x:f>Source!F1113/100</x:f>
        <x:v>0</x:v>
      </x:c>
      <x:c r="G1119" s="8" t="n">
        <x:f>Source!G1113/100</x:f>
        <x:v>326.92</x:v>
      </x:c>
      <x:c r="H1119" s="8" t="n">
        <x:f>G1119-D1119</x:f>
        <x:v>163.46</x:v>
      </x:c>
      <x:c r="I1119" s="1" t="str">
        <x:f>IF(H1119&gt;0,"Overbilled","Shortfall")</x:f>
        <x:v>Overbilled</x:v>
      </x:c>
      <x:c r="J1119" s="7"/>
      <x:c r="K1119" s="7" t="str">
        <x:v>Open</x:v>
      </x:c>
      <x:c r="L1119" s="7"/>
    </x:row>
    <x:row r="1120" ht="21" customHeight="1">
      <x:c r="A1120" s="1" t="str">
        <x:f>Source!A1114</x:f>
        <x:v>C0017443</x:v>
      </x:c>
      <x:c r="B1120" s="1" t="str">
        <x:f>_xlfn.IFNA(VLOOKUP(Source!B1114,Advertisers!$A$5:$B$34,2,FALSE),"Missing advertiser")</x:f>
        <x:v>Synthetic advertiser 26</x:v>
      </x:c>
      <x:c r="C1120" s="1" t="n">
        <x:f>Source!C1114</x:f>
        <x:v>26</x:v>
      </x:c>
      <x:c r="D1120" s="8" t="n">
        <x:f>Source!D1114/100</x:f>
        <x:v>163.46</x:v>
      </x:c>
      <x:c r="E1120" s="8" t="n">
        <x:f>Source!E1114/100</x:f>
        <x:v>0</x:v>
      </x:c>
      <x:c r="F1120" s="8" t="n">
        <x:f>Source!F1114/100</x:f>
        <x:v>0</x:v>
      </x:c>
      <x:c r="G1120" s="8" t="n">
        <x:f>Source!G1114/100</x:f>
        <x:v>0</x:v>
      </x:c>
      <x:c r="H1120" s="8" t="n">
        <x:f>G1120-D1120</x:f>
        <x:v>-163.46</x:v>
      </x:c>
      <x:c r="I1120" s="1" t="str">
        <x:f>IF(H1120&gt;0,"Overbilled","Shortfall")</x:f>
        <x:v>Shortfall</x:v>
      </x:c>
      <x:c r="J1120" s="7"/>
      <x:c r="K1120" s="7" t="str">
        <x:v>Open</x:v>
      </x:c>
      <x:c r="L1120" s="7"/>
    </x:row>
    <x:row r="1121" ht="21" customHeight="1">
      <x:c r="A1121" s="1" t="str">
        <x:f>Source!A1115</x:f>
        <x:v>C0005654</x:v>
      </x:c>
      <x:c r="B1121" s="1" t="str">
        <x:f>_xlfn.IFNA(VLOOKUP(Source!B1115,Advertisers!$A$5:$B$34,2,FALSE),"Missing advertiser")</x:f>
        <x:v>Synthetic advertiser 26</x:v>
      </x:c>
      <x:c r="C1121" s="1" t="n">
        <x:f>Source!C1115</x:f>
        <x:v>26</x:v>
      </x:c>
      <x:c r="D1121" s="8" t="n">
        <x:f>Source!D1115/100</x:f>
        <x:v>0</x:v>
      </x:c>
      <x:c r="E1121" s="8" t="n">
        <x:f>Source!E1115/100</x:f>
        <x:v>163.46</x:v>
      </x:c>
      <x:c r="F1121" s="8" t="n">
        <x:f>Source!F1115/100</x:f>
        <x:v>0</x:v>
      </x:c>
      <x:c r="G1121" s="8" t="n">
        <x:f>Source!G1115/100</x:f>
        <x:v>163.46</x:v>
      </x:c>
      <x:c r="H1121" s="8" t="n">
        <x:f>G1121-D1121</x:f>
        <x:v>163.46</x:v>
      </x:c>
      <x:c r="I1121" s="1" t="str">
        <x:f>IF(H1121&gt;0,"Overbilled","Shortfall")</x:f>
        <x:v>Overbilled</x:v>
      </x:c>
      <x:c r="J1121" s="7"/>
      <x:c r="K1121" s="7" t="str">
        <x:v>Open</x:v>
      </x:c>
      <x:c r="L1121" s="7"/>
    </x:row>
    <x:row r="1122" ht="21" customHeight="1">
      <x:c r="A1122" s="1" t="str">
        <x:f>Source!A1116</x:f>
        <x:v>C0000764</x:v>
      </x:c>
      <x:c r="B1122" s="1" t="str">
        <x:f>_xlfn.IFNA(VLOOKUP(Source!B1116,Advertisers!$A$5:$B$34,2,FALSE),"Missing advertiser")</x:f>
        <x:v>Synthetic advertiser 26</x:v>
      </x:c>
      <x:c r="C1122" s="1" t="n">
        <x:f>Source!C1116</x:f>
        <x:v>26</x:v>
      </x:c>
      <x:c r="D1122" s="8" t="n">
        <x:f>Source!D1116/100</x:f>
        <x:v>163.46</x:v>
      </x:c>
      <x:c r="E1122" s="8" t="n">
        <x:f>Source!E1116/100</x:f>
        <x:v>0</x:v>
      </x:c>
      <x:c r="F1122" s="8" t="n">
        <x:f>Source!F1116/100</x:f>
        <x:v>0</x:v>
      </x:c>
      <x:c r="G1122" s="8" t="n">
        <x:f>Source!G1116/100</x:f>
        <x:v>0</x:v>
      </x:c>
      <x:c r="H1122" s="8" t="n">
        <x:f>G1122-D1122</x:f>
        <x:v>-163.46</x:v>
      </x:c>
      <x:c r="I1122" s="1" t="str">
        <x:f>IF(H1122&gt;0,"Overbilled","Shortfall")</x:f>
        <x:v>Shortfall</x:v>
      </x:c>
      <x:c r="J1122" s="7"/>
      <x:c r="K1122" s="7" t="str">
        <x:v>Open</x:v>
      </x:c>
      <x:c r="L1122" s="7"/>
    </x:row>
    <x:row r="1123" ht="21" customHeight="1">
      <x:c r="A1123" s="1" t="str">
        <x:f>Source!A1117</x:f>
        <x:v>C0002508</x:v>
      </x:c>
      <x:c r="B1123" s="1" t="str">
        <x:f>_xlfn.IFNA(VLOOKUP(Source!B1117,Advertisers!$A$5:$B$34,2,FALSE),"Missing advertiser")</x:f>
        <x:v>Synthetic advertiser 26</x:v>
      </x:c>
      <x:c r="C1123" s="1" t="n">
        <x:f>Source!C1117</x:f>
        <x:v>26</x:v>
      </x:c>
      <x:c r="D1123" s="8" t="n">
        <x:f>Source!D1117/100</x:f>
        <x:v>163.46</x:v>
      </x:c>
      <x:c r="E1123" s="8" t="n">
        <x:f>Source!E1117/100</x:f>
        <x:v>326.92</x:v>
      </x:c>
      <x:c r="F1123" s="8" t="n">
        <x:f>Source!F1117/100</x:f>
        <x:v>0</x:v>
      </x:c>
      <x:c r="G1123" s="8" t="n">
        <x:f>Source!G1117/100</x:f>
        <x:v>326.92</x:v>
      </x:c>
      <x:c r="H1123" s="8" t="n">
        <x:f>G1123-D1123</x:f>
        <x:v>163.46</x:v>
      </x:c>
      <x:c r="I1123" s="1" t="str">
        <x:f>IF(H1123&gt;0,"Overbilled","Shortfall")</x:f>
        <x:v>Overbilled</x:v>
      </x:c>
      <x:c r="J1123" s="7"/>
      <x:c r="K1123" s="7" t="str">
        <x:v>Open</x:v>
      </x:c>
      <x:c r="L1123" s="7"/>
    </x:row>
    <x:row r="1124" ht="21" customHeight="1">
      <x:c r="A1124" s="1" t="str">
        <x:f>Source!A1118</x:f>
        <x:v>C0013717</x:v>
      </x:c>
      <x:c r="B1124" s="1" t="str">
        <x:f>_xlfn.IFNA(VLOOKUP(Source!B1118,Advertisers!$A$5:$B$34,2,FALSE),"Missing advertiser")</x:f>
        <x:v>Synthetic advertiser 26</x:v>
      </x:c>
      <x:c r="C1124" s="1" t="n">
        <x:f>Source!C1118</x:f>
        <x:v>26</x:v>
      </x:c>
      <x:c r="D1124" s="8" t="n">
        <x:f>Source!D1118/100</x:f>
        <x:v>163.46</x:v>
      </x:c>
      <x:c r="E1124" s="8" t="n">
        <x:f>Source!E1118/100</x:f>
        <x:v>0</x:v>
      </x:c>
      <x:c r="F1124" s="8" t="n">
        <x:f>Source!F1118/100</x:f>
        <x:v>0</x:v>
      </x:c>
      <x:c r="G1124" s="8" t="n">
        <x:f>Source!G1118/100</x:f>
        <x:v>0</x:v>
      </x:c>
      <x:c r="H1124" s="8" t="n">
        <x:f>G1124-D1124</x:f>
        <x:v>-163.46</x:v>
      </x:c>
      <x:c r="I1124" s="1" t="str">
        <x:f>IF(H1124&gt;0,"Overbilled","Shortfall")</x:f>
        <x:v>Shortfall</x:v>
      </x:c>
      <x:c r="J1124" s="7"/>
      <x:c r="K1124" s="7" t="str">
        <x:v>Open</x:v>
      </x:c>
      <x:c r="L1124" s="7"/>
    </x:row>
    <x:row r="1125" ht="21" customHeight="1">
      <x:c r="A1125" s="1" t="str">
        <x:f>Source!A1119</x:f>
        <x:v>C0012371</x:v>
      </x:c>
      <x:c r="B1125" s="1" t="str">
        <x:f>_xlfn.IFNA(VLOOKUP(Source!B1119,Advertisers!$A$5:$B$34,2,FALSE),"Missing advertiser")</x:f>
        <x:v>Synthetic advertiser 26</x:v>
      </x:c>
      <x:c r="C1125" s="1" t="n">
        <x:f>Source!C1119</x:f>
        <x:v>26</x:v>
      </x:c>
      <x:c r="D1125" s="8" t="n">
        <x:f>Source!D1119/100</x:f>
        <x:v>163.46</x:v>
      </x:c>
      <x:c r="E1125" s="8" t="n">
        <x:f>Source!E1119/100</x:f>
        <x:v>0</x:v>
      </x:c>
      <x:c r="F1125" s="8" t="n">
        <x:f>Source!F1119/100</x:f>
        <x:v>0</x:v>
      </x:c>
      <x:c r="G1125" s="8" t="n">
        <x:f>Source!G1119/100</x:f>
        <x:v>0</x:v>
      </x:c>
      <x:c r="H1125" s="8" t="n">
        <x:f>G1125-D1125</x:f>
        <x:v>-163.46</x:v>
      </x:c>
      <x:c r="I1125" s="1" t="str">
        <x:f>IF(H1125&gt;0,"Overbilled","Shortfall")</x:f>
        <x:v>Shortfall</x:v>
      </x:c>
      <x:c r="J1125" s="7"/>
      <x:c r="K1125" s="7" t="str">
        <x:v>Open</x:v>
      </x:c>
      <x:c r="L1125" s="7"/>
    </x:row>
    <x:row r="1126" ht="21" customHeight="1">
      <x:c r="A1126" s="1" t="str">
        <x:f>Source!A1120</x:f>
        <x:v>C0014716</x:v>
      </x:c>
      <x:c r="B1126" s="1" t="str">
        <x:f>_xlfn.IFNA(VLOOKUP(Source!B1120,Advertisers!$A$5:$B$34,2,FALSE),"Missing advertiser")</x:f>
        <x:v>Synthetic advertiser 26</x:v>
      </x:c>
      <x:c r="C1126" s="1" t="n">
        <x:f>Source!C1120</x:f>
        <x:v>26</x:v>
      </x:c>
      <x:c r="D1126" s="8" t="n">
        <x:f>Source!D1120/100</x:f>
        <x:v>0</x:v>
      </x:c>
      <x:c r="E1126" s="8" t="n">
        <x:f>Source!E1120/100</x:f>
        <x:v>163.46</x:v>
      </x:c>
      <x:c r="F1126" s="8" t="n">
        <x:f>Source!F1120/100</x:f>
        <x:v>0</x:v>
      </x:c>
      <x:c r="G1126" s="8" t="n">
        <x:f>Source!G1120/100</x:f>
        <x:v>163.46</x:v>
      </x:c>
      <x:c r="H1126" s="8" t="n">
        <x:f>G1126-D1126</x:f>
        <x:v>163.46</x:v>
      </x:c>
      <x:c r="I1126" s="1" t="str">
        <x:f>IF(H1126&gt;0,"Overbilled","Shortfall")</x:f>
        <x:v>Overbilled</x:v>
      </x:c>
      <x:c r="J1126" s="7"/>
      <x:c r="K1126" s="7" t="str">
        <x:v>Open</x:v>
      </x:c>
      <x:c r="L1126" s="7"/>
    </x:row>
    <x:row r="1127" ht="21" customHeight="1">
      <x:c r="A1127" s="1" t="str">
        <x:f>Source!A1121</x:f>
        <x:v>C0014752</x:v>
      </x:c>
      <x:c r="B1127" s="1" t="str">
        <x:f>_xlfn.IFNA(VLOOKUP(Source!B1121,Advertisers!$A$5:$B$34,2,FALSE),"Missing advertiser")</x:f>
        <x:v>Synthetic advertiser 8</x:v>
      </x:c>
      <x:c r="C1127" s="1" t="n">
        <x:f>Source!C1121</x:f>
        <x:v>8</x:v>
      </x:c>
      <x:c r="D1127" s="8" t="n">
        <x:f>Source!D1121/100</x:f>
        <x:v>163.08</x:v>
      </x:c>
      <x:c r="E1127" s="8" t="n">
        <x:f>Source!E1121/100</x:f>
        <x:v>326.16</x:v>
      </x:c>
      <x:c r="F1127" s="8" t="n">
        <x:f>Source!F1121/100</x:f>
        <x:v>0</x:v>
      </x:c>
      <x:c r="G1127" s="8" t="n">
        <x:f>Source!G1121/100</x:f>
        <x:v>326.16</x:v>
      </x:c>
      <x:c r="H1127" s="8" t="n">
        <x:f>G1127-D1127</x:f>
        <x:v>163.08</x:v>
      </x:c>
      <x:c r="I1127" s="1" t="str">
        <x:f>IF(H1127&gt;0,"Overbilled","Shortfall")</x:f>
        <x:v>Overbilled</x:v>
      </x:c>
      <x:c r="J1127" s="7"/>
      <x:c r="K1127" s="7" t="str">
        <x:v>Open</x:v>
      </x:c>
      <x:c r="L1127" s="7"/>
    </x:row>
    <x:row r="1128" ht="21" customHeight="1">
      <x:c r="A1128" s="1" t="str">
        <x:f>Source!A1122</x:f>
        <x:v>C0009726</x:v>
      </x:c>
      <x:c r="B1128" s="1" t="str">
        <x:f>_xlfn.IFNA(VLOOKUP(Source!B1122,Advertisers!$A$5:$B$34,2,FALSE),"Missing advertiser")</x:f>
        <x:v>Synthetic advertiser 8</x:v>
      </x:c>
      <x:c r="C1128" s="1" t="n">
        <x:f>Source!C1122</x:f>
        <x:v>8</x:v>
      </x:c>
      <x:c r="D1128" s="8" t="n">
        <x:f>Source!D1122/100</x:f>
        <x:v>163.08</x:v>
      </x:c>
      <x:c r="E1128" s="8" t="n">
        <x:f>Source!E1122/100</x:f>
        <x:v>0</x:v>
      </x:c>
      <x:c r="F1128" s="8" t="n">
        <x:f>Source!F1122/100</x:f>
        <x:v>0</x:v>
      </x:c>
      <x:c r="G1128" s="8" t="n">
        <x:f>Source!G1122/100</x:f>
        <x:v>0</x:v>
      </x:c>
      <x:c r="H1128" s="8" t="n">
        <x:f>G1128-D1128</x:f>
        <x:v>-163.08</x:v>
      </x:c>
      <x:c r="I1128" s="1" t="str">
        <x:f>IF(H1128&gt;0,"Overbilled","Shortfall")</x:f>
        <x:v>Shortfall</x:v>
      </x:c>
      <x:c r="J1128" s="7"/>
      <x:c r="K1128" s="7" t="str">
        <x:v>Open</x:v>
      </x:c>
      <x:c r="L1128" s="7"/>
    </x:row>
    <x:row r="1129" ht="21" customHeight="1">
      <x:c r="A1129" s="1" t="str">
        <x:f>Source!A1123</x:f>
        <x:v>C0000693</x:v>
      </x:c>
      <x:c r="B1129" s="1" t="str">
        <x:f>_xlfn.IFNA(VLOOKUP(Source!B1123,Advertisers!$A$5:$B$34,2,FALSE),"Missing advertiser")</x:f>
        <x:v>Synthetic advertiser 8</x:v>
      </x:c>
      <x:c r="C1129" s="1" t="n">
        <x:f>Source!C1123</x:f>
        <x:v>8</x:v>
      </x:c>
      <x:c r="D1129" s="8" t="n">
        <x:f>Source!D1123/100</x:f>
        <x:v>163.08</x:v>
      </x:c>
      <x:c r="E1129" s="8" t="n">
        <x:f>Source!E1123/100</x:f>
        <x:v>326.16</x:v>
      </x:c>
      <x:c r="F1129" s="8" t="n">
        <x:f>Source!F1123/100</x:f>
        <x:v>0</x:v>
      </x:c>
      <x:c r="G1129" s="8" t="n">
        <x:f>Source!G1123/100</x:f>
        <x:v>326.16</x:v>
      </x:c>
      <x:c r="H1129" s="8" t="n">
        <x:f>G1129-D1129</x:f>
        <x:v>163.08</x:v>
      </x:c>
      <x:c r="I1129" s="1" t="str">
        <x:f>IF(H1129&gt;0,"Overbilled","Shortfall")</x:f>
        <x:v>Overbilled</x:v>
      </x:c>
      <x:c r="J1129" s="7"/>
      <x:c r="K1129" s="7" t="str">
        <x:v>Open</x:v>
      </x:c>
      <x:c r="L1129" s="7"/>
    </x:row>
    <x:row r="1130" ht="21" customHeight="1">
      <x:c r="A1130" s="1" t="str">
        <x:f>Source!A1124</x:f>
        <x:v>C0015296</x:v>
      </x:c>
      <x:c r="B1130" s="1" t="str">
        <x:f>_xlfn.IFNA(VLOOKUP(Source!B1124,Advertisers!$A$5:$B$34,2,FALSE),"Missing advertiser")</x:f>
        <x:v>Synthetic advertiser 8</x:v>
      </x:c>
      <x:c r="C1130" s="1" t="n">
        <x:f>Source!C1124</x:f>
        <x:v>8</x:v>
      </x:c>
      <x:c r="D1130" s="8" t="n">
        <x:f>Source!D1124/100</x:f>
        <x:v>163.08</x:v>
      </x:c>
      <x:c r="E1130" s="8" t="n">
        <x:f>Source!E1124/100</x:f>
        <x:v>0</x:v>
      </x:c>
      <x:c r="F1130" s="8" t="n">
        <x:f>Source!F1124/100</x:f>
        <x:v>0</x:v>
      </x:c>
      <x:c r="G1130" s="8" t="n">
        <x:f>Source!G1124/100</x:f>
        <x:v>0</x:v>
      </x:c>
      <x:c r="H1130" s="8" t="n">
        <x:f>G1130-D1130</x:f>
        <x:v>-163.08</x:v>
      </x:c>
      <x:c r="I1130" s="1" t="str">
        <x:f>IF(H1130&gt;0,"Overbilled","Shortfall")</x:f>
        <x:v>Shortfall</x:v>
      </x:c>
      <x:c r="J1130" s="7"/>
      <x:c r="K1130" s="7" t="str">
        <x:v>Open</x:v>
      </x:c>
      <x:c r="L1130" s="7"/>
    </x:row>
    <x:row r="1131" ht="21" customHeight="1">
      <x:c r="A1131" s="1" t="str">
        <x:f>Source!A1125</x:f>
        <x:v>C0010330</x:v>
      </x:c>
      <x:c r="B1131" s="1" t="str">
        <x:f>_xlfn.IFNA(VLOOKUP(Source!B1125,Advertisers!$A$5:$B$34,2,FALSE),"Missing advertiser")</x:f>
        <x:v>Synthetic advertiser 8</x:v>
      </x:c>
      <x:c r="C1131" s="1" t="n">
        <x:f>Source!C1125</x:f>
        <x:v>8</x:v>
      </x:c>
      <x:c r="D1131" s="8" t="n">
        <x:f>Source!D1125/100</x:f>
        <x:v>163.05</x:v>
      </x:c>
      <x:c r="E1131" s="8" t="n">
        <x:f>Source!E1125/100</x:f>
        <x:v>326.1</x:v>
      </x:c>
      <x:c r="F1131" s="8" t="n">
        <x:f>Source!F1125/100</x:f>
        <x:v>0</x:v>
      </x:c>
      <x:c r="G1131" s="8" t="n">
        <x:f>Source!G1125/100</x:f>
        <x:v>326.1</x:v>
      </x:c>
      <x:c r="H1131" s="8" t="n">
        <x:f>G1131-D1131</x:f>
        <x:v>163.05</x:v>
      </x:c>
      <x:c r="I1131" s="1" t="str">
        <x:f>IF(H1131&gt;0,"Overbilled","Shortfall")</x:f>
        <x:v>Overbilled</x:v>
      </x:c>
      <x:c r="J1131" s="7"/>
      <x:c r="K1131" s="7" t="str">
        <x:v>Open</x:v>
      </x:c>
      <x:c r="L1131" s="7"/>
    </x:row>
    <x:row r="1132" ht="21" customHeight="1">
      <x:c r="A1132" s="1" t="str">
        <x:f>Source!A1126</x:f>
        <x:v>C0002239</x:v>
      </x:c>
      <x:c r="B1132" s="1" t="str">
        <x:f>_xlfn.IFNA(VLOOKUP(Source!B1126,Advertisers!$A$5:$B$34,2,FALSE),"Missing advertiser")</x:f>
        <x:v>Synthetic advertiser 8</x:v>
      </x:c>
      <x:c r="C1132" s="1" t="n">
        <x:f>Source!C1126</x:f>
        <x:v>8</x:v>
      </x:c>
      <x:c r="D1132" s="8" t="n">
        <x:f>Source!D1126/100</x:f>
        <x:v>163.05</x:v>
      </x:c>
      <x:c r="E1132" s="8" t="n">
        <x:f>Source!E1126/100</x:f>
        <x:v>326.1</x:v>
      </x:c>
      <x:c r="F1132" s="8" t="n">
        <x:f>Source!F1126/100</x:f>
        <x:v>0</x:v>
      </x:c>
      <x:c r="G1132" s="8" t="n">
        <x:f>Source!G1126/100</x:f>
        <x:v>326.1</x:v>
      </x:c>
      <x:c r="H1132" s="8" t="n">
        <x:f>G1132-D1132</x:f>
        <x:v>163.05</x:v>
      </x:c>
      <x:c r="I1132" s="1" t="str">
        <x:f>IF(H1132&gt;0,"Overbilled","Shortfall")</x:f>
        <x:v>Overbilled</x:v>
      </x:c>
      <x:c r="J1132" s="7"/>
      <x:c r="K1132" s="7" t="str">
        <x:v>Open</x:v>
      </x:c>
      <x:c r="L1132" s="7"/>
    </x:row>
    <x:row r="1133" ht="21" customHeight="1">
      <x:c r="A1133" s="1" t="str">
        <x:f>Source!A1127</x:f>
        <x:v>C0004170</x:v>
      </x:c>
      <x:c r="B1133" s="1" t="str">
        <x:f>_xlfn.IFNA(VLOOKUP(Source!B1127,Advertisers!$A$5:$B$34,2,FALSE),"Missing advertiser")</x:f>
        <x:v>Synthetic advertiser 8</x:v>
      </x:c>
      <x:c r="C1133" s="1" t="n">
        <x:f>Source!C1127</x:f>
        <x:v>8</x:v>
      </x:c>
      <x:c r="D1133" s="8" t="n">
        <x:f>Source!D1127/100</x:f>
        <x:v>163.05</x:v>
      </x:c>
      <x:c r="E1133" s="8" t="n">
        <x:f>Source!E1127/100</x:f>
        <x:v>326.1</x:v>
      </x:c>
      <x:c r="F1133" s="8" t="n">
        <x:f>Source!F1127/100</x:f>
        <x:v>0</x:v>
      </x:c>
      <x:c r="G1133" s="8" t="n">
        <x:f>Source!G1127/100</x:f>
        <x:v>326.1</x:v>
      </x:c>
      <x:c r="H1133" s="8" t="n">
        <x:f>G1133-D1133</x:f>
        <x:v>163.05</x:v>
      </x:c>
      <x:c r="I1133" s="1" t="str">
        <x:f>IF(H1133&gt;0,"Overbilled","Shortfall")</x:f>
        <x:v>Overbilled</x:v>
      </x:c>
      <x:c r="J1133" s="7"/>
      <x:c r="K1133" s="7" t="str">
        <x:v>Open</x:v>
      </x:c>
      <x:c r="L1133" s="7"/>
    </x:row>
    <x:row r="1134" ht="21" customHeight="1">
      <x:c r="A1134" s="1" t="str">
        <x:f>Source!A1128</x:f>
        <x:v>C0012651</x:v>
      </x:c>
      <x:c r="B1134" s="1" t="str">
        <x:f>_xlfn.IFNA(VLOOKUP(Source!B1128,Advertisers!$A$5:$B$34,2,FALSE),"Missing advertiser")</x:f>
        <x:v>Synthetic advertiser 8</x:v>
      </x:c>
      <x:c r="C1134" s="1" t="n">
        <x:f>Source!C1128</x:f>
        <x:v>8</x:v>
      </x:c>
      <x:c r="D1134" s="8" t="n">
        <x:f>Source!D1128/100</x:f>
        <x:v>0</x:v>
      </x:c>
      <x:c r="E1134" s="8" t="n">
        <x:f>Source!E1128/100</x:f>
        <x:v>163.05</x:v>
      </x:c>
      <x:c r="F1134" s="8" t="n">
        <x:f>Source!F1128/100</x:f>
        <x:v>0</x:v>
      </x:c>
      <x:c r="G1134" s="8" t="n">
        <x:f>Source!G1128/100</x:f>
        <x:v>163.05</x:v>
      </x:c>
      <x:c r="H1134" s="8" t="n">
        <x:f>G1134-D1134</x:f>
        <x:v>163.05</x:v>
      </x:c>
      <x:c r="I1134" s="1" t="str">
        <x:f>IF(H1134&gt;0,"Overbilled","Shortfall")</x:f>
        <x:v>Overbilled</x:v>
      </x:c>
      <x:c r="J1134" s="7"/>
      <x:c r="K1134" s="7" t="str">
        <x:v>Open</x:v>
      </x:c>
      <x:c r="L1134" s="7"/>
    </x:row>
    <x:row r="1135" ht="21" customHeight="1">
      <x:c r="A1135" s="1" t="str">
        <x:f>Source!A1129</x:f>
        <x:v>C0006477</x:v>
      </x:c>
      <x:c r="B1135" s="1" t="str">
        <x:f>_xlfn.IFNA(VLOOKUP(Source!B1129,Advertisers!$A$5:$B$34,2,FALSE),"Missing advertiser")</x:f>
        <x:v>Synthetic advertiser 8</x:v>
      </x:c>
      <x:c r="C1135" s="1" t="n">
        <x:f>Source!C1129</x:f>
        <x:v>8</x:v>
      </x:c>
      <x:c r="D1135" s="8" t="n">
        <x:f>Source!D1129/100</x:f>
        <x:v>163.05</x:v>
      </x:c>
      <x:c r="E1135" s="8" t="n">
        <x:f>Source!E1129/100</x:f>
        <x:v>0</x:v>
      </x:c>
      <x:c r="F1135" s="8" t="n">
        <x:f>Source!F1129/100</x:f>
        <x:v>0</x:v>
      </x:c>
      <x:c r="G1135" s="8" t="n">
        <x:f>Source!G1129/100</x:f>
        <x:v>0</x:v>
      </x:c>
      <x:c r="H1135" s="8" t="n">
        <x:f>G1135-D1135</x:f>
        <x:v>-163.05</x:v>
      </x:c>
      <x:c r="I1135" s="1" t="str">
        <x:f>IF(H1135&gt;0,"Overbilled","Shortfall")</x:f>
        <x:v>Shortfall</x:v>
      </x:c>
      <x:c r="J1135" s="7"/>
      <x:c r="K1135" s="7" t="str">
        <x:v>Open</x:v>
      </x:c>
      <x:c r="L1135" s="7"/>
    </x:row>
    <x:row r="1136" ht="21" customHeight="1">
      <x:c r="A1136" s="1" t="str">
        <x:f>Source!A1130</x:f>
        <x:v>C0003193</x:v>
      </x:c>
      <x:c r="B1136" s="1" t="str">
        <x:f>_xlfn.IFNA(VLOOKUP(Source!B1130,Advertisers!$A$5:$B$34,2,FALSE),"Missing advertiser")</x:f>
        <x:v>Synthetic advertiser 8</x:v>
      </x:c>
      <x:c r="C1136" s="1" t="n">
        <x:f>Source!C1130</x:f>
        <x:v>8</x:v>
      </x:c>
      <x:c r="D1136" s="8" t="n">
        <x:f>Source!D1130/100</x:f>
        <x:v>163.05</x:v>
      </x:c>
      <x:c r="E1136" s="8" t="n">
        <x:f>Source!E1130/100</x:f>
        <x:v>0</x:v>
      </x:c>
      <x:c r="F1136" s="8" t="n">
        <x:f>Source!F1130/100</x:f>
        <x:v>0</x:v>
      </x:c>
      <x:c r="G1136" s="8" t="n">
        <x:f>Source!G1130/100</x:f>
        <x:v>0</x:v>
      </x:c>
      <x:c r="H1136" s="8" t="n">
        <x:f>G1136-D1136</x:f>
        <x:v>-163.05</x:v>
      </x:c>
      <x:c r="I1136" s="1" t="str">
        <x:f>IF(H1136&gt;0,"Overbilled","Shortfall")</x:f>
        <x:v>Shortfall</x:v>
      </x:c>
      <x:c r="J1136" s="7"/>
      <x:c r="K1136" s="7" t="str">
        <x:v>Open</x:v>
      </x:c>
      <x:c r="L1136" s="7"/>
    </x:row>
    <x:row r="1137" ht="21" customHeight="1">
      <x:c r="A1137" s="1" t="str">
        <x:f>Source!A1131</x:f>
        <x:v>C0004024</x:v>
      </x:c>
      <x:c r="B1137" s="1" t="str">
        <x:f>_xlfn.IFNA(VLOOKUP(Source!B1131,Advertisers!$A$5:$B$34,2,FALSE),"Missing advertiser")</x:f>
        <x:v>Synthetic advertiser 22</x:v>
      </x:c>
      <x:c r="C1137" s="1" t="n">
        <x:f>Source!C1131</x:f>
        <x:v>52</x:v>
      </x:c>
      <x:c r="D1137" s="8" t="n">
        <x:f>Source!D1131/100</x:f>
        <x:v>162.08</x:v>
      </x:c>
      <x:c r="E1137" s="8" t="n">
        <x:f>Source!E1131/100</x:f>
        <x:v>324.16</x:v>
      </x:c>
      <x:c r="F1137" s="8" t="n">
        <x:f>Source!F1131/100</x:f>
        <x:v>0</x:v>
      </x:c>
      <x:c r="G1137" s="8" t="n">
        <x:f>Source!G1131/100</x:f>
        <x:v>324.16</x:v>
      </x:c>
      <x:c r="H1137" s="8" t="n">
        <x:f>G1137-D1137</x:f>
        <x:v>162.08</x:v>
      </x:c>
      <x:c r="I1137" s="1" t="str">
        <x:f>IF(H1137&gt;0,"Overbilled","Shortfall")</x:f>
        <x:v>Overbilled</x:v>
      </x:c>
      <x:c r="J1137" s="7"/>
      <x:c r="K1137" s="7" t="str">
        <x:v>Open</x:v>
      </x:c>
      <x:c r="L1137" s="7"/>
    </x:row>
    <x:row r="1138" ht="21" customHeight="1">
      <x:c r="A1138" s="1" t="str">
        <x:f>Source!A1132</x:f>
        <x:v>C0006258</x:v>
      </x:c>
      <x:c r="B1138" s="1" t="str">
        <x:f>_xlfn.IFNA(VLOOKUP(Source!B1132,Advertisers!$A$5:$B$34,2,FALSE),"Missing advertiser")</x:f>
        <x:v>Synthetic advertiser 22</x:v>
      </x:c>
      <x:c r="C1138" s="1" t="n">
        <x:f>Source!C1132</x:f>
        <x:v>52</x:v>
      </x:c>
      <x:c r="D1138" s="8" t="n">
        <x:f>Source!D1132/100</x:f>
        <x:v>162.08</x:v>
      </x:c>
      <x:c r="E1138" s="8" t="n">
        <x:f>Source!E1132/100</x:f>
        <x:v>324.16</x:v>
      </x:c>
      <x:c r="F1138" s="8" t="n">
        <x:f>Source!F1132/100</x:f>
        <x:v>0</x:v>
      </x:c>
      <x:c r="G1138" s="8" t="n">
        <x:f>Source!G1132/100</x:f>
        <x:v>324.16</x:v>
      </x:c>
      <x:c r="H1138" s="8" t="n">
        <x:f>G1138-D1138</x:f>
        <x:v>162.08</x:v>
      </x:c>
      <x:c r="I1138" s="1" t="str">
        <x:f>IF(H1138&gt;0,"Overbilled","Shortfall")</x:f>
        <x:v>Overbilled</x:v>
      </x:c>
      <x:c r="J1138" s="7"/>
      <x:c r="K1138" s="7" t="str">
        <x:v>Open</x:v>
      </x:c>
      <x:c r="L1138" s="7"/>
    </x:row>
    <x:row r="1139" ht="21" customHeight="1">
      <x:c r="A1139" s="1" t="str">
        <x:f>Source!A1133</x:f>
        <x:v>C0005272</x:v>
      </x:c>
      <x:c r="B1139" s="1" t="str">
        <x:f>_xlfn.IFNA(VLOOKUP(Source!B1133,Advertisers!$A$5:$B$34,2,FALSE),"Missing advertiser")</x:f>
        <x:v>Synthetic advertiser 22</x:v>
      </x:c>
      <x:c r="C1139" s="1" t="n">
        <x:f>Source!C1133</x:f>
        <x:v>52</x:v>
      </x:c>
      <x:c r="D1139" s="8" t="n">
        <x:f>Source!D1133/100</x:f>
        <x:v>162.08</x:v>
      </x:c>
      <x:c r="E1139" s="8" t="n">
        <x:f>Source!E1133/100</x:f>
        <x:v>324.16</x:v>
      </x:c>
      <x:c r="F1139" s="8" t="n">
        <x:f>Source!F1133/100</x:f>
        <x:v>0</x:v>
      </x:c>
      <x:c r="G1139" s="8" t="n">
        <x:f>Source!G1133/100</x:f>
        <x:v>324.16</x:v>
      </x:c>
      <x:c r="H1139" s="8" t="n">
        <x:f>G1139-D1139</x:f>
        <x:v>162.08</x:v>
      </x:c>
      <x:c r="I1139" s="1" t="str">
        <x:f>IF(H1139&gt;0,"Overbilled","Shortfall")</x:f>
        <x:v>Overbilled</x:v>
      </x:c>
      <x:c r="J1139" s="7"/>
      <x:c r="K1139" s="7" t="str">
        <x:v>Open</x:v>
      </x:c>
      <x:c r="L1139" s="7"/>
    </x:row>
    <x:row r="1140" ht="21" customHeight="1">
      <x:c r="A1140" s="1" t="str">
        <x:f>Source!A1134</x:f>
        <x:v>C0008233</x:v>
      </x:c>
      <x:c r="B1140" s="1" t="str">
        <x:f>_xlfn.IFNA(VLOOKUP(Source!B1134,Advertisers!$A$5:$B$34,2,FALSE),"Missing advertiser")</x:f>
        <x:v>Synthetic advertiser 22</x:v>
      </x:c>
      <x:c r="C1140" s="1" t="n">
        <x:f>Source!C1134</x:f>
        <x:v>52</x:v>
      </x:c>
      <x:c r="D1140" s="8" t="n">
        <x:f>Source!D1134/100</x:f>
        <x:v>0</x:v>
      </x:c>
      <x:c r="E1140" s="8" t="n">
        <x:f>Source!E1134/100</x:f>
        <x:v>162.08</x:v>
      </x:c>
      <x:c r="F1140" s="8" t="n">
        <x:f>Source!F1134/100</x:f>
        <x:v>0</x:v>
      </x:c>
      <x:c r="G1140" s="8" t="n">
        <x:f>Source!G1134/100</x:f>
        <x:v>162.08</x:v>
      </x:c>
      <x:c r="H1140" s="8" t="n">
        <x:f>G1140-D1140</x:f>
        <x:v>162.08</x:v>
      </x:c>
      <x:c r="I1140" s="1" t="str">
        <x:f>IF(H1140&gt;0,"Overbilled","Shortfall")</x:f>
        <x:v>Overbilled</x:v>
      </x:c>
      <x:c r="J1140" s="7"/>
      <x:c r="K1140" s="7" t="str">
        <x:v>Open</x:v>
      </x:c>
      <x:c r="L1140" s="7"/>
    </x:row>
    <x:row r="1141" ht="21" customHeight="1">
      <x:c r="A1141" s="1" t="str">
        <x:f>Source!A1135</x:f>
        <x:v>C0005372</x:v>
      </x:c>
      <x:c r="B1141" s="1" t="str">
        <x:f>_xlfn.IFNA(VLOOKUP(Source!B1135,Advertisers!$A$5:$B$34,2,FALSE),"Missing advertiser")</x:f>
        <x:v>Synthetic advertiser 22</x:v>
      </x:c>
      <x:c r="C1141" s="1" t="n">
        <x:f>Source!C1135</x:f>
        <x:v>52</x:v>
      </x:c>
      <x:c r="D1141" s="8" t="n">
        <x:f>Source!D1135/100</x:f>
        <x:v>0</x:v>
      </x:c>
      <x:c r="E1141" s="8" t="n">
        <x:f>Source!E1135/100</x:f>
        <x:v>162.08</x:v>
      </x:c>
      <x:c r="F1141" s="8" t="n">
        <x:f>Source!F1135/100</x:f>
        <x:v>0</x:v>
      </x:c>
      <x:c r="G1141" s="8" t="n">
        <x:f>Source!G1135/100</x:f>
        <x:v>162.08</x:v>
      </x:c>
      <x:c r="H1141" s="8" t="n">
        <x:f>G1141-D1141</x:f>
        <x:v>162.08</x:v>
      </x:c>
      <x:c r="I1141" s="1" t="str">
        <x:f>IF(H1141&gt;0,"Overbilled","Shortfall")</x:f>
        <x:v>Overbilled</x:v>
      </x:c>
      <x:c r="J1141" s="7"/>
      <x:c r="K1141" s="7" t="str">
        <x:v>Open</x:v>
      </x:c>
      <x:c r="L1141" s="7"/>
    </x:row>
    <x:row r="1142" ht="21" customHeight="1">
      <x:c r="A1142" s="1" t="str">
        <x:f>Source!A1136</x:f>
        <x:v>C0001493</x:v>
      </x:c>
      <x:c r="B1142" s="1" t="str">
        <x:f>_xlfn.IFNA(VLOOKUP(Source!B1136,Advertisers!$A$5:$B$34,2,FALSE),"Missing advertiser")</x:f>
        <x:v>Synthetic advertiser 22</x:v>
      </x:c>
      <x:c r="C1142" s="1" t="n">
        <x:f>Source!C1136</x:f>
        <x:v>52</x:v>
      </x:c>
      <x:c r="D1142" s="8" t="n">
        <x:f>Source!D1136/100</x:f>
        <x:v>162.08</x:v>
      </x:c>
      <x:c r="E1142" s="8" t="n">
        <x:f>Source!E1136/100</x:f>
        <x:v>324.16</x:v>
      </x:c>
      <x:c r="F1142" s="8" t="n">
        <x:f>Source!F1136/100</x:f>
        <x:v>0</x:v>
      </x:c>
      <x:c r="G1142" s="8" t="n">
        <x:f>Source!G1136/100</x:f>
        <x:v>324.16</x:v>
      </x:c>
      <x:c r="H1142" s="8" t="n">
        <x:f>G1142-D1142</x:f>
        <x:v>162.08</x:v>
      </x:c>
      <x:c r="I1142" s="1" t="str">
        <x:f>IF(H1142&gt;0,"Overbilled","Shortfall")</x:f>
        <x:v>Overbilled</x:v>
      </x:c>
      <x:c r="J1142" s="7"/>
      <x:c r="K1142" s="7" t="str">
        <x:v>Open</x:v>
      </x:c>
      <x:c r="L1142" s="7"/>
    </x:row>
    <x:row r="1143" ht="21" customHeight="1">
      <x:c r="A1143" s="1" t="str">
        <x:f>Source!A1137</x:f>
        <x:v>C0016150</x:v>
      </x:c>
      <x:c r="B1143" s="1" t="str">
        <x:f>_xlfn.IFNA(VLOOKUP(Source!B1137,Advertisers!$A$5:$B$34,2,FALSE),"Missing advertiser")</x:f>
        <x:v>Synthetic advertiser 22</x:v>
      </x:c>
      <x:c r="C1143" s="1" t="n">
        <x:f>Source!C1137</x:f>
        <x:v>52</x:v>
      </x:c>
      <x:c r="D1143" s="8" t="n">
        <x:f>Source!D1137/100</x:f>
        <x:v>162.08</x:v>
      </x:c>
      <x:c r="E1143" s="8" t="n">
        <x:f>Source!E1137/100</x:f>
        <x:v>0</x:v>
      </x:c>
      <x:c r="F1143" s="8" t="n">
        <x:f>Source!F1137/100</x:f>
        <x:v>0</x:v>
      </x:c>
      <x:c r="G1143" s="8" t="n">
        <x:f>Source!G1137/100</x:f>
        <x:v>0</x:v>
      </x:c>
      <x:c r="H1143" s="8" t="n">
        <x:f>G1143-D1143</x:f>
        <x:v>-162.08</x:v>
      </x:c>
      <x:c r="I1143" s="1" t="str">
        <x:f>IF(H1143&gt;0,"Overbilled","Shortfall")</x:f>
        <x:v>Shortfall</x:v>
      </x:c>
      <x:c r="J1143" s="7"/>
      <x:c r="K1143" s="7" t="str">
        <x:v>Open</x:v>
      </x:c>
      <x:c r="L1143" s="7"/>
    </x:row>
    <x:row r="1144" ht="21" customHeight="1">
      <x:c r="A1144" s="1" t="str">
        <x:f>Source!A1138</x:f>
        <x:v>C0010784</x:v>
      </x:c>
      <x:c r="B1144" s="1" t="str">
        <x:f>_xlfn.IFNA(VLOOKUP(Source!B1138,Advertisers!$A$5:$B$34,2,FALSE),"Missing advertiser")</x:f>
        <x:v>Synthetic advertiser 29</x:v>
      </x:c>
      <x:c r="C1144" s="1" t="n">
        <x:f>Source!C1138</x:f>
        <x:v>59</x:v>
      </x:c>
      <x:c r="D1144" s="8" t="n">
        <x:f>Source!D1138/100</x:f>
        <x:v>161.66</x:v>
      </x:c>
      <x:c r="E1144" s="8" t="n">
        <x:f>Source!E1138/100</x:f>
        <x:v>0</x:v>
      </x:c>
      <x:c r="F1144" s="8" t="n">
        <x:f>Source!F1138/100</x:f>
        <x:v>0</x:v>
      </x:c>
      <x:c r="G1144" s="8" t="n">
        <x:f>Source!G1138/100</x:f>
        <x:v>0</x:v>
      </x:c>
      <x:c r="H1144" s="8" t="n">
        <x:f>G1144-D1144</x:f>
        <x:v>-161.66</x:v>
      </x:c>
      <x:c r="I1144" s="1" t="str">
        <x:f>IF(H1144&gt;0,"Overbilled","Shortfall")</x:f>
        <x:v>Shortfall</x:v>
      </x:c>
      <x:c r="J1144" s="7"/>
      <x:c r="K1144" s="7" t="str">
        <x:v>Open</x:v>
      </x:c>
      <x:c r="L1144" s="7"/>
    </x:row>
    <x:row r="1145" ht="21" customHeight="1">
      <x:c r="A1145" s="1" t="str">
        <x:f>Source!A1139</x:f>
        <x:v>C0007902</x:v>
      </x:c>
      <x:c r="B1145" s="1" t="str">
        <x:f>_xlfn.IFNA(VLOOKUP(Source!B1139,Advertisers!$A$5:$B$34,2,FALSE),"Missing advertiser")</x:f>
        <x:v>Synthetic advertiser 29</x:v>
      </x:c>
      <x:c r="C1145" s="1" t="n">
        <x:f>Source!C1139</x:f>
        <x:v>59</x:v>
      </x:c>
      <x:c r="D1145" s="8" t="n">
        <x:f>Source!D1139/100</x:f>
        <x:v>0</x:v>
      </x:c>
      <x:c r="E1145" s="8" t="n">
        <x:f>Source!E1139/100</x:f>
        <x:v>161.66</x:v>
      </x:c>
      <x:c r="F1145" s="8" t="n">
        <x:f>Source!F1139/100</x:f>
        <x:v>0</x:v>
      </x:c>
      <x:c r="G1145" s="8" t="n">
        <x:f>Source!G1139/100</x:f>
        <x:v>161.66</x:v>
      </x:c>
      <x:c r="H1145" s="8" t="n">
        <x:f>G1145-D1145</x:f>
        <x:v>161.66</x:v>
      </x:c>
      <x:c r="I1145" s="1" t="str">
        <x:f>IF(H1145&gt;0,"Overbilled","Shortfall")</x:f>
        <x:v>Overbilled</x:v>
      </x:c>
      <x:c r="J1145" s="7"/>
      <x:c r="K1145" s="7" t="str">
        <x:v>Open</x:v>
      </x:c>
      <x:c r="L1145" s="7"/>
    </x:row>
    <x:row r="1146" ht="21" customHeight="1">
      <x:c r="A1146" s="1" t="str">
        <x:f>Source!A1140</x:f>
        <x:v>C0005872</x:v>
      </x:c>
      <x:c r="B1146" s="1" t="str">
        <x:f>_xlfn.IFNA(VLOOKUP(Source!B1140,Advertisers!$A$5:$B$34,2,FALSE),"Missing advertiser")</x:f>
        <x:v>Synthetic advertiser 29</x:v>
      </x:c>
      <x:c r="C1146" s="1" t="n">
        <x:f>Source!C1140</x:f>
        <x:v>59</x:v>
      </x:c>
      <x:c r="D1146" s="8" t="n">
        <x:f>Source!D1140/100</x:f>
        <x:v>161.66</x:v>
      </x:c>
      <x:c r="E1146" s="8" t="n">
        <x:f>Source!E1140/100</x:f>
        <x:v>323.32</x:v>
      </x:c>
      <x:c r="F1146" s="8" t="n">
        <x:f>Source!F1140/100</x:f>
        <x:v>0</x:v>
      </x:c>
      <x:c r="G1146" s="8" t="n">
        <x:f>Source!G1140/100</x:f>
        <x:v>323.32</x:v>
      </x:c>
      <x:c r="H1146" s="8" t="n">
        <x:f>G1146-D1146</x:f>
        <x:v>161.66</x:v>
      </x:c>
      <x:c r="I1146" s="1" t="str">
        <x:f>IF(H1146&gt;0,"Overbilled","Shortfall")</x:f>
        <x:v>Overbilled</x:v>
      </x:c>
      <x:c r="J1146" s="7"/>
      <x:c r="K1146" s="7" t="str">
        <x:v>Open</x:v>
      </x:c>
      <x:c r="L1146" s="7"/>
    </x:row>
    <x:row r="1147" ht="21" customHeight="1">
      <x:c r="A1147" s="1" t="str">
        <x:f>Source!A1141</x:f>
        <x:v>C0016326</x:v>
      </x:c>
      <x:c r="B1147" s="1" t="str">
        <x:f>_xlfn.IFNA(VLOOKUP(Source!B1141,Advertisers!$A$5:$B$34,2,FALSE),"Missing advertiser")</x:f>
        <x:v>Synthetic advertiser 29</x:v>
      </x:c>
      <x:c r="C1147" s="1" t="n">
        <x:f>Source!C1141</x:f>
        <x:v>59</x:v>
      </x:c>
      <x:c r="D1147" s="8" t="n">
        <x:f>Source!D1141/100</x:f>
        <x:v>0</x:v>
      </x:c>
      <x:c r="E1147" s="8" t="n">
        <x:f>Source!E1141/100</x:f>
        <x:v>161.66</x:v>
      </x:c>
      <x:c r="F1147" s="8" t="n">
        <x:f>Source!F1141/100</x:f>
        <x:v>0</x:v>
      </x:c>
      <x:c r="G1147" s="8" t="n">
        <x:f>Source!G1141/100</x:f>
        <x:v>161.66</x:v>
      </x:c>
      <x:c r="H1147" s="8" t="n">
        <x:f>G1147-D1147</x:f>
        <x:v>161.66</x:v>
      </x:c>
      <x:c r="I1147" s="1" t="str">
        <x:f>IF(H1147&gt;0,"Overbilled","Shortfall")</x:f>
        <x:v>Overbilled</x:v>
      </x:c>
      <x:c r="J1147" s="7"/>
      <x:c r="K1147" s="7" t="str">
        <x:v>Open</x:v>
      </x:c>
      <x:c r="L1147" s="7"/>
    </x:row>
    <x:row r="1148" ht="21" customHeight="1">
      <x:c r="A1148" s="1" t="str">
        <x:f>Source!A1142</x:f>
        <x:v>C0003529</x:v>
      </x:c>
      <x:c r="B1148" s="1" t="str">
        <x:f>_xlfn.IFNA(VLOOKUP(Source!B1142,Advertisers!$A$5:$B$34,2,FALSE),"Missing advertiser")</x:f>
        <x:v>Synthetic advertiser 29</x:v>
      </x:c>
      <x:c r="C1148" s="1" t="n">
        <x:f>Source!C1142</x:f>
        <x:v>59</x:v>
      </x:c>
      <x:c r="D1148" s="8" t="n">
        <x:f>Source!D1142/100</x:f>
        <x:v>161.66</x:v>
      </x:c>
      <x:c r="E1148" s="8" t="n">
        <x:f>Source!E1142/100</x:f>
        <x:v>323.32</x:v>
      </x:c>
      <x:c r="F1148" s="8" t="n">
        <x:f>Source!F1142/100</x:f>
        <x:v>0</x:v>
      </x:c>
      <x:c r="G1148" s="8" t="n">
        <x:f>Source!G1142/100</x:f>
        <x:v>323.32</x:v>
      </x:c>
      <x:c r="H1148" s="8" t="n">
        <x:f>G1148-D1148</x:f>
        <x:v>161.66</x:v>
      </x:c>
      <x:c r="I1148" s="1" t="str">
        <x:f>IF(H1148&gt;0,"Overbilled","Shortfall")</x:f>
        <x:v>Overbilled</x:v>
      </x:c>
      <x:c r="J1148" s="7"/>
      <x:c r="K1148" s="7" t="str">
        <x:v>Open</x:v>
      </x:c>
      <x:c r="L1148" s="7"/>
    </x:row>
    <x:row r="1149" ht="21" customHeight="1">
      <x:c r="A1149" s="1" t="str">
        <x:f>Source!A1143</x:f>
        <x:v>C0009063</x:v>
      </x:c>
      <x:c r="B1149" s="1" t="str">
        <x:f>_xlfn.IFNA(VLOOKUP(Source!B1143,Advertisers!$A$5:$B$34,2,FALSE),"Missing advertiser")</x:f>
        <x:v>Synthetic advertiser 29</x:v>
      </x:c>
      <x:c r="C1149" s="1" t="n">
        <x:f>Source!C1143</x:f>
        <x:v>59</x:v>
      </x:c>
      <x:c r="D1149" s="8" t="n">
        <x:f>Source!D1143/100</x:f>
        <x:v>161.66</x:v>
      </x:c>
      <x:c r="E1149" s="8" t="n">
        <x:f>Source!E1143/100</x:f>
        <x:v>0</x:v>
      </x:c>
      <x:c r="F1149" s="8" t="n">
        <x:f>Source!F1143/100</x:f>
        <x:v>0</x:v>
      </x:c>
      <x:c r="G1149" s="8" t="n">
        <x:f>Source!G1143/100</x:f>
        <x:v>0</x:v>
      </x:c>
      <x:c r="H1149" s="8" t="n">
        <x:f>G1149-D1149</x:f>
        <x:v>-161.66</x:v>
      </x:c>
      <x:c r="I1149" s="1" t="str">
        <x:f>IF(H1149&gt;0,"Overbilled","Shortfall")</x:f>
        <x:v>Shortfall</x:v>
      </x:c>
      <x:c r="J1149" s="7"/>
      <x:c r="K1149" s="7" t="str">
        <x:v>Open</x:v>
      </x:c>
      <x:c r="L1149" s="7"/>
    </x:row>
    <x:row r="1150" ht="21" customHeight="1">
      <x:c r="A1150" s="1" t="str">
        <x:f>Source!A1144</x:f>
        <x:v>C0006539</x:v>
      </x:c>
      <x:c r="B1150" s="1" t="str">
        <x:f>_xlfn.IFNA(VLOOKUP(Source!B1144,Advertisers!$A$5:$B$34,2,FALSE),"Missing advertiser")</x:f>
        <x:v>Synthetic advertiser 29</x:v>
      </x:c>
      <x:c r="C1150" s="1" t="n">
        <x:f>Source!C1144</x:f>
        <x:v>59</x:v>
      </x:c>
      <x:c r="D1150" s="8" t="n">
        <x:f>Source!D1144/100</x:f>
        <x:v>161.66</x:v>
      </x:c>
      <x:c r="E1150" s="8" t="n">
        <x:f>Source!E1144/100</x:f>
        <x:v>323.32</x:v>
      </x:c>
      <x:c r="F1150" s="8" t="n">
        <x:f>Source!F1144/100</x:f>
        <x:v>0</x:v>
      </x:c>
      <x:c r="G1150" s="8" t="n">
        <x:f>Source!G1144/100</x:f>
        <x:v>323.32</x:v>
      </x:c>
      <x:c r="H1150" s="8" t="n">
        <x:f>G1150-D1150</x:f>
        <x:v>161.66</x:v>
      </x:c>
      <x:c r="I1150" s="1" t="str">
        <x:f>IF(H1150&gt;0,"Overbilled","Shortfall")</x:f>
        <x:v>Overbilled</x:v>
      </x:c>
      <x:c r="J1150" s="7"/>
      <x:c r="K1150" s="7" t="str">
        <x:v>Open</x:v>
      </x:c>
      <x:c r="L1150" s="7"/>
    </x:row>
    <x:row r="1151" ht="21" customHeight="1">
      <x:c r="A1151" s="1" t="str">
        <x:f>Source!A1145</x:f>
        <x:v>C0007551</x:v>
      </x:c>
      <x:c r="B1151" s="1" t="str">
        <x:f>_xlfn.IFNA(VLOOKUP(Source!B1145,Advertisers!$A$5:$B$34,2,FALSE),"Missing advertiser")</x:f>
        <x:v>Synthetic advertiser 7</x:v>
      </x:c>
      <x:c r="C1151" s="1" t="n">
        <x:f>Source!C1145</x:f>
        <x:v>67</x:v>
      </x:c>
      <x:c r="D1151" s="8" t="n">
        <x:f>Source!D1145/100</x:f>
        <x:v>161.24</x:v>
      </x:c>
      <x:c r="E1151" s="8" t="n">
        <x:f>Source!E1145/100</x:f>
        <x:v>0</x:v>
      </x:c>
      <x:c r="F1151" s="8" t="n">
        <x:f>Source!F1145/100</x:f>
        <x:v>0</x:v>
      </x:c>
      <x:c r="G1151" s="8" t="n">
        <x:f>Source!G1145/100</x:f>
        <x:v>0</x:v>
      </x:c>
      <x:c r="H1151" s="8" t="n">
        <x:f>G1151-D1151</x:f>
        <x:v>-161.24</x:v>
      </x:c>
      <x:c r="I1151" s="1" t="str">
        <x:f>IF(H1151&gt;0,"Overbilled","Shortfall")</x:f>
        <x:v>Shortfall</x:v>
      </x:c>
      <x:c r="J1151" s="7"/>
      <x:c r="K1151" s="7" t="str">
        <x:v>Open</x:v>
      </x:c>
      <x:c r="L1151" s="7"/>
    </x:row>
    <x:row r="1152" ht="21" customHeight="1">
      <x:c r="A1152" s="1" t="str">
        <x:f>Source!A1146</x:f>
        <x:v>C0011521</x:v>
      </x:c>
      <x:c r="B1152" s="1" t="str">
        <x:f>_xlfn.IFNA(VLOOKUP(Source!B1146,Advertisers!$A$5:$B$34,2,FALSE),"Missing advertiser")</x:f>
        <x:v>Synthetic advertiser 7</x:v>
      </x:c>
      <x:c r="C1152" s="1" t="n">
        <x:f>Source!C1146</x:f>
        <x:v>67</x:v>
      </x:c>
      <x:c r="D1152" s="8" t="n">
        <x:f>Source!D1146/100</x:f>
        <x:v>161.24</x:v>
      </x:c>
      <x:c r="E1152" s="8" t="n">
        <x:f>Source!E1146/100</x:f>
        <x:v>0</x:v>
      </x:c>
      <x:c r="F1152" s="8" t="n">
        <x:f>Source!F1146/100</x:f>
        <x:v>0</x:v>
      </x:c>
      <x:c r="G1152" s="8" t="n">
        <x:f>Source!G1146/100</x:f>
        <x:v>0</x:v>
      </x:c>
      <x:c r="H1152" s="8" t="n">
        <x:f>G1152-D1152</x:f>
        <x:v>-161.24</x:v>
      </x:c>
      <x:c r="I1152" s="1" t="str">
        <x:f>IF(H1152&gt;0,"Overbilled","Shortfall")</x:f>
        <x:v>Shortfall</x:v>
      </x:c>
      <x:c r="J1152" s="7"/>
      <x:c r="K1152" s="7" t="str">
        <x:v>Open</x:v>
      </x:c>
      <x:c r="L1152" s="7"/>
    </x:row>
    <x:row r="1153" ht="21" customHeight="1">
      <x:c r="A1153" s="1" t="str">
        <x:f>Source!A1147</x:f>
        <x:v>C0010192</x:v>
      </x:c>
      <x:c r="B1153" s="1" t="str">
        <x:f>_xlfn.IFNA(VLOOKUP(Source!B1147,Advertisers!$A$5:$B$34,2,FALSE),"Missing advertiser")</x:f>
        <x:v>Synthetic advertiser 7</x:v>
      </x:c>
      <x:c r="C1153" s="1" t="n">
        <x:f>Source!C1147</x:f>
        <x:v>67</x:v>
      </x:c>
      <x:c r="D1153" s="8" t="n">
        <x:f>Source!D1147/100</x:f>
        <x:v>161.24</x:v>
      </x:c>
      <x:c r="E1153" s="8" t="n">
        <x:f>Source!E1147/100</x:f>
        <x:v>0</x:v>
      </x:c>
      <x:c r="F1153" s="8" t="n">
        <x:f>Source!F1147/100</x:f>
        <x:v>0</x:v>
      </x:c>
      <x:c r="G1153" s="8" t="n">
        <x:f>Source!G1147/100</x:f>
        <x:v>0</x:v>
      </x:c>
      <x:c r="H1153" s="8" t="n">
        <x:f>G1153-D1153</x:f>
        <x:v>-161.24</x:v>
      </x:c>
      <x:c r="I1153" s="1" t="str">
        <x:f>IF(H1153&gt;0,"Overbilled","Shortfall")</x:f>
        <x:v>Shortfall</x:v>
      </x:c>
      <x:c r="J1153" s="7"/>
      <x:c r="K1153" s="7" t="str">
        <x:v>Open</x:v>
      </x:c>
      <x:c r="L1153" s="7"/>
    </x:row>
    <x:row r="1154" ht="21" customHeight="1">
      <x:c r="A1154" s="1" t="str">
        <x:f>Source!A1148</x:f>
        <x:v>C0001386</x:v>
      </x:c>
      <x:c r="B1154" s="1" t="str">
        <x:f>_xlfn.IFNA(VLOOKUP(Source!B1148,Advertisers!$A$5:$B$34,2,FALSE),"Missing advertiser")</x:f>
        <x:v>Synthetic advertiser 7</x:v>
      </x:c>
      <x:c r="C1154" s="1" t="n">
        <x:f>Source!C1148</x:f>
        <x:v>67</x:v>
      </x:c>
      <x:c r="D1154" s="8" t="n">
        <x:f>Source!D1148/100</x:f>
        <x:v>161.24</x:v>
      </x:c>
      <x:c r="E1154" s="8" t="n">
        <x:f>Source!E1148/100</x:f>
        <x:v>322.48</x:v>
      </x:c>
      <x:c r="F1154" s="8" t="n">
        <x:f>Source!F1148/100</x:f>
        <x:v>0</x:v>
      </x:c>
      <x:c r="G1154" s="8" t="n">
        <x:f>Source!G1148/100</x:f>
        <x:v>322.48</x:v>
      </x:c>
      <x:c r="H1154" s="8" t="n">
        <x:f>G1154-D1154</x:f>
        <x:v>161.24</x:v>
      </x:c>
      <x:c r="I1154" s="1" t="str">
        <x:f>IF(H1154&gt;0,"Overbilled","Shortfall")</x:f>
        <x:v>Overbilled</x:v>
      </x:c>
      <x:c r="J1154" s="7"/>
      <x:c r="K1154" s="7" t="str">
        <x:v>Open</x:v>
      </x:c>
      <x:c r="L1154" s="7"/>
    </x:row>
    <x:row r="1155" ht="21" customHeight="1">
      <x:c r="A1155" s="1" t="str">
        <x:f>Source!A1149</x:f>
        <x:v>C0015416</x:v>
      </x:c>
      <x:c r="B1155" s="1" t="str">
        <x:f>_xlfn.IFNA(VLOOKUP(Source!B1149,Advertisers!$A$5:$B$34,2,FALSE),"Missing advertiser")</x:f>
        <x:v>Synthetic advertiser 7</x:v>
      </x:c>
      <x:c r="C1155" s="1" t="n">
        <x:f>Source!C1149</x:f>
        <x:v>67</x:v>
      </x:c>
      <x:c r="D1155" s="8" t="n">
        <x:f>Source!D1149/100</x:f>
        <x:v>161.24</x:v>
      </x:c>
      <x:c r="E1155" s="8" t="n">
        <x:f>Source!E1149/100</x:f>
        <x:v>322.48</x:v>
      </x:c>
      <x:c r="F1155" s="8" t="n">
        <x:f>Source!F1149/100</x:f>
        <x:v>0</x:v>
      </x:c>
      <x:c r="G1155" s="8" t="n">
        <x:f>Source!G1149/100</x:f>
        <x:v>322.48</x:v>
      </x:c>
      <x:c r="H1155" s="8" t="n">
        <x:f>G1155-D1155</x:f>
        <x:v>161.24</x:v>
      </x:c>
      <x:c r="I1155" s="1" t="str">
        <x:f>IF(H1155&gt;0,"Overbilled","Shortfall")</x:f>
        <x:v>Overbilled</x:v>
      </x:c>
      <x:c r="J1155" s="7"/>
      <x:c r="K1155" s="7" t="str">
        <x:v>Open</x:v>
      </x:c>
      <x:c r="L1155" s="7"/>
    </x:row>
    <x:row r="1156" ht="21" customHeight="1">
      <x:c r="A1156" s="1" t="str">
        <x:f>Source!A1150</x:f>
        <x:v>C0002673</x:v>
      </x:c>
      <x:c r="B1156" s="1" t="str">
        <x:f>_xlfn.IFNA(VLOOKUP(Source!B1150,Advertisers!$A$5:$B$34,2,FALSE),"Missing advertiser")</x:f>
        <x:v>Synthetic advertiser 7</x:v>
      </x:c>
      <x:c r="C1156" s="1" t="n">
        <x:f>Source!C1150</x:f>
        <x:v>67</x:v>
      </x:c>
      <x:c r="D1156" s="8" t="n">
        <x:f>Source!D1150/100</x:f>
        <x:v>161.24</x:v>
      </x:c>
      <x:c r="E1156" s="8" t="n">
        <x:f>Source!E1150/100</x:f>
        <x:v>322.48</x:v>
      </x:c>
      <x:c r="F1156" s="8" t="n">
        <x:f>Source!F1150/100</x:f>
        <x:v>0</x:v>
      </x:c>
      <x:c r="G1156" s="8" t="n">
        <x:f>Source!G1150/100</x:f>
        <x:v>322.48</x:v>
      </x:c>
      <x:c r="H1156" s="8" t="n">
        <x:f>G1156-D1156</x:f>
        <x:v>161.24</x:v>
      </x:c>
      <x:c r="I1156" s="1" t="str">
        <x:f>IF(H1156&gt;0,"Overbilled","Shortfall")</x:f>
        <x:v>Overbilled</x:v>
      </x:c>
      <x:c r="J1156" s="7"/>
      <x:c r="K1156" s="7" t="str">
        <x:v>Open</x:v>
      </x:c>
      <x:c r="L1156" s="7"/>
    </x:row>
    <x:row r="1157" ht="21" customHeight="1">
      <x:c r="A1157" s="1" t="str">
        <x:f>Source!A1151</x:f>
        <x:v>C0015240</x:v>
      </x:c>
      <x:c r="B1157" s="1" t="str">
        <x:f>_xlfn.IFNA(VLOOKUP(Source!B1151,Advertisers!$A$5:$B$34,2,FALSE),"Missing advertiser")</x:f>
        <x:v>Synthetic advertiser 7</x:v>
      </x:c>
      <x:c r="C1157" s="1" t="n">
        <x:f>Source!C1151</x:f>
        <x:v>67</x:v>
      </x:c>
      <x:c r="D1157" s="8" t="n">
        <x:f>Source!D1151/100</x:f>
        <x:v>161.24</x:v>
      </x:c>
      <x:c r="E1157" s="8" t="n">
        <x:f>Source!E1151/100</x:f>
        <x:v>322.48</x:v>
      </x:c>
      <x:c r="F1157" s="8" t="n">
        <x:f>Source!F1151/100</x:f>
        <x:v>0</x:v>
      </x:c>
      <x:c r="G1157" s="8" t="n">
        <x:f>Source!G1151/100</x:f>
        <x:v>322.48</x:v>
      </x:c>
      <x:c r="H1157" s="8" t="n">
        <x:f>G1157-D1157</x:f>
        <x:v>161.24</x:v>
      </x:c>
      <x:c r="I1157" s="1" t="str">
        <x:f>IF(H1157&gt;0,"Overbilled","Shortfall")</x:f>
        <x:v>Overbilled</x:v>
      </x:c>
      <x:c r="J1157" s="7"/>
      <x:c r="K1157" s="7" t="str">
        <x:v>Open</x:v>
      </x:c>
      <x:c r="L1157" s="7"/>
    </x:row>
    <x:row r="1158" ht="21" customHeight="1">
      <x:c r="A1158" s="1" t="str">
        <x:f>Source!A1152</x:f>
        <x:v>C0015358</x:v>
      </x:c>
      <x:c r="B1158" s="1" t="str">
        <x:f>_xlfn.IFNA(VLOOKUP(Source!B1152,Advertisers!$A$5:$B$34,2,FALSE),"Missing advertiser")</x:f>
        <x:v>Synthetic advertiser 7</x:v>
      </x:c>
      <x:c r="C1158" s="1" t="n">
        <x:f>Source!C1152</x:f>
        <x:v>67</x:v>
      </x:c>
      <x:c r="D1158" s="8" t="n">
        <x:f>Source!D1152/100</x:f>
        <x:v>0</x:v>
      </x:c>
      <x:c r="E1158" s="8" t="n">
        <x:f>Source!E1152/100</x:f>
        <x:v>161.24</x:v>
      </x:c>
      <x:c r="F1158" s="8" t="n">
        <x:f>Source!F1152/100</x:f>
        <x:v>0</x:v>
      </x:c>
      <x:c r="G1158" s="8" t="n">
        <x:f>Source!G1152/100</x:f>
        <x:v>161.24</x:v>
      </x:c>
      <x:c r="H1158" s="8" t="n">
        <x:f>G1158-D1158</x:f>
        <x:v>161.24</x:v>
      </x:c>
      <x:c r="I1158" s="1" t="str">
        <x:f>IF(H1158&gt;0,"Overbilled","Shortfall")</x:f>
        <x:v>Overbilled</x:v>
      </x:c>
      <x:c r="J1158" s="7"/>
      <x:c r="K1158" s="7" t="str">
        <x:v>Open</x:v>
      </x:c>
      <x:c r="L1158" s="7"/>
    </x:row>
    <x:row r="1159" ht="21" customHeight="1">
      <x:c r="A1159" s="1" t="str">
        <x:f>Source!A1153</x:f>
        <x:v>C0010818</x:v>
      </x:c>
      <x:c r="B1159" s="1" t="str">
        <x:f>_xlfn.IFNA(VLOOKUP(Source!B1153,Advertisers!$A$5:$B$34,2,FALSE),"Missing advertiser")</x:f>
        <x:v>Synthetic advertiser 14</x:v>
      </x:c>
      <x:c r="C1159" s="1" t="n">
        <x:f>Source!C1153</x:f>
        <x:v>74</x:v>
      </x:c>
      <x:c r="D1159" s="8" t="n">
        <x:f>Source!D1153/100</x:f>
        <x:v>161.09</x:v>
      </x:c>
      <x:c r="E1159" s="8" t="n">
        <x:f>Source!E1153/100</x:f>
        <x:v>322.18</x:v>
      </x:c>
      <x:c r="F1159" s="8" t="n">
        <x:f>Source!F1153/100</x:f>
        <x:v>0</x:v>
      </x:c>
      <x:c r="G1159" s="8" t="n">
        <x:f>Source!G1153/100</x:f>
        <x:v>322.18</x:v>
      </x:c>
      <x:c r="H1159" s="8" t="n">
        <x:f>G1159-D1159</x:f>
        <x:v>161.09</x:v>
      </x:c>
      <x:c r="I1159" s="1" t="str">
        <x:f>IF(H1159&gt;0,"Overbilled","Shortfall")</x:f>
        <x:v>Overbilled</x:v>
      </x:c>
      <x:c r="J1159" s="7"/>
      <x:c r="K1159" s="7" t="str">
        <x:v>Open</x:v>
      </x:c>
      <x:c r="L1159" s="7"/>
    </x:row>
    <x:row r="1160" ht="21" customHeight="1">
      <x:c r="A1160" s="1" t="str">
        <x:f>Source!A1154</x:f>
        <x:v>C0010541</x:v>
      </x:c>
      <x:c r="B1160" s="1" t="str">
        <x:f>_xlfn.IFNA(VLOOKUP(Source!B1154,Advertisers!$A$5:$B$34,2,FALSE),"Missing advertiser")</x:f>
        <x:v>Synthetic advertiser 14</x:v>
      </x:c>
      <x:c r="C1160" s="1" t="n">
        <x:f>Source!C1154</x:f>
        <x:v>74</x:v>
      </x:c>
      <x:c r="D1160" s="8" t="n">
        <x:f>Source!D1154/100</x:f>
        <x:v>161.09</x:v>
      </x:c>
      <x:c r="E1160" s="8" t="n">
        <x:f>Source!E1154/100</x:f>
        <x:v>322.18</x:v>
      </x:c>
      <x:c r="F1160" s="8" t="n">
        <x:f>Source!F1154/100</x:f>
        <x:v>0</x:v>
      </x:c>
      <x:c r="G1160" s="8" t="n">
        <x:f>Source!G1154/100</x:f>
        <x:v>322.18</x:v>
      </x:c>
      <x:c r="H1160" s="8" t="n">
        <x:f>G1160-D1160</x:f>
        <x:v>161.09</x:v>
      </x:c>
      <x:c r="I1160" s="1" t="str">
        <x:f>IF(H1160&gt;0,"Overbilled","Shortfall")</x:f>
        <x:v>Overbilled</x:v>
      </x:c>
      <x:c r="J1160" s="7"/>
      <x:c r="K1160" s="7" t="str">
        <x:v>Open</x:v>
      </x:c>
      <x:c r="L1160" s="7"/>
    </x:row>
    <x:row r="1161" ht="21" customHeight="1">
      <x:c r="A1161" s="1" t="str">
        <x:f>Source!A1155</x:f>
        <x:v>C0003662</x:v>
      </x:c>
      <x:c r="B1161" s="1" t="str">
        <x:f>_xlfn.IFNA(VLOOKUP(Source!B1155,Advertisers!$A$5:$B$34,2,FALSE),"Missing advertiser")</x:f>
        <x:v>Synthetic advertiser 14</x:v>
      </x:c>
      <x:c r="C1161" s="1" t="n">
        <x:f>Source!C1155</x:f>
        <x:v>74</x:v>
      </x:c>
      <x:c r="D1161" s="8" t="n">
        <x:f>Source!D1155/100</x:f>
        <x:v>0</x:v>
      </x:c>
      <x:c r="E1161" s="8" t="n">
        <x:f>Source!E1155/100</x:f>
        <x:v>161.09</x:v>
      </x:c>
      <x:c r="F1161" s="8" t="n">
        <x:f>Source!F1155/100</x:f>
        <x:v>0</x:v>
      </x:c>
      <x:c r="G1161" s="8" t="n">
        <x:f>Source!G1155/100</x:f>
        <x:v>161.09</x:v>
      </x:c>
      <x:c r="H1161" s="8" t="n">
        <x:f>G1161-D1161</x:f>
        <x:v>161.09</x:v>
      </x:c>
      <x:c r="I1161" s="1" t="str">
        <x:f>IF(H1161&gt;0,"Overbilled","Shortfall")</x:f>
        <x:v>Overbilled</x:v>
      </x:c>
      <x:c r="J1161" s="7"/>
      <x:c r="K1161" s="7" t="str">
        <x:v>Open</x:v>
      </x:c>
      <x:c r="L1161" s="7"/>
    </x:row>
    <x:row r="1162" ht="21" customHeight="1">
      <x:c r="A1162" s="1" t="str">
        <x:f>Source!A1156</x:f>
        <x:v>C0009856</x:v>
      </x:c>
      <x:c r="B1162" s="1" t="str">
        <x:f>_xlfn.IFNA(VLOOKUP(Source!B1156,Advertisers!$A$5:$B$34,2,FALSE),"Missing advertiser")</x:f>
        <x:v>Synthetic advertiser 14</x:v>
      </x:c>
      <x:c r="C1162" s="1" t="n">
        <x:f>Source!C1156</x:f>
        <x:v>74</x:v>
      </x:c>
      <x:c r="D1162" s="8" t="n">
        <x:f>Source!D1156/100</x:f>
        <x:v>161.09</x:v>
      </x:c>
      <x:c r="E1162" s="8" t="n">
        <x:f>Source!E1156/100</x:f>
        <x:v>322.18</x:v>
      </x:c>
      <x:c r="F1162" s="8" t="n">
        <x:f>Source!F1156/100</x:f>
        <x:v>0</x:v>
      </x:c>
      <x:c r="G1162" s="8" t="n">
        <x:f>Source!G1156/100</x:f>
        <x:v>322.18</x:v>
      </x:c>
      <x:c r="H1162" s="8" t="n">
        <x:f>G1162-D1162</x:f>
        <x:v>161.09</x:v>
      </x:c>
      <x:c r="I1162" s="1" t="str">
        <x:f>IF(H1162&gt;0,"Overbilled","Shortfall")</x:f>
        <x:v>Overbilled</x:v>
      </x:c>
      <x:c r="J1162" s="7"/>
      <x:c r="K1162" s="7" t="str">
        <x:v>Open</x:v>
      </x:c>
      <x:c r="L1162" s="7"/>
    </x:row>
    <x:row r="1163" ht="21" customHeight="1">
      <x:c r="A1163" s="1" t="str">
        <x:f>Source!A1157</x:f>
        <x:v>C0009568</x:v>
      </x:c>
      <x:c r="B1163" s="1" t="str">
        <x:f>_xlfn.IFNA(VLOOKUP(Source!B1157,Advertisers!$A$5:$B$34,2,FALSE),"Missing advertiser")</x:f>
        <x:v>Synthetic advertiser 14</x:v>
      </x:c>
      <x:c r="C1163" s="1" t="n">
        <x:f>Source!C1157</x:f>
        <x:v>74</x:v>
      </x:c>
      <x:c r="D1163" s="8" t="n">
        <x:f>Source!D1157/100</x:f>
        <x:v>0</x:v>
      </x:c>
      <x:c r="E1163" s="8" t="n">
        <x:f>Source!E1157/100</x:f>
        <x:v>161.09</x:v>
      </x:c>
      <x:c r="F1163" s="8" t="n">
        <x:f>Source!F1157/100</x:f>
        <x:v>0</x:v>
      </x:c>
      <x:c r="G1163" s="8" t="n">
        <x:f>Source!G1157/100</x:f>
        <x:v>161.09</x:v>
      </x:c>
      <x:c r="H1163" s="8" t="n">
        <x:f>G1163-D1163</x:f>
        <x:v>161.09</x:v>
      </x:c>
      <x:c r="I1163" s="1" t="str">
        <x:f>IF(H1163&gt;0,"Overbilled","Shortfall")</x:f>
        <x:v>Overbilled</x:v>
      </x:c>
      <x:c r="J1163" s="7"/>
      <x:c r="K1163" s="7" t="str">
        <x:v>Open</x:v>
      </x:c>
      <x:c r="L1163" s="7"/>
    </x:row>
    <x:row r="1164" ht="21" customHeight="1">
      <x:c r="A1164" s="1" t="str">
        <x:f>Source!A1158</x:f>
        <x:v>C0012821</x:v>
      </x:c>
      <x:c r="B1164" s="1" t="str">
        <x:f>_xlfn.IFNA(VLOOKUP(Source!B1158,Advertisers!$A$5:$B$34,2,FALSE),"Missing advertiser")</x:f>
        <x:v>Synthetic advertiser 14</x:v>
      </x:c>
      <x:c r="C1164" s="1" t="n">
        <x:f>Source!C1158</x:f>
        <x:v>74</x:v>
      </x:c>
      <x:c r="D1164" s="8" t="n">
        <x:f>Source!D1158/100</x:f>
        <x:v>161.09</x:v>
      </x:c>
      <x:c r="E1164" s="8" t="n">
        <x:f>Source!E1158/100</x:f>
        <x:v>322.18</x:v>
      </x:c>
      <x:c r="F1164" s="8" t="n">
        <x:f>Source!F1158/100</x:f>
        <x:v>0</x:v>
      </x:c>
      <x:c r="G1164" s="8" t="n">
        <x:f>Source!G1158/100</x:f>
        <x:v>322.18</x:v>
      </x:c>
      <x:c r="H1164" s="8" t="n">
        <x:f>G1164-D1164</x:f>
        <x:v>161.09</x:v>
      </x:c>
      <x:c r="I1164" s="1" t="str">
        <x:f>IF(H1164&gt;0,"Overbilled","Shortfall")</x:f>
        <x:v>Overbilled</x:v>
      </x:c>
      <x:c r="J1164" s="7"/>
      <x:c r="K1164" s="7" t="str">
        <x:v>Open</x:v>
      </x:c>
      <x:c r="L1164" s="7"/>
    </x:row>
    <x:row r="1165" ht="21" customHeight="1">
      <x:c r="A1165" s="1" t="str">
        <x:f>Source!A1159</x:f>
        <x:v>C0000222</x:v>
      </x:c>
      <x:c r="B1165" s="1" t="str">
        <x:f>_xlfn.IFNA(VLOOKUP(Source!B1159,Advertisers!$A$5:$B$34,2,FALSE),"Missing advertiser")</x:f>
        <x:v>Synthetic advertiser 14</x:v>
      </x:c>
      <x:c r="C1165" s="1" t="n">
        <x:f>Source!C1159</x:f>
        <x:v>74</x:v>
      </x:c>
      <x:c r="D1165" s="8" t="n">
        <x:f>Source!D1159/100</x:f>
        <x:v>0</x:v>
      </x:c>
      <x:c r="E1165" s="8" t="n">
        <x:f>Source!E1159/100</x:f>
        <x:v>161.09</x:v>
      </x:c>
      <x:c r="F1165" s="8" t="n">
        <x:f>Source!F1159/100</x:f>
        <x:v>0</x:v>
      </x:c>
      <x:c r="G1165" s="8" t="n">
        <x:f>Source!G1159/100</x:f>
        <x:v>161.09</x:v>
      </x:c>
      <x:c r="H1165" s="8" t="n">
        <x:f>G1165-D1165</x:f>
        <x:v>161.09</x:v>
      </x:c>
      <x:c r="I1165" s="1" t="str">
        <x:f>IF(H1165&gt;0,"Overbilled","Shortfall")</x:f>
        <x:v>Overbilled</x:v>
      </x:c>
      <x:c r="J1165" s="7"/>
      <x:c r="K1165" s="7" t="str">
        <x:v>Open</x:v>
      </x:c>
      <x:c r="L1165" s="7"/>
    </x:row>
    <x:row r="1166" ht="21" customHeight="1">
      <x:c r="A1166" s="1" t="str">
        <x:f>Source!A1160</x:f>
        <x:v>C0001647</x:v>
      </x:c>
      <x:c r="B1166" s="1" t="str">
        <x:f>_xlfn.IFNA(VLOOKUP(Source!B1160,Advertisers!$A$5:$B$34,2,FALSE),"Missing advertiser")</x:f>
        <x:v>Synthetic advertiser 20</x:v>
      </x:c>
      <x:c r="C1166" s="1" t="n">
        <x:f>Source!C1160</x:f>
        <x:v>20</x:v>
      </x:c>
      <x:c r="D1166" s="8" t="n">
        <x:f>Source!D1160/100</x:f>
        <x:v>160.97</x:v>
      </x:c>
      <x:c r="E1166" s="8" t="n">
        <x:f>Source!E1160/100</x:f>
        <x:v>0</x:v>
      </x:c>
      <x:c r="F1166" s="8" t="n">
        <x:f>Source!F1160/100</x:f>
        <x:v>0</x:v>
      </x:c>
      <x:c r="G1166" s="8" t="n">
        <x:f>Source!G1160/100</x:f>
        <x:v>0</x:v>
      </x:c>
      <x:c r="H1166" s="8" t="n">
        <x:f>G1166-D1166</x:f>
        <x:v>-160.97</x:v>
      </x:c>
      <x:c r="I1166" s="1" t="str">
        <x:f>IF(H1166&gt;0,"Overbilled","Shortfall")</x:f>
        <x:v>Shortfall</x:v>
      </x:c>
      <x:c r="J1166" s="7"/>
      <x:c r="K1166" s="7" t="str">
        <x:v>Open</x:v>
      </x:c>
      <x:c r="L1166" s="7"/>
    </x:row>
    <x:row r="1167" ht="21" customHeight="1">
      <x:c r="A1167" s="1" t="str">
        <x:f>Source!A1161</x:f>
        <x:v>C0008244</x:v>
      </x:c>
      <x:c r="B1167" s="1" t="str">
        <x:f>_xlfn.IFNA(VLOOKUP(Source!B1161,Advertisers!$A$5:$B$34,2,FALSE),"Missing advertiser")</x:f>
        <x:v>Synthetic advertiser 20</x:v>
      </x:c>
      <x:c r="C1167" s="1" t="n">
        <x:f>Source!C1161</x:f>
        <x:v>20</x:v>
      </x:c>
      <x:c r="D1167" s="8" t="n">
        <x:f>Source!D1161/100</x:f>
        <x:v>160.97</x:v>
      </x:c>
      <x:c r="E1167" s="8" t="n">
        <x:f>Source!E1161/100</x:f>
        <x:v>321.94</x:v>
      </x:c>
      <x:c r="F1167" s="8" t="n">
        <x:f>Source!F1161/100</x:f>
        <x:v>0</x:v>
      </x:c>
      <x:c r="G1167" s="8" t="n">
        <x:f>Source!G1161/100</x:f>
        <x:v>321.94</x:v>
      </x:c>
      <x:c r="H1167" s="8" t="n">
        <x:f>G1167-D1167</x:f>
        <x:v>160.97</x:v>
      </x:c>
      <x:c r="I1167" s="1" t="str">
        <x:f>IF(H1167&gt;0,"Overbilled","Shortfall")</x:f>
        <x:v>Overbilled</x:v>
      </x:c>
      <x:c r="J1167" s="7"/>
      <x:c r="K1167" s="7" t="str">
        <x:v>Open</x:v>
      </x:c>
      <x:c r="L1167" s="7"/>
    </x:row>
    <x:row r="1168" ht="21" customHeight="1">
      <x:c r="A1168" s="1" t="str">
        <x:f>Source!A1162</x:f>
        <x:v>C0015837</x:v>
      </x:c>
      <x:c r="B1168" s="1" t="str">
        <x:f>_xlfn.IFNA(VLOOKUP(Source!B1162,Advertisers!$A$5:$B$34,2,FALSE),"Missing advertiser")</x:f>
        <x:v>Synthetic advertiser 20</x:v>
      </x:c>
      <x:c r="C1168" s="1" t="n">
        <x:f>Source!C1162</x:f>
        <x:v>20</x:v>
      </x:c>
      <x:c r="D1168" s="8" t="n">
        <x:f>Source!D1162/100</x:f>
        <x:v>160.97</x:v>
      </x:c>
      <x:c r="E1168" s="8" t="n">
        <x:f>Source!E1162/100</x:f>
        <x:v>0</x:v>
      </x:c>
      <x:c r="F1168" s="8" t="n">
        <x:f>Source!F1162/100</x:f>
        <x:v>0</x:v>
      </x:c>
      <x:c r="G1168" s="8" t="n">
        <x:f>Source!G1162/100</x:f>
        <x:v>0</x:v>
      </x:c>
      <x:c r="H1168" s="8" t="n">
        <x:f>G1168-D1168</x:f>
        <x:v>-160.97</x:v>
      </x:c>
      <x:c r="I1168" s="1" t="str">
        <x:f>IF(H1168&gt;0,"Overbilled","Shortfall")</x:f>
        <x:v>Shortfall</x:v>
      </x:c>
      <x:c r="J1168" s="7"/>
      <x:c r="K1168" s="7" t="str">
        <x:v>Open</x:v>
      </x:c>
      <x:c r="L1168" s="7"/>
    </x:row>
    <x:row r="1169" ht="21" customHeight="1">
      <x:c r="A1169" s="1" t="str">
        <x:f>Source!A1163</x:f>
        <x:v>C0004843</x:v>
      </x:c>
      <x:c r="B1169" s="1" t="str">
        <x:f>_xlfn.IFNA(VLOOKUP(Source!B1163,Advertisers!$A$5:$B$34,2,FALSE),"Missing advertiser")</x:f>
        <x:v>Synthetic advertiser 20</x:v>
      </x:c>
      <x:c r="C1169" s="1" t="n">
        <x:f>Source!C1163</x:f>
        <x:v>20</x:v>
      </x:c>
      <x:c r="D1169" s="8" t="n">
        <x:f>Source!D1163/100</x:f>
        <x:v>160.97</x:v>
      </x:c>
      <x:c r="E1169" s="8" t="n">
        <x:f>Source!E1163/100</x:f>
        <x:v>0</x:v>
      </x:c>
      <x:c r="F1169" s="8" t="n">
        <x:f>Source!F1163/100</x:f>
        <x:v>0</x:v>
      </x:c>
      <x:c r="G1169" s="8" t="n">
        <x:f>Source!G1163/100</x:f>
        <x:v>0</x:v>
      </x:c>
      <x:c r="H1169" s="8" t="n">
        <x:f>G1169-D1169</x:f>
        <x:v>-160.97</x:v>
      </x:c>
      <x:c r="I1169" s="1" t="str">
        <x:f>IF(H1169&gt;0,"Overbilled","Shortfall")</x:f>
        <x:v>Shortfall</x:v>
      </x:c>
      <x:c r="J1169" s="7"/>
      <x:c r="K1169" s="7" t="str">
        <x:v>Open</x:v>
      </x:c>
      <x:c r="L1169" s="7"/>
    </x:row>
    <x:row r="1170" ht="21" customHeight="1">
      <x:c r="A1170" s="1" t="str">
        <x:f>Source!A1164</x:f>
        <x:v>C0008164</x:v>
      </x:c>
      <x:c r="B1170" s="1" t="str">
        <x:f>_xlfn.IFNA(VLOOKUP(Source!B1164,Advertisers!$A$5:$B$34,2,FALSE),"Missing advertiser")</x:f>
        <x:v>Synthetic advertiser 20</x:v>
      </x:c>
      <x:c r="C1170" s="1" t="n">
        <x:f>Source!C1164</x:f>
        <x:v>20</x:v>
      </x:c>
      <x:c r="D1170" s="8" t="n">
        <x:f>Source!D1164/100</x:f>
        <x:v>160.97</x:v>
      </x:c>
      <x:c r="E1170" s="8" t="n">
        <x:f>Source!E1164/100</x:f>
        <x:v>321.94</x:v>
      </x:c>
      <x:c r="F1170" s="8" t="n">
        <x:f>Source!F1164/100</x:f>
        <x:v>0</x:v>
      </x:c>
      <x:c r="G1170" s="8" t="n">
        <x:f>Source!G1164/100</x:f>
        <x:v>321.94</x:v>
      </x:c>
      <x:c r="H1170" s="8" t="n">
        <x:f>G1170-D1170</x:f>
        <x:v>160.97</x:v>
      </x:c>
      <x:c r="I1170" s="1" t="str">
        <x:f>IF(H1170&gt;0,"Overbilled","Shortfall")</x:f>
        <x:v>Overbilled</x:v>
      </x:c>
      <x:c r="J1170" s="7"/>
      <x:c r="K1170" s="7" t="str">
        <x:v>Open</x:v>
      </x:c>
      <x:c r="L1170" s="7"/>
    </x:row>
    <x:row r="1171" ht="21" customHeight="1">
      <x:c r="A1171" s="1" t="str">
        <x:f>Source!A1165</x:f>
        <x:v>C0009339</x:v>
      </x:c>
      <x:c r="B1171" s="1" t="str">
        <x:f>_xlfn.IFNA(VLOOKUP(Source!B1165,Advertisers!$A$5:$B$34,2,FALSE),"Missing advertiser")</x:f>
        <x:v>Synthetic advertiser 20</x:v>
      </x:c>
      <x:c r="C1171" s="1" t="n">
        <x:f>Source!C1165</x:f>
        <x:v>20</x:v>
      </x:c>
      <x:c r="D1171" s="8" t="n">
        <x:f>Source!D1165/100</x:f>
        <x:v>160.97</x:v>
      </x:c>
      <x:c r="E1171" s="8" t="n">
        <x:f>Source!E1165/100</x:f>
        <x:v>0</x:v>
      </x:c>
      <x:c r="F1171" s="8" t="n">
        <x:f>Source!F1165/100</x:f>
        <x:v>0</x:v>
      </x:c>
      <x:c r="G1171" s="8" t="n">
        <x:f>Source!G1165/100</x:f>
        <x:v>0</x:v>
      </x:c>
      <x:c r="H1171" s="8" t="n">
        <x:f>G1171-D1171</x:f>
        <x:v>-160.97</x:v>
      </x:c>
      <x:c r="I1171" s="1" t="str">
        <x:f>IF(H1171&gt;0,"Overbilled","Shortfall")</x:f>
        <x:v>Shortfall</x:v>
      </x:c>
      <x:c r="J1171" s="7"/>
      <x:c r="K1171" s="7" t="str">
        <x:v>Open</x:v>
      </x:c>
      <x:c r="L1171" s="7"/>
    </x:row>
    <x:row r="1172" ht="21" customHeight="1">
      <x:c r="A1172" s="1" t="str">
        <x:f>Source!A1166</x:f>
        <x:v>C0016066</x:v>
      </x:c>
      <x:c r="B1172" s="1" t="str">
        <x:f>_xlfn.IFNA(VLOOKUP(Source!B1166,Advertisers!$A$5:$B$34,2,FALSE),"Missing advertiser")</x:f>
        <x:v>Synthetic advertiser 2</x:v>
      </x:c>
      <x:c r="C1172" s="1" t="n">
        <x:f>Source!C1166</x:f>
        <x:v>2</x:v>
      </x:c>
      <x:c r="D1172" s="8" t="n">
        <x:f>Source!D1166/100</x:f>
        <x:v>160.92</x:v>
      </x:c>
      <x:c r="E1172" s="8" t="n">
        <x:f>Source!E1166/100</x:f>
        <x:v>0</x:v>
      </x:c>
      <x:c r="F1172" s="8" t="n">
        <x:f>Source!F1166/100</x:f>
        <x:v>0</x:v>
      </x:c>
      <x:c r="G1172" s="8" t="n">
        <x:f>Source!G1166/100</x:f>
        <x:v>0</x:v>
      </x:c>
      <x:c r="H1172" s="8" t="n">
        <x:f>G1172-D1172</x:f>
        <x:v>-160.92</x:v>
      </x:c>
      <x:c r="I1172" s="1" t="str">
        <x:f>IF(H1172&gt;0,"Overbilled","Shortfall")</x:f>
        <x:v>Shortfall</x:v>
      </x:c>
      <x:c r="J1172" s="7"/>
      <x:c r="K1172" s="7" t="str">
        <x:v>Open</x:v>
      </x:c>
      <x:c r="L1172" s="7"/>
    </x:row>
    <x:row r="1173" ht="21" customHeight="1">
      <x:c r="A1173" s="1" t="str">
        <x:f>Source!A1167</x:f>
        <x:v>C0004601</x:v>
      </x:c>
      <x:c r="B1173" s="1" t="str">
        <x:f>_xlfn.IFNA(VLOOKUP(Source!B1167,Advertisers!$A$5:$B$34,2,FALSE),"Missing advertiser")</x:f>
        <x:v>Synthetic advertiser 2</x:v>
      </x:c>
      <x:c r="C1173" s="1" t="n">
        <x:f>Source!C1167</x:f>
        <x:v>2</x:v>
      </x:c>
      <x:c r="D1173" s="8" t="n">
        <x:f>Source!D1167/100</x:f>
        <x:v>160.92</x:v>
      </x:c>
      <x:c r="E1173" s="8" t="n">
        <x:f>Source!E1167/100</x:f>
        <x:v>0</x:v>
      </x:c>
      <x:c r="F1173" s="8" t="n">
        <x:f>Source!F1167/100</x:f>
        <x:v>0</x:v>
      </x:c>
      <x:c r="G1173" s="8" t="n">
        <x:f>Source!G1167/100</x:f>
        <x:v>0</x:v>
      </x:c>
      <x:c r="H1173" s="8" t="n">
        <x:f>G1173-D1173</x:f>
        <x:v>-160.92</x:v>
      </x:c>
      <x:c r="I1173" s="1" t="str">
        <x:f>IF(H1173&gt;0,"Overbilled","Shortfall")</x:f>
        <x:v>Shortfall</x:v>
      </x:c>
      <x:c r="J1173" s="7"/>
      <x:c r="K1173" s="7" t="str">
        <x:v>Open</x:v>
      </x:c>
      <x:c r="L1173" s="7"/>
    </x:row>
    <x:row r="1174" ht="21" customHeight="1">
      <x:c r="A1174" s="1" t="str">
        <x:f>Source!A1168</x:f>
        <x:v>C0012459</x:v>
      </x:c>
      <x:c r="B1174" s="1" t="str">
        <x:f>_xlfn.IFNA(VLOOKUP(Source!B1168,Advertisers!$A$5:$B$34,2,FALSE),"Missing advertiser")</x:f>
        <x:v>Synthetic advertiser 2</x:v>
      </x:c>
      <x:c r="C1174" s="1" t="n">
        <x:f>Source!C1168</x:f>
        <x:v>2</x:v>
      </x:c>
      <x:c r="D1174" s="8" t="n">
        <x:f>Source!D1168/100</x:f>
        <x:v>0</x:v>
      </x:c>
      <x:c r="E1174" s="8" t="n">
        <x:f>Source!E1168/100</x:f>
        <x:v>160.92</x:v>
      </x:c>
      <x:c r="F1174" s="8" t="n">
        <x:f>Source!F1168/100</x:f>
        <x:v>0</x:v>
      </x:c>
      <x:c r="G1174" s="8" t="n">
        <x:f>Source!G1168/100</x:f>
        <x:v>160.92</x:v>
      </x:c>
      <x:c r="H1174" s="8" t="n">
        <x:f>G1174-D1174</x:f>
        <x:v>160.92</x:v>
      </x:c>
      <x:c r="I1174" s="1" t="str">
        <x:f>IF(H1174&gt;0,"Overbilled","Shortfall")</x:f>
        <x:v>Overbilled</x:v>
      </x:c>
      <x:c r="J1174" s="7"/>
      <x:c r="K1174" s="7" t="str">
        <x:v>Open</x:v>
      </x:c>
      <x:c r="L1174" s="7"/>
    </x:row>
    <x:row r="1175" ht="21" customHeight="1">
      <x:c r="A1175" s="1" t="str">
        <x:f>Source!A1169</x:f>
        <x:v>C0009644</x:v>
      </x:c>
      <x:c r="B1175" s="1" t="str">
        <x:f>_xlfn.IFNA(VLOOKUP(Source!B1169,Advertisers!$A$5:$B$34,2,FALSE),"Missing advertiser")</x:f>
        <x:v>Synthetic advertiser 2</x:v>
      </x:c>
      <x:c r="C1175" s="1" t="n">
        <x:f>Source!C1169</x:f>
        <x:v>2</x:v>
      </x:c>
      <x:c r="D1175" s="8" t="n">
        <x:f>Source!D1169/100</x:f>
        <x:v>160.92</x:v>
      </x:c>
      <x:c r="E1175" s="8" t="n">
        <x:f>Source!E1169/100</x:f>
        <x:v>0</x:v>
      </x:c>
      <x:c r="F1175" s="8" t="n">
        <x:f>Source!F1169/100</x:f>
        <x:v>0</x:v>
      </x:c>
      <x:c r="G1175" s="8" t="n">
        <x:f>Source!G1169/100</x:f>
        <x:v>0</x:v>
      </x:c>
      <x:c r="H1175" s="8" t="n">
        <x:f>G1175-D1175</x:f>
        <x:v>-160.92</x:v>
      </x:c>
      <x:c r="I1175" s="1" t="str">
        <x:f>IF(H1175&gt;0,"Overbilled","Shortfall")</x:f>
        <x:v>Shortfall</x:v>
      </x:c>
      <x:c r="J1175" s="7"/>
      <x:c r="K1175" s="7" t="str">
        <x:v>Open</x:v>
      </x:c>
      <x:c r="L1175" s="7"/>
    </x:row>
    <x:row r="1176" ht="21" customHeight="1">
      <x:c r="A1176" s="1" t="str">
        <x:f>Source!A1170</x:f>
        <x:v>C0002550</x:v>
      </x:c>
      <x:c r="B1176" s="1" t="str">
        <x:f>_xlfn.IFNA(VLOOKUP(Source!B1170,Advertisers!$A$5:$B$34,2,FALSE),"Missing advertiser")</x:f>
        <x:v>Synthetic advertiser 2</x:v>
      </x:c>
      <x:c r="C1176" s="1" t="n">
        <x:f>Source!C1170</x:f>
        <x:v>2</x:v>
      </x:c>
      <x:c r="D1176" s="8" t="n">
        <x:f>Source!D1170/100</x:f>
        <x:v>160.92</x:v>
      </x:c>
      <x:c r="E1176" s="8" t="n">
        <x:f>Source!E1170/100</x:f>
        <x:v>0</x:v>
      </x:c>
      <x:c r="F1176" s="8" t="n">
        <x:f>Source!F1170/100</x:f>
        <x:v>0</x:v>
      </x:c>
      <x:c r="G1176" s="8" t="n">
        <x:f>Source!G1170/100</x:f>
        <x:v>0</x:v>
      </x:c>
      <x:c r="H1176" s="8" t="n">
        <x:f>G1176-D1176</x:f>
        <x:v>-160.92</x:v>
      </x:c>
      <x:c r="I1176" s="1" t="str">
        <x:f>IF(H1176&gt;0,"Overbilled","Shortfall")</x:f>
        <x:v>Shortfall</x:v>
      </x:c>
      <x:c r="J1176" s="7"/>
      <x:c r="K1176" s="7" t="str">
        <x:v>Open</x:v>
      </x:c>
      <x:c r="L1176" s="7"/>
    </x:row>
    <x:row r="1177" ht="21" customHeight="1">
      <x:c r="A1177" s="1" t="str">
        <x:f>Source!A1171</x:f>
        <x:v>C0009692</x:v>
      </x:c>
      <x:c r="B1177" s="1" t="str">
        <x:f>_xlfn.IFNA(VLOOKUP(Source!B1171,Advertisers!$A$5:$B$34,2,FALSE),"Missing advertiser")</x:f>
        <x:v>Synthetic advertiser 2</x:v>
      </x:c>
      <x:c r="C1177" s="1" t="n">
        <x:f>Source!C1171</x:f>
        <x:v>2</x:v>
      </x:c>
      <x:c r="D1177" s="8" t="n">
        <x:f>Source!D1171/100</x:f>
        <x:v>160.92</x:v>
      </x:c>
      <x:c r="E1177" s="8" t="n">
        <x:f>Source!E1171/100</x:f>
        <x:v>321.84</x:v>
      </x:c>
      <x:c r="F1177" s="8" t="n">
        <x:f>Source!F1171/100</x:f>
        <x:v>0</x:v>
      </x:c>
      <x:c r="G1177" s="8" t="n">
        <x:f>Source!G1171/100</x:f>
        <x:v>321.84</x:v>
      </x:c>
      <x:c r="H1177" s="8" t="n">
        <x:f>G1177-D1177</x:f>
        <x:v>160.92</x:v>
      </x:c>
      <x:c r="I1177" s="1" t="str">
        <x:f>IF(H1177&gt;0,"Overbilled","Shortfall")</x:f>
        <x:v>Overbilled</x:v>
      </x:c>
      <x:c r="J1177" s="7"/>
      <x:c r="K1177" s="7" t="str">
        <x:v>Open</x:v>
      </x:c>
      <x:c r="L1177" s="7"/>
    </x:row>
    <x:row r="1178" ht="21" customHeight="1">
      <x:c r="A1178" s="1" t="str">
        <x:f>Source!A1172</x:f>
        <x:v>C0009405</x:v>
      </x:c>
      <x:c r="B1178" s="1" t="str">
        <x:f>_xlfn.IFNA(VLOOKUP(Source!B1172,Advertisers!$A$5:$B$34,2,FALSE),"Missing advertiser")</x:f>
        <x:v>Synthetic advertiser 2</x:v>
      </x:c>
      <x:c r="C1178" s="1" t="n">
        <x:f>Source!C1172</x:f>
        <x:v>2</x:v>
      </x:c>
      <x:c r="D1178" s="8" t="n">
        <x:f>Source!D1172/100</x:f>
        <x:v>160.92</x:v>
      </x:c>
      <x:c r="E1178" s="8" t="n">
        <x:f>Source!E1172/100</x:f>
        <x:v>321.84</x:v>
      </x:c>
      <x:c r="F1178" s="8" t="n">
        <x:f>Source!F1172/100</x:f>
        <x:v>0</x:v>
      </x:c>
      <x:c r="G1178" s="8" t="n">
        <x:f>Source!G1172/100</x:f>
        <x:v>321.84</x:v>
      </x:c>
      <x:c r="H1178" s="8" t="n">
        <x:f>G1178-D1178</x:f>
        <x:v>160.92</x:v>
      </x:c>
      <x:c r="I1178" s="1" t="str">
        <x:f>IF(H1178&gt;0,"Overbilled","Shortfall")</x:f>
        <x:v>Overbilled</x:v>
      </x:c>
      <x:c r="J1178" s="7"/>
      <x:c r="K1178" s="7" t="str">
        <x:v>Open</x:v>
      </x:c>
      <x:c r="L1178" s="7"/>
    </x:row>
    <x:row r="1179" ht="21" customHeight="1">
      <x:c r="A1179" s="1" t="str">
        <x:f>Source!A1173</x:f>
        <x:v>C0015981</x:v>
      </x:c>
      <x:c r="B1179" s="1" t="str">
        <x:f>_xlfn.IFNA(VLOOKUP(Source!B1173,Advertisers!$A$5:$B$34,2,FALSE),"Missing advertiser")</x:f>
        <x:v>Synthetic advertiser 2</x:v>
      </x:c>
      <x:c r="C1179" s="1" t="n">
        <x:f>Source!C1173</x:f>
        <x:v>2</x:v>
      </x:c>
      <x:c r="D1179" s="8" t="n">
        <x:f>Source!D1173/100</x:f>
        <x:v>160.92</x:v>
      </x:c>
      <x:c r="E1179" s="8" t="n">
        <x:f>Source!E1173/100</x:f>
        <x:v>0</x:v>
      </x:c>
      <x:c r="F1179" s="8" t="n">
        <x:f>Source!F1173/100</x:f>
        <x:v>0</x:v>
      </x:c>
      <x:c r="G1179" s="8" t="n">
        <x:f>Source!G1173/100</x:f>
        <x:v>0</x:v>
      </x:c>
      <x:c r="H1179" s="8" t="n">
        <x:f>G1179-D1179</x:f>
        <x:v>-160.92</x:v>
      </x:c>
      <x:c r="I1179" s="1" t="str">
        <x:f>IF(H1179&gt;0,"Overbilled","Shortfall")</x:f>
        <x:v>Shortfall</x:v>
      </x:c>
      <x:c r="J1179" s="7"/>
      <x:c r="K1179" s="7" t="str">
        <x:v>Open</x:v>
      </x:c>
      <x:c r="L1179" s="7"/>
    </x:row>
    <x:row r="1180" ht="21" customHeight="1">
      <x:c r="A1180" s="1" t="str">
        <x:f>Source!A1174</x:f>
        <x:v>C0007605</x:v>
      </x:c>
      <x:c r="B1180" s="1" t="str">
        <x:f>_xlfn.IFNA(VLOOKUP(Source!B1174,Advertisers!$A$5:$B$34,2,FALSE),"Missing advertiser")</x:f>
        <x:v>Synthetic advertiser 2</x:v>
      </x:c>
      <x:c r="C1180" s="1" t="n">
        <x:f>Source!C1174</x:f>
        <x:v>2</x:v>
      </x:c>
      <x:c r="D1180" s="8" t="n">
        <x:f>Source!D1174/100</x:f>
        <x:v>160.92</x:v>
      </x:c>
      <x:c r="E1180" s="8" t="n">
        <x:f>Source!E1174/100</x:f>
        <x:v>321.84</x:v>
      </x:c>
      <x:c r="F1180" s="8" t="n">
        <x:f>Source!F1174/100</x:f>
        <x:v>0</x:v>
      </x:c>
      <x:c r="G1180" s="8" t="n">
        <x:f>Source!G1174/100</x:f>
        <x:v>321.84</x:v>
      </x:c>
      <x:c r="H1180" s="8" t="n">
        <x:f>G1180-D1180</x:f>
        <x:v>160.92</x:v>
      </x:c>
      <x:c r="I1180" s="1" t="str">
        <x:f>IF(H1180&gt;0,"Overbilled","Shortfall")</x:f>
        <x:v>Overbilled</x:v>
      </x:c>
      <x:c r="J1180" s="7"/>
      <x:c r="K1180" s="7" t="str">
        <x:v>Open</x:v>
      </x:c>
      <x:c r="L1180" s="7"/>
    </x:row>
    <x:row r="1181" ht="21" customHeight="1">
      <x:c r="A1181" s="1" t="str">
        <x:f>Source!A1175</x:f>
        <x:v>C0016775</x:v>
      </x:c>
      <x:c r="B1181" s="1" t="str">
        <x:f>_xlfn.IFNA(VLOOKUP(Source!B1175,Advertisers!$A$5:$B$34,2,FALSE),"Missing advertiser")</x:f>
        <x:v>Synthetic advertiser 2</x:v>
      </x:c>
      <x:c r="C1181" s="1" t="n">
        <x:f>Source!C1175</x:f>
        <x:v>2</x:v>
      </x:c>
      <x:c r="D1181" s="8" t="n">
        <x:f>Source!D1175/100</x:f>
        <x:v>160.92</x:v>
      </x:c>
      <x:c r="E1181" s="8" t="n">
        <x:f>Source!E1175/100</x:f>
        <x:v>321.84</x:v>
      </x:c>
      <x:c r="F1181" s="8" t="n">
        <x:f>Source!F1175/100</x:f>
        <x:v>0</x:v>
      </x:c>
      <x:c r="G1181" s="8" t="n">
        <x:f>Source!G1175/100</x:f>
        <x:v>321.84</x:v>
      </x:c>
      <x:c r="H1181" s="8" t="n">
        <x:f>G1181-D1181</x:f>
        <x:v>160.92</x:v>
      </x:c>
      <x:c r="I1181" s="1" t="str">
        <x:f>IF(H1181&gt;0,"Overbilled","Shortfall")</x:f>
        <x:v>Overbilled</x:v>
      </x:c>
      <x:c r="J1181" s="7"/>
      <x:c r="K1181" s="7" t="str">
        <x:v>Open</x:v>
      </x:c>
      <x:c r="L1181" s="7"/>
    </x:row>
    <x:row r="1182" ht="21" customHeight="1">
      <x:c r="A1182" s="1" t="str">
        <x:f>Source!A1176</x:f>
        <x:v>C0016757</x:v>
      </x:c>
      <x:c r="B1182" s="1" t="str">
        <x:f>_xlfn.IFNA(VLOOKUP(Source!B1176,Advertisers!$A$5:$B$34,2,FALSE),"Missing advertiser")</x:f>
        <x:v>Synthetic advertiser 2</x:v>
      </x:c>
      <x:c r="C1182" s="1" t="n">
        <x:f>Source!C1176</x:f>
        <x:v>2</x:v>
      </x:c>
      <x:c r="D1182" s="8" t="n">
        <x:f>Source!D1176/100</x:f>
        <x:v>160.92</x:v>
      </x:c>
      <x:c r="E1182" s="8" t="n">
        <x:f>Source!E1176/100</x:f>
        <x:v>321.84</x:v>
      </x:c>
      <x:c r="F1182" s="8" t="n">
        <x:f>Source!F1176/100</x:f>
        <x:v>0</x:v>
      </x:c>
      <x:c r="G1182" s="8" t="n">
        <x:f>Source!G1176/100</x:f>
        <x:v>321.84</x:v>
      </x:c>
      <x:c r="H1182" s="8" t="n">
        <x:f>G1182-D1182</x:f>
        <x:v>160.92</x:v>
      </x:c>
      <x:c r="I1182" s="1" t="str">
        <x:f>IF(H1182&gt;0,"Overbilled","Shortfall")</x:f>
        <x:v>Overbilled</x:v>
      </x:c>
      <x:c r="J1182" s="7"/>
      <x:c r="K1182" s="7" t="str">
        <x:v>Open</x:v>
      </x:c>
      <x:c r="L1182" s="7"/>
    </x:row>
    <x:row r="1183" ht="21" customHeight="1">
      <x:c r="A1183" s="1" t="str">
        <x:f>Source!A1177</x:f>
        <x:v>C0003388</x:v>
      </x:c>
      <x:c r="B1183" s="1" t="str">
        <x:f>_xlfn.IFNA(VLOOKUP(Source!B1177,Advertisers!$A$5:$B$34,2,FALSE),"Missing advertiser")</x:f>
        <x:v>Synthetic advertiser 2</x:v>
      </x:c>
      <x:c r="C1183" s="1" t="n">
        <x:f>Source!C1177</x:f>
        <x:v>2</x:v>
      </x:c>
      <x:c r="D1183" s="8" t="n">
        <x:f>Source!D1177/100</x:f>
        <x:v>160.92</x:v>
      </x:c>
      <x:c r="E1183" s="8" t="n">
        <x:f>Source!E1177/100</x:f>
        <x:v>321.84</x:v>
      </x:c>
      <x:c r="F1183" s="8" t="n">
        <x:f>Source!F1177/100</x:f>
        <x:v>0</x:v>
      </x:c>
      <x:c r="G1183" s="8" t="n">
        <x:f>Source!G1177/100</x:f>
        <x:v>321.84</x:v>
      </x:c>
      <x:c r="H1183" s="8" t="n">
        <x:f>G1183-D1183</x:f>
        <x:v>160.92</x:v>
      </x:c>
      <x:c r="I1183" s="1" t="str">
        <x:f>IF(H1183&gt;0,"Overbilled","Shortfall")</x:f>
        <x:v>Overbilled</x:v>
      </x:c>
      <x:c r="J1183" s="7"/>
      <x:c r="K1183" s="7" t="str">
        <x:v>Open</x:v>
      </x:c>
      <x:c r="L1183" s="7"/>
    </x:row>
    <x:row r="1184" ht="21" customHeight="1">
      <x:c r="A1184" s="1" t="str">
        <x:f>Source!A1178</x:f>
        <x:v>C0005455</x:v>
      </x:c>
      <x:c r="B1184" s="1" t="str">
        <x:f>_xlfn.IFNA(VLOOKUP(Source!B1178,Advertisers!$A$5:$B$34,2,FALSE),"Missing advertiser")</x:f>
        <x:v>Synthetic advertiser 2</x:v>
      </x:c>
      <x:c r="C1184" s="1" t="n">
        <x:f>Source!C1178</x:f>
        <x:v>2</x:v>
      </x:c>
      <x:c r="D1184" s="8" t="n">
        <x:f>Source!D1178/100</x:f>
        <x:v>160.92</x:v>
      </x:c>
      <x:c r="E1184" s="8" t="n">
        <x:f>Source!E1178/100</x:f>
        <x:v>0</x:v>
      </x:c>
      <x:c r="F1184" s="8" t="n">
        <x:f>Source!F1178/100</x:f>
        <x:v>0</x:v>
      </x:c>
      <x:c r="G1184" s="8" t="n">
        <x:f>Source!G1178/100</x:f>
        <x:v>0</x:v>
      </x:c>
      <x:c r="H1184" s="8" t="n">
        <x:f>G1184-D1184</x:f>
        <x:v>-160.92</x:v>
      </x:c>
      <x:c r="I1184" s="1" t="str">
        <x:f>IF(H1184&gt;0,"Overbilled","Shortfall")</x:f>
        <x:v>Shortfall</x:v>
      </x:c>
      <x:c r="J1184" s="7"/>
      <x:c r="K1184" s="7" t="str">
        <x:v>Open</x:v>
      </x:c>
      <x:c r="L1184" s="7"/>
    </x:row>
    <x:row r="1185" ht="21" customHeight="1">
      <x:c r="A1185" s="1" t="str">
        <x:f>Source!A1179</x:f>
        <x:v>C0014381</x:v>
      </x:c>
      <x:c r="B1185" s="1" t="str">
        <x:f>_xlfn.IFNA(VLOOKUP(Source!B1179,Advertisers!$A$5:$B$34,2,FALSE),"Missing advertiser")</x:f>
        <x:v>Synthetic advertiser 2</x:v>
      </x:c>
      <x:c r="C1185" s="1" t="n">
        <x:f>Source!C1179</x:f>
        <x:v>2</x:v>
      </x:c>
      <x:c r="D1185" s="8" t="n">
        <x:f>Source!D1179/100</x:f>
        <x:v>160.92</x:v>
      </x:c>
      <x:c r="E1185" s="8" t="n">
        <x:f>Source!E1179/100</x:f>
        <x:v>0</x:v>
      </x:c>
      <x:c r="F1185" s="8" t="n">
        <x:f>Source!F1179/100</x:f>
        <x:v>0</x:v>
      </x:c>
      <x:c r="G1185" s="8" t="n">
        <x:f>Source!G1179/100</x:f>
        <x:v>0</x:v>
      </x:c>
      <x:c r="H1185" s="8" t="n">
        <x:f>G1185-D1185</x:f>
        <x:v>-160.92</x:v>
      </x:c>
      <x:c r="I1185" s="1" t="str">
        <x:f>IF(H1185&gt;0,"Overbilled","Shortfall")</x:f>
        <x:v>Shortfall</x:v>
      </x:c>
      <x:c r="J1185" s="7"/>
      <x:c r="K1185" s="7" t="str">
        <x:v>Open</x:v>
      </x:c>
      <x:c r="L1185" s="7"/>
    </x:row>
    <x:row r="1186" ht="21" customHeight="1">
      <x:c r="A1186" s="1" t="str">
        <x:f>Source!A1180</x:f>
        <x:v>C0010360</x:v>
      </x:c>
      <x:c r="B1186" s="1" t="str">
        <x:f>_xlfn.IFNA(VLOOKUP(Source!B1180,Advertisers!$A$5:$B$34,2,FALSE),"Missing advertiser")</x:f>
        <x:v>Synthetic advertiser 24</x:v>
      </x:c>
      <x:c r="C1186" s="1" t="n">
        <x:f>Source!C1180</x:f>
        <x:v>114</x:v>
      </x:c>
      <x:c r="D1186" s="8" t="n">
        <x:f>Source!D1180/100</x:f>
        <x:v>160.88</x:v>
      </x:c>
      <x:c r="E1186" s="8" t="n">
        <x:f>Source!E1180/100</x:f>
        <x:v>321.76</x:v>
      </x:c>
      <x:c r="F1186" s="8" t="n">
        <x:f>Source!F1180/100</x:f>
        <x:v>0</x:v>
      </x:c>
      <x:c r="G1186" s="8" t="n">
        <x:f>Source!G1180/100</x:f>
        <x:v>321.76</x:v>
      </x:c>
      <x:c r="H1186" s="8" t="n">
        <x:f>G1186-D1186</x:f>
        <x:v>160.88</x:v>
      </x:c>
      <x:c r="I1186" s="1" t="str">
        <x:f>IF(H1186&gt;0,"Overbilled","Shortfall")</x:f>
        <x:v>Overbilled</x:v>
      </x:c>
      <x:c r="J1186" s="7"/>
      <x:c r="K1186" s="7" t="str">
        <x:v>Open</x:v>
      </x:c>
      <x:c r="L1186" s="7"/>
    </x:row>
    <x:row r="1187" ht="21" customHeight="1">
      <x:c r="A1187" s="1" t="str">
        <x:f>Source!A1181</x:f>
        <x:v>C0002922</x:v>
      </x:c>
      <x:c r="B1187" s="1" t="str">
        <x:f>_xlfn.IFNA(VLOOKUP(Source!B1181,Advertisers!$A$5:$B$34,2,FALSE),"Missing advertiser")</x:f>
        <x:v>Synthetic advertiser 24</x:v>
      </x:c>
      <x:c r="C1187" s="1" t="n">
        <x:f>Source!C1181</x:f>
        <x:v>114</x:v>
      </x:c>
      <x:c r="D1187" s="8" t="n">
        <x:f>Source!D1181/100</x:f>
        <x:v>160.88</x:v>
      </x:c>
      <x:c r="E1187" s="8" t="n">
        <x:f>Source!E1181/100</x:f>
        <x:v>321.76</x:v>
      </x:c>
      <x:c r="F1187" s="8" t="n">
        <x:f>Source!F1181/100</x:f>
        <x:v>0</x:v>
      </x:c>
      <x:c r="G1187" s="8" t="n">
        <x:f>Source!G1181/100</x:f>
        <x:v>321.76</x:v>
      </x:c>
      <x:c r="H1187" s="8" t="n">
        <x:f>G1187-D1187</x:f>
        <x:v>160.88</x:v>
      </x:c>
      <x:c r="I1187" s="1" t="str">
        <x:f>IF(H1187&gt;0,"Overbilled","Shortfall")</x:f>
        <x:v>Overbilled</x:v>
      </x:c>
      <x:c r="J1187" s="7"/>
      <x:c r="K1187" s="7" t="str">
        <x:v>Open</x:v>
      </x:c>
      <x:c r="L1187" s="7"/>
    </x:row>
    <x:row r="1188" ht="21" customHeight="1">
      <x:c r="A1188" s="1" t="str">
        <x:f>Source!A1182</x:f>
        <x:v>C0008557</x:v>
      </x:c>
      <x:c r="B1188" s="1" t="str">
        <x:f>_xlfn.IFNA(VLOOKUP(Source!B1182,Advertisers!$A$5:$B$34,2,FALSE),"Missing advertiser")</x:f>
        <x:v>Synthetic advertiser 24</x:v>
      </x:c>
      <x:c r="C1188" s="1" t="n">
        <x:f>Source!C1182</x:f>
        <x:v>114</x:v>
      </x:c>
      <x:c r="D1188" s="8" t="n">
        <x:f>Source!D1182/100</x:f>
        <x:v>160.88</x:v>
      </x:c>
      <x:c r="E1188" s="8" t="n">
        <x:f>Source!E1182/100</x:f>
        <x:v>321.76</x:v>
      </x:c>
      <x:c r="F1188" s="8" t="n">
        <x:f>Source!F1182/100</x:f>
        <x:v>0</x:v>
      </x:c>
      <x:c r="G1188" s="8" t="n">
        <x:f>Source!G1182/100</x:f>
        <x:v>321.76</x:v>
      </x:c>
      <x:c r="H1188" s="8" t="n">
        <x:f>G1188-D1188</x:f>
        <x:v>160.88</x:v>
      </x:c>
      <x:c r="I1188" s="1" t="str">
        <x:f>IF(H1188&gt;0,"Overbilled","Shortfall")</x:f>
        <x:v>Overbilled</x:v>
      </x:c>
      <x:c r="J1188" s="7"/>
      <x:c r="K1188" s="7" t="str">
        <x:v>Open</x:v>
      </x:c>
      <x:c r="L1188" s="7"/>
    </x:row>
    <x:row r="1189" ht="21" customHeight="1">
      <x:c r="A1189" s="1" t="str">
        <x:f>Source!A1183</x:f>
        <x:v>C0013559</x:v>
      </x:c>
      <x:c r="B1189" s="1" t="str">
        <x:f>_xlfn.IFNA(VLOOKUP(Source!B1183,Advertisers!$A$5:$B$34,2,FALSE),"Missing advertiser")</x:f>
        <x:v>Synthetic advertiser 24</x:v>
      </x:c>
      <x:c r="C1189" s="1" t="n">
        <x:f>Source!C1183</x:f>
        <x:v>114</x:v>
      </x:c>
      <x:c r="D1189" s="8" t="n">
        <x:f>Source!D1183/100</x:f>
        <x:v>160.88</x:v>
      </x:c>
      <x:c r="E1189" s="8" t="n">
        <x:f>Source!E1183/100</x:f>
        <x:v>0</x:v>
      </x:c>
      <x:c r="F1189" s="8" t="n">
        <x:f>Source!F1183/100</x:f>
        <x:v>0</x:v>
      </x:c>
      <x:c r="G1189" s="8" t="n">
        <x:f>Source!G1183/100</x:f>
        <x:v>0</x:v>
      </x:c>
      <x:c r="H1189" s="8" t="n">
        <x:f>G1189-D1189</x:f>
        <x:v>-160.88</x:v>
      </x:c>
      <x:c r="I1189" s="1" t="str">
        <x:f>IF(H1189&gt;0,"Overbilled","Shortfall")</x:f>
        <x:v>Shortfall</x:v>
      </x:c>
      <x:c r="J1189" s="7"/>
      <x:c r="K1189" s="7" t="str">
        <x:v>Open</x:v>
      </x:c>
      <x:c r="L1189" s="7"/>
    </x:row>
    <x:row r="1190" ht="21" customHeight="1">
      <x:c r="A1190" s="1" t="str">
        <x:f>Source!A1184</x:f>
        <x:v>C0013596</x:v>
      </x:c>
      <x:c r="B1190" s="1" t="str">
        <x:f>_xlfn.IFNA(VLOOKUP(Source!B1184,Advertisers!$A$5:$B$34,2,FALSE),"Missing advertiser")</x:f>
        <x:v>Synthetic advertiser 24</x:v>
      </x:c>
      <x:c r="C1190" s="1" t="n">
        <x:f>Source!C1184</x:f>
        <x:v>114</x:v>
      </x:c>
      <x:c r="D1190" s="8" t="n">
        <x:f>Source!D1184/100</x:f>
        <x:v>160.88</x:v>
      </x:c>
      <x:c r="E1190" s="8" t="n">
        <x:f>Source!E1184/100</x:f>
        <x:v>0</x:v>
      </x:c>
      <x:c r="F1190" s="8" t="n">
        <x:f>Source!F1184/100</x:f>
        <x:v>0</x:v>
      </x:c>
      <x:c r="G1190" s="8" t="n">
        <x:f>Source!G1184/100</x:f>
        <x:v>0</x:v>
      </x:c>
      <x:c r="H1190" s="8" t="n">
        <x:f>G1190-D1190</x:f>
        <x:v>-160.88</x:v>
      </x:c>
      <x:c r="I1190" s="1" t="str">
        <x:f>IF(H1190&gt;0,"Overbilled","Shortfall")</x:f>
        <x:v>Shortfall</x:v>
      </x:c>
      <x:c r="J1190" s="7"/>
      <x:c r="K1190" s="7" t="str">
        <x:v>Open</x:v>
      </x:c>
      <x:c r="L1190" s="7"/>
    </x:row>
    <x:row r="1191" ht="21" customHeight="1">
      <x:c r="A1191" s="1" t="str">
        <x:f>Source!A1185</x:f>
        <x:v>C0008482</x:v>
      </x:c>
      <x:c r="B1191" s="1" t="str">
        <x:f>_xlfn.IFNA(VLOOKUP(Source!B1185,Advertisers!$A$5:$B$34,2,FALSE),"Missing advertiser")</x:f>
        <x:v>Synthetic advertiser 21</x:v>
      </x:c>
      <x:c r="C1191" s="1" t="n">
        <x:f>Source!C1185</x:f>
        <x:v>21</x:v>
      </x:c>
      <x:c r="D1191" s="8" t="n">
        <x:f>Source!D1185/100</x:f>
        <x:v>160.6</x:v>
      </x:c>
      <x:c r="E1191" s="8" t="n">
        <x:f>Source!E1185/100</x:f>
        <x:v>321.2</x:v>
      </x:c>
      <x:c r="F1191" s="8" t="n">
        <x:f>Source!F1185/100</x:f>
        <x:v>0</x:v>
      </x:c>
      <x:c r="G1191" s="8" t="n">
        <x:f>Source!G1185/100</x:f>
        <x:v>321.2</x:v>
      </x:c>
      <x:c r="H1191" s="8" t="n">
        <x:f>G1191-D1191</x:f>
        <x:v>160.6</x:v>
      </x:c>
      <x:c r="I1191" s="1" t="str">
        <x:f>IF(H1191&gt;0,"Overbilled","Shortfall")</x:f>
        <x:v>Overbilled</x:v>
      </x:c>
      <x:c r="J1191" s="7"/>
      <x:c r="K1191" s="7" t="str">
        <x:v>Open</x:v>
      </x:c>
      <x:c r="L1191" s="7"/>
    </x:row>
    <x:row r="1192" ht="21" customHeight="1">
      <x:c r="A1192" s="1" t="str">
        <x:f>Source!A1186</x:f>
        <x:v>C0014496</x:v>
      </x:c>
      <x:c r="B1192" s="1" t="str">
        <x:f>_xlfn.IFNA(VLOOKUP(Source!B1186,Advertisers!$A$5:$B$34,2,FALSE),"Missing advertiser")</x:f>
        <x:v>Synthetic advertiser 21</x:v>
      </x:c>
      <x:c r="C1192" s="1" t="n">
        <x:f>Source!C1186</x:f>
        <x:v>21</x:v>
      </x:c>
      <x:c r="D1192" s="8" t="n">
        <x:f>Source!D1186/100</x:f>
        <x:v>160.6</x:v>
      </x:c>
      <x:c r="E1192" s="8" t="n">
        <x:f>Source!E1186/100</x:f>
        <x:v>321.2</x:v>
      </x:c>
      <x:c r="F1192" s="8" t="n">
        <x:f>Source!F1186/100</x:f>
        <x:v>0</x:v>
      </x:c>
      <x:c r="G1192" s="8" t="n">
        <x:f>Source!G1186/100</x:f>
        <x:v>321.2</x:v>
      </x:c>
      <x:c r="H1192" s="8" t="n">
        <x:f>G1192-D1192</x:f>
        <x:v>160.6</x:v>
      </x:c>
      <x:c r="I1192" s="1" t="str">
        <x:f>IF(H1192&gt;0,"Overbilled","Shortfall")</x:f>
        <x:v>Overbilled</x:v>
      </x:c>
      <x:c r="J1192" s="7"/>
      <x:c r="K1192" s="7" t="str">
        <x:v>Open</x:v>
      </x:c>
      <x:c r="L1192" s="7"/>
    </x:row>
    <x:row r="1193" ht="21" customHeight="1">
      <x:c r="A1193" s="1" t="str">
        <x:f>Source!A1187</x:f>
        <x:v>C0011619</x:v>
      </x:c>
      <x:c r="B1193" s="1" t="str">
        <x:f>_xlfn.IFNA(VLOOKUP(Source!B1187,Advertisers!$A$5:$B$34,2,FALSE),"Missing advertiser")</x:f>
        <x:v>Synthetic advertiser 21</x:v>
      </x:c>
      <x:c r="C1193" s="1" t="n">
        <x:f>Source!C1187</x:f>
        <x:v>21</x:v>
      </x:c>
      <x:c r="D1193" s="8" t="n">
        <x:f>Source!D1187/100</x:f>
        <x:v>160.6</x:v>
      </x:c>
      <x:c r="E1193" s="8" t="n">
        <x:f>Source!E1187/100</x:f>
        <x:v>321.2</x:v>
      </x:c>
      <x:c r="F1193" s="8" t="n">
        <x:f>Source!F1187/100</x:f>
        <x:v>0</x:v>
      </x:c>
      <x:c r="G1193" s="8" t="n">
        <x:f>Source!G1187/100</x:f>
        <x:v>321.2</x:v>
      </x:c>
      <x:c r="H1193" s="8" t="n">
        <x:f>G1193-D1193</x:f>
        <x:v>160.6</x:v>
      </x:c>
      <x:c r="I1193" s="1" t="str">
        <x:f>IF(H1193&gt;0,"Overbilled","Shortfall")</x:f>
        <x:v>Overbilled</x:v>
      </x:c>
      <x:c r="J1193" s="7"/>
      <x:c r="K1193" s="7" t="str">
        <x:v>Open</x:v>
      </x:c>
      <x:c r="L1193" s="7"/>
    </x:row>
    <x:row r="1194" ht="21" customHeight="1">
      <x:c r="A1194" s="1" t="str">
        <x:f>Source!A1188</x:f>
        <x:v>C0000063</x:v>
      </x:c>
      <x:c r="B1194" s="1" t="str">
        <x:f>_xlfn.IFNA(VLOOKUP(Source!B1188,Advertisers!$A$5:$B$34,2,FALSE),"Missing advertiser")</x:f>
        <x:v>Synthetic advertiser 21</x:v>
      </x:c>
      <x:c r="C1194" s="1" t="n">
        <x:f>Source!C1188</x:f>
        <x:v>21</x:v>
      </x:c>
      <x:c r="D1194" s="8" t="n">
        <x:f>Source!D1188/100</x:f>
        <x:v>160.6</x:v>
      </x:c>
      <x:c r="E1194" s="8" t="n">
        <x:f>Source!E1188/100</x:f>
        <x:v>321.2</x:v>
      </x:c>
      <x:c r="F1194" s="8" t="n">
        <x:f>Source!F1188/100</x:f>
        <x:v>0</x:v>
      </x:c>
      <x:c r="G1194" s="8" t="n">
        <x:f>Source!G1188/100</x:f>
        <x:v>321.2</x:v>
      </x:c>
      <x:c r="H1194" s="8" t="n">
        <x:f>G1194-D1194</x:f>
        <x:v>160.6</x:v>
      </x:c>
      <x:c r="I1194" s="1" t="str">
        <x:f>IF(H1194&gt;0,"Overbilled","Shortfall")</x:f>
        <x:v>Overbilled</x:v>
      </x:c>
      <x:c r="J1194" s="7"/>
      <x:c r="K1194" s="7" t="str">
        <x:v>Open</x:v>
      </x:c>
      <x:c r="L1194" s="7"/>
    </x:row>
    <x:row r="1195" ht="21" customHeight="1">
      <x:c r="A1195" s="1" t="str">
        <x:f>Source!A1189</x:f>
        <x:v>C0006344</x:v>
      </x:c>
      <x:c r="B1195" s="1" t="str">
        <x:f>_xlfn.IFNA(VLOOKUP(Source!B1189,Advertisers!$A$5:$B$34,2,FALSE),"Missing advertiser")</x:f>
        <x:v>Synthetic advertiser 21</x:v>
      </x:c>
      <x:c r="C1195" s="1" t="n">
        <x:f>Source!C1189</x:f>
        <x:v>21</x:v>
      </x:c>
      <x:c r="D1195" s="8" t="n">
        <x:f>Source!D1189/100</x:f>
        <x:v>160.6</x:v>
      </x:c>
      <x:c r="E1195" s="8" t="n">
        <x:f>Source!E1189/100</x:f>
        <x:v>0</x:v>
      </x:c>
      <x:c r="F1195" s="8" t="n">
        <x:f>Source!F1189/100</x:f>
        <x:v>0</x:v>
      </x:c>
      <x:c r="G1195" s="8" t="n">
        <x:f>Source!G1189/100</x:f>
        <x:v>0</x:v>
      </x:c>
      <x:c r="H1195" s="8" t="n">
        <x:f>G1195-D1195</x:f>
        <x:v>-160.6</x:v>
      </x:c>
      <x:c r="I1195" s="1" t="str">
        <x:f>IF(H1195&gt;0,"Overbilled","Shortfall")</x:f>
        <x:v>Shortfall</x:v>
      </x:c>
      <x:c r="J1195" s="7"/>
      <x:c r="K1195" s="7" t="str">
        <x:v>Open</x:v>
      </x:c>
      <x:c r="L1195" s="7"/>
    </x:row>
    <x:row r="1196" ht="21" customHeight="1">
      <x:c r="A1196" s="1" t="str">
        <x:f>Source!A1190</x:f>
        <x:v>C0011090</x:v>
      </x:c>
      <x:c r="B1196" s="1" t="str">
        <x:f>_xlfn.IFNA(VLOOKUP(Source!B1190,Advertisers!$A$5:$B$34,2,FALSE),"Missing advertiser")</x:f>
        <x:v>Synthetic advertiser 21</x:v>
      </x:c>
      <x:c r="C1196" s="1" t="n">
        <x:f>Source!C1190</x:f>
        <x:v>21</x:v>
      </x:c>
      <x:c r="D1196" s="8" t="n">
        <x:f>Source!D1190/100</x:f>
        <x:v>160.6</x:v>
      </x:c>
      <x:c r="E1196" s="8" t="n">
        <x:f>Source!E1190/100</x:f>
        <x:v>321.2</x:v>
      </x:c>
      <x:c r="F1196" s="8" t="n">
        <x:f>Source!F1190/100</x:f>
        <x:v>0</x:v>
      </x:c>
      <x:c r="G1196" s="8" t="n">
        <x:f>Source!G1190/100</x:f>
        <x:v>321.2</x:v>
      </x:c>
      <x:c r="H1196" s="8" t="n">
        <x:f>G1196-D1196</x:f>
        <x:v>160.6</x:v>
      </x:c>
      <x:c r="I1196" s="1" t="str">
        <x:f>IF(H1196&gt;0,"Overbilled","Shortfall")</x:f>
        <x:v>Overbilled</x:v>
      </x:c>
      <x:c r="J1196" s="7"/>
      <x:c r="K1196" s="7" t="str">
        <x:v>Open</x:v>
      </x:c>
      <x:c r="L1196" s="7"/>
    </x:row>
    <x:row r="1197" ht="21" customHeight="1">
      <x:c r="A1197" s="1" t="str">
        <x:f>Source!A1191</x:f>
        <x:v>C0004688</x:v>
      </x:c>
      <x:c r="B1197" s="1" t="str">
        <x:f>_xlfn.IFNA(VLOOKUP(Source!B1191,Advertisers!$A$5:$B$34,2,FALSE),"Missing advertiser")</x:f>
        <x:v>Synthetic advertiser 21</x:v>
      </x:c>
      <x:c r="C1197" s="1" t="n">
        <x:f>Source!C1191</x:f>
        <x:v>21</x:v>
      </x:c>
      <x:c r="D1197" s="8" t="n">
        <x:f>Source!D1191/100</x:f>
        <x:v>160.6</x:v>
      </x:c>
      <x:c r="E1197" s="8" t="n">
        <x:f>Source!E1191/100</x:f>
        <x:v>0</x:v>
      </x:c>
      <x:c r="F1197" s="8" t="n">
        <x:f>Source!F1191/100</x:f>
        <x:v>0</x:v>
      </x:c>
      <x:c r="G1197" s="8" t="n">
        <x:f>Source!G1191/100</x:f>
        <x:v>0</x:v>
      </x:c>
      <x:c r="H1197" s="8" t="n">
        <x:f>G1197-D1197</x:f>
        <x:v>-160.6</x:v>
      </x:c>
      <x:c r="I1197" s="1" t="str">
        <x:f>IF(H1197&gt;0,"Overbilled","Shortfall")</x:f>
        <x:v>Shortfall</x:v>
      </x:c>
      <x:c r="J1197" s="7"/>
      <x:c r="K1197" s="7" t="str">
        <x:v>Open</x:v>
      </x:c>
      <x:c r="L1197" s="7"/>
    </x:row>
    <x:row r="1198" ht="21" customHeight="1">
      <x:c r="A1198" s="1" t="str">
        <x:f>Source!A1192</x:f>
        <x:v>C0004281</x:v>
      </x:c>
      <x:c r="B1198" s="1" t="str">
        <x:f>_xlfn.IFNA(VLOOKUP(Source!B1192,Advertisers!$A$5:$B$34,2,FALSE),"Missing advertiser")</x:f>
        <x:v>Synthetic advertiser 21</x:v>
      </x:c>
      <x:c r="C1198" s="1" t="n">
        <x:f>Source!C1192</x:f>
        <x:v>21</x:v>
      </x:c>
      <x:c r="D1198" s="8" t="n">
        <x:f>Source!D1192/100</x:f>
        <x:v>160.6</x:v>
      </x:c>
      <x:c r="E1198" s="8" t="n">
        <x:f>Source!E1192/100</x:f>
        <x:v>321.2</x:v>
      </x:c>
      <x:c r="F1198" s="8" t="n">
        <x:f>Source!F1192/100</x:f>
        <x:v>0</x:v>
      </x:c>
      <x:c r="G1198" s="8" t="n">
        <x:f>Source!G1192/100</x:f>
        <x:v>321.2</x:v>
      </x:c>
      <x:c r="H1198" s="8" t="n">
        <x:f>G1198-D1198</x:f>
        <x:v>160.6</x:v>
      </x:c>
      <x:c r="I1198" s="1" t="str">
        <x:f>IF(H1198&gt;0,"Overbilled","Shortfall")</x:f>
        <x:v>Overbilled</x:v>
      </x:c>
      <x:c r="J1198" s="7"/>
      <x:c r="K1198" s="7" t="str">
        <x:v>Open</x:v>
      </x:c>
      <x:c r="L1198" s="7"/>
    </x:row>
    <x:row r="1199" ht="21" customHeight="1">
      <x:c r="A1199" s="1" t="str">
        <x:f>Source!A1193</x:f>
        <x:v>C0006121</x:v>
      </x:c>
      <x:c r="B1199" s="1" t="str">
        <x:f>_xlfn.IFNA(VLOOKUP(Source!B1193,Advertisers!$A$5:$B$34,2,FALSE),"Missing advertiser")</x:f>
        <x:v>Synthetic advertiser 22</x:v>
      </x:c>
      <x:c r="C1199" s="1" t="n">
        <x:f>Source!C1193</x:f>
        <x:v>52</x:v>
      </x:c>
      <x:c r="D1199" s="8" t="n">
        <x:f>Source!D1193/100</x:f>
        <x:v>159.65</x:v>
      </x:c>
      <x:c r="E1199" s="8" t="n">
        <x:f>Source!E1193/100</x:f>
        <x:v>0</x:v>
      </x:c>
      <x:c r="F1199" s="8" t="n">
        <x:f>Source!F1193/100</x:f>
        <x:v>0</x:v>
      </x:c>
      <x:c r="G1199" s="8" t="n">
        <x:f>Source!G1193/100</x:f>
        <x:v>0</x:v>
      </x:c>
      <x:c r="H1199" s="8" t="n">
        <x:f>G1199-D1199</x:f>
        <x:v>-159.65</x:v>
      </x:c>
      <x:c r="I1199" s="1" t="str">
        <x:f>IF(H1199&gt;0,"Overbilled","Shortfall")</x:f>
        <x:v>Shortfall</x:v>
      </x:c>
      <x:c r="J1199" s="7"/>
      <x:c r="K1199" s="7" t="str">
        <x:v>Open</x:v>
      </x:c>
      <x:c r="L1199" s="7"/>
    </x:row>
    <x:row r="1200" ht="21" customHeight="1">
      <x:c r="A1200" s="1" t="str">
        <x:f>Source!A1194</x:f>
        <x:v>C0016310</x:v>
      </x:c>
      <x:c r="B1200" s="1" t="str">
        <x:f>_xlfn.IFNA(VLOOKUP(Source!B1194,Advertisers!$A$5:$B$34,2,FALSE),"Missing advertiser")</x:f>
        <x:v>Synthetic advertiser 22</x:v>
      </x:c>
      <x:c r="C1200" s="1" t="n">
        <x:f>Source!C1194</x:f>
        <x:v>52</x:v>
      </x:c>
      <x:c r="D1200" s="8" t="n">
        <x:f>Source!D1194/100</x:f>
        <x:v>159.65</x:v>
      </x:c>
      <x:c r="E1200" s="8" t="n">
        <x:f>Source!E1194/100</x:f>
        <x:v>319.3</x:v>
      </x:c>
      <x:c r="F1200" s="8" t="n">
        <x:f>Source!F1194/100</x:f>
        <x:v>0</x:v>
      </x:c>
      <x:c r="G1200" s="8" t="n">
        <x:f>Source!G1194/100</x:f>
        <x:v>319.3</x:v>
      </x:c>
      <x:c r="H1200" s="8" t="n">
        <x:f>G1200-D1200</x:f>
        <x:v>159.65</x:v>
      </x:c>
      <x:c r="I1200" s="1" t="str">
        <x:f>IF(H1200&gt;0,"Overbilled","Shortfall")</x:f>
        <x:v>Overbilled</x:v>
      </x:c>
      <x:c r="J1200" s="7"/>
      <x:c r="K1200" s="7" t="str">
        <x:v>Open</x:v>
      </x:c>
      <x:c r="L1200" s="7"/>
    </x:row>
    <x:row r="1201" ht="21" customHeight="1">
      <x:c r="A1201" s="1" t="str">
        <x:f>Source!A1195</x:f>
        <x:v>C0015047</x:v>
      </x:c>
      <x:c r="B1201" s="1" t="str">
        <x:f>_xlfn.IFNA(VLOOKUP(Source!B1195,Advertisers!$A$5:$B$34,2,FALSE),"Missing advertiser")</x:f>
        <x:v>Synthetic advertiser 22</x:v>
      </x:c>
      <x:c r="C1201" s="1" t="n">
        <x:f>Source!C1195</x:f>
        <x:v>52</x:v>
      </x:c>
      <x:c r="D1201" s="8" t="n">
        <x:f>Source!D1195/100</x:f>
        <x:v>159.65</x:v>
      </x:c>
      <x:c r="E1201" s="8" t="n">
        <x:f>Source!E1195/100</x:f>
        <x:v>0</x:v>
      </x:c>
      <x:c r="F1201" s="8" t="n">
        <x:f>Source!F1195/100</x:f>
        <x:v>0</x:v>
      </x:c>
      <x:c r="G1201" s="8" t="n">
        <x:f>Source!G1195/100</x:f>
        <x:v>0</x:v>
      </x:c>
      <x:c r="H1201" s="8" t="n">
        <x:f>G1201-D1201</x:f>
        <x:v>-159.65</x:v>
      </x:c>
      <x:c r="I1201" s="1" t="str">
        <x:f>IF(H1201&gt;0,"Overbilled","Shortfall")</x:f>
        <x:v>Shortfall</x:v>
      </x:c>
      <x:c r="J1201" s="7"/>
      <x:c r="K1201" s="7" t="str">
        <x:v>Open</x:v>
      </x:c>
      <x:c r="L1201" s="7"/>
    </x:row>
    <x:row r="1202" ht="21" customHeight="1">
      <x:c r="A1202" s="1" t="str">
        <x:f>Source!A1196</x:f>
        <x:v>C0012229</x:v>
      </x:c>
      <x:c r="B1202" s="1" t="str">
        <x:f>_xlfn.IFNA(VLOOKUP(Source!B1196,Advertisers!$A$5:$B$34,2,FALSE),"Missing advertiser")</x:f>
        <x:v>Synthetic advertiser 22</x:v>
      </x:c>
      <x:c r="C1202" s="1" t="n">
        <x:f>Source!C1196</x:f>
        <x:v>52</x:v>
      </x:c>
      <x:c r="D1202" s="8" t="n">
        <x:f>Source!D1196/100</x:f>
        <x:v>159.65</x:v>
      </x:c>
      <x:c r="E1202" s="8" t="n">
        <x:f>Source!E1196/100</x:f>
        <x:v>319.3</x:v>
      </x:c>
      <x:c r="F1202" s="8" t="n">
        <x:f>Source!F1196/100</x:f>
        <x:v>0</x:v>
      </x:c>
      <x:c r="G1202" s="8" t="n">
        <x:f>Source!G1196/100</x:f>
        <x:v>319.3</x:v>
      </x:c>
      <x:c r="H1202" s="8" t="n">
        <x:f>G1202-D1202</x:f>
        <x:v>159.65</x:v>
      </x:c>
      <x:c r="I1202" s="1" t="str">
        <x:f>IF(H1202&gt;0,"Overbilled","Shortfall")</x:f>
        <x:v>Overbilled</x:v>
      </x:c>
      <x:c r="J1202" s="7"/>
      <x:c r="K1202" s="7" t="str">
        <x:v>Open</x:v>
      </x:c>
      <x:c r="L1202" s="7"/>
    </x:row>
    <x:row r="1203" ht="21" customHeight="1">
      <x:c r="A1203" s="1" t="str">
        <x:f>Source!A1197</x:f>
        <x:v>C0008375</x:v>
      </x:c>
      <x:c r="B1203" s="1" t="str">
        <x:f>_xlfn.IFNA(VLOOKUP(Source!B1197,Advertisers!$A$5:$B$34,2,FALSE),"Missing advertiser")</x:f>
        <x:v>Synthetic advertiser 22</x:v>
      </x:c>
      <x:c r="C1203" s="1" t="n">
        <x:f>Source!C1197</x:f>
        <x:v>52</x:v>
      </x:c>
      <x:c r="D1203" s="8" t="n">
        <x:f>Source!D1197/100</x:f>
        <x:v>159.65</x:v>
      </x:c>
      <x:c r="E1203" s="8" t="n">
        <x:f>Source!E1197/100</x:f>
        <x:v>319.3</x:v>
      </x:c>
      <x:c r="F1203" s="8" t="n">
        <x:f>Source!F1197/100</x:f>
        <x:v>0</x:v>
      </x:c>
      <x:c r="G1203" s="8" t="n">
        <x:f>Source!G1197/100</x:f>
        <x:v>319.3</x:v>
      </x:c>
      <x:c r="H1203" s="8" t="n">
        <x:f>G1203-D1203</x:f>
        <x:v>159.65</x:v>
      </x:c>
      <x:c r="I1203" s="1" t="str">
        <x:f>IF(H1203&gt;0,"Overbilled","Shortfall")</x:f>
        <x:v>Overbilled</x:v>
      </x:c>
      <x:c r="J1203" s="7"/>
      <x:c r="K1203" s="7" t="str">
        <x:v>Open</x:v>
      </x:c>
      <x:c r="L1203" s="7"/>
    </x:row>
    <x:row r="1204" ht="21" customHeight="1">
      <x:c r="A1204" s="1" t="str">
        <x:f>Source!A1198</x:f>
        <x:v>C0017614</x:v>
      </x:c>
      <x:c r="B1204" s="1" t="str">
        <x:f>_xlfn.IFNA(VLOOKUP(Source!B1198,Advertisers!$A$5:$B$34,2,FALSE),"Missing advertiser")</x:f>
        <x:v>Synthetic advertiser 22</x:v>
      </x:c>
      <x:c r="C1204" s="1" t="n">
        <x:f>Source!C1198</x:f>
        <x:v>52</x:v>
      </x:c>
      <x:c r="D1204" s="8" t="n">
        <x:f>Source!D1198/100</x:f>
        <x:v>159.65</x:v>
      </x:c>
      <x:c r="E1204" s="8" t="n">
        <x:f>Source!E1198/100</x:f>
        <x:v>319.3</x:v>
      </x:c>
      <x:c r="F1204" s="8" t="n">
        <x:f>Source!F1198/100</x:f>
        <x:v>0</x:v>
      </x:c>
      <x:c r="G1204" s="8" t="n">
        <x:f>Source!G1198/100</x:f>
        <x:v>319.3</x:v>
      </x:c>
      <x:c r="H1204" s="8" t="n">
        <x:f>G1204-D1204</x:f>
        <x:v>159.65</x:v>
      </x:c>
      <x:c r="I1204" s="1" t="str">
        <x:f>IF(H1204&gt;0,"Overbilled","Shortfall")</x:f>
        <x:v>Overbilled</x:v>
      </x:c>
      <x:c r="J1204" s="7"/>
      <x:c r="K1204" s="7" t="str">
        <x:v>Open</x:v>
      </x:c>
      <x:c r="L1204" s="7"/>
    </x:row>
    <x:row r="1205" ht="21" customHeight="1">
      <x:c r="A1205" s="1" t="str">
        <x:f>Source!A1199</x:f>
        <x:v>C0003900</x:v>
      </x:c>
      <x:c r="B1205" s="1" t="str">
        <x:f>_xlfn.IFNA(VLOOKUP(Source!B1199,Advertisers!$A$5:$B$34,2,FALSE),"Missing advertiser")</x:f>
        <x:v>Synthetic advertiser 17</x:v>
      </x:c>
      <x:c r="C1205" s="1" t="n">
        <x:f>Source!C1199</x:f>
        <x:v>47</x:v>
      </x:c>
      <x:c r="D1205" s="8" t="n">
        <x:f>Source!D1199/100</x:f>
        <x:v>158.9</x:v>
      </x:c>
      <x:c r="E1205" s="8" t="n">
        <x:f>Source!E1199/100</x:f>
        <x:v>317.8</x:v>
      </x:c>
      <x:c r="F1205" s="8" t="n">
        <x:f>Source!F1199/100</x:f>
        <x:v>0</x:v>
      </x:c>
      <x:c r="G1205" s="8" t="n">
        <x:f>Source!G1199/100</x:f>
        <x:v>317.8</x:v>
      </x:c>
      <x:c r="H1205" s="8" t="n">
        <x:f>G1205-D1205</x:f>
        <x:v>158.9</x:v>
      </x:c>
      <x:c r="I1205" s="1" t="str">
        <x:f>IF(H1205&gt;0,"Overbilled","Shortfall")</x:f>
        <x:v>Overbilled</x:v>
      </x:c>
      <x:c r="J1205" s="7"/>
      <x:c r="K1205" s="7" t="str">
        <x:v>Open</x:v>
      </x:c>
      <x:c r="L1205" s="7"/>
    </x:row>
    <x:row r="1206" ht="21" customHeight="1">
      <x:c r="A1206" s="1" t="str">
        <x:f>Source!A1200</x:f>
        <x:v>C0009484</x:v>
      </x:c>
      <x:c r="B1206" s="1" t="str">
        <x:f>_xlfn.IFNA(VLOOKUP(Source!B1200,Advertisers!$A$5:$B$34,2,FALSE),"Missing advertiser")</x:f>
        <x:v>Synthetic advertiser 17</x:v>
      </x:c>
      <x:c r="C1206" s="1" t="n">
        <x:f>Source!C1200</x:f>
        <x:v>47</x:v>
      </x:c>
      <x:c r="D1206" s="8" t="n">
        <x:f>Source!D1200/100</x:f>
        <x:v>158.9</x:v>
      </x:c>
      <x:c r="E1206" s="8" t="n">
        <x:f>Source!E1200/100</x:f>
        <x:v>317.8</x:v>
      </x:c>
      <x:c r="F1206" s="8" t="n">
        <x:f>Source!F1200/100</x:f>
        <x:v>0</x:v>
      </x:c>
      <x:c r="G1206" s="8" t="n">
        <x:f>Source!G1200/100</x:f>
        <x:v>317.8</x:v>
      </x:c>
      <x:c r="H1206" s="8" t="n">
        <x:f>G1206-D1206</x:f>
        <x:v>158.9</x:v>
      </x:c>
      <x:c r="I1206" s="1" t="str">
        <x:f>IF(H1206&gt;0,"Overbilled","Shortfall")</x:f>
        <x:v>Overbilled</x:v>
      </x:c>
      <x:c r="J1206" s="7"/>
      <x:c r="K1206" s="7" t="str">
        <x:v>Open</x:v>
      </x:c>
      <x:c r="L1206" s="7"/>
    </x:row>
    <x:row r="1207" ht="21" customHeight="1">
      <x:c r="A1207" s="1" t="str">
        <x:f>Source!A1201</x:f>
        <x:v>C0010262</x:v>
      </x:c>
      <x:c r="B1207" s="1" t="str">
        <x:f>_xlfn.IFNA(VLOOKUP(Source!B1201,Advertisers!$A$5:$B$34,2,FALSE),"Missing advertiser")</x:f>
        <x:v>Synthetic advertiser 17</x:v>
      </x:c>
      <x:c r="C1207" s="1" t="n">
        <x:f>Source!C1201</x:f>
        <x:v>47</x:v>
      </x:c>
      <x:c r="D1207" s="8" t="n">
        <x:f>Source!D1201/100</x:f>
        <x:v>158.9</x:v>
      </x:c>
      <x:c r="E1207" s="8" t="n">
        <x:f>Source!E1201/100</x:f>
        <x:v>317.8</x:v>
      </x:c>
      <x:c r="F1207" s="8" t="n">
        <x:f>Source!F1201/100</x:f>
        <x:v>0</x:v>
      </x:c>
      <x:c r="G1207" s="8" t="n">
        <x:f>Source!G1201/100</x:f>
        <x:v>317.8</x:v>
      </x:c>
      <x:c r="H1207" s="8" t="n">
        <x:f>G1207-D1207</x:f>
        <x:v>158.9</x:v>
      </x:c>
      <x:c r="I1207" s="1" t="str">
        <x:f>IF(H1207&gt;0,"Overbilled","Shortfall")</x:f>
        <x:v>Overbilled</x:v>
      </x:c>
      <x:c r="J1207" s="7"/>
      <x:c r="K1207" s="7" t="str">
        <x:v>Open</x:v>
      </x:c>
      <x:c r="L1207" s="7"/>
    </x:row>
    <x:row r="1208" ht="21" customHeight="1">
      <x:c r="A1208" s="1" t="str">
        <x:f>Source!A1202</x:f>
        <x:v>C0015962</x:v>
      </x:c>
      <x:c r="B1208" s="1" t="str">
        <x:f>_xlfn.IFNA(VLOOKUP(Source!B1202,Advertisers!$A$5:$B$34,2,FALSE),"Missing advertiser")</x:f>
        <x:v>Synthetic advertiser 17</x:v>
      </x:c>
      <x:c r="C1208" s="1" t="n">
        <x:f>Source!C1202</x:f>
        <x:v>47</x:v>
      </x:c>
      <x:c r="D1208" s="8" t="n">
        <x:f>Source!D1202/100</x:f>
        <x:v>0</x:v>
      </x:c>
      <x:c r="E1208" s="8" t="n">
        <x:f>Source!E1202/100</x:f>
        <x:v>158.9</x:v>
      </x:c>
      <x:c r="F1208" s="8" t="n">
        <x:f>Source!F1202/100</x:f>
        <x:v>0</x:v>
      </x:c>
      <x:c r="G1208" s="8" t="n">
        <x:f>Source!G1202/100</x:f>
        <x:v>158.9</x:v>
      </x:c>
      <x:c r="H1208" s="8" t="n">
        <x:f>G1208-D1208</x:f>
        <x:v>158.9</x:v>
      </x:c>
      <x:c r="I1208" s="1" t="str">
        <x:f>IF(H1208&gt;0,"Overbilled","Shortfall")</x:f>
        <x:v>Overbilled</x:v>
      </x:c>
      <x:c r="J1208" s="7"/>
      <x:c r="K1208" s="7" t="str">
        <x:v>Open</x:v>
      </x:c>
      <x:c r="L1208" s="7"/>
    </x:row>
    <x:row r="1209" ht="21" customHeight="1">
      <x:c r="A1209" s="1" t="str">
        <x:f>Source!A1203</x:f>
        <x:v>C0012449</x:v>
      </x:c>
      <x:c r="B1209" s="1" t="str">
        <x:f>_xlfn.IFNA(VLOOKUP(Source!B1203,Advertisers!$A$5:$B$34,2,FALSE),"Missing advertiser")</x:f>
        <x:v>Synthetic advertiser 17</x:v>
      </x:c>
      <x:c r="C1209" s="1" t="n">
        <x:f>Source!C1203</x:f>
        <x:v>47</x:v>
      </x:c>
      <x:c r="D1209" s="8" t="n">
        <x:f>Source!D1203/100</x:f>
        <x:v>158.9</x:v>
      </x:c>
      <x:c r="E1209" s="8" t="n">
        <x:f>Source!E1203/100</x:f>
        <x:v>0</x:v>
      </x:c>
      <x:c r="F1209" s="8" t="n">
        <x:f>Source!F1203/100</x:f>
        <x:v>0</x:v>
      </x:c>
      <x:c r="G1209" s="8" t="n">
        <x:f>Source!G1203/100</x:f>
        <x:v>0</x:v>
      </x:c>
      <x:c r="H1209" s="8" t="n">
        <x:f>G1209-D1209</x:f>
        <x:v>-158.9</x:v>
      </x:c>
      <x:c r="I1209" s="1" t="str">
        <x:f>IF(H1209&gt;0,"Overbilled","Shortfall")</x:f>
        <x:v>Shortfall</x:v>
      </x:c>
      <x:c r="J1209" s="7"/>
      <x:c r="K1209" s="7" t="str">
        <x:v>Open</x:v>
      </x:c>
      <x:c r="L1209" s="7"/>
    </x:row>
    <x:row r="1210" ht="21" customHeight="1">
      <x:c r="A1210" s="1" t="str">
        <x:f>Source!A1204</x:f>
        <x:v>C0000326</x:v>
      </x:c>
      <x:c r="B1210" s="1" t="str">
        <x:f>_xlfn.IFNA(VLOOKUP(Source!B1204,Advertisers!$A$5:$B$34,2,FALSE),"Missing advertiser")</x:f>
        <x:v>Synthetic advertiser 19</x:v>
      </x:c>
      <x:c r="C1210" s="1" t="n">
        <x:f>Source!C1204</x:f>
        <x:v>109</x:v>
      </x:c>
      <x:c r="D1210" s="8" t="n">
        <x:f>Source!D1204/100</x:f>
        <x:v>158.47</x:v>
      </x:c>
      <x:c r="E1210" s="8" t="n">
        <x:f>Source!E1204/100</x:f>
        <x:v>0</x:v>
      </x:c>
      <x:c r="F1210" s="8" t="n">
        <x:f>Source!F1204/100</x:f>
        <x:v>0</x:v>
      </x:c>
      <x:c r="G1210" s="8" t="n">
        <x:f>Source!G1204/100</x:f>
        <x:v>0</x:v>
      </x:c>
      <x:c r="H1210" s="8" t="n">
        <x:f>G1210-D1210</x:f>
        <x:v>-158.47</x:v>
      </x:c>
      <x:c r="I1210" s="1" t="str">
        <x:f>IF(H1210&gt;0,"Overbilled","Shortfall")</x:f>
        <x:v>Shortfall</x:v>
      </x:c>
      <x:c r="J1210" s="7"/>
      <x:c r="K1210" s="7" t="str">
        <x:v>Open</x:v>
      </x:c>
      <x:c r="L1210" s="7"/>
    </x:row>
    <x:row r="1211" ht="21" customHeight="1">
      <x:c r="A1211" s="1" t="str">
        <x:f>Source!A1205</x:f>
        <x:v>C0001309</x:v>
      </x:c>
      <x:c r="B1211" s="1" t="str">
        <x:f>_xlfn.IFNA(VLOOKUP(Source!B1205,Advertisers!$A$5:$B$34,2,FALSE),"Missing advertiser")</x:f>
        <x:v>Synthetic advertiser 19</x:v>
      </x:c>
      <x:c r="C1211" s="1" t="n">
        <x:f>Source!C1205</x:f>
        <x:v>109</x:v>
      </x:c>
      <x:c r="D1211" s="8" t="n">
        <x:f>Source!D1205/100</x:f>
        <x:v>158.47</x:v>
      </x:c>
      <x:c r="E1211" s="8" t="n">
        <x:f>Source!E1205/100</x:f>
        <x:v>316.94</x:v>
      </x:c>
      <x:c r="F1211" s="8" t="n">
        <x:f>Source!F1205/100</x:f>
        <x:v>0</x:v>
      </x:c>
      <x:c r="G1211" s="8" t="n">
        <x:f>Source!G1205/100</x:f>
        <x:v>316.94</x:v>
      </x:c>
      <x:c r="H1211" s="8" t="n">
        <x:f>G1211-D1211</x:f>
        <x:v>158.47</x:v>
      </x:c>
      <x:c r="I1211" s="1" t="str">
        <x:f>IF(H1211&gt;0,"Overbilled","Shortfall")</x:f>
        <x:v>Overbilled</x:v>
      </x:c>
      <x:c r="J1211" s="7"/>
      <x:c r="K1211" s="7" t="str">
        <x:v>Open</x:v>
      </x:c>
      <x:c r="L1211" s="7"/>
    </x:row>
    <x:row r="1212" ht="21" customHeight="1">
      <x:c r="A1212" s="1" t="str">
        <x:f>Source!A1206</x:f>
        <x:v>C0002313</x:v>
      </x:c>
      <x:c r="B1212" s="1" t="str">
        <x:f>_xlfn.IFNA(VLOOKUP(Source!B1206,Advertisers!$A$5:$B$34,2,FALSE),"Missing advertiser")</x:f>
        <x:v>Synthetic advertiser 17</x:v>
      </x:c>
      <x:c r="C1212" s="1" t="n">
        <x:f>Source!C1206</x:f>
        <x:v>17</x:v>
      </x:c>
      <x:c r="D1212" s="8" t="n">
        <x:f>Source!D1206/100</x:f>
        <x:v>158.45</x:v>
      </x:c>
      <x:c r="E1212" s="8" t="n">
        <x:f>Source!E1206/100</x:f>
        <x:v>316.9</x:v>
      </x:c>
      <x:c r="F1212" s="8" t="n">
        <x:f>Source!F1206/100</x:f>
        <x:v>0</x:v>
      </x:c>
      <x:c r="G1212" s="8" t="n">
        <x:f>Source!G1206/100</x:f>
        <x:v>316.9</x:v>
      </x:c>
      <x:c r="H1212" s="8" t="n">
        <x:f>G1212-D1212</x:f>
        <x:v>158.45</x:v>
      </x:c>
      <x:c r="I1212" s="1" t="str">
        <x:f>IF(H1212&gt;0,"Overbilled","Shortfall")</x:f>
        <x:v>Overbilled</x:v>
      </x:c>
      <x:c r="J1212" s="7"/>
      <x:c r="K1212" s="7" t="str">
        <x:v>Open</x:v>
      </x:c>
      <x:c r="L1212" s="7"/>
    </x:row>
    <x:row r="1213" ht="21" customHeight="1">
      <x:c r="A1213" s="1" t="str">
        <x:f>Source!A1207</x:f>
        <x:v>C0016186</x:v>
      </x:c>
      <x:c r="B1213" s="1" t="str">
        <x:f>_xlfn.IFNA(VLOOKUP(Source!B1207,Advertisers!$A$5:$B$34,2,FALSE),"Missing advertiser")</x:f>
        <x:v>Synthetic advertiser 17</x:v>
      </x:c>
      <x:c r="C1213" s="1" t="n">
        <x:f>Source!C1207</x:f>
        <x:v>17</x:v>
      </x:c>
      <x:c r="D1213" s="8" t="n">
        <x:f>Source!D1207/100</x:f>
        <x:v>158.45</x:v>
      </x:c>
      <x:c r="E1213" s="8" t="n">
        <x:f>Source!E1207/100</x:f>
        <x:v>316.9</x:v>
      </x:c>
      <x:c r="F1213" s="8" t="n">
        <x:f>Source!F1207/100</x:f>
        <x:v>0</x:v>
      </x:c>
      <x:c r="G1213" s="8" t="n">
        <x:f>Source!G1207/100</x:f>
        <x:v>316.9</x:v>
      </x:c>
      <x:c r="H1213" s="8" t="n">
        <x:f>G1213-D1213</x:f>
        <x:v>158.45</x:v>
      </x:c>
      <x:c r="I1213" s="1" t="str">
        <x:f>IF(H1213&gt;0,"Overbilled","Shortfall")</x:f>
        <x:v>Overbilled</x:v>
      </x:c>
      <x:c r="J1213" s="7"/>
      <x:c r="K1213" s="7" t="str">
        <x:v>Open</x:v>
      </x:c>
      <x:c r="L1213" s="7"/>
    </x:row>
    <x:row r="1214" ht="21" customHeight="1">
      <x:c r="A1214" s="1" t="str">
        <x:f>Source!A1208</x:f>
        <x:v>C0016404</x:v>
      </x:c>
      <x:c r="B1214" s="1" t="str">
        <x:f>_xlfn.IFNA(VLOOKUP(Source!B1208,Advertisers!$A$5:$B$34,2,FALSE),"Missing advertiser")</x:f>
        <x:v>Synthetic advertiser 17</x:v>
      </x:c>
      <x:c r="C1214" s="1" t="n">
        <x:f>Source!C1208</x:f>
        <x:v>17</x:v>
      </x:c>
      <x:c r="D1214" s="8" t="n">
        <x:f>Source!D1208/100</x:f>
        <x:v>158.45</x:v>
      </x:c>
      <x:c r="E1214" s="8" t="n">
        <x:f>Source!E1208/100</x:f>
        <x:v>0</x:v>
      </x:c>
      <x:c r="F1214" s="8" t="n">
        <x:f>Source!F1208/100</x:f>
        <x:v>0</x:v>
      </x:c>
      <x:c r="G1214" s="8" t="n">
        <x:f>Source!G1208/100</x:f>
        <x:v>0</x:v>
      </x:c>
      <x:c r="H1214" s="8" t="n">
        <x:f>G1214-D1214</x:f>
        <x:v>-158.45</x:v>
      </x:c>
      <x:c r="I1214" s="1" t="str">
        <x:f>IF(H1214&gt;0,"Overbilled","Shortfall")</x:f>
        <x:v>Shortfall</x:v>
      </x:c>
      <x:c r="J1214" s="7"/>
      <x:c r="K1214" s="7" t="str">
        <x:v>Open</x:v>
      </x:c>
      <x:c r="L1214" s="7"/>
    </x:row>
    <x:row r="1215" ht="21" customHeight="1">
      <x:c r="A1215" s="1" t="str">
        <x:f>Source!A1209</x:f>
        <x:v>C0011793</x:v>
      </x:c>
      <x:c r="B1215" s="1" t="str">
        <x:f>_xlfn.IFNA(VLOOKUP(Source!B1209,Advertisers!$A$5:$B$34,2,FALSE),"Missing advertiser")</x:f>
        <x:v>Synthetic advertiser 17</x:v>
      </x:c>
      <x:c r="C1215" s="1" t="n">
        <x:f>Source!C1209</x:f>
        <x:v>17</x:v>
      </x:c>
      <x:c r="D1215" s="8" t="n">
        <x:f>Source!D1209/100</x:f>
        <x:v>158.45</x:v>
      </x:c>
      <x:c r="E1215" s="8" t="n">
        <x:f>Source!E1209/100</x:f>
        <x:v>316.9</x:v>
      </x:c>
      <x:c r="F1215" s="8" t="n">
        <x:f>Source!F1209/100</x:f>
        <x:v>0</x:v>
      </x:c>
      <x:c r="G1215" s="8" t="n">
        <x:f>Source!G1209/100</x:f>
        <x:v>316.9</x:v>
      </x:c>
      <x:c r="H1215" s="8" t="n">
        <x:f>G1215-D1215</x:f>
        <x:v>158.45</x:v>
      </x:c>
      <x:c r="I1215" s="1" t="str">
        <x:f>IF(H1215&gt;0,"Overbilled","Shortfall")</x:f>
        <x:v>Overbilled</x:v>
      </x:c>
      <x:c r="J1215" s="7"/>
      <x:c r="K1215" s="7" t="str">
        <x:v>Open</x:v>
      </x:c>
      <x:c r="L1215" s="7"/>
    </x:row>
    <x:row r="1216" ht="21" customHeight="1">
      <x:c r="A1216" s="1" t="str">
        <x:f>Source!A1210</x:f>
        <x:v>C0001569</x:v>
      </x:c>
      <x:c r="B1216" s="1" t="str">
        <x:f>_xlfn.IFNA(VLOOKUP(Source!B1210,Advertisers!$A$5:$B$34,2,FALSE),"Missing advertiser")</x:f>
        <x:v>Synthetic advertiser 17</x:v>
      </x:c>
      <x:c r="C1216" s="1" t="n">
        <x:f>Source!C1210</x:f>
        <x:v>17</x:v>
      </x:c>
      <x:c r="D1216" s="8" t="n">
        <x:f>Source!D1210/100</x:f>
        <x:v>158.45</x:v>
      </x:c>
      <x:c r="E1216" s="8" t="n">
        <x:f>Source!E1210/100</x:f>
        <x:v>0</x:v>
      </x:c>
      <x:c r="F1216" s="8" t="n">
        <x:f>Source!F1210/100</x:f>
        <x:v>0</x:v>
      </x:c>
      <x:c r="G1216" s="8" t="n">
        <x:f>Source!G1210/100</x:f>
        <x:v>0</x:v>
      </x:c>
      <x:c r="H1216" s="8" t="n">
        <x:f>G1216-D1216</x:f>
        <x:v>-158.45</x:v>
      </x:c>
      <x:c r="I1216" s="1" t="str">
        <x:f>IF(H1216&gt;0,"Overbilled","Shortfall")</x:f>
        <x:v>Shortfall</x:v>
      </x:c>
      <x:c r="J1216" s="7"/>
      <x:c r="K1216" s="7" t="str">
        <x:v>Open</x:v>
      </x:c>
      <x:c r="L1216" s="7"/>
    </x:row>
    <x:row r="1217" ht="21" customHeight="1">
      <x:c r="A1217" s="1" t="str">
        <x:f>Source!A1211</x:f>
        <x:v>C0001524</x:v>
      </x:c>
      <x:c r="B1217" s="1" t="str">
        <x:f>_xlfn.IFNA(VLOOKUP(Source!B1211,Advertisers!$A$5:$B$34,2,FALSE),"Missing advertiser")</x:f>
        <x:v>Synthetic advertiser 17</x:v>
      </x:c>
      <x:c r="C1217" s="1" t="n">
        <x:f>Source!C1211</x:f>
        <x:v>17</x:v>
      </x:c>
      <x:c r="D1217" s="8" t="n">
        <x:f>Source!D1211/100</x:f>
        <x:v>158.45</x:v>
      </x:c>
      <x:c r="E1217" s="8" t="n">
        <x:f>Source!E1211/100</x:f>
        <x:v>316.9</x:v>
      </x:c>
      <x:c r="F1217" s="8" t="n">
        <x:f>Source!F1211/100</x:f>
        <x:v>0</x:v>
      </x:c>
      <x:c r="G1217" s="8" t="n">
        <x:f>Source!G1211/100</x:f>
        <x:v>316.9</x:v>
      </x:c>
      <x:c r="H1217" s="8" t="n">
        <x:f>G1217-D1217</x:f>
        <x:v>158.45</x:v>
      </x:c>
      <x:c r="I1217" s="1" t="str">
        <x:f>IF(H1217&gt;0,"Overbilled","Shortfall")</x:f>
        <x:v>Overbilled</x:v>
      </x:c>
      <x:c r="J1217" s="7"/>
      <x:c r="K1217" s="7" t="str">
        <x:v>Open</x:v>
      </x:c>
      <x:c r="L1217" s="7"/>
    </x:row>
    <x:row r="1218" ht="21" customHeight="1">
      <x:c r="A1218" s="1" t="str">
        <x:f>Source!A1212</x:f>
        <x:v>C0017444</x:v>
      </x:c>
      <x:c r="B1218" s="1" t="str">
        <x:f>_xlfn.IFNA(VLOOKUP(Source!B1212,Advertisers!$A$5:$B$34,2,FALSE),"Missing advertiser")</x:f>
        <x:v>Synthetic advertiser 17</x:v>
      </x:c>
      <x:c r="C1218" s="1" t="n">
        <x:f>Source!C1212</x:f>
        <x:v>17</x:v>
      </x:c>
      <x:c r="D1218" s="8" t="n">
        <x:f>Source!D1212/100</x:f>
        <x:v>158.45</x:v>
      </x:c>
      <x:c r="E1218" s="8" t="n">
        <x:f>Source!E1212/100</x:f>
        <x:v>316.9</x:v>
      </x:c>
      <x:c r="F1218" s="8" t="n">
        <x:f>Source!F1212/100</x:f>
        <x:v>0</x:v>
      </x:c>
      <x:c r="G1218" s="8" t="n">
        <x:f>Source!G1212/100</x:f>
        <x:v>316.9</x:v>
      </x:c>
      <x:c r="H1218" s="8" t="n">
        <x:f>G1218-D1218</x:f>
        <x:v>158.45</x:v>
      </x:c>
      <x:c r="I1218" s="1" t="str">
        <x:f>IF(H1218&gt;0,"Overbilled","Shortfall")</x:f>
        <x:v>Overbilled</x:v>
      </x:c>
      <x:c r="J1218" s="7"/>
      <x:c r="K1218" s="7" t="str">
        <x:v>Open</x:v>
      </x:c>
      <x:c r="L1218" s="7"/>
    </x:row>
    <x:row r="1219" ht="21" customHeight="1">
      <x:c r="A1219" s="1" t="str">
        <x:f>Source!A1213</x:f>
        <x:v>C0002209</x:v>
      </x:c>
      <x:c r="B1219" s="1" t="str">
        <x:f>_xlfn.IFNA(VLOOKUP(Source!B1213,Advertisers!$A$5:$B$34,2,FALSE),"Missing advertiser")</x:f>
        <x:v>Synthetic advertiser 17</x:v>
      </x:c>
      <x:c r="C1219" s="1" t="n">
        <x:f>Source!C1213</x:f>
        <x:v>17</x:v>
      </x:c>
      <x:c r="D1219" s="8" t="n">
        <x:f>Source!D1213/100</x:f>
        <x:v>158.45</x:v>
      </x:c>
      <x:c r="E1219" s="8" t="n">
        <x:f>Source!E1213/100</x:f>
        <x:v>316.9</x:v>
      </x:c>
      <x:c r="F1219" s="8" t="n">
        <x:f>Source!F1213/100</x:f>
        <x:v>0</x:v>
      </x:c>
      <x:c r="G1219" s="8" t="n">
        <x:f>Source!G1213/100</x:f>
        <x:v>316.9</x:v>
      </x:c>
      <x:c r="H1219" s="8" t="n">
        <x:f>G1219-D1219</x:f>
        <x:v>158.45</x:v>
      </x:c>
      <x:c r="I1219" s="1" t="str">
        <x:f>IF(H1219&gt;0,"Overbilled","Shortfall")</x:f>
        <x:v>Overbilled</x:v>
      </x:c>
      <x:c r="J1219" s="7"/>
      <x:c r="K1219" s="7" t="str">
        <x:v>Open</x:v>
      </x:c>
      <x:c r="L1219" s="7"/>
    </x:row>
    <x:row r="1220" ht="21" customHeight="1">
      <x:c r="A1220" s="1" t="str">
        <x:f>Source!A1214</x:f>
        <x:v>C0015494</x:v>
      </x:c>
      <x:c r="B1220" s="1" t="str">
        <x:f>_xlfn.IFNA(VLOOKUP(Source!B1214,Advertisers!$A$5:$B$34,2,FALSE),"Missing advertiser")</x:f>
        <x:v>Synthetic advertiser 17</x:v>
      </x:c>
      <x:c r="C1220" s="1" t="n">
        <x:f>Source!C1214</x:f>
        <x:v>17</x:v>
      </x:c>
      <x:c r="D1220" s="8" t="n">
        <x:f>Source!D1214/100</x:f>
        <x:v>158.45</x:v>
      </x:c>
      <x:c r="E1220" s="8" t="n">
        <x:f>Source!E1214/100</x:f>
        <x:v>316.9</x:v>
      </x:c>
      <x:c r="F1220" s="8" t="n">
        <x:f>Source!F1214/100</x:f>
        <x:v>0</x:v>
      </x:c>
      <x:c r="G1220" s="8" t="n">
        <x:f>Source!G1214/100</x:f>
        <x:v>316.9</x:v>
      </x:c>
      <x:c r="H1220" s="8" t="n">
        <x:f>G1220-D1220</x:f>
        <x:v>158.45</x:v>
      </x:c>
      <x:c r="I1220" s="1" t="str">
        <x:f>IF(H1220&gt;0,"Overbilled","Shortfall")</x:f>
        <x:v>Overbilled</x:v>
      </x:c>
      <x:c r="J1220" s="7"/>
      <x:c r="K1220" s="7" t="str">
        <x:v>Open</x:v>
      </x:c>
      <x:c r="L1220" s="7"/>
    </x:row>
    <x:row r="1221" ht="21" customHeight="1">
      <x:c r="A1221" s="1" t="str">
        <x:f>Source!A1215</x:f>
        <x:v>C0005597</x:v>
      </x:c>
      <x:c r="B1221" s="1" t="str">
        <x:f>_xlfn.IFNA(VLOOKUP(Source!B1215,Advertisers!$A$5:$B$34,2,FALSE),"Missing advertiser")</x:f>
        <x:v>Synthetic advertiser 2</x:v>
      </x:c>
      <x:c r="C1221" s="1" t="n">
        <x:f>Source!C1215</x:f>
        <x:v>32</x:v>
      </x:c>
      <x:c r="D1221" s="8" t="n">
        <x:f>Source!D1215/100</x:f>
        <x:v>158.06</x:v>
      </x:c>
      <x:c r="E1221" s="8" t="n">
        <x:f>Source!E1215/100</x:f>
        <x:v>0</x:v>
      </x:c>
      <x:c r="F1221" s="8" t="n">
        <x:f>Source!F1215/100</x:f>
        <x:v>0</x:v>
      </x:c>
      <x:c r="G1221" s="8" t="n">
        <x:f>Source!G1215/100</x:f>
        <x:v>0</x:v>
      </x:c>
      <x:c r="H1221" s="8" t="n">
        <x:f>G1221-D1221</x:f>
        <x:v>-158.06</x:v>
      </x:c>
      <x:c r="I1221" s="1" t="str">
        <x:f>IF(H1221&gt;0,"Overbilled","Shortfall")</x:f>
        <x:v>Shortfall</x:v>
      </x:c>
      <x:c r="J1221" s="7"/>
      <x:c r="K1221" s="7" t="str">
        <x:v>Open</x:v>
      </x:c>
      <x:c r="L1221" s="7"/>
    </x:row>
    <x:row r="1222" ht="21" customHeight="1">
      <x:c r="A1222" s="1" t="str">
        <x:f>Source!A1216</x:f>
        <x:v>C0017052</x:v>
      </x:c>
      <x:c r="B1222" s="1" t="str">
        <x:f>_xlfn.IFNA(VLOOKUP(Source!B1216,Advertisers!$A$5:$B$34,2,FALSE),"Missing advertiser")</x:f>
        <x:v>Synthetic advertiser 2</x:v>
      </x:c>
      <x:c r="C1222" s="1" t="n">
        <x:f>Source!C1216</x:f>
        <x:v>32</x:v>
      </x:c>
      <x:c r="D1222" s="8" t="n">
        <x:f>Source!D1216/100</x:f>
        <x:v>158.06</x:v>
      </x:c>
      <x:c r="E1222" s="8" t="n">
        <x:f>Source!E1216/100</x:f>
        <x:v>0</x:v>
      </x:c>
      <x:c r="F1222" s="8" t="n">
        <x:f>Source!F1216/100</x:f>
        <x:v>0</x:v>
      </x:c>
      <x:c r="G1222" s="8" t="n">
        <x:f>Source!G1216/100</x:f>
        <x:v>0</x:v>
      </x:c>
      <x:c r="H1222" s="8" t="n">
        <x:f>G1222-D1222</x:f>
        <x:v>-158.06</x:v>
      </x:c>
      <x:c r="I1222" s="1" t="str">
        <x:f>IF(H1222&gt;0,"Overbilled","Shortfall")</x:f>
        <x:v>Shortfall</x:v>
      </x:c>
      <x:c r="J1222" s="7"/>
      <x:c r="K1222" s="7" t="str">
        <x:v>Open</x:v>
      </x:c>
      <x:c r="L1222" s="7"/>
    </x:row>
    <x:row r="1223" ht="21" customHeight="1">
      <x:c r="A1223" s="1" t="str">
        <x:f>Source!A1217</x:f>
        <x:v>C0011993</x:v>
      </x:c>
      <x:c r="B1223" s="1" t="str">
        <x:f>_xlfn.IFNA(VLOOKUP(Source!B1217,Advertisers!$A$5:$B$34,2,FALSE),"Missing advertiser")</x:f>
        <x:v>Synthetic advertiser 2</x:v>
      </x:c>
      <x:c r="C1223" s="1" t="n">
        <x:f>Source!C1217</x:f>
        <x:v>32</x:v>
      </x:c>
      <x:c r="D1223" s="8" t="n">
        <x:f>Source!D1217/100</x:f>
        <x:v>158.06</x:v>
      </x:c>
      <x:c r="E1223" s="8" t="n">
        <x:f>Source!E1217/100</x:f>
        <x:v>0</x:v>
      </x:c>
      <x:c r="F1223" s="8" t="n">
        <x:f>Source!F1217/100</x:f>
        <x:v>0</x:v>
      </x:c>
      <x:c r="G1223" s="8" t="n">
        <x:f>Source!G1217/100</x:f>
        <x:v>0</x:v>
      </x:c>
      <x:c r="H1223" s="8" t="n">
        <x:f>G1223-D1223</x:f>
        <x:v>-158.06</x:v>
      </x:c>
      <x:c r="I1223" s="1" t="str">
        <x:f>IF(H1223&gt;0,"Overbilled","Shortfall")</x:f>
        <x:v>Shortfall</x:v>
      </x:c>
      <x:c r="J1223" s="7"/>
      <x:c r="K1223" s="7" t="str">
        <x:v>Open</x:v>
      </x:c>
      <x:c r="L1223" s="7"/>
    </x:row>
    <x:row r="1224" ht="21" customHeight="1">
      <x:c r="A1224" s="1" t="str">
        <x:f>Source!A1218</x:f>
        <x:v>C0014639</x:v>
      </x:c>
      <x:c r="B1224" s="1" t="str">
        <x:f>_xlfn.IFNA(VLOOKUP(Source!B1218,Advertisers!$A$5:$B$34,2,FALSE),"Missing advertiser")</x:f>
        <x:v>Synthetic advertiser 2</x:v>
      </x:c>
      <x:c r="C1224" s="1" t="n">
        <x:f>Source!C1218</x:f>
        <x:v>32</x:v>
      </x:c>
      <x:c r="D1224" s="8" t="n">
        <x:f>Source!D1218/100</x:f>
        <x:v>158.06</x:v>
      </x:c>
      <x:c r="E1224" s="8" t="n">
        <x:f>Source!E1218/100</x:f>
        <x:v>316.12</x:v>
      </x:c>
      <x:c r="F1224" s="8" t="n">
        <x:f>Source!F1218/100</x:f>
        <x:v>0</x:v>
      </x:c>
      <x:c r="G1224" s="8" t="n">
        <x:f>Source!G1218/100</x:f>
        <x:v>316.12</x:v>
      </x:c>
      <x:c r="H1224" s="8" t="n">
        <x:f>G1224-D1224</x:f>
        <x:v>158.06</x:v>
      </x:c>
      <x:c r="I1224" s="1" t="str">
        <x:f>IF(H1224&gt;0,"Overbilled","Shortfall")</x:f>
        <x:v>Overbilled</x:v>
      </x:c>
      <x:c r="J1224" s="7"/>
      <x:c r="K1224" s="7" t="str">
        <x:v>Open</x:v>
      </x:c>
      <x:c r="L1224" s="7"/>
    </x:row>
    <x:row r="1225" ht="21" customHeight="1">
      <x:c r="A1225" s="1" t="str">
        <x:f>Source!A1219</x:f>
        <x:v>C0013283</x:v>
      </x:c>
      <x:c r="B1225" s="1" t="str">
        <x:f>_xlfn.IFNA(VLOOKUP(Source!B1219,Advertisers!$A$5:$B$34,2,FALSE),"Missing advertiser")</x:f>
        <x:v>Synthetic advertiser 2</x:v>
      </x:c>
      <x:c r="C1225" s="1" t="n">
        <x:f>Source!C1219</x:f>
        <x:v>32</x:v>
      </x:c>
      <x:c r="D1225" s="8" t="n">
        <x:f>Source!D1219/100</x:f>
        <x:v>158.06</x:v>
      </x:c>
      <x:c r="E1225" s="8" t="n">
        <x:f>Source!E1219/100</x:f>
        <x:v>0</x:v>
      </x:c>
      <x:c r="F1225" s="8" t="n">
        <x:f>Source!F1219/100</x:f>
        <x:v>0</x:v>
      </x:c>
      <x:c r="G1225" s="8" t="n">
        <x:f>Source!G1219/100</x:f>
        <x:v>0</x:v>
      </x:c>
      <x:c r="H1225" s="8" t="n">
        <x:f>G1225-D1225</x:f>
        <x:v>-158.06</x:v>
      </x:c>
      <x:c r="I1225" s="1" t="str">
        <x:f>IF(H1225&gt;0,"Overbilled","Shortfall")</x:f>
        <x:v>Shortfall</x:v>
      </x:c>
      <x:c r="J1225" s="7"/>
      <x:c r="K1225" s="7" t="str">
        <x:v>Open</x:v>
      </x:c>
      <x:c r="L1225" s="7"/>
    </x:row>
    <x:row r="1226" ht="21" customHeight="1">
      <x:c r="A1226" s="1" t="str">
        <x:f>Source!A1220</x:f>
        <x:v>C0012397</x:v>
      </x:c>
      <x:c r="B1226" s="1" t="str">
        <x:f>_xlfn.IFNA(VLOOKUP(Source!B1220,Advertisers!$A$5:$B$34,2,FALSE),"Missing advertiser")</x:f>
        <x:v>Synthetic advertiser 2</x:v>
      </x:c>
      <x:c r="C1226" s="1" t="n">
        <x:f>Source!C1220</x:f>
        <x:v>32</x:v>
      </x:c>
      <x:c r="D1226" s="8" t="n">
        <x:f>Source!D1220/100</x:f>
        <x:v>158.06</x:v>
      </x:c>
      <x:c r="E1226" s="8" t="n">
        <x:f>Source!E1220/100</x:f>
        <x:v>316.12</x:v>
      </x:c>
      <x:c r="F1226" s="8" t="n">
        <x:f>Source!F1220/100</x:f>
        <x:v>0</x:v>
      </x:c>
      <x:c r="G1226" s="8" t="n">
        <x:f>Source!G1220/100</x:f>
        <x:v>316.12</x:v>
      </x:c>
      <x:c r="H1226" s="8" t="n">
        <x:f>G1226-D1226</x:f>
        <x:v>158.06</x:v>
      </x:c>
      <x:c r="I1226" s="1" t="str">
        <x:f>IF(H1226&gt;0,"Overbilled","Shortfall")</x:f>
        <x:v>Overbilled</x:v>
      </x:c>
      <x:c r="J1226" s="7"/>
      <x:c r="K1226" s="7" t="str">
        <x:v>Open</x:v>
      </x:c>
      <x:c r="L1226" s="7"/>
    </x:row>
    <x:row r="1227" ht="21" customHeight="1">
      <x:c r="A1227" s="1" t="str">
        <x:f>Source!A1221</x:f>
        <x:v>C0009594</x:v>
      </x:c>
      <x:c r="B1227" s="1" t="str">
        <x:f>_xlfn.IFNA(VLOOKUP(Source!B1221,Advertisers!$A$5:$B$34,2,FALSE),"Missing advertiser")</x:f>
        <x:v>Synthetic advertiser 2</x:v>
      </x:c>
      <x:c r="C1227" s="1" t="n">
        <x:f>Source!C1221</x:f>
        <x:v>32</x:v>
      </x:c>
      <x:c r="D1227" s="8" t="n">
        <x:f>Source!D1221/100</x:f>
        <x:v>158.06</x:v>
      </x:c>
      <x:c r="E1227" s="8" t="n">
        <x:f>Source!E1221/100</x:f>
        <x:v>316.12</x:v>
      </x:c>
      <x:c r="F1227" s="8" t="n">
        <x:f>Source!F1221/100</x:f>
        <x:v>0</x:v>
      </x:c>
      <x:c r="G1227" s="8" t="n">
        <x:f>Source!G1221/100</x:f>
        <x:v>316.12</x:v>
      </x:c>
      <x:c r="H1227" s="8" t="n">
        <x:f>G1227-D1227</x:f>
        <x:v>158.06</x:v>
      </x:c>
      <x:c r="I1227" s="1" t="str">
        <x:f>IF(H1227&gt;0,"Overbilled","Shortfall")</x:f>
        <x:v>Overbilled</x:v>
      </x:c>
      <x:c r="J1227" s="7"/>
      <x:c r="K1227" s="7" t="str">
        <x:v>Open</x:v>
      </x:c>
      <x:c r="L1227" s="7"/>
    </x:row>
    <x:row r="1228" ht="21" customHeight="1">
      <x:c r="A1228" s="1" t="str">
        <x:f>Source!A1222</x:f>
        <x:v>C0009306</x:v>
      </x:c>
      <x:c r="B1228" s="1" t="str">
        <x:f>_xlfn.IFNA(VLOOKUP(Source!B1222,Advertisers!$A$5:$B$34,2,FALSE),"Missing advertiser")</x:f>
        <x:v>Synthetic advertiser 29</x:v>
      </x:c>
      <x:c r="C1228" s="1" t="n">
        <x:f>Source!C1222</x:f>
        <x:v>29</x:v>
      </x:c>
      <x:c r="D1228" s="8" t="n">
        <x:f>Source!D1222/100</x:f>
        <x:v>156.15</x:v>
      </x:c>
      <x:c r="E1228" s="8" t="n">
        <x:f>Source!E1222/100</x:f>
        <x:v>312.3</x:v>
      </x:c>
      <x:c r="F1228" s="8" t="n">
        <x:f>Source!F1222/100</x:f>
        <x:v>0</x:v>
      </x:c>
      <x:c r="G1228" s="8" t="n">
        <x:f>Source!G1222/100</x:f>
        <x:v>312.3</x:v>
      </x:c>
      <x:c r="H1228" s="8" t="n">
        <x:f>G1228-D1228</x:f>
        <x:v>156.15</x:v>
      </x:c>
      <x:c r="I1228" s="1" t="str">
        <x:f>IF(H1228&gt;0,"Overbilled","Shortfall")</x:f>
        <x:v>Overbilled</x:v>
      </x:c>
      <x:c r="J1228" s="7"/>
      <x:c r="K1228" s="7" t="str">
        <x:v>Open</x:v>
      </x:c>
      <x:c r="L1228" s="7"/>
    </x:row>
    <x:row r="1229" ht="21" customHeight="1">
      <x:c r="A1229" s="1" t="str">
        <x:f>Source!A1223</x:f>
        <x:v>C0007717</x:v>
      </x:c>
      <x:c r="B1229" s="1" t="str">
        <x:f>_xlfn.IFNA(VLOOKUP(Source!B1223,Advertisers!$A$5:$B$34,2,FALSE),"Missing advertiser")</x:f>
        <x:v>Synthetic advertiser 29</x:v>
      </x:c>
      <x:c r="C1229" s="1" t="n">
        <x:f>Source!C1223</x:f>
        <x:v>29</x:v>
      </x:c>
      <x:c r="D1229" s="8" t="n">
        <x:f>Source!D1223/100</x:f>
        <x:v>156.15</x:v>
      </x:c>
      <x:c r="E1229" s="8" t="n">
        <x:f>Source!E1223/100</x:f>
        <x:v>312.3</x:v>
      </x:c>
      <x:c r="F1229" s="8" t="n">
        <x:f>Source!F1223/100</x:f>
        <x:v>0</x:v>
      </x:c>
      <x:c r="G1229" s="8" t="n">
        <x:f>Source!G1223/100</x:f>
        <x:v>312.3</x:v>
      </x:c>
      <x:c r="H1229" s="8" t="n">
        <x:f>G1229-D1229</x:f>
        <x:v>156.15</x:v>
      </x:c>
      <x:c r="I1229" s="1" t="str">
        <x:f>IF(H1229&gt;0,"Overbilled","Shortfall")</x:f>
        <x:v>Overbilled</x:v>
      </x:c>
      <x:c r="J1229" s="7"/>
      <x:c r="K1229" s="7" t="str">
        <x:v>Open</x:v>
      </x:c>
      <x:c r="L1229" s="7"/>
    </x:row>
    <x:row r="1230" ht="21" customHeight="1">
      <x:c r="A1230" s="1" t="str">
        <x:f>Source!A1224</x:f>
        <x:v>C0003893</x:v>
      </x:c>
      <x:c r="B1230" s="1" t="str">
        <x:f>_xlfn.IFNA(VLOOKUP(Source!B1224,Advertisers!$A$5:$B$34,2,FALSE),"Missing advertiser")</x:f>
        <x:v>Synthetic advertiser 29</x:v>
      </x:c>
      <x:c r="C1230" s="1" t="n">
        <x:f>Source!C1224</x:f>
        <x:v>29</x:v>
      </x:c>
      <x:c r="D1230" s="8" t="n">
        <x:f>Source!D1224/100</x:f>
        <x:v>156.15</x:v>
      </x:c>
      <x:c r="E1230" s="8" t="n">
        <x:f>Source!E1224/100</x:f>
        <x:v>312.3</x:v>
      </x:c>
      <x:c r="F1230" s="8" t="n">
        <x:f>Source!F1224/100</x:f>
        <x:v>0</x:v>
      </x:c>
      <x:c r="G1230" s="8" t="n">
        <x:f>Source!G1224/100</x:f>
        <x:v>312.3</x:v>
      </x:c>
      <x:c r="H1230" s="8" t="n">
        <x:f>G1230-D1230</x:f>
        <x:v>156.15</x:v>
      </x:c>
      <x:c r="I1230" s="1" t="str">
        <x:f>IF(H1230&gt;0,"Overbilled","Shortfall")</x:f>
        <x:v>Overbilled</x:v>
      </x:c>
      <x:c r="J1230" s="7"/>
      <x:c r="K1230" s="7" t="str">
        <x:v>Open</x:v>
      </x:c>
      <x:c r="L1230" s="7"/>
    </x:row>
    <x:row r="1231" ht="21" customHeight="1">
      <x:c r="A1231" s="1" t="str">
        <x:f>Source!A1225</x:f>
        <x:v>C0010533</x:v>
      </x:c>
      <x:c r="B1231" s="1" t="str">
        <x:f>_xlfn.IFNA(VLOOKUP(Source!B1225,Advertisers!$A$5:$B$34,2,FALSE),"Missing advertiser")</x:f>
        <x:v>Synthetic advertiser 29</x:v>
      </x:c>
      <x:c r="C1231" s="1" t="n">
        <x:f>Source!C1225</x:f>
        <x:v>29</x:v>
      </x:c>
      <x:c r="D1231" s="8" t="n">
        <x:f>Source!D1225/100</x:f>
        <x:v>156.15</x:v>
      </x:c>
      <x:c r="E1231" s="8" t="n">
        <x:f>Source!E1225/100</x:f>
        <x:v>0</x:v>
      </x:c>
      <x:c r="F1231" s="8" t="n">
        <x:f>Source!F1225/100</x:f>
        <x:v>0</x:v>
      </x:c>
      <x:c r="G1231" s="8" t="n">
        <x:f>Source!G1225/100</x:f>
        <x:v>0</x:v>
      </x:c>
      <x:c r="H1231" s="8" t="n">
        <x:f>G1231-D1231</x:f>
        <x:v>-156.15</x:v>
      </x:c>
      <x:c r="I1231" s="1" t="str">
        <x:f>IF(H1231&gt;0,"Overbilled","Shortfall")</x:f>
        <x:v>Shortfall</x:v>
      </x:c>
      <x:c r="J1231" s="7"/>
      <x:c r="K1231" s="7" t="str">
        <x:v>Open</x:v>
      </x:c>
      <x:c r="L1231" s="7"/>
    </x:row>
    <x:row r="1232" ht="21" customHeight="1">
      <x:c r="A1232" s="1" t="str">
        <x:f>Source!A1226</x:f>
        <x:v>C0017543</x:v>
      </x:c>
      <x:c r="B1232" s="1" t="str">
        <x:f>_xlfn.IFNA(VLOOKUP(Source!B1226,Advertisers!$A$5:$B$34,2,FALSE),"Missing advertiser")</x:f>
        <x:v>Synthetic advertiser 29</x:v>
      </x:c>
      <x:c r="C1232" s="1" t="n">
        <x:f>Source!C1226</x:f>
        <x:v>29</x:v>
      </x:c>
      <x:c r="D1232" s="8" t="n">
        <x:f>Source!D1226/100</x:f>
        <x:v>156.15</x:v>
      </x:c>
      <x:c r="E1232" s="8" t="n">
        <x:f>Source!E1226/100</x:f>
        <x:v>0</x:v>
      </x:c>
      <x:c r="F1232" s="8" t="n">
        <x:f>Source!F1226/100</x:f>
        <x:v>0</x:v>
      </x:c>
      <x:c r="G1232" s="8" t="n">
        <x:f>Source!G1226/100</x:f>
        <x:v>0</x:v>
      </x:c>
      <x:c r="H1232" s="8" t="n">
        <x:f>G1232-D1232</x:f>
        <x:v>-156.15</x:v>
      </x:c>
      <x:c r="I1232" s="1" t="str">
        <x:f>IF(H1232&gt;0,"Overbilled","Shortfall")</x:f>
        <x:v>Shortfall</x:v>
      </x:c>
      <x:c r="J1232" s="7"/>
      <x:c r="K1232" s="7" t="str">
        <x:v>Open</x:v>
      </x:c>
      <x:c r="L1232" s="7"/>
    </x:row>
    <x:row r="1233" ht="21" customHeight="1">
      <x:c r="A1233" s="1" t="str">
        <x:f>Source!A1227</x:f>
        <x:v>C0015495</x:v>
      </x:c>
      <x:c r="B1233" s="1" t="str">
        <x:f>_xlfn.IFNA(VLOOKUP(Source!B1227,Advertisers!$A$5:$B$34,2,FALSE),"Missing advertiser")</x:f>
        <x:v>Synthetic advertiser 29</x:v>
      </x:c>
      <x:c r="C1233" s="1" t="n">
        <x:f>Source!C1227</x:f>
        <x:v>29</x:v>
      </x:c>
      <x:c r="D1233" s="8" t="n">
        <x:f>Source!D1227/100</x:f>
        <x:v>0</x:v>
      </x:c>
      <x:c r="E1233" s="8" t="n">
        <x:f>Source!E1227/100</x:f>
        <x:v>156.15</x:v>
      </x:c>
      <x:c r="F1233" s="8" t="n">
        <x:f>Source!F1227/100</x:f>
        <x:v>0</x:v>
      </x:c>
      <x:c r="G1233" s="8" t="n">
        <x:f>Source!G1227/100</x:f>
        <x:v>156.15</x:v>
      </x:c>
      <x:c r="H1233" s="8" t="n">
        <x:f>G1233-D1233</x:f>
        <x:v>156.15</x:v>
      </x:c>
      <x:c r="I1233" s="1" t="str">
        <x:f>IF(H1233&gt;0,"Overbilled","Shortfall")</x:f>
        <x:v>Overbilled</x:v>
      </x:c>
      <x:c r="J1233" s="7"/>
      <x:c r="K1233" s="7" t="str">
        <x:v>Open</x:v>
      </x:c>
      <x:c r="L1233" s="7"/>
    </x:row>
    <x:row r="1234" ht="21" customHeight="1">
      <x:c r="A1234" s="1" t="str">
        <x:f>Source!A1228</x:f>
        <x:v>C0013331</x:v>
      </x:c>
      <x:c r="B1234" s="1" t="str">
        <x:f>_xlfn.IFNA(VLOOKUP(Source!B1228,Advertisers!$A$5:$B$34,2,FALSE),"Missing advertiser")</x:f>
        <x:v>Synthetic advertiser 17</x:v>
      </x:c>
      <x:c r="C1234" s="1" t="n">
        <x:f>Source!C1228</x:f>
        <x:v>77</x:v>
      </x:c>
      <x:c r="D1234" s="8" t="n">
        <x:f>Source!D1228/100</x:f>
        <x:v>156.12</x:v>
      </x:c>
      <x:c r="E1234" s="8" t="n">
        <x:f>Source!E1228/100</x:f>
        <x:v>312.24</x:v>
      </x:c>
      <x:c r="F1234" s="8" t="n">
        <x:f>Source!F1228/100</x:f>
        <x:v>0</x:v>
      </x:c>
      <x:c r="G1234" s="8" t="n">
        <x:f>Source!G1228/100</x:f>
        <x:v>312.24</x:v>
      </x:c>
      <x:c r="H1234" s="8" t="n">
        <x:f>G1234-D1234</x:f>
        <x:v>156.12</x:v>
      </x:c>
      <x:c r="I1234" s="1" t="str">
        <x:f>IF(H1234&gt;0,"Overbilled","Shortfall")</x:f>
        <x:v>Overbilled</x:v>
      </x:c>
      <x:c r="J1234" s="7"/>
      <x:c r="K1234" s="7" t="str">
        <x:v>Open</x:v>
      </x:c>
      <x:c r="L1234" s="7"/>
    </x:row>
    <x:row r="1235" ht="21" customHeight="1">
      <x:c r="A1235" s="1" t="str">
        <x:f>Source!A1229</x:f>
        <x:v>C0015552</x:v>
      </x:c>
      <x:c r="B1235" s="1" t="str">
        <x:f>_xlfn.IFNA(VLOOKUP(Source!B1229,Advertisers!$A$5:$B$34,2,FALSE),"Missing advertiser")</x:f>
        <x:v>Synthetic advertiser 17</x:v>
      </x:c>
      <x:c r="C1235" s="1" t="n">
        <x:f>Source!C1229</x:f>
        <x:v>77</x:v>
      </x:c>
      <x:c r="D1235" s="8" t="n">
        <x:f>Source!D1229/100</x:f>
        <x:v>156.12</x:v>
      </x:c>
      <x:c r="E1235" s="8" t="n">
        <x:f>Source!E1229/100</x:f>
        <x:v>0</x:v>
      </x:c>
      <x:c r="F1235" s="8" t="n">
        <x:f>Source!F1229/100</x:f>
        <x:v>0</x:v>
      </x:c>
      <x:c r="G1235" s="8" t="n">
        <x:f>Source!G1229/100</x:f>
        <x:v>0</x:v>
      </x:c>
      <x:c r="H1235" s="8" t="n">
        <x:f>G1235-D1235</x:f>
        <x:v>-156.12</x:v>
      </x:c>
      <x:c r="I1235" s="1" t="str">
        <x:f>IF(H1235&gt;0,"Overbilled","Shortfall")</x:f>
        <x:v>Shortfall</x:v>
      </x:c>
      <x:c r="J1235" s="7"/>
      <x:c r="K1235" s="7" t="str">
        <x:v>Open</x:v>
      </x:c>
      <x:c r="L1235" s="7"/>
    </x:row>
    <x:row r="1236" ht="21" customHeight="1">
      <x:c r="A1236" s="1" t="str">
        <x:f>Source!A1230</x:f>
        <x:v>C0000229</x:v>
      </x:c>
      <x:c r="B1236" s="1" t="str">
        <x:f>_xlfn.IFNA(VLOOKUP(Source!B1230,Advertisers!$A$5:$B$34,2,FALSE),"Missing advertiser")</x:f>
        <x:v>Synthetic advertiser 17</x:v>
      </x:c>
      <x:c r="C1236" s="1" t="n">
        <x:f>Source!C1230</x:f>
        <x:v>77</x:v>
      </x:c>
      <x:c r="D1236" s="8" t="n">
        <x:f>Source!D1230/100</x:f>
        <x:v>156.12</x:v>
      </x:c>
      <x:c r="E1236" s="8" t="n">
        <x:f>Source!E1230/100</x:f>
        <x:v>0</x:v>
      </x:c>
      <x:c r="F1236" s="8" t="n">
        <x:f>Source!F1230/100</x:f>
        <x:v>0</x:v>
      </x:c>
      <x:c r="G1236" s="8" t="n">
        <x:f>Source!G1230/100</x:f>
        <x:v>0</x:v>
      </x:c>
      <x:c r="H1236" s="8" t="n">
        <x:f>G1236-D1236</x:f>
        <x:v>-156.12</x:v>
      </x:c>
      <x:c r="I1236" s="1" t="str">
        <x:f>IF(H1236&gt;0,"Overbilled","Shortfall")</x:f>
        <x:v>Shortfall</x:v>
      </x:c>
      <x:c r="J1236" s="7"/>
      <x:c r="K1236" s="7" t="str">
        <x:v>Open</x:v>
      </x:c>
      <x:c r="L1236" s="7"/>
    </x:row>
    <x:row r="1237" ht="21" customHeight="1">
      <x:c r="A1237" s="1" t="str">
        <x:f>Source!A1231</x:f>
        <x:v>C0017641</x:v>
      </x:c>
      <x:c r="B1237" s="1" t="str">
        <x:f>_xlfn.IFNA(VLOOKUP(Source!B1231,Advertisers!$A$5:$B$34,2,FALSE),"Missing advertiser")</x:f>
        <x:v>Synthetic advertiser 17</x:v>
      </x:c>
      <x:c r="C1237" s="1" t="n">
        <x:f>Source!C1231</x:f>
        <x:v>77</x:v>
      </x:c>
      <x:c r="D1237" s="8" t="n">
        <x:f>Source!D1231/100</x:f>
        <x:v>156.12</x:v>
      </x:c>
      <x:c r="E1237" s="8" t="n">
        <x:f>Source!E1231/100</x:f>
        <x:v>0</x:v>
      </x:c>
      <x:c r="F1237" s="8" t="n">
        <x:f>Source!F1231/100</x:f>
        <x:v>0</x:v>
      </x:c>
      <x:c r="G1237" s="8" t="n">
        <x:f>Source!G1231/100</x:f>
        <x:v>0</x:v>
      </x:c>
      <x:c r="H1237" s="8" t="n">
        <x:f>G1237-D1237</x:f>
        <x:v>-156.12</x:v>
      </x:c>
      <x:c r="I1237" s="1" t="str">
        <x:f>IF(H1237&gt;0,"Overbilled","Shortfall")</x:f>
        <x:v>Shortfall</x:v>
      </x:c>
      <x:c r="J1237" s="7"/>
      <x:c r="K1237" s="7" t="str">
        <x:v>Open</x:v>
      </x:c>
      <x:c r="L1237" s="7"/>
    </x:row>
    <x:row r="1238" ht="21" customHeight="1">
      <x:c r="A1238" s="1" t="str">
        <x:f>Source!A1232</x:f>
        <x:v>C0013910</x:v>
      </x:c>
      <x:c r="B1238" s="1" t="str">
        <x:f>_xlfn.IFNA(VLOOKUP(Source!B1232,Advertisers!$A$5:$B$34,2,FALSE),"Missing advertiser")</x:f>
        <x:v>Synthetic advertiser 17</x:v>
      </x:c>
      <x:c r="C1238" s="1" t="n">
        <x:f>Source!C1232</x:f>
        <x:v>77</x:v>
      </x:c>
      <x:c r="D1238" s="8" t="n">
        <x:f>Source!D1232/100</x:f>
        <x:v>156.12</x:v>
      </x:c>
      <x:c r="E1238" s="8" t="n">
        <x:f>Source!E1232/100</x:f>
        <x:v>312.24</x:v>
      </x:c>
      <x:c r="F1238" s="8" t="n">
        <x:f>Source!F1232/100</x:f>
        <x:v>0</x:v>
      </x:c>
      <x:c r="G1238" s="8" t="n">
        <x:f>Source!G1232/100</x:f>
        <x:v>312.24</x:v>
      </x:c>
      <x:c r="H1238" s="8" t="n">
        <x:f>G1238-D1238</x:f>
        <x:v>156.12</x:v>
      </x:c>
      <x:c r="I1238" s="1" t="str">
        <x:f>IF(H1238&gt;0,"Overbilled","Shortfall")</x:f>
        <x:v>Overbilled</x:v>
      </x:c>
      <x:c r="J1238" s="7"/>
      <x:c r="K1238" s="7" t="str">
        <x:v>Open</x:v>
      </x:c>
      <x:c r="L1238" s="7"/>
    </x:row>
    <x:row r="1239" ht="21" customHeight="1">
      <x:c r="A1239" s="1" t="str">
        <x:f>Source!A1233</x:f>
        <x:v>C0005979</x:v>
      </x:c>
      <x:c r="B1239" s="1" t="str">
        <x:f>_xlfn.IFNA(VLOOKUP(Source!B1233,Advertisers!$A$5:$B$34,2,FALSE),"Missing advertiser")</x:f>
        <x:v>Synthetic advertiser 17</x:v>
      </x:c>
      <x:c r="C1239" s="1" t="n">
        <x:f>Source!C1233</x:f>
        <x:v>77</x:v>
      </x:c>
      <x:c r="D1239" s="8" t="n">
        <x:f>Source!D1233/100</x:f>
        <x:v>156.12</x:v>
      </x:c>
      <x:c r="E1239" s="8" t="n">
        <x:f>Source!E1233/100</x:f>
        <x:v>0</x:v>
      </x:c>
      <x:c r="F1239" s="8" t="n">
        <x:f>Source!F1233/100</x:f>
        <x:v>0</x:v>
      </x:c>
      <x:c r="G1239" s="8" t="n">
        <x:f>Source!G1233/100</x:f>
        <x:v>0</x:v>
      </x:c>
      <x:c r="H1239" s="8" t="n">
        <x:f>G1239-D1239</x:f>
        <x:v>-156.12</x:v>
      </x:c>
      <x:c r="I1239" s="1" t="str">
        <x:f>IF(H1239&gt;0,"Overbilled","Shortfall")</x:f>
        <x:v>Shortfall</x:v>
      </x:c>
      <x:c r="J1239" s="7"/>
      <x:c r="K1239" s="7" t="str">
        <x:v>Open</x:v>
      </x:c>
      <x:c r="L1239" s="7"/>
    </x:row>
    <x:row r="1240" ht="21" customHeight="1">
      <x:c r="A1240" s="1" t="str">
        <x:f>Source!A1234</x:f>
        <x:v>C0006601</x:v>
      </x:c>
      <x:c r="B1240" s="1" t="str">
        <x:f>_xlfn.IFNA(VLOOKUP(Source!B1234,Advertisers!$A$5:$B$34,2,FALSE),"Missing advertiser")</x:f>
        <x:v>Synthetic advertiser 17</x:v>
      </x:c>
      <x:c r="C1240" s="1" t="n">
        <x:f>Source!C1234</x:f>
        <x:v>77</x:v>
      </x:c>
      <x:c r="D1240" s="8" t="n">
        <x:f>Source!D1234/100</x:f>
        <x:v>156.12</x:v>
      </x:c>
      <x:c r="E1240" s="8" t="n">
        <x:f>Source!E1234/100</x:f>
        <x:v>0</x:v>
      </x:c>
      <x:c r="F1240" s="8" t="n">
        <x:f>Source!F1234/100</x:f>
        <x:v>0</x:v>
      </x:c>
      <x:c r="G1240" s="8" t="n">
        <x:f>Source!G1234/100</x:f>
        <x:v>0</x:v>
      </x:c>
      <x:c r="H1240" s="8" t="n">
        <x:f>G1240-D1240</x:f>
        <x:v>-156.12</x:v>
      </x:c>
      <x:c r="I1240" s="1" t="str">
        <x:f>IF(H1240&gt;0,"Overbilled","Shortfall")</x:f>
        <x:v>Shortfall</x:v>
      </x:c>
      <x:c r="J1240" s="7"/>
      <x:c r="K1240" s="7" t="str">
        <x:v>Open</x:v>
      </x:c>
      <x:c r="L1240" s="7"/>
    </x:row>
    <x:row r="1241" ht="21" customHeight="1">
      <x:c r="A1241" s="1" t="str">
        <x:f>Source!A1235</x:f>
        <x:v>C0004881</x:v>
      </x:c>
      <x:c r="B1241" s="1" t="str">
        <x:f>_xlfn.IFNA(VLOOKUP(Source!B1235,Advertisers!$A$5:$B$34,2,FALSE),"Missing advertiser")</x:f>
        <x:v>Synthetic advertiser 17</x:v>
      </x:c>
      <x:c r="C1241" s="1" t="n">
        <x:f>Source!C1235</x:f>
        <x:v>77</x:v>
      </x:c>
      <x:c r="D1241" s="8" t="n">
        <x:f>Source!D1235/100</x:f>
        <x:v>156.12</x:v>
      </x:c>
      <x:c r="E1241" s="8" t="n">
        <x:f>Source!E1235/100</x:f>
        <x:v>312.24</x:v>
      </x:c>
      <x:c r="F1241" s="8" t="n">
        <x:f>Source!F1235/100</x:f>
        <x:v>0</x:v>
      </x:c>
      <x:c r="G1241" s="8" t="n">
        <x:f>Source!G1235/100</x:f>
        <x:v>312.24</x:v>
      </x:c>
      <x:c r="H1241" s="8" t="n">
        <x:f>G1241-D1241</x:f>
        <x:v>156.12</x:v>
      </x:c>
      <x:c r="I1241" s="1" t="str">
        <x:f>IF(H1241&gt;0,"Overbilled","Shortfall")</x:f>
        <x:v>Overbilled</x:v>
      </x:c>
      <x:c r="J1241" s="7"/>
      <x:c r="K1241" s="7" t="str">
        <x:v>Open</x:v>
      </x:c>
      <x:c r="L1241" s="7"/>
    </x:row>
    <x:row r="1242" ht="21" customHeight="1">
      <x:c r="A1242" s="1" t="str">
        <x:f>Source!A1236</x:f>
        <x:v>C0015613</x:v>
      </x:c>
      <x:c r="B1242" s="1" t="str">
        <x:f>_xlfn.IFNA(VLOOKUP(Source!B1236,Advertisers!$A$5:$B$34,2,FALSE),"Missing advertiser")</x:f>
        <x:v>Synthetic advertiser 17</x:v>
      </x:c>
      <x:c r="C1242" s="1" t="n">
        <x:f>Source!C1236</x:f>
        <x:v>77</x:v>
      </x:c>
      <x:c r="D1242" s="8" t="n">
        <x:f>Source!D1236/100</x:f>
        <x:v>156.12</x:v>
      </x:c>
      <x:c r="E1242" s="8" t="n">
        <x:f>Source!E1236/100</x:f>
        <x:v>0</x:v>
      </x:c>
      <x:c r="F1242" s="8" t="n">
        <x:f>Source!F1236/100</x:f>
        <x:v>0</x:v>
      </x:c>
      <x:c r="G1242" s="8" t="n">
        <x:f>Source!G1236/100</x:f>
        <x:v>0</x:v>
      </x:c>
      <x:c r="H1242" s="8" t="n">
        <x:f>G1242-D1242</x:f>
        <x:v>-156.12</x:v>
      </x:c>
      <x:c r="I1242" s="1" t="str">
        <x:f>IF(H1242&gt;0,"Overbilled","Shortfall")</x:f>
        <x:v>Shortfall</x:v>
      </x:c>
      <x:c r="J1242" s="7"/>
      <x:c r="K1242" s="7" t="str">
        <x:v>Open</x:v>
      </x:c>
      <x:c r="L1242" s="7"/>
    </x:row>
    <x:row r="1243" ht="21" customHeight="1">
      <x:c r="A1243" s="1" t="str">
        <x:f>Source!A1237</x:f>
        <x:v>C0007457</x:v>
      </x:c>
      <x:c r="B1243" s="1" t="str">
        <x:f>_xlfn.IFNA(VLOOKUP(Source!B1237,Advertisers!$A$5:$B$34,2,FALSE),"Missing advertiser")</x:f>
        <x:v>Synthetic advertiser 17</x:v>
      </x:c>
      <x:c r="C1243" s="1" t="n">
        <x:f>Source!C1237</x:f>
        <x:v>77</x:v>
      </x:c>
      <x:c r="D1243" s="8" t="n">
        <x:f>Source!D1237/100</x:f>
        <x:v>156.12</x:v>
      </x:c>
      <x:c r="E1243" s="8" t="n">
        <x:f>Source!E1237/100</x:f>
        <x:v>312.24</x:v>
      </x:c>
      <x:c r="F1243" s="8" t="n">
        <x:f>Source!F1237/100</x:f>
        <x:v>0</x:v>
      </x:c>
      <x:c r="G1243" s="8" t="n">
        <x:f>Source!G1237/100</x:f>
        <x:v>312.24</x:v>
      </x:c>
      <x:c r="H1243" s="8" t="n">
        <x:f>G1243-D1243</x:f>
        <x:v>156.12</x:v>
      </x:c>
      <x:c r="I1243" s="1" t="str">
        <x:f>IF(H1243&gt;0,"Overbilled","Shortfall")</x:f>
        <x:v>Overbilled</x:v>
      </x:c>
      <x:c r="J1243" s="7"/>
      <x:c r="K1243" s="7" t="str">
        <x:v>Open</x:v>
      </x:c>
      <x:c r="L1243" s="7"/>
    </x:row>
    <x:row r="1244" ht="21" customHeight="1">
      <x:c r="A1244" s="1" t="str">
        <x:f>Source!A1238</x:f>
        <x:v>C0014781</x:v>
      </x:c>
      <x:c r="B1244" s="1" t="str">
        <x:f>_xlfn.IFNA(VLOOKUP(Source!B1238,Advertisers!$A$5:$B$34,2,FALSE),"Missing advertiser")</x:f>
        <x:v>Synthetic advertiser 18</x:v>
      </x:c>
      <x:c r="C1244" s="1" t="n">
        <x:f>Source!C1238</x:f>
        <x:v>18</x:v>
      </x:c>
      <x:c r="D1244" s="8" t="n">
        <x:f>Source!D1238/100</x:f>
        <x:v>156.1</x:v>
      </x:c>
      <x:c r="E1244" s="8" t="n">
        <x:f>Source!E1238/100</x:f>
        <x:v>0</x:v>
      </x:c>
      <x:c r="F1244" s="8" t="n">
        <x:f>Source!F1238/100</x:f>
        <x:v>0</x:v>
      </x:c>
      <x:c r="G1244" s="8" t="n">
        <x:f>Source!G1238/100</x:f>
        <x:v>0</x:v>
      </x:c>
      <x:c r="H1244" s="8" t="n">
        <x:f>G1244-D1244</x:f>
        <x:v>-156.1</x:v>
      </x:c>
      <x:c r="I1244" s="1" t="str">
        <x:f>IF(H1244&gt;0,"Overbilled","Shortfall")</x:f>
        <x:v>Shortfall</x:v>
      </x:c>
      <x:c r="J1244" s="7"/>
      <x:c r="K1244" s="7" t="str">
        <x:v>Open</x:v>
      </x:c>
      <x:c r="L1244" s="7"/>
    </x:row>
    <x:row r="1245" ht="21" customHeight="1">
      <x:c r="A1245" s="1" t="str">
        <x:f>Source!A1239</x:f>
        <x:v>C0012540</x:v>
      </x:c>
      <x:c r="B1245" s="1" t="str">
        <x:f>_xlfn.IFNA(VLOOKUP(Source!B1239,Advertisers!$A$5:$B$34,2,FALSE),"Missing advertiser")</x:f>
        <x:v>Synthetic advertiser 18</x:v>
      </x:c>
      <x:c r="C1245" s="1" t="n">
        <x:f>Source!C1239</x:f>
        <x:v>18</x:v>
      </x:c>
      <x:c r="D1245" s="8" t="n">
        <x:f>Source!D1239/100</x:f>
        <x:v>156.1</x:v>
      </x:c>
      <x:c r="E1245" s="8" t="n">
        <x:f>Source!E1239/100</x:f>
        <x:v>0</x:v>
      </x:c>
      <x:c r="F1245" s="8" t="n">
        <x:f>Source!F1239/100</x:f>
        <x:v>0</x:v>
      </x:c>
      <x:c r="G1245" s="8" t="n">
        <x:f>Source!G1239/100</x:f>
        <x:v>0</x:v>
      </x:c>
      <x:c r="H1245" s="8" t="n">
        <x:f>G1245-D1245</x:f>
        <x:v>-156.1</x:v>
      </x:c>
      <x:c r="I1245" s="1" t="str">
        <x:f>IF(H1245&gt;0,"Overbilled","Shortfall")</x:f>
        <x:v>Shortfall</x:v>
      </x:c>
      <x:c r="J1245" s="7"/>
      <x:c r="K1245" s="7" t="str">
        <x:v>Open</x:v>
      </x:c>
      <x:c r="L1245" s="7"/>
    </x:row>
    <x:row r="1246" ht="21" customHeight="1">
      <x:c r="A1246" s="1" t="str">
        <x:f>Source!A1240</x:f>
        <x:v>C0004389</x:v>
      </x:c>
      <x:c r="B1246" s="1" t="str">
        <x:f>_xlfn.IFNA(VLOOKUP(Source!B1240,Advertisers!$A$5:$B$34,2,FALSE),"Missing advertiser")</x:f>
        <x:v>Synthetic advertiser 18</x:v>
      </x:c>
      <x:c r="C1246" s="1" t="n">
        <x:f>Source!C1240</x:f>
        <x:v>18</x:v>
      </x:c>
      <x:c r="D1246" s="8" t="n">
        <x:f>Source!D1240/100</x:f>
        <x:v>156.1</x:v>
      </x:c>
      <x:c r="E1246" s="8" t="n">
        <x:f>Source!E1240/100</x:f>
        <x:v>312.2</x:v>
      </x:c>
      <x:c r="F1246" s="8" t="n">
        <x:f>Source!F1240/100</x:f>
        <x:v>0</x:v>
      </x:c>
      <x:c r="G1246" s="8" t="n">
        <x:f>Source!G1240/100</x:f>
        <x:v>312.2</x:v>
      </x:c>
      <x:c r="H1246" s="8" t="n">
        <x:f>G1246-D1246</x:f>
        <x:v>156.1</x:v>
      </x:c>
      <x:c r="I1246" s="1" t="str">
        <x:f>IF(H1246&gt;0,"Overbilled","Shortfall")</x:f>
        <x:v>Overbilled</x:v>
      </x:c>
      <x:c r="J1246" s="7"/>
      <x:c r="K1246" s="7" t="str">
        <x:v>Open</x:v>
      </x:c>
      <x:c r="L1246" s="7"/>
    </x:row>
    <x:row r="1247" ht="21" customHeight="1">
      <x:c r="A1247" s="1" t="str">
        <x:f>Source!A1241</x:f>
        <x:v>C0009158</x:v>
      </x:c>
      <x:c r="B1247" s="1" t="str">
        <x:f>_xlfn.IFNA(VLOOKUP(Source!B1241,Advertisers!$A$5:$B$34,2,FALSE),"Missing advertiser")</x:f>
        <x:v>Synthetic advertiser 18</x:v>
      </x:c>
      <x:c r="C1247" s="1" t="n">
        <x:f>Source!C1241</x:f>
        <x:v>18</x:v>
      </x:c>
      <x:c r="D1247" s="8" t="n">
        <x:f>Source!D1241/100</x:f>
        <x:v>156.1</x:v>
      </x:c>
      <x:c r="E1247" s="8" t="n">
        <x:f>Source!E1241/100</x:f>
        <x:v>0</x:v>
      </x:c>
      <x:c r="F1247" s="8" t="n">
        <x:f>Source!F1241/100</x:f>
        <x:v>0</x:v>
      </x:c>
      <x:c r="G1247" s="8" t="n">
        <x:f>Source!G1241/100</x:f>
        <x:v>0</x:v>
      </x:c>
      <x:c r="H1247" s="8" t="n">
        <x:f>G1247-D1247</x:f>
        <x:v>-156.1</x:v>
      </x:c>
      <x:c r="I1247" s="1" t="str">
        <x:f>IF(H1247&gt;0,"Overbilled","Shortfall")</x:f>
        <x:v>Shortfall</x:v>
      </x:c>
      <x:c r="J1247" s="7"/>
      <x:c r="K1247" s="7" t="str">
        <x:v>Open</x:v>
      </x:c>
      <x:c r="L1247" s="7"/>
    </x:row>
    <x:row r="1248" ht="21" customHeight="1">
      <x:c r="A1248" s="1" t="str">
        <x:f>Source!A1242</x:f>
        <x:v>C0009462</x:v>
      </x:c>
      <x:c r="B1248" s="1" t="str">
        <x:f>_xlfn.IFNA(VLOOKUP(Source!B1242,Advertisers!$A$5:$B$34,2,FALSE),"Missing advertiser")</x:f>
        <x:v>Synthetic advertiser 18</x:v>
      </x:c>
      <x:c r="C1248" s="1" t="n">
        <x:f>Source!C1242</x:f>
        <x:v>18</x:v>
      </x:c>
      <x:c r="D1248" s="8" t="n">
        <x:f>Source!D1242/100</x:f>
        <x:v>156.1</x:v>
      </x:c>
      <x:c r="E1248" s="8" t="n">
        <x:f>Source!E1242/100</x:f>
        <x:v>312.2</x:v>
      </x:c>
      <x:c r="F1248" s="8" t="n">
        <x:f>Source!F1242/100</x:f>
        <x:v>0</x:v>
      </x:c>
      <x:c r="G1248" s="8" t="n">
        <x:f>Source!G1242/100</x:f>
        <x:v>312.2</x:v>
      </x:c>
      <x:c r="H1248" s="8" t="n">
        <x:f>G1248-D1248</x:f>
        <x:v>156.1</x:v>
      </x:c>
      <x:c r="I1248" s="1" t="str">
        <x:f>IF(H1248&gt;0,"Overbilled","Shortfall")</x:f>
        <x:v>Overbilled</x:v>
      </x:c>
      <x:c r="J1248" s="7"/>
      <x:c r="K1248" s="7" t="str">
        <x:v>Open</x:v>
      </x:c>
      <x:c r="L1248" s="7"/>
    </x:row>
    <x:row r="1249" ht="21" customHeight="1">
      <x:c r="A1249" s="1" t="str">
        <x:f>Source!A1243</x:f>
        <x:v>C0014108</x:v>
      </x:c>
      <x:c r="B1249" s="1" t="str">
        <x:f>_xlfn.IFNA(VLOOKUP(Source!B1243,Advertisers!$A$5:$B$34,2,FALSE),"Missing advertiser")</x:f>
        <x:v>Synthetic advertiser 18</x:v>
      </x:c>
      <x:c r="C1249" s="1" t="n">
        <x:f>Source!C1243</x:f>
        <x:v>18</x:v>
      </x:c>
      <x:c r="D1249" s="8" t="n">
        <x:f>Source!D1243/100</x:f>
        <x:v>156.1</x:v>
      </x:c>
      <x:c r="E1249" s="8" t="n">
        <x:f>Source!E1243/100</x:f>
        <x:v>0</x:v>
      </x:c>
      <x:c r="F1249" s="8" t="n">
        <x:f>Source!F1243/100</x:f>
        <x:v>0</x:v>
      </x:c>
      <x:c r="G1249" s="8" t="n">
        <x:f>Source!G1243/100</x:f>
        <x:v>0</x:v>
      </x:c>
      <x:c r="H1249" s="8" t="n">
        <x:f>G1249-D1249</x:f>
        <x:v>-156.1</x:v>
      </x:c>
      <x:c r="I1249" s="1" t="str">
        <x:f>IF(H1249&gt;0,"Overbilled","Shortfall")</x:f>
        <x:v>Shortfall</x:v>
      </x:c>
      <x:c r="J1249" s="7"/>
      <x:c r="K1249" s="7" t="str">
        <x:v>Open</x:v>
      </x:c>
      <x:c r="L1249" s="7"/>
    </x:row>
    <x:row r="1250" ht="21" customHeight="1">
      <x:c r="A1250" s="1" t="str">
        <x:f>Source!A1244</x:f>
        <x:v>C0005211</x:v>
      </x:c>
      <x:c r="B1250" s="1" t="str">
        <x:f>_xlfn.IFNA(VLOOKUP(Source!B1244,Advertisers!$A$5:$B$34,2,FALSE),"Missing advertiser")</x:f>
        <x:v>Synthetic advertiser 18</x:v>
      </x:c>
      <x:c r="C1250" s="1" t="n">
        <x:f>Source!C1244</x:f>
        <x:v>18</x:v>
      </x:c>
      <x:c r="D1250" s="8" t="n">
        <x:f>Source!D1244/100</x:f>
        <x:v>156.1</x:v>
      </x:c>
      <x:c r="E1250" s="8" t="n">
        <x:f>Source!E1244/100</x:f>
        <x:v>312.2</x:v>
      </x:c>
      <x:c r="F1250" s="8" t="n">
        <x:f>Source!F1244/100</x:f>
        <x:v>0</x:v>
      </x:c>
      <x:c r="G1250" s="8" t="n">
        <x:f>Source!G1244/100</x:f>
        <x:v>312.2</x:v>
      </x:c>
      <x:c r="H1250" s="8" t="n">
        <x:f>G1250-D1250</x:f>
        <x:v>156.1</x:v>
      </x:c>
      <x:c r="I1250" s="1" t="str">
        <x:f>IF(H1250&gt;0,"Overbilled","Shortfall")</x:f>
        <x:v>Overbilled</x:v>
      </x:c>
      <x:c r="J1250" s="7"/>
      <x:c r="K1250" s="7" t="str">
        <x:v>Open</x:v>
      </x:c>
      <x:c r="L1250" s="7"/>
    </x:row>
    <x:row r="1251" ht="21" customHeight="1">
      <x:c r="A1251" s="1" t="str">
        <x:f>Source!A1245</x:f>
        <x:v>C0008913</x:v>
      </x:c>
      <x:c r="B1251" s="1" t="str">
        <x:f>_xlfn.IFNA(VLOOKUP(Source!B1245,Advertisers!$A$5:$B$34,2,FALSE),"Missing advertiser")</x:f>
        <x:v>Synthetic advertiser 4</x:v>
      </x:c>
      <x:c r="C1251" s="1" t="n">
        <x:f>Source!C1245</x:f>
        <x:v>34</x:v>
      </x:c>
      <x:c r="D1251" s="8" t="n">
        <x:f>Source!D1245/100</x:f>
        <x:v>154.75</x:v>
      </x:c>
      <x:c r="E1251" s="8" t="n">
        <x:f>Source!E1245/100</x:f>
        <x:v>309.5</x:v>
      </x:c>
      <x:c r="F1251" s="8" t="n">
        <x:f>Source!F1245/100</x:f>
        <x:v>0</x:v>
      </x:c>
      <x:c r="G1251" s="8" t="n">
        <x:f>Source!G1245/100</x:f>
        <x:v>309.5</x:v>
      </x:c>
      <x:c r="H1251" s="8" t="n">
        <x:f>G1251-D1251</x:f>
        <x:v>154.75</x:v>
      </x:c>
      <x:c r="I1251" s="1" t="str">
        <x:f>IF(H1251&gt;0,"Overbilled","Shortfall")</x:f>
        <x:v>Overbilled</x:v>
      </x:c>
      <x:c r="J1251" s="7"/>
      <x:c r="K1251" s="7" t="str">
        <x:v>Open</x:v>
      </x:c>
      <x:c r="L1251" s="7"/>
    </x:row>
    <x:row r="1252" ht="21" customHeight="1">
      <x:c r="A1252" s="1" t="str">
        <x:f>Source!A1246</x:f>
        <x:v>C0015343</x:v>
      </x:c>
      <x:c r="B1252" s="1" t="str">
        <x:f>_xlfn.IFNA(VLOOKUP(Source!B1246,Advertisers!$A$5:$B$34,2,FALSE),"Missing advertiser")</x:f>
        <x:v>Synthetic advertiser 4</x:v>
      </x:c>
      <x:c r="C1252" s="1" t="n">
        <x:f>Source!C1246</x:f>
        <x:v>34</x:v>
      </x:c>
      <x:c r="D1252" s="8" t="n">
        <x:f>Source!D1246/100</x:f>
        <x:v>154.75</x:v>
      </x:c>
      <x:c r="E1252" s="8" t="n">
        <x:f>Source!E1246/100</x:f>
        <x:v>0</x:v>
      </x:c>
      <x:c r="F1252" s="8" t="n">
        <x:f>Source!F1246/100</x:f>
        <x:v>0</x:v>
      </x:c>
      <x:c r="G1252" s="8" t="n">
        <x:f>Source!G1246/100</x:f>
        <x:v>0</x:v>
      </x:c>
      <x:c r="H1252" s="8" t="n">
        <x:f>G1252-D1252</x:f>
        <x:v>-154.75</x:v>
      </x:c>
      <x:c r="I1252" s="1" t="str">
        <x:f>IF(H1252&gt;0,"Overbilled","Shortfall")</x:f>
        <x:v>Shortfall</x:v>
      </x:c>
      <x:c r="J1252" s="7"/>
      <x:c r="K1252" s="7" t="str">
        <x:v>Open</x:v>
      </x:c>
      <x:c r="L1252" s="7"/>
    </x:row>
    <x:row r="1253" ht="21" customHeight="1">
      <x:c r="A1253" s="1" t="str">
        <x:f>Source!A1247</x:f>
        <x:v>C0006020</x:v>
      </x:c>
      <x:c r="B1253" s="1" t="str">
        <x:f>_xlfn.IFNA(VLOOKUP(Source!B1247,Advertisers!$A$5:$B$34,2,FALSE),"Missing advertiser")</x:f>
        <x:v>Synthetic advertiser 4</x:v>
      </x:c>
      <x:c r="C1253" s="1" t="n">
        <x:f>Source!C1247</x:f>
        <x:v>34</x:v>
      </x:c>
      <x:c r="D1253" s="8" t="n">
        <x:f>Source!D1247/100</x:f>
        <x:v>154.75</x:v>
      </x:c>
      <x:c r="E1253" s="8" t="n">
        <x:f>Source!E1247/100</x:f>
        <x:v>0</x:v>
      </x:c>
      <x:c r="F1253" s="8" t="n">
        <x:f>Source!F1247/100</x:f>
        <x:v>0</x:v>
      </x:c>
      <x:c r="G1253" s="8" t="n">
        <x:f>Source!G1247/100</x:f>
        <x:v>0</x:v>
      </x:c>
      <x:c r="H1253" s="8" t="n">
        <x:f>G1253-D1253</x:f>
        <x:v>-154.75</x:v>
      </x:c>
      <x:c r="I1253" s="1" t="str">
        <x:f>IF(H1253&gt;0,"Overbilled","Shortfall")</x:f>
        <x:v>Shortfall</x:v>
      </x:c>
      <x:c r="J1253" s="7"/>
      <x:c r="K1253" s="7" t="str">
        <x:v>Open</x:v>
      </x:c>
      <x:c r="L1253" s="7"/>
    </x:row>
    <x:row r="1254" ht="21" customHeight="1">
      <x:c r="A1254" s="1" t="str">
        <x:f>Source!A1248</x:f>
        <x:v>C0014679</x:v>
      </x:c>
      <x:c r="B1254" s="1" t="str">
        <x:f>_xlfn.IFNA(VLOOKUP(Source!B1248,Advertisers!$A$5:$B$34,2,FALSE),"Missing advertiser")</x:f>
        <x:v>Synthetic advertiser 4</x:v>
      </x:c>
      <x:c r="C1254" s="1" t="n">
        <x:f>Source!C1248</x:f>
        <x:v>34</x:v>
      </x:c>
      <x:c r="D1254" s="8" t="n">
        <x:f>Source!D1248/100</x:f>
        <x:v>154.75</x:v>
      </x:c>
      <x:c r="E1254" s="8" t="n">
        <x:f>Source!E1248/100</x:f>
        <x:v>309.5</x:v>
      </x:c>
      <x:c r="F1254" s="8" t="n">
        <x:f>Source!F1248/100</x:f>
        <x:v>0</x:v>
      </x:c>
      <x:c r="G1254" s="8" t="n">
        <x:f>Source!G1248/100</x:f>
        <x:v>309.5</x:v>
      </x:c>
      <x:c r="H1254" s="8" t="n">
        <x:f>G1254-D1254</x:f>
        <x:v>154.75</x:v>
      </x:c>
      <x:c r="I1254" s="1" t="str">
        <x:f>IF(H1254&gt;0,"Overbilled","Shortfall")</x:f>
        <x:v>Overbilled</x:v>
      </x:c>
      <x:c r="J1254" s="7"/>
      <x:c r="K1254" s="7" t="str">
        <x:v>Open</x:v>
      </x:c>
      <x:c r="L1254" s="7"/>
    </x:row>
    <x:row r="1255" ht="21" customHeight="1">
      <x:c r="A1255" s="1" t="str">
        <x:f>Source!A1249</x:f>
        <x:v>C0002335</x:v>
      </x:c>
      <x:c r="B1255" s="1" t="str">
        <x:f>_xlfn.IFNA(VLOOKUP(Source!B1249,Advertisers!$A$5:$B$34,2,FALSE),"Missing advertiser")</x:f>
        <x:v>Synthetic advertiser 4</x:v>
      </x:c>
      <x:c r="C1255" s="1" t="n">
        <x:f>Source!C1249</x:f>
        <x:v>34</x:v>
      </x:c>
      <x:c r="D1255" s="8" t="n">
        <x:f>Source!D1249/100</x:f>
        <x:v>154.75</x:v>
      </x:c>
      <x:c r="E1255" s="8" t="n">
        <x:f>Source!E1249/100</x:f>
        <x:v>0</x:v>
      </x:c>
      <x:c r="F1255" s="8" t="n">
        <x:f>Source!F1249/100</x:f>
        <x:v>0</x:v>
      </x:c>
      <x:c r="G1255" s="8" t="n">
        <x:f>Source!G1249/100</x:f>
        <x:v>0</x:v>
      </x:c>
      <x:c r="H1255" s="8" t="n">
        <x:f>G1255-D1255</x:f>
        <x:v>-154.75</x:v>
      </x:c>
      <x:c r="I1255" s="1" t="str">
        <x:f>IF(H1255&gt;0,"Overbilled","Shortfall")</x:f>
        <x:v>Shortfall</x:v>
      </x:c>
      <x:c r="J1255" s="7"/>
      <x:c r="K1255" s="7" t="str">
        <x:v>Open</x:v>
      </x:c>
      <x:c r="L1255" s="7"/>
    </x:row>
    <x:row r="1256" ht="21" customHeight="1">
      <x:c r="A1256" s="1" t="str">
        <x:f>Source!A1250</x:f>
        <x:v>C0006454</x:v>
      </x:c>
      <x:c r="B1256" s="1" t="str">
        <x:f>_xlfn.IFNA(VLOOKUP(Source!B1250,Advertisers!$A$5:$B$34,2,FALSE),"Missing advertiser")</x:f>
        <x:v>Synthetic advertiser 4</x:v>
      </x:c>
      <x:c r="C1256" s="1" t="n">
        <x:f>Source!C1250</x:f>
        <x:v>34</x:v>
      </x:c>
      <x:c r="D1256" s="8" t="n">
        <x:f>Source!D1250/100</x:f>
        <x:v>154.75</x:v>
      </x:c>
      <x:c r="E1256" s="8" t="n">
        <x:f>Source!E1250/100</x:f>
        <x:v>0</x:v>
      </x:c>
      <x:c r="F1256" s="8" t="n">
        <x:f>Source!F1250/100</x:f>
        <x:v>0</x:v>
      </x:c>
      <x:c r="G1256" s="8" t="n">
        <x:f>Source!G1250/100</x:f>
        <x:v>0</x:v>
      </x:c>
      <x:c r="H1256" s="8" t="n">
        <x:f>G1256-D1256</x:f>
        <x:v>-154.75</x:v>
      </x:c>
      <x:c r="I1256" s="1" t="str">
        <x:f>IF(H1256&gt;0,"Overbilled","Shortfall")</x:f>
        <x:v>Shortfall</x:v>
      </x:c>
      <x:c r="J1256" s="7"/>
      <x:c r="K1256" s="7" t="str">
        <x:v>Open</x:v>
      </x:c>
      <x:c r="L1256" s="7"/>
    </x:row>
    <x:row r="1257" ht="21" customHeight="1">
      <x:c r="A1257" s="1" t="str">
        <x:f>Source!A1251</x:f>
        <x:v>C0005161</x:v>
      </x:c>
      <x:c r="B1257" s="1" t="str">
        <x:f>_xlfn.IFNA(VLOOKUP(Source!B1251,Advertisers!$A$5:$B$34,2,FALSE),"Missing advertiser")</x:f>
        <x:v>Synthetic advertiser 4</x:v>
      </x:c>
      <x:c r="C1257" s="1" t="n">
        <x:f>Source!C1251</x:f>
        <x:v>34</x:v>
      </x:c>
      <x:c r="D1257" s="8" t="n">
        <x:f>Source!D1251/100</x:f>
        <x:v>154.75</x:v>
      </x:c>
      <x:c r="E1257" s="8" t="n">
        <x:f>Source!E1251/100</x:f>
        <x:v>0</x:v>
      </x:c>
      <x:c r="F1257" s="8" t="n">
        <x:f>Source!F1251/100</x:f>
        <x:v>0</x:v>
      </x:c>
      <x:c r="G1257" s="8" t="n">
        <x:f>Source!G1251/100</x:f>
        <x:v>0</x:v>
      </x:c>
      <x:c r="H1257" s="8" t="n">
        <x:f>G1257-D1257</x:f>
        <x:v>-154.75</x:v>
      </x:c>
      <x:c r="I1257" s="1" t="str">
        <x:f>IF(H1257&gt;0,"Overbilled","Shortfall")</x:f>
        <x:v>Shortfall</x:v>
      </x:c>
      <x:c r="J1257" s="7"/>
      <x:c r="K1257" s="7" t="str">
        <x:v>Open</x:v>
      </x:c>
      <x:c r="L1257" s="7"/>
    </x:row>
    <x:row r="1258" ht="21" customHeight="1">
      <x:c r="A1258" s="1" t="str">
        <x:f>Source!A1252</x:f>
        <x:v>C0016964</x:v>
      </x:c>
      <x:c r="B1258" s="1" t="str">
        <x:f>_xlfn.IFNA(VLOOKUP(Source!B1252,Advertisers!$A$5:$B$34,2,FALSE),"Missing advertiser")</x:f>
        <x:v>Synthetic advertiser 4</x:v>
      </x:c>
      <x:c r="C1258" s="1" t="n">
        <x:f>Source!C1252</x:f>
        <x:v>34</x:v>
      </x:c>
      <x:c r="D1258" s="8" t="n">
        <x:f>Source!D1252/100</x:f>
        <x:v>154.75</x:v>
      </x:c>
      <x:c r="E1258" s="8" t="n">
        <x:f>Source!E1252/100</x:f>
        <x:v>0</x:v>
      </x:c>
      <x:c r="F1258" s="8" t="n">
        <x:f>Source!F1252/100</x:f>
        <x:v>0</x:v>
      </x:c>
      <x:c r="G1258" s="8" t="n">
        <x:f>Source!G1252/100</x:f>
        <x:v>0</x:v>
      </x:c>
      <x:c r="H1258" s="8" t="n">
        <x:f>G1258-D1258</x:f>
        <x:v>-154.75</x:v>
      </x:c>
      <x:c r="I1258" s="1" t="str">
        <x:f>IF(H1258&gt;0,"Overbilled","Shortfall")</x:f>
        <x:v>Shortfall</x:v>
      </x:c>
      <x:c r="J1258" s="7"/>
      <x:c r="K1258" s="7" t="str">
        <x:v>Open</x:v>
      </x:c>
      <x:c r="L1258" s="7"/>
    </x:row>
    <x:row r="1259" ht="21" customHeight="1">
      <x:c r="A1259" s="1" t="str">
        <x:f>Source!A1253</x:f>
        <x:v>C0009834</x:v>
      </x:c>
      <x:c r="B1259" s="1" t="str">
        <x:f>_xlfn.IFNA(VLOOKUP(Source!B1253,Advertisers!$A$5:$B$34,2,FALSE),"Missing advertiser")</x:f>
        <x:v>Synthetic advertiser 18</x:v>
      </x:c>
      <x:c r="C1259" s="1" t="n">
        <x:f>Source!C1253</x:f>
        <x:v>18</x:v>
      </x:c>
      <x:c r="D1259" s="8" t="n">
        <x:f>Source!D1253/100</x:f>
        <x:v>154.13</x:v>
      </x:c>
      <x:c r="E1259" s="8" t="n">
        <x:f>Source!E1253/100</x:f>
        <x:v>0</x:v>
      </x:c>
      <x:c r="F1259" s="8" t="n">
        <x:f>Source!F1253/100</x:f>
        <x:v>0</x:v>
      </x:c>
      <x:c r="G1259" s="8" t="n">
        <x:f>Source!G1253/100</x:f>
        <x:v>0</x:v>
      </x:c>
      <x:c r="H1259" s="8" t="n">
        <x:f>G1259-D1259</x:f>
        <x:v>-154.13</x:v>
      </x:c>
      <x:c r="I1259" s="1" t="str">
        <x:f>IF(H1259&gt;0,"Overbilled","Shortfall")</x:f>
        <x:v>Shortfall</x:v>
      </x:c>
      <x:c r="J1259" s="7"/>
      <x:c r="K1259" s="7" t="str">
        <x:v>Open</x:v>
      </x:c>
      <x:c r="L1259" s="7"/>
    </x:row>
    <x:row r="1260" ht="21" customHeight="1">
      <x:c r="A1260" s="1" t="str">
        <x:f>Source!A1254</x:f>
        <x:v>C0000839</x:v>
      </x:c>
      <x:c r="B1260" s="1" t="str">
        <x:f>_xlfn.IFNA(VLOOKUP(Source!B1254,Advertisers!$A$5:$B$34,2,FALSE),"Missing advertiser")</x:f>
        <x:v>Synthetic advertiser 18</x:v>
      </x:c>
      <x:c r="C1260" s="1" t="n">
        <x:f>Source!C1254</x:f>
        <x:v>18</x:v>
      </x:c>
      <x:c r="D1260" s="8" t="n">
        <x:f>Source!D1254/100</x:f>
        <x:v>154.13</x:v>
      </x:c>
      <x:c r="E1260" s="8" t="n">
        <x:f>Source!E1254/100</x:f>
        <x:v>0</x:v>
      </x:c>
      <x:c r="F1260" s="8" t="n">
        <x:f>Source!F1254/100</x:f>
        <x:v>0</x:v>
      </x:c>
      <x:c r="G1260" s="8" t="n">
        <x:f>Source!G1254/100</x:f>
        <x:v>0</x:v>
      </x:c>
      <x:c r="H1260" s="8" t="n">
        <x:f>G1260-D1260</x:f>
        <x:v>-154.13</x:v>
      </x:c>
      <x:c r="I1260" s="1" t="str">
        <x:f>IF(H1260&gt;0,"Overbilled","Shortfall")</x:f>
        <x:v>Shortfall</x:v>
      </x:c>
      <x:c r="J1260" s="7"/>
      <x:c r="K1260" s="7" t="str">
        <x:v>Open</x:v>
      </x:c>
      <x:c r="L1260" s="7"/>
    </x:row>
    <x:row r="1261" ht="21" customHeight="1">
      <x:c r="A1261" s="1" t="str">
        <x:f>Source!A1255</x:f>
        <x:v>C0001991</x:v>
      </x:c>
      <x:c r="B1261" s="1" t="str">
        <x:f>_xlfn.IFNA(VLOOKUP(Source!B1255,Advertisers!$A$5:$B$34,2,FALSE),"Missing advertiser")</x:f>
        <x:v>Synthetic advertiser 18</x:v>
      </x:c>
      <x:c r="C1261" s="1" t="n">
        <x:f>Source!C1255</x:f>
        <x:v>18</x:v>
      </x:c>
      <x:c r="D1261" s="8" t="n">
        <x:f>Source!D1255/100</x:f>
        <x:v>0</x:v>
      </x:c>
      <x:c r="E1261" s="8" t="n">
        <x:f>Source!E1255/100</x:f>
        <x:v>154.13</x:v>
      </x:c>
      <x:c r="F1261" s="8" t="n">
        <x:f>Source!F1255/100</x:f>
        <x:v>0</x:v>
      </x:c>
      <x:c r="G1261" s="8" t="n">
        <x:f>Source!G1255/100</x:f>
        <x:v>154.13</x:v>
      </x:c>
      <x:c r="H1261" s="8" t="n">
        <x:f>G1261-D1261</x:f>
        <x:v>154.13</x:v>
      </x:c>
      <x:c r="I1261" s="1" t="str">
        <x:f>IF(H1261&gt;0,"Overbilled","Shortfall")</x:f>
        <x:v>Overbilled</x:v>
      </x:c>
      <x:c r="J1261" s="7"/>
      <x:c r="K1261" s="7" t="str">
        <x:v>Open</x:v>
      </x:c>
      <x:c r="L1261" s="7"/>
    </x:row>
    <x:row r="1262" ht="21" customHeight="1">
      <x:c r="A1262" s="1" t="str">
        <x:f>Source!A1256</x:f>
        <x:v>C0008129</x:v>
      </x:c>
      <x:c r="B1262" s="1" t="str">
        <x:f>_xlfn.IFNA(VLOOKUP(Source!B1256,Advertisers!$A$5:$B$34,2,FALSE),"Missing advertiser")</x:f>
        <x:v>Synthetic advertiser 18</x:v>
      </x:c>
      <x:c r="C1262" s="1" t="n">
        <x:f>Source!C1256</x:f>
        <x:v>18</x:v>
      </x:c>
      <x:c r="D1262" s="8" t="n">
        <x:f>Source!D1256/100</x:f>
        <x:v>154.13</x:v>
      </x:c>
      <x:c r="E1262" s="8" t="n">
        <x:f>Source!E1256/100</x:f>
        <x:v>308.26</x:v>
      </x:c>
      <x:c r="F1262" s="8" t="n">
        <x:f>Source!F1256/100</x:f>
        <x:v>0</x:v>
      </x:c>
      <x:c r="G1262" s="8" t="n">
        <x:f>Source!G1256/100</x:f>
        <x:v>308.26</x:v>
      </x:c>
      <x:c r="H1262" s="8" t="n">
        <x:f>G1262-D1262</x:f>
        <x:v>154.13</x:v>
      </x:c>
      <x:c r="I1262" s="1" t="str">
        <x:f>IF(H1262&gt;0,"Overbilled","Shortfall")</x:f>
        <x:v>Overbilled</x:v>
      </x:c>
      <x:c r="J1262" s="7"/>
      <x:c r="K1262" s="7" t="str">
        <x:v>Open</x:v>
      </x:c>
      <x:c r="L1262" s="7"/>
    </x:row>
    <x:row r="1263" ht="21" customHeight="1">
      <x:c r="A1263" s="1" t="str">
        <x:f>Source!A1257</x:f>
        <x:v>C0006122</x:v>
      </x:c>
      <x:c r="B1263" s="1" t="str">
        <x:f>_xlfn.IFNA(VLOOKUP(Source!B1257,Advertisers!$A$5:$B$34,2,FALSE),"Missing advertiser")</x:f>
        <x:v>Synthetic advertiser 18</x:v>
      </x:c>
      <x:c r="C1263" s="1" t="n">
        <x:f>Source!C1257</x:f>
        <x:v>18</x:v>
      </x:c>
      <x:c r="D1263" s="8" t="n">
        <x:f>Source!D1257/100</x:f>
        <x:v>154.13</x:v>
      </x:c>
      <x:c r="E1263" s="8" t="n">
        <x:f>Source!E1257/100</x:f>
        <x:v>308.26</x:v>
      </x:c>
      <x:c r="F1263" s="8" t="n">
        <x:f>Source!F1257/100</x:f>
        <x:v>0</x:v>
      </x:c>
      <x:c r="G1263" s="8" t="n">
        <x:f>Source!G1257/100</x:f>
        <x:v>308.26</x:v>
      </x:c>
      <x:c r="H1263" s="8" t="n">
        <x:f>G1263-D1263</x:f>
        <x:v>154.13</x:v>
      </x:c>
      <x:c r="I1263" s="1" t="str">
        <x:f>IF(H1263&gt;0,"Overbilled","Shortfall")</x:f>
        <x:v>Overbilled</x:v>
      </x:c>
      <x:c r="J1263" s="7"/>
      <x:c r="K1263" s="7" t="str">
        <x:v>Open</x:v>
      </x:c>
      <x:c r="L1263" s="7"/>
    </x:row>
    <x:row r="1264" ht="21" customHeight="1">
      <x:c r="A1264" s="1" t="str">
        <x:f>Source!A1258</x:f>
        <x:v>C0006589</x:v>
      </x:c>
      <x:c r="B1264" s="1" t="str">
        <x:f>_xlfn.IFNA(VLOOKUP(Source!B1258,Advertisers!$A$5:$B$34,2,FALSE),"Missing advertiser")</x:f>
        <x:v>Synthetic advertiser 18</x:v>
      </x:c>
      <x:c r="C1264" s="1" t="n">
        <x:f>Source!C1258</x:f>
        <x:v>18</x:v>
      </x:c>
      <x:c r="D1264" s="8" t="n">
        <x:f>Source!D1258/100</x:f>
        <x:v>154.13</x:v>
      </x:c>
      <x:c r="E1264" s="8" t="n">
        <x:f>Source!E1258/100</x:f>
        <x:v>308.26</x:v>
      </x:c>
      <x:c r="F1264" s="8" t="n">
        <x:f>Source!F1258/100</x:f>
        <x:v>0</x:v>
      </x:c>
      <x:c r="G1264" s="8" t="n">
        <x:f>Source!G1258/100</x:f>
        <x:v>308.26</x:v>
      </x:c>
      <x:c r="H1264" s="8" t="n">
        <x:f>G1264-D1264</x:f>
        <x:v>154.13</x:v>
      </x:c>
      <x:c r="I1264" s="1" t="str">
        <x:f>IF(H1264&gt;0,"Overbilled","Shortfall")</x:f>
        <x:v>Overbilled</x:v>
      </x:c>
      <x:c r="J1264" s="7"/>
      <x:c r="K1264" s="7" t="str">
        <x:v>Open</x:v>
      </x:c>
      <x:c r="L1264" s="7"/>
    </x:row>
    <x:row r="1265" ht="21" customHeight="1">
      <x:c r="A1265" s="1" t="str">
        <x:f>Source!A1259</x:f>
        <x:v>C0014251</x:v>
      </x:c>
      <x:c r="B1265" s="1" t="str">
        <x:f>_xlfn.IFNA(VLOOKUP(Source!B1259,Advertisers!$A$5:$B$34,2,FALSE),"Missing advertiser")</x:f>
        <x:v>Synthetic advertiser 18</x:v>
      </x:c>
      <x:c r="C1265" s="1" t="n">
        <x:f>Source!C1259</x:f>
        <x:v>18</x:v>
      </x:c>
      <x:c r="D1265" s="8" t="n">
        <x:f>Source!D1259/100</x:f>
        <x:v>154.13</x:v>
      </x:c>
      <x:c r="E1265" s="8" t="n">
        <x:f>Source!E1259/100</x:f>
        <x:v>0</x:v>
      </x:c>
      <x:c r="F1265" s="8" t="n">
        <x:f>Source!F1259/100</x:f>
        <x:v>0</x:v>
      </x:c>
      <x:c r="G1265" s="8" t="n">
        <x:f>Source!G1259/100</x:f>
        <x:v>0</x:v>
      </x:c>
      <x:c r="H1265" s="8" t="n">
        <x:f>G1265-D1265</x:f>
        <x:v>-154.13</x:v>
      </x:c>
      <x:c r="I1265" s="1" t="str">
        <x:f>IF(H1265&gt;0,"Overbilled","Shortfall")</x:f>
        <x:v>Shortfall</x:v>
      </x:c>
      <x:c r="J1265" s="7"/>
      <x:c r="K1265" s="7" t="str">
        <x:v>Open</x:v>
      </x:c>
      <x:c r="L1265" s="7"/>
    </x:row>
    <x:row r="1266" ht="21" customHeight="1">
      <x:c r="A1266" s="1" t="str">
        <x:f>Source!A1260</x:f>
        <x:v>C0017067</x:v>
      </x:c>
      <x:c r="B1266" s="1" t="str">
        <x:f>_xlfn.IFNA(VLOOKUP(Source!B1260,Advertisers!$A$5:$B$34,2,FALSE),"Missing advertiser")</x:f>
        <x:v>Synthetic advertiser 18</x:v>
      </x:c>
      <x:c r="C1266" s="1" t="n">
        <x:f>Source!C1260</x:f>
        <x:v>18</x:v>
      </x:c>
      <x:c r="D1266" s="8" t="n">
        <x:f>Source!D1260/100</x:f>
        <x:v>154.13</x:v>
      </x:c>
      <x:c r="E1266" s="8" t="n">
        <x:f>Source!E1260/100</x:f>
        <x:v>0</x:v>
      </x:c>
      <x:c r="F1266" s="8" t="n">
        <x:f>Source!F1260/100</x:f>
        <x:v>0</x:v>
      </x:c>
      <x:c r="G1266" s="8" t="n">
        <x:f>Source!G1260/100</x:f>
        <x:v>0</x:v>
      </x:c>
      <x:c r="H1266" s="8" t="n">
        <x:f>G1266-D1266</x:f>
        <x:v>-154.13</x:v>
      </x:c>
      <x:c r="I1266" s="1" t="str">
        <x:f>IF(H1266&gt;0,"Overbilled","Shortfall")</x:f>
        <x:v>Shortfall</x:v>
      </x:c>
      <x:c r="J1266" s="7"/>
      <x:c r="K1266" s="7" t="str">
        <x:v>Open</x:v>
      </x:c>
      <x:c r="L1266" s="7"/>
    </x:row>
    <x:row r="1267" ht="21" customHeight="1">
      <x:c r="A1267" s="1" t="str">
        <x:f>Source!A1261</x:f>
        <x:v>C0010115</x:v>
      </x:c>
      <x:c r="B1267" s="1" t="str">
        <x:f>_xlfn.IFNA(VLOOKUP(Source!B1261,Advertisers!$A$5:$B$34,2,FALSE),"Missing advertiser")</x:f>
        <x:v>Synthetic advertiser 18</x:v>
      </x:c>
      <x:c r="C1267" s="1" t="n">
        <x:f>Source!C1261</x:f>
        <x:v>18</x:v>
      </x:c>
      <x:c r="D1267" s="8" t="n">
        <x:f>Source!D1261/100</x:f>
        <x:v>154.13</x:v>
      </x:c>
      <x:c r="E1267" s="8" t="n">
        <x:f>Source!E1261/100</x:f>
        <x:v>308.26</x:v>
      </x:c>
      <x:c r="F1267" s="8" t="n">
        <x:f>Source!F1261/100</x:f>
        <x:v>0</x:v>
      </x:c>
      <x:c r="G1267" s="8" t="n">
        <x:f>Source!G1261/100</x:f>
        <x:v>308.26</x:v>
      </x:c>
      <x:c r="H1267" s="8" t="n">
        <x:f>G1267-D1267</x:f>
        <x:v>154.13</x:v>
      </x:c>
      <x:c r="I1267" s="1" t="str">
        <x:f>IF(H1267&gt;0,"Overbilled","Shortfall")</x:f>
        <x:v>Overbilled</x:v>
      </x:c>
      <x:c r="J1267" s="7"/>
      <x:c r="K1267" s="7" t="str">
        <x:v>Open</x:v>
      </x:c>
      <x:c r="L1267" s="7"/>
    </x:row>
    <x:row r="1268" ht="21" customHeight="1">
      <x:c r="A1268" s="1" t="str">
        <x:f>Source!A1262</x:f>
        <x:v>C0016569</x:v>
      </x:c>
      <x:c r="B1268" s="1" t="str">
        <x:f>_xlfn.IFNA(VLOOKUP(Source!B1262,Advertisers!$A$5:$B$34,2,FALSE),"Missing advertiser")</x:f>
        <x:v>Synthetic advertiser 18</x:v>
      </x:c>
      <x:c r="C1268" s="1" t="n">
        <x:f>Source!C1262</x:f>
        <x:v>18</x:v>
      </x:c>
      <x:c r="D1268" s="8" t="n">
        <x:f>Source!D1262/100</x:f>
        <x:v>154.13</x:v>
      </x:c>
      <x:c r="E1268" s="8" t="n">
        <x:f>Source!E1262/100</x:f>
        <x:v>0</x:v>
      </x:c>
      <x:c r="F1268" s="8" t="n">
        <x:f>Source!F1262/100</x:f>
        <x:v>0</x:v>
      </x:c>
      <x:c r="G1268" s="8" t="n">
        <x:f>Source!G1262/100</x:f>
        <x:v>0</x:v>
      </x:c>
      <x:c r="H1268" s="8" t="n">
        <x:f>G1268-D1268</x:f>
        <x:v>-154.13</x:v>
      </x:c>
      <x:c r="I1268" s="1" t="str">
        <x:f>IF(H1268&gt;0,"Overbilled","Shortfall")</x:f>
        <x:v>Shortfall</x:v>
      </x:c>
      <x:c r="J1268" s="7"/>
      <x:c r="K1268" s="7" t="str">
        <x:v>Open</x:v>
      </x:c>
      <x:c r="L1268" s="7"/>
    </x:row>
    <x:row r="1269" ht="21" customHeight="1">
      <x:c r="A1269" s="1" t="str">
        <x:f>Source!A1263</x:f>
        <x:v>C0016804</x:v>
      </x:c>
      <x:c r="B1269" s="1" t="str">
        <x:f>_xlfn.IFNA(VLOOKUP(Source!B1263,Advertisers!$A$5:$B$34,2,FALSE),"Missing advertiser")</x:f>
        <x:v>Synthetic advertiser 30</x:v>
      </x:c>
      <x:c r="C1269" s="1" t="n">
        <x:f>Source!C1263</x:f>
        <x:v>60</x:v>
      </x:c>
      <x:c r="D1269" s="8" t="n">
        <x:f>Source!D1263/100</x:f>
        <x:v>154.06</x:v>
      </x:c>
      <x:c r="E1269" s="8" t="n">
        <x:f>Source!E1263/100</x:f>
        <x:v>0</x:v>
      </x:c>
      <x:c r="F1269" s="8" t="n">
        <x:f>Source!F1263/100</x:f>
        <x:v>0</x:v>
      </x:c>
      <x:c r="G1269" s="8" t="n">
        <x:f>Source!G1263/100</x:f>
        <x:v>0</x:v>
      </x:c>
      <x:c r="H1269" s="8" t="n">
        <x:f>G1269-D1269</x:f>
        <x:v>-154.06</x:v>
      </x:c>
      <x:c r="I1269" s="1" t="str">
        <x:f>IF(H1269&gt;0,"Overbilled","Shortfall")</x:f>
        <x:v>Shortfall</x:v>
      </x:c>
      <x:c r="J1269" s="7"/>
      <x:c r="K1269" s="7" t="str">
        <x:v>Open</x:v>
      </x:c>
      <x:c r="L1269" s="7"/>
    </x:row>
    <x:row r="1270" ht="21" customHeight="1">
      <x:c r="A1270" s="1" t="str">
        <x:f>Source!A1264</x:f>
        <x:v>C0011732</x:v>
      </x:c>
      <x:c r="B1270" s="1" t="str">
        <x:f>_xlfn.IFNA(VLOOKUP(Source!B1264,Advertisers!$A$5:$B$34,2,FALSE),"Missing advertiser")</x:f>
        <x:v>Synthetic advertiser 30</x:v>
      </x:c>
      <x:c r="C1270" s="1" t="n">
        <x:f>Source!C1264</x:f>
        <x:v>60</x:v>
      </x:c>
      <x:c r="D1270" s="8" t="n">
        <x:f>Source!D1264/100</x:f>
        <x:v>154.06</x:v>
      </x:c>
      <x:c r="E1270" s="8" t="n">
        <x:f>Source!E1264/100</x:f>
        <x:v>0</x:v>
      </x:c>
      <x:c r="F1270" s="8" t="n">
        <x:f>Source!F1264/100</x:f>
        <x:v>0</x:v>
      </x:c>
      <x:c r="G1270" s="8" t="n">
        <x:f>Source!G1264/100</x:f>
        <x:v>0</x:v>
      </x:c>
      <x:c r="H1270" s="8" t="n">
        <x:f>G1270-D1270</x:f>
        <x:v>-154.06</x:v>
      </x:c>
      <x:c r="I1270" s="1" t="str">
        <x:f>IF(H1270&gt;0,"Overbilled","Shortfall")</x:f>
        <x:v>Shortfall</x:v>
      </x:c>
      <x:c r="J1270" s="7"/>
      <x:c r="K1270" s="7" t="str">
        <x:v>Open</x:v>
      </x:c>
      <x:c r="L1270" s="7"/>
    </x:row>
    <x:row r="1271" ht="21" customHeight="1">
      <x:c r="A1271" s="1" t="str">
        <x:f>Source!A1265</x:f>
        <x:v>C0015867</x:v>
      </x:c>
      <x:c r="B1271" s="1" t="str">
        <x:f>_xlfn.IFNA(VLOOKUP(Source!B1265,Advertisers!$A$5:$B$34,2,FALSE),"Missing advertiser")</x:f>
        <x:v>Synthetic advertiser 30</x:v>
      </x:c>
      <x:c r="C1271" s="1" t="n">
        <x:f>Source!C1265</x:f>
        <x:v>60</x:v>
      </x:c>
      <x:c r="D1271" s="8" t="n">
        <x:f>Source!D1265/100</x:f>
        <x:v>154.06</x:v>
      </x:c>
      <x:c r="E1271" s="8" t="n">
        <x:f>Source!E1265/100</x:f>
        <x:v>308.12</x:v>
      </x:c>
      <x:c r="F1271" s="8" t="n">
        <x:f>Source!F1265/100</x:f>
        <x:v>0</x:v>
      </x:c>
      <x:c r="G1271" s="8" t="n">
        <x:f>Source!G1265/100</x:f>
        <x:v>308.12</x:v>
      </x:c>
      <x:c r="H1271" s="8" t="n">
        <x:f>G1271-D1271</x:f>
        <x:v>154.06</x:v>
      </x:c>
      <x:c r="I1271" s="1" t="str">
        <x:f>IF(H1271&gt;0,"Overbilled","Shortfall")</x:f>
        <x:v>Overbilled</x:v>
      </x:c>
      <x:c r="J1271" s="7"/>
      <x:c r="K1271" s="7" t="str">
        <x:v>Open</x:v>
      </x:c>
      <x:c r="L1271" s="7"/>
    </x:row>
    <x:row r="1272" ht="21" customHeight="1">
      <x:c r="A1272" s="1" t="str">
        <x:f>Source!A1266</x:f>
        <x:v>C0003552</x:v>
      </x:c>
      <x:c r="B1272" s="1" t="str">
        <x:f>_xlfn.IFNA(VLOOKUP(Source!B1266,Advertisers!$A$5:$B$34,2,FALSE),"Missing advertiser")</x:f>
        <x:v>Synthetic advertiser 30</x:v>
      </x:c>
      <x:c r="C1272" s="1" t="n">
        <x:f>Source!C1266</x:f>
        <x:v>60</x:v>
      </x:c>
      <x:c r="D1272" s="8" t="n">
        <x:f>Source!D1266/100</x:f>
        <x:v>154.06</x:v>
      </x:c>
      <x:c r="E1272" s="8" t="n">
        <x:f>Source!E1266/100</x:f>
        <x:v>308.12</x:v>
      </x:c>
      <x:c r="F1272" s="8" t="n">
        <x:f>Source!F1266/100</x:f>
        <x:v>0</x:v>
      </x:c>
      <x:c r="G1272" s="8" t="n">
        <x:f>Source!G1266/100</x:f>
        <x:v>308.12</x:v>
      </x:c>
      <x:c r="H1272" s="8" t="n">
        <x:f>G1272-D1272</x:f>
        <x:v>154.06</x:v>
      </x:c>
      <x:c r="I1272" s="1" t="str">
        <x:f>IF(H1272&gt;0,"Overbilled","Shortfall")</x:f>
        <x:v>Overbilled</x:v>
      </x:c>
      <x:c r="J1272" s="7"/>
      <x:c r="K1272" s="7" t="str">
        <x:v>Open</x:v>
      </x:c>
      <x:c r="L1272" s="7"/>
    </x:row>
    <x:row r="1273" ht="21" customHeight="1">
      <x:c r="A1273" s="1" t="str">
        <x:f>Source!A1267</x:f>
        <x:v>C0014315</x:v>
      </x:c>
      <x:c r="B1273" s="1" t="str">
        <x:f>_xlfn.IFNA(VLOOKUP(Source!B1267,Advertisers!$A$5:$B$34,2,FALSE),"Missing advertiser")</x:f>
        <x:v>Synthetic advertiser 30</x:v>
      </x:c>
      <x:c r="C1273" s="1" t="n">
        <x:f>Source!C1267</x:f>
        <x:v>60</x:v>
      </x:c>
      <x:c r="D1273" s="8" t="n">
        <x:f>Source!D1267/100</x:f>
        <x:v>154.06</x:v>
      </x:c>
      <x:c r="E1273" s="8" t="n">
        <x:f>Source!E1267/100</x:f>
        <x:v>0</x:v>
      </x:c>
      <x:c r="F1273" s="8" t="n">
        <x:f>Source!F1267/100</x:f>
        <x:v>0</x:v>
      </x:c>
      <x:c r="G1273" s="8" t="n">
        <x:f>Source!G1267/100</x:f>
        <x:v>0</x:v>
      </x:c>
      <x:c r="H1273" s="8" t="n">
        <x:f>G1273-D1273</x:f>
        <x:v>-154.06</x:v>
      </x:c>
      <x:c r="I1273" s="1" t="str">
        <x:f>IF(H1273&gt;0,"Overbilled","Shortfall")</x:f>
        <x:v>Shortfall</x:v>
      </x:c>
      <x:c r="J1273" s="7"/>
      <x:c r="K1273" s="7" t="str">
        <x:v>Open</x:v>
      </x:c>
      <x:c r="L1273" s="7"/>
    </x:row>
    <x:row r="1274" ht="21" customHeight="1">
      <x:c r="A1274" s="1" t="str">
        <x:f>Source!A1268</x:f>
        <x:v>C0001297</x:v>
      </x:c>
      <x:c r="B1274" s="1" t="str">
        <x:f>_xlfn.IFNA(VLOOKUP(Source!B1268,Advertisers!$A$5:$B$34,2,FALSE),"Missing advertiser")</x:f>
        <x:v>Synthetic advertiser 30</x:v>
      </x:c>
      <x:c r="C1274" s="1" t="n">
        <x:f>Source!C1268</x:f>
        <x:v>60</x:v>
      </x:c>
      <x:c r="D1274" s="8" t="n">
        <x:f>Source!D1268/100</x:f>
        <x:v>154.06</x:v>
      </x:c>
      <x:c r="E1274" s="8" t="n">
        <x:f>Source!E1268/100</x:f>
        <x:v>308.12</x:v>
      </x:c>
      <x:c r="F1274" s="8" t="n">
        <x:f>Source!F1268/100</x:f>
        <x:v>0</x:v>
      </x:c>
      <x:c r="G1274" s="8" t="n">
        <x:f>Source!G1268/100</x:f>
        <x:v>308.12</x:v>
      </x:c>
      <x:c r="H1274" s="8" t="n">
        <x:f>G1274-D1274</x:f>
        <x:v>154.06</x:v>
      </x:c>
      <x:c r="I1274" s="1" t="str">
        <x:f>IF(H1274&gt;0,"Overbilled","Shortfall")</x:f>
        <x:v>Overbilled</x:v>
      </x:c>
      <x:c r="J1274" s="7"/>
      <x:c r="K1274" s="7" t="str">
        <x:v>Open</x:v>
      </x:c>
      <x:c r="L1274" s="7"/>
    </x:row>
    <x:row r="1275" ht="21" customHeight="1">
      <x:c r="A1275" s="1" t="str">
        <x:f>Source!A1269</x:f>
        <x:v>C0000178</x:v>
      </x:c>
      <x:c r="B1275" s="1" t="str">
        <x:f>_xlfn.IFNA(VLOOKUP(Source!B1269,Advertisers!$A$5:$B$34,2,FALSE),"Missing advertiser")</x:f>
        <x:v>Synthetic advertiser 30</x:v>
      </x:c>
      <x:c r="C1275" s="1" t="n">
        <x:f>Source!C1269</x:f>
        <x:v>60</x:v>
      </x:c>
      <x:c r="D1275" s="8" t="n">
        <x:f>Source!D1269/100</x:f>
        <x:v>154.06</x:v>
      </x:c>
      <x:c r="E1275" s="8" t="n">
        <x:f>Source!E1269/100</x:f>
        <x:v>308.12</x:v>
      </x:c>
      <x:c r="F1275" s="8" t="n">
        <x:f>Source!F1269/100</x:f>
        <x:v>0</x:v>
      </x:c>
      <x:c r="G1275" s="8" t="n">
        <x:f>Source!G1269/100</x:f>
        <x:v>308.12</x:v>
      </x:c>
      <x:c r="H1275" s="8" t="n">
        <x:f>G1275-D1275</x:f>
        <x:v>154.06</x:v>
      </x:c>
      <x:c r="I1275" s="1" t="str">
        <x:f>IF(H1275&gt;0,"Overbilled","Shortfall")</x:f>
        <x:v>Overbilled</x:v>
      </x:c>
      <x:c r="J1275" s="7"/>
      <x:c r="K1275" s="7" t="str">
        <x:v>Open</x:v>
      </x:c>
      <x:c r="L1275" s="7"/>
    </x:row>
    <x:row r="1276" ht="21" customHeight="1">
      <x:c r="A1276" s="1" t="str">
        <x:f>Source!A1270</x:f>
        <x:v>C0011717</x:v>
      </x:c>
      <x:c r="B1276" s="1" t="str">
        <x:f>_xlfn.IFNA(VLOOKUP(Source!B1270,Advertisers!$A$5:$B$34,2,FALSE),"Missing advertiser")</x:f>
        <x:v>Synthetic advertiser 30</x:v>
      </x:c>
      <x:c r="C1276" s="1" t="n">
        <x:f>Source!C1270</x:f>
        <x:v>60</x:v>
      </x:c>
      <x:c r="D1276" s="8" t="n">
        <x:f>Source!D1270/100</x:f>
        <x:v>153.86</x:v>
      </x:c>
      <x:c r="E1276" s="8" t="n">
        <x:f>Source!E1270/100</x:f>
        <x:v>307.72</x:v>
      </x:c>
      <x:c r="F1276" s="8" t="n">
        <x:f>Source!F1270/100</x:f>
        <x:v>0</x:v>
      </x:c>
      <x:c r="G1276" s="8" t="n">
        <x:f>Source!G1270/100</x:f>
        <x:v>307.72</x:v>
      </x:c>
      <x:c r="H1276" s="8" t="n">
        <x:f>G1276-D1276</x:f>
        <x:v>153.86</x:v>
      </x:c>
      <x:c r="I1276" s="1" t="str">
        <x:f>IF(H1276&gt;0,"Overbilled","Shortfall")</x:f>
        <x:v>Overbilled</x:v>
      </x:c>
      <x:c r="J1276" s="7"/>
      <x:c r="K1276" s="7" t="str">
        <x:v>Open</x:v>
      </x:c>
      <x:c r="L1276" s="7"/>
    </x:row>
    <x:row r="1277" ht="21" customHeight="1">
      <x:c r="A1277" s="1" t="str">
        <x:f>Source!A1271</x:f>
        <x:v>C0003818</x:v>
      </x:c>
      <x:c r="B1277" s="1" t="str">
        <x:f>_xlfn.IFNA(VLOOKUP(Source!B1271,Advertisers!$A$5:$B$34,2,FALSE),"Missing advertiser")</x:f>
        <x:v>Synthetic advertiser 30</x:v>
      </x:c>
      <x:c r="C1277" s="1" t="n">
        <x:f>Source!C1271</x:f>
        <x:v>60</x:v>
      </x:c>
      <x:c r="D1277" s="8" t="n">
        <x:f>Source!D1271/100</x:f>
        <x:v>153.86</x:v>
      </x:c>
      <x:c r="E1277" s="8" t="n">
        <x:f>Source!E1271/100</x:f>
        <x:v>0</x:v>
      </x:c>
      <x:c r="F1277" s="8" t="n">
        <x:f>Source!F1271/100</x:f>
        <x:v>0</x:v>
      </x:c>
      <x:c r="G1277" s="8" t="n">
        <x:f>Source!G1271/100</x:f>
        <x:v>0</x:v>
      </x:c>
      <x:c r="H1277" s="8" t="n">
        <x:f>G1277-D1277</x:f>
        <x:v>-153.86</x:v>
      </x:c>
      <x:c r="I1277" s="1" t="str">
        <x:f>IF(H1277&gt;0,"Overbilled","Shortfall")</x:f>
        <x:v>Shortfall</x:v>
      </x:c>
      <x:c r="J1277" s="7"/>
      <x:c r="K1277" s="7" t="str">
        <x:v>Open</x:v>
      </x:c>
      <x:c r="L1277" s="7"/>
    </x:row>
    <x:row r="1278" ht="21" customHeight="1">
      <x:c r="A1278" s="1" t="str">
        <x:f>Source!A1272</x:f>
        <x:v>C0000179</x:v>
      </x:c>
      <x:c r="B1278" s="1" t="str">
        <x:f>_xlfn.IFNA(VLOOKUP(Source!B1272,Advertisers!$A$5:$B$34,2,FALSE),"Missing advertiser")</x:f>
        <x:v>Synthetic advertiser 30</x:v>
      </x:c>
      <x:c r="C1278" s="1" t="n">
        <x:f>Source!C1272</x:f>
        <x:v>60</x:v>
      </x:c>
      <x:c r="D1278" s="8" t="n">
        <x:f>Source!D1272/100</x:f>
        <x:v>153.86</x:v>
      </x:c>
      <x:c r="E1278" s="8" t="n">
        <x:f>Source!E1272/100</x:f>
        <x:v>0</x:v>
      </x:c>
      <x:c r="F1278" s="8" t="n">
        <x:f>Source!F1272/100</x:f>
        <x:v>0</x:v>
      </x:c>
      <x:c r="G1278" s="8" t="n">
        <x:f>Source!G1272/100</x:f>
        <x:v>0</x:v>
      </x:c>
      <x:c r="H1278" s="8" t="n">
        <x:f>G1278-D1278</x:f>
        <x:v>-153.86</x:v>
      </x:c>
      <x:c r="I1278" s="1" t="str">
        <x:f>IF(H1278&gt;0,"Overbilled","Shortfall")</x:f>
        <x:v>Shortfall</x:v>
      </x:c>
      <x:c r="J1278" s="7"/>
      <x:c r="K1278" s="7" t="str">
        <x:v>Open</x:v>
      </x:c>
      <x:c r="L1278" s="7"/>
    </x:row>
    <x:row r="1279" ht="21" customHeight="1">
      <x:c r="A1279" s="1" t="str">
        <x:f>Source!A1273</x:f>
        <x:v>C0008961</x:v>
      </x:c>
      <x:c r="B1279" s="1" t="str">
        <x:f>_xlfn.IFNA(VLOOKUP(Source!B1273,Advertisers!$A$5:$B$34,2,FALSE),"Missing advertiser")</x:f>
        <x:v>Synthetic advertiser 30</x:v>
      </x:c>
      <x:c r="C1279" s="1" t="n">
        <x:f>Source!C1273</x:f>
        <x:v>60</x:v>
      </x:c>
      <x:c r="D1279" s="8" t="n">
        <x:f>Source!D1273/100</x:f>
        <x:v>0</x:v>
      </x:c>
      <x:c r="E1279" s="8" t="n">
        <x:f>Source!E1273/100</x:f>
        <x:v>153.86</x:v>
      </x:c>
      <x:c r="F1279" s="8" t="n">
        <x:f>Source!F1273/100</x:f>
        <x:v>0</x:v>
      </x:c>
      <x:c r="G1279" s="8" t="n">
        <x:f>Source!G1273/100</x:f>
        <x:v>153.86</x:v>
      </x:c>
      <x:c r="H1279" s="8" t="n">
        <x:f>G1279-D1279</x:f>
        <x:v>153.86</x:v>
      </x:c>
      <x:c r="I1279" s="1" t="str">
        <x:f>IF(H1279&gt;0,"Overbilled","Shortfall")</x:f>
        <x:v>Overbilled</x:v>
      </x:c>
      <x:c r="J1279" s="7"/>
      <x:c r="K1279" s="7" t="str">
        <x:v>Open</x:v>
      </x:c>
      <x:c r="L1279" s="7"/>
    </x:row>
    <x:row r="1280" ht="21" customHeight="1">
      <x:c r="A1280" s="1" t="str">
        <x:f>Source!A1274</x:f>
        <x:v>C0013453</x:v>
      </x:c>
      <x:c r="B1280" s="1" t="str">
        <x:f>_xlfn.IFNA(VLOOKUP(Source!B1274,Advertisers!$A$5:$B$34,2,FALSE),"Missing advertiser")</x:f>
        <x:v>Synthetic advertiser 23</x:v>
      </x:c>
      <x:c r="C1280" s="1" t="n">
        <x:f>Source!C1274</x:f>
        <x:v>113</x:v>
      </x:c>
      <x:c r="D1280" s="8" t="n">
        <x:f>Source!D1274/100</x:f>
        <x:v>0</x:v>
      </x:c>
      <x:c r="E1280" s="8" t="n">
        <x:f>Source!E1274/100</x:f>
        <x:v>153.53</x:v>
      </x:c>
      <x:c r="F1280" s="8" t="n">
        <x:f>Source!F1274/100</x:f>
        <x:v>0</x:v>
      </x:c>
      <x:c r="G1280" s="8" t="n">
        <x:f>Source!G1274/100</x:f>
        <x:v>153.53</x:v>
      </x:c>
      <x:c r="H1280" s="8" t="n">
        <x:f>G1280-D1280</x:f>
        <x:v>153.53</x:v>
      </x:c>
      <x:c r="I1280" s="1" t="str">
        <x:f>IF(H1280&gt;0,"Overbilled","Shortfall")</x:f>
        <x:v>Overbilled</x:v>
      </x:c>
      <x:c r="J1280" s="7"/>
      <x:c r="K1280" s="7" t="str">
        <x:v>Open</x:v>
      </x:c>
      <x:c r="L1280" s="7"/>
    </x:row>
    <x:row r="1281" ht="21" customHeight="1">
      <x:c r="A1281" s="1" t="str">
        <x:f>Source!A1275</x:f>
        <x:v>C0000609</x:v>
      </x:c>
      <x:c r="B1281" s="1" t="str">
        <x:f>_xlfn.IFNA(VLOOKUP(Source!B1275,Advertisers!$A$5:$B$34,2,FALSE),"Missing advertiser")</x:f>
        <x:v>Synthetic advertiser 23</x:v>
      </x:c>
      <x:c r="C1281" s="1" t="n">
        <x:f>Source!C1275</x:f>
        <x:v>113</x:v>
      </x:c>
      <x:c r="D1281" s="8" t="n">
        <x:f>Source!D1275/100</x:f>
        <x:v>153.53</x:v>
      </x:c>
      <x:c r="E1281" s="8" t="n">
        <x:f>Source!E1275/100</x:f>
        <x:v>307.06</x:v>
      </x:c>
      <x:c r="F1281" s="8" t="n">
        <x:f>Source!F1275/100</x:f>
        <x:v>0</x:v>
      </x:c>
      <x:c r="G1281" s="8" t="n">
        <x:f>Source!G1275/100</x:f>
        <x:v>307.06</x:v>
      </x:c>
      <x:c r="H1281" s="8" t="n">
        <x:f>G1281-D1281</x:f>
        <x:v>153.53</x:v>
      </x:c>
      <x:c r="I1281" s="1" t="str">
        <x:f>IF(H1281&gt;0,"Overbilled","Shortfall")</x:f>
        <x:v>Overbilled</x:v>
      </x:c>
      <x:c r="J1281" s="7"/>
      <x:c r="K1281" s="7" t="str">
        <x:v>Open</x:v>
      </x:c>
      <x:c r="L1281" s="7"/>
    </x:row>
    <x:row r="1282" ht="21" customHeight="1">
      <x:c r="A1282" s="1" t="str">
        <x:f>Source!A1276</x:f>
        <x:v>C0004944</x:v>
      </x:c>
      <x:c r="B1282" s="1" t="str">
        <x:f>_xlfn.IFNA(VLOOKUP(Source!B1276,Advertisers!$A$5:$B$34,2,FALSE),"Missing advertiser")</x:f>
        <x:v>Synthetic advertiser 23</x:v>
      </x:c>
      <x:c r="C1282" s="1" t="n">
        <x:f>Source!C1276</x:f>
        <x:v>113</x:v>
      </x:c>
      <x:c r="D1282" s="8" t="n">
        <x:f>Source!D1276/100</x:f>
        <x:v>153.53</x:v>
      </x:c>
      <x:c r="E1282" s="8" t="n">
        <x:f>Source!E1276/100</x:f>
        <x:v>0</x:v>
      </x:c>
      <x:c r="F1282" s="8" t="n">
        <x:f>Source!F1276/100</x:f>
        <x:v>0</x:v>
      </x:c>
      <x:c r="G1282" s="8" t="n">
        <x:f>Source!G1276/100</x:f>
        <x:v>0</x:v>
      </x:c>
      <x:c r="H1282" s="8" t="n">
        <x:f>G1282-D1282</x:f>
        <x:v>-153.53</x:v>
      </x:c>
      <x:c r="I1282" s="1" t="str">
        <x:f>IF(H1282&gt;0,"Overbilled","Shortfall")</x:f>
        <x:v>Shortfall</x:v>
      </x:c>
      <x:c r="J1282" s="7"/>
      <x:c r="K1282" s="7" t="str">
        <x:v>Open</x:v>
      </x:c>
      <x:c r="L1282" s="7"/>
    </x:row>
    <x:row r="1283" ht="21" customHeight="1">
      <x:c r="A1283" s="1" t="str">
        <x:f>Source!A1277</x:f>
        <x:v>C0001262</x:v>
      </x:c>
      <x:c r="B1283" s="1" t="str">
        <x:f>_xlfn.IFNA(VLOOKUP(Source!B1277,Advertisers!$A$5:$B$34,2,FALSE),"Missing advertiser")</x:f>
        <x:v>Synthetic advertiser 23</x:v>
      </x:c>
      <x:c r="C1283" s="1" t="n">
        <x:f>Source!C1277</x:f>
        <x:v>113</x:v>
      </x:c>
      <x:c r="D1283" s="8" t="n">
        <x:f>Source!D1277/100</x:f>
        <x:v>153.53</x:v>
      </x:c>
      <x:c r="E1283" s="8" t="n">
        <x:f>Source!E1277/100</x:f>
        <x:v>0</x:v>
      </x:c>
      <x:c r="F1283" s="8" t="n">
        <x:f>Source!F1277/100</x:f>
        <x:v>0</x:v>
      </x:c>
      <x:c r="G1283" s="8" t="n">
        <x:f>Source!G1277/100</x:f>
        <x:v>0</x:v>
      </x:c>
      <x:c r="H1283" s="8" t="n">
        <x:f>G1283-D1283</x:f>
        <x:v>-153.53</x:v>
      </x:c>
      <x:c r="I1283" s="1" t="str">
        <x:f>IF(H1283&gt;0,"Overbilled","Shortfall")</x:f>
        <x:v>Shortfall</x:v>
      </x:c>
      <x:c r="J1283" s="7"/>
      <x:c r="K1283" s="7" t="str">
        <x:v>Open</x:v>
      </x:c>
      <x:c r="L1283" s="7"/>
    </x:row>
    <x:row r="1284" ht="21" customHeight="1">
      <x:c r="A1284" s="1" t="str">
        <x:f>Source!A1278</x:f>
        <x:v>C0013585</x:v>
      </x:c>
      <x:c r="B1284" s="1" t="str">
        <x:f>_xlfn.IFNA(VLOOKUP(Source!B1278,Advertisers!$A$5:$B$34,2,FALSE),"Missing advertiser")</x:f>
        <x:v>Synthetic advertiser 23</x:v>
      </x:c>
      <x:c r="C1284" s="1" t="n">
        <x:f>Source!C1278</x:f>
        <x:v>113</x:v>
      </x:c>
      <x:c r="D1284" s="8" t="n">
        <x:f>Source!D1278/100</x:f>
        <x:v>153.53</x:v>
      </x:c>
      <x:c r="E1284" s="8" t="n">
        <x:f>Source!E1278/100</x:f>
        <x:v>307.06</x:v>
      </x:c>
      <x:c r="F1284" s="8" t="n">
        <x:f>Source!F1278/100</x:f>
        <x:v>0</x:v>
      </x:c>
      <x:c r="G1284" s="8" t="n">
        <x:f>Source!G1278/100</x:f>
        <x:v>307.06</x:v>
      </x:c>
      <x:c r="H1284" s="8" t="n">
        <x:f>G1284-D1284</x:f>
        <x:v>153.53</x:v>
      </x:c>
      <x:c r="I1284" s="1" t="str">
        <x:f>IF(H1284&gt;0,"Overbilled","Shortfall")</x:f>
        <x:v>Overbilled</x:v>
      </x:c>
      <x:c r="J1284" s="7"/>
      <x:c r="K1284" s="7" t="str">
        <x:v>Open</x:v>
      </x:c>
      <x:c r="L1284" s="7"/>
    </x:row>
    <x:row r="1285" ht="21" customHeight="1">
      <x:c r="A1285" s="1" t="str">
        <x:f>Source!A1279</x:f>
        <x:v>C0014917</x:v>
      </x:c>
      <x:c r="B1285" s="1" t="str">
        <x:f>_xlfn.IFNA(VLOOKUP(Source!B1279,Advertisers!$A$5:$B$34,2,FALSE),"Missing advertiser")</x:f>
        <x:v>Synthetic advertiser 23</x:v>
      </x:c>
      <x:c r="C1285" s="1" t="n">
        <x:f>Source!C1279</x:f>
        <x:v>113</x:v>
      </x:c>
      <x:c r="D1285" s="8" t="n">
        <x:f>Source!D1279/100</x:f>
        <x:v>153.53</x:v>
      </x:c>
      <x:c r="E1285" s="8" t="n">
        <x:f>Source!E1279/100</x:f>
        <x:v>0</x:v>
      </x:c>
      <x:c r="F1285" s="8" t="n">
        <x:f>Source!F1279/100</x:f>
        <x:v>0</x:v>
      </x:c>
      <x:c r="G1285" s="8" t="n">
        <x:f>Source!G1279/100</x:f>
        <x:v>0</x:v>
      </x:c>
      <x:c r="H1285" s="8" t="n">
        <x:f>G1285-D1285</x:f>
        <x:v>-153.53</x:v>
      </x:c>
      <x:c r="I1285" s="1" t="str">
        <x:f>IF(H1285&gt;0,"Overbilled","Shortfall")</x:f>
        <x:v>Shortfall</x:v>
      </x:c>
      <x:c r="J1285" s="7"/>
      <x:c r="K1285" s="7" t="str">
        <x:v>Open</x:v>
      </x:c>
      <x:c r="L1285" s="7"/>
    </x:row>
    <x:row r="1286" ht="21" customHeight="1">
      <x:c r="A1286" s="1" t="str">
        <x:f>Source!A1280</x:f>
        <x:v>C0008231</x:v>
      </x:c>
      <x:c r="B1286" s="1" t="str">
        <x:f>_xlfn.IFNA(VLOOKUP(Source!B1280,Advertisers!$A$5:$B$34,2,FALSE),"Missing advertiser")</x:f>
        <x:v>Synthetic advertiser 23</x:v>
      </x:c>
      <x:c r="C1286" s="1" t="n">
        <x:f>Source!C1280</x:f>
        <x:v>113</x:v>
      </x:c>
      <x:c r="D1286" s="8" t="n">
        <x:f>Source!D1280/100</x:f>
        <x:v>153.53</x:v>
      </x:c>
      <x:c r="E1286" s="8" t="n">
        <x:f>Source!E1280/100</x:f>
        <x:v>0</x:v>
      </x:c>
      <x:c r="F1286" s="8" t="n">
        <x:f>Source!F1280/100</x:f>
        <x:v>0</x:v>
      </x:c>
      <x:c r="G1286" s="8" t="n">
        <x:f>Source!G1280/100</x:f>
        <x:v>0</x:v>
      </x:c>
      <x:c r="H1286" s="8" t="n">
        <x:f>G1286-D1286</x:f>
        <x:v>-153.53</x:v>
      </x:c>
      <x:c r="I1286" s="1" t="str">
        <x:f>IF(H1286&gt;0,"Overbilled","Shortfall")</x:f>
        <x:v>Shortfall</x:v>
      </x:c>
      <x:c r="J1286" s="7"/>
      <x:c r="K1286" s="7" t="str">
        <x:v>Open</x:v>
      </x:c>
      <x:c r="L1286" s="7"/>
    </x:row>
    <x:row r="1287" ht="21" customHeight="1">
      <x:c r="A1287" s="1" t="str">
        <x:f>Source!A1281</x:f>
        <x:v>C0010814</x:v>
      </x:c>
      <x:c r="B1287" s="1" t="str">
        <x:f>_xlfn.IFNA(VLOOKUP(Source!B1281,Advertisers!$A$5:$B$34,2,FALSE),"Missing advertiser")</x:f>
        <x:v>Synthetic advertiser 23</x:v>
      </x:c>
      <x:c r="C1287" s="1" t="n">
        <x:f>Source!C1281</x:f>
        <x:v>113</x:v>
      </x:c>
      <x:c r="D1287" s="8" t="n">
        <x:f>Source!D1281/100</x:f>
        <x:v>153.53</x:v>
      </x:c>
      <x:c r="E1287" s="8" t="n">
        <x:f>Source!E1281/100</x:f>
        <x:v>0</x:v>
      </x:c>
      <x:c r="F1287" s="8" t="n">
        <x:f>Source!F1281/100</x:f>
        <x:v>0</x:v>
      </x:c>
      <x:c r="G1287" s="8" t="n">
        <x:f>Source!G1281/100</x:f>
        <x:v>0</x:v>
      </x:c>
      <x:c r="H1287" s="8" t="n">
        <x:f>G1287-D1287</x:f>
        <x:v>-153.53</x:v>
      </x:c>
      <x:c r="I1287" s="1" t="str">
        <x:f>IF(H1287&gt;0,"Overbilled","Shortfall")</x:f>
        <x:v>Shortfall</x:v>
      </x:c>
      <x:c r="J1287" s="7"/>
      <x:c r="K1287" s="7" t="str">
        <x:v>Open</x:v>
      </x:c>
      <x:c r="L1287" s="7"/>
    </x:row>
    <x:row r="1288" ht="21" customHeight="1">
      <x:c r="A1288" s="1" t="str">
        <x:f>Source!A1282</x:f>
        <x:v>C0011617</x:v>
      </x:c>
      <x:c r="B1288" s="1" t="str">
        <x:f>_xlfn.IFNA(VLOOKUP(Source!B1282,Advertisers!$A$5:$B$34,2,FALSE),"Missing advertiser")</x:f>
        <x:v>Synthetic advertiser 23</x:v>
      </x:c>
      <x:c r="C1288" s="1" t="n">
        <x:f>Source!C1282</x:f>
        <x:v>113</x:v>
      </x:c>
      <x:c r="D1288" s="8" t="n">
        <x:f>Source!D1282/100</x:f>
        <x:v>153.53</x:v>
      </x:c>
      <x:c r="E1288" s="8" t="n">
        <x:f>Source!E1282/100</x:f>
        <x:v>0</x:v>
      </x:c>
      <x:c r="F1288" s="8" t="n">
        <x:f>Source!F1282/100</x:f>
        <x:v>0</x:v>
      </x:c>
      <x:c r="G1288" s="8" t="n">
        <x:f>Source!G1282/100</x:f>
        <x:v>0</x:v>
      </x:c>
      <x:c r="H1288" s="8" t="n">
        <x:f>G1288-D1288</x:f>
        <x:v>-153.53</x:v>
      </x:c>
      <x:c r="I1288" s="1" t="str">
        <x:f>IF(H1288&gt;0,"Overbilled","Shortfall")</x:f>
        <x:v>Shortfall</x:v>
      </x:c>
      <x:c r="J1288" s="7"/>
      <x:c r="K1288" s="7" t="str">
        <x:v>Open</x:v>
      </x:c>
      <x:c r="L1288" s="7"/>
    </x:row>
    <x:row r="1289" ht="21" customHeight="1">
      <x:c r="A1289" s="1" t="str">
        <x:f>Source!A1283</x:f>
        <x:v>C0004859</x:v>
      </x:c>
      <x:c r="B1289" s="1" t="str">
        <x:f>_xlfn.IFNA(VLOOKUP(Source!B1283,Advertisers!$A$5:$B$34,2,FALSE),"Missing advertiser")</x:f>
        <x:v>Synthetic advertiser 10</x:v>
      </x:c>
      <x:c r="C1289" s="1" t="n">
        <x:f>Source!C1283</x:f>
        <x:v>40</x:v>
      </x:c>
      <x:c r="D1289" s="8" t="n">
        <x:f>Source!D1283/100</x:f>
        <x:v>152.84</x:v>
      </x:c>
      <x:c r="E1289" s="8" t="n">
        <x:f>Source!E1283/100</x:f>
        <x:v>305.68</x:v>
      </x:c>
      <x:c r="F1289" s="8" t="n">
        <x:f>Source!F1283/100</x:f>
        <x:v>0</x:v>
      </x:c>
      <x:c r="G1289" s="8" t="n">
        <x:f>Source!G1283/100</x:f>
        <x:v>305.68</x:v>
      </x:c>
      <x:c r="H1289" s="8" t="n">
        <x:f>G1289-D1289</x:f>
        <x:v>152.84</x:v>
      </x:c>
      <x:c r="I1289" s="1" t="str">
        <x:f>IF(H1289&gt;0,"Overbilled","Shortfall")</x:f>
        <x:v>Overbilled</x:v>
      </x:c>
      <x:c r="J1289" s="7"/>
      <x:c r="K1289" s="7" t="str">
        <x:v>Open</x:v>
      </x:c>
      <x:c r="L1289" s="7"/>
    </x:row>
    <x:row r="1290" ht="21" customHeight="1">
      <x:c r="A1290" s="1" t="str">
        <x:f>Source!A1284</x:f>
        <x:v>C0000667</x:v>
      </x:c>
      <x:c r="B1290" s="1" t="str">
        <x:f>_xlfn.IFNA(VLOOKUP(Source!B1284,Advertisers!$A$5:$B$34,2,FALSE),"Missing advertiser")</x:f>
        <x:v>Synthetic advertiser 10</x:v>
      </x:c>
      <x:c r="C1290" s="1" t="n">
        <x:f>Source!C1284</x:f>
        <x:v>40</x:v>
      </x:c>
      <x:c r="D1290" s="8" t="n">
        <x:f>Source!D1284/100</x:f>
        <x:v>152.84</x:v>
      </x:c>
      <x:c r="E1290" s="8" t="n">
        <x:f>Source!E1284/100</x:f>
        <x:v>305.68</x:v>
      </x:c>
      <x:c r="F1290" s="8" t="n">
        <x:f>Source!F1284/100</x:f>
        <x:v>0</x:v>
      </x:c>
      <x:c r="G1290" s="8" t="n">
        <x:f>Source!G1284/100</x:f>
        <x:v>305.68</x:v>
      </x:c>
      <x:c r="H1290" s="8" t="n">
        <x:f>G1290-D1290</x:f>
        <x:v>152.84</x:v>
      </x:c>
      <x:c r="I1290" s="1" t="str">
        <x:f>IF(H1290&gt;0,"Overbilled","Shortfall")</x:f>
        <x:v>Overbilled</x:v>
      </x:c>
      <x:c r="J1290" s="7"/>
      <x:c r="K1290" s="7" t="str">
        <x:v>Open</x:v>
      </x:c>
      <x:c r="L1290" s="7"/>
    </x:row>
    <x:row r="1291" ht="21" customHeight="1">
      <x:c r="A1291" s="1" t="str">
        <x:f>Source!A1285</x:f>
        <x:v>C0004358</x:v>
      </x:c>
      <x:c r="B1291" s="1" t="str">
        <x:f>_xlfn.IFNA(VLOOKUP(Source!B1285,Advertisers!$A$5:$B$34,2,FALSE),"Missing advertiser")</x:f>
        <x:v>Synthetic advertiser 10</x:v>
      </x:c>
      <x:c r="C1291" s="1" t="n">
        <x:f>Source!C1285</x:f>
        <x:v>40</x:v>
      </x:c>
      <x:c r="D1291" s="8" t="n">
        <x:f>Source!D1285/100</x:f>
        <x:v>152.84</x:v>
      </x:c>
      <x:c r="E1291" s="8" t="n">
        <x:f>Source!E1285/100</x:f>
        <x:v>305.68</x:v>
      </x:c>
      <x:c r="F1291" s="8" t="n">
        <x:f>Source!F1285/100</x:f>
        <x:v>0</x:v>
      </x:c>
      <x:c r="G1291" s="8" t="n">
        <x:f>Source!G1285/100</x:f>
        <x:v>305.68</x:v>
      </x:c>
      <x:c r="H1291" s="8" t="n">
        <x:f>G1291-D1291</x:f>
        <x:v>152.84</x:v>
      </x:c>
      <x:c r="I1291" s="1" t="str">
        <x:f>IF(H1291&gt;0,"Overbilled","Shortfall")</x:f>
        <x:v>Overbilled</x:v>
      </x:c>
      <x:c r="J1291" s="7"/>
      <x:c r="K1291" s="7" t="str">
        <x:v>Open</x:v>
      </x:c>
      <x:c r="L1291" s="7"/>
    </x:row>
    <x:row r="1292" ht="21" customHeight="1">
      <x:c r="A1292" s="1" t="str">
        <x:f>Source!A1286</x:f>
        <x:v>C0001241</x:v>
      </x:c>
      <x:c r="B1292" s="1" t="str">
        <x:f>_xlfn.IFNA(VLOOKUP(Source!B1286,Advertisers!$A$5:$B$34,2,FALSE),"Missing advertiser")</x:f>
        <x:v>Synthetic advertiser 10</x:v>
      </x:c>
      <x:c r="C1292" s="1" t="n">
        <x:f>Source!C1286</x:f>
        <x:v>40</x:v>
      </x:c>
      <x:c r="D1292" s="8" t="n">
        <x:f>Source!D1286/100</x:f>
        <x:v>152.84</x:v>
      </x:c>
      <x:c r="E1292" s="8" t="n">
        <x:f>Source!E1286/100</x:f>
        <x:v>305.68</x:v>
      </x:c>
      <x:c r="F1292" s="8" t="n">
        <x:f>Source!F1286/100</x:f>
        <x:v>0</x:v>
      </x:c>
      <x:c r="G1292" s="8" t="n">
        <x:f>Source!G1286/100</x:f>
        <x:v>305.68</x:v>
      </x:c>
      <x:c r="H1292" s="8" t="n">
        <x:f>G1292-D1292</x:f>
        <x:v>152.84</x:v>
      </x:c>
      <x:c r="I1292" s="1" t="str">
        <x:f>IF(H1292&gt;0,"Overbilled","Shortfall")</x:f>
        <x:v>Overbilled</x:v>
      </x:c>
      <x:c r="J1292" s="7"/>
      <x:c r="K1292" s="7" t="str">
        <x:v>Open</x:v>
      </x:c>
      <x:c r="L1292" s="7"/>
    </x:row>
    <x:row r="1293" ht="21" customHeight="1">
      <x:c r="A1293" s="1" t="str">
        <x:f>Source!A1287</x:f>
        <x:v>C0007246</x:v>
      </x:c>
      <x:c r="B1293" s="1" t="str">
        <x:f>_xlfn.IFNA(VLOOKUP(Source!B1287,Advertisers!$A$5:$B$34,2,FALSE),"Missing advertiser")</x:f>
        <x:v>Synthetic advertiser 10</x:v>
      </x:c>
      <x:c r="C1293" s="1" t="n">
        <x:f>Source!C1287</x:f>
        <x:v>40</x:v>
      </x:c>
      <x:c r="D1293" s="8" t="n">
        <x:f>Source!D1287/100</x:f>
        <x:v>152.84</x:v>
      </x:c>
      <x:c r="E1293" s="8" t="n">
        <x:f>Source!E1287/100</x:f>
        <x:v>0</x:v>
      </x:c>
      <x:c r="F1293" s="8" t="n">
        <x:f>Source!F1287/100</x:f>
        <x:v>0</x:v>
      </x:c>
      <x:c r="G1293" s="8" t="n">
        <x:f>Source!G1287/100</x:f>
        <x:v>0</x:v>
      </x:c>
      <x:c r="H1293" s="8" t="n">
        <x:f>G1293-D1293</x:f>
        <x:v>-152.84</x:v>
      </x:c>
      <x:c r="I1293" s="1" t="str">
        <x:f>IF(H1293&gt;0,"Overbilled","Shortfall")</x:f>
        <x:v>Shortfall</x:v>
      </x:c>
      <x:c r="J1293" s="7"/>
      <x:c r="K1293" s="7" t="str">
        <x:v>Open</x:v>
      </x:c>
      <x:c r="L1293" s="7"/>
    </x:row>
    <x:row r="1294" ht="21" customHeight="1">
      <x:c r="A1294" s="1" t="str">
        <x:f>Source!A1288</x:f>
        <x:v>C0015320</x:v>
      </x:c>
      <x:c r="B1294" s="1" t="str">
        <x:f>_xlfn.IFNA(VLOOKUP(Source!B1288,Advertisers!$A$5:$B$34,2,FALSE),"Missing advertiser")</x:f>
        <x:v>Synthetic advertiser 1</x:v>
      </x:c>
      <x:c r="C1294" s="1" t="n">
        <x:f>Source!C1288</x:f>
        <x:v>1</x:v>
      </x:c>
      <x:c r="D1294" s="8" t="n">
        <x:f>Source!D1288/100</x:f>
        <x:v>152.65</x:v>
      </x:c>
      <x:c r="E1294" s="8" t="n">
        <x:f>Source!E1288/100</x:f>
        <x:v>305.3</x:v>
      </x:c>
      <x:c r="F1294" s="8" t="n">
        <x:f>Source!F1288/100</x:f>
        <x:v>0</x:v>
      </x:c>
      <x:c r="G1294" s="8" t="n">
        <x:f>Source!G1288/100</x:f>
        <x:v>305.3</x:v>
      </x:c>
      <x:c r="H1294" s="8" t="n">
        <x:f>G1294-D1294</x:f>
        <x:v>152.65</x:v>
      </x:c>
      <x:c r="I1294" s="1" t="str">
        <x:f>IF(H1294&gt;0,"Overbilled","Shortfall")</x:f>
        <x:v>Overbilled</x:v>
      </x:c>
      <x:c r="J1294" s="7"/>
      <x:c r="K1294" s="7" t="str">
        <x:v>Open</x:v>
      </x:c>
      <x:c r="L1294" s="7"/>
    </x:row>
    <x:row r="1295" ht="21" customHeight="1">
      <x:c r="A1295" s="1" t="str">
        <x:f>Source!A1289</x:f>
        <x:v>C0016166</x:v>
      </x:c>
      <x:c r="B1295" s="1" t="str">
        <x:f>_xlfn.IFNA(VLOOKUP(Source!B1289,Advertisers!$A$5:$B$34,2,FALSE),"Missing advertiser")</x:f>
        <x:v>Synthetic advertiser 1</x:v>
      </x:c>
      <x:c r="C1295" s="1" t="n">
        <x:f>Source!C1289</x:f>
        <x:v>1</x:v>
      </x:c>
      <x:c r="D1295" s="8" t="n">
        <x:f>Source!D1289/100</x:f>
        <x:v>152.65</x:v>
      </x:c>
      <x:c r="E1295" s="8" t="n">
        <x:f>Source!E1289/100</x:f>
        <x:v>0</x:v>
      </x:c>
      <x:c r="F1295" s="8" t="n">
        <x:f>Source!F1289/100</x:f>
        <x:v>0</x:v>
      </x:c>
      <x:c r="G1295" s="8" t="n">
        <x:f>Source!G1289/100</x:f>
        <x:v>0</x:v>
      </x:c>
      <x:c r="H1295" s="8" t="n">
        <x:f>G1295-D1295</x:f>
        <x:v>-152.65</x:v>
      </x:c>
      <x:c r="I1295" s="1" t="str">
        <x:f>IF(H1295&gt;0,"Overbilled","Shortfall")</x:f>
        <x:v>Shortfall</x:v>
      </x:c>
      <x:c r="J1295" s="7"/>
      <x:c r="K1295" s="7" t="str">
        <x:v>Open</x:v>
      </x:c>
      <x:c r="L1295" s="7"/>
    </x:row>
    <x:row r="1296" ht="21" customHeight="1">
      <x:c r="A1296" s="1" t="str">
        <x:f>Source!A1290</x:f>
        <x:v>C0010643</x:v>
      </x:c>
      <x:c r="B1296" s="1" t="str">
        <x:f>_xlfn.IFNA(VLOOKUP(Source!B1290,Advertisers!$A$5:$B$34,2,FALSE),"Missing advertiser")</x:f>
        <x:v>Synthetic advertiser 1</x:v>
      </x:c>
      <x:c r="C1296" s="1" t="n">
        <x:f>Source!C1290</x:f>
        <x:v>1</x:v>
      </x:c>
      <x:c r="D1296" s="8" t="n">
        <x:f>Source!D1290/100</x:f>
        <x:v>152.65</x:v>
      </x:c>
      <x:c r="E1296" s="8" t="n">
        <x:f>Source!E1290/100</x:f>
        <x:v>305.3</x:v>
      </x:c>
      <x:c r="F1296" s="8" t="n">
        <x:f>Source!F1290/100</x:f>
        <x:v>0</x:v>
      </x:c>
      <x:c r="G1296" s="8" t="n">
        <x:f>Source!G1290/100</x:f>
        <x:v>305.3</x:v>
      </x:c>
      <x:c r="H1296" s="8" t="n">
        <x:f>G1296-D1296</x:f>
        <x:v>152.65</x:v>
      </x:c>
      <x:c r="I1296" s="1" t="str">
        <x:f>IF(H1296&gt;0,"Overbilled","Shortfall")</x:f>
        <x:v>Overbilled</x:v>
      </x:c>
      <x:c r="J1296" s="7"/>
      <x:c r="K1296" s="7" t="str">
        <x:v>Open</x:v>
      </x:c>
      <x:c r="L1296" s="7"/>
    </x:row>
    <x:row r="1297" ht="21" customHeight="1">
      <x:c r="A1297" s="1" t="str">
        <x:f>Source!A1291</x:f>
        <x:v>C0003205</x:v>
      </x:c>
      <x:c r="B1297" s="1" t="str">
        <x:f>_xlfn.IFNA(VLOOKUP(Source!B1291,Advertisers!$A$5:$B$34,2,FALSE),"Missing advertiser")</x:f>
        <x:v>Synthetic advertiser 1</x:v>
      </x:c>
      <x:c r="C1297" s="1" t="n">
        <x:f>Source!C1291</x:f>
        <x:v>1</x:v>
      </x:c>
      <x:c r="D1297" s="8" t="n">
        <x:f>Source!D1291/100</x:f>
        <x:v>0</x:v>
      </x:c>
      <x:c r="E1297" s="8" t="n">
        <x:f>Source!E1291/100</x:f>
        <x:v>152.65</x:v>
      </x:c>
      <x:c r="F1297" s="8" t="n">
        <x:f>Source!F1291/100</x:f>
        <x:v>0</x:v>
      </x:c>
      <x:c r="G1297" s="8" t="n">
        <x:f>Source!G1291/100</x:f>
        <x:v>152.65</x:v>
      </x:c>
      <x:c r="H1297" s="8" t="n">
        <x:f>G1297-D1297</x:f>
        <x:v>152.65</x:v>
      </x:c>
      <x:c r="I1297" s="1" t="str">
        <x:f>IF(H1297&gt;0,"Overbilled","Shortfall")</x:f>
        <x:v>Overbilled</x:v>
      </x:c>
      <x:c r="J1297" s="7"/>
      <x:c r="K1297" s="7" t="str">
        <x:v>Open</x:v>
      </x:c>
      <x:c r="L1297" s="7"/>
    </x:row>
    <x:row r="1298" ht="21" customHeight="1">
      <x:c r="A1298" s="1" t="str">
        <x:f>Source!A1292</x:f>
        <x:v>C0005246</x:v>
      </x:c>
      <x:c r="B1298" s="1" t="str">
        <x:f>_xlfn.IFNA(VLOOKUP(Source!B1292,Advertisers!$A$5:$B$34,2,FALSE),"Missing advertiser")</x:f>
        <x:v>Synthetic advertiser 1</x:v>
      </x:c>
      <x:c r="C1298" s="1" t="n">
        <x:f>Source!C1292</x:f>
        <x:v>1</x:v>
      </x:c>
      <x:c r="D1298" s="8" t="n">
        <x:f>Source!D1292/100</x:f>
        <x:v>152.65</x:v>
      </x:c>
      <x:c r="E1298" s="8" t="n">
        <x:f>Source!E1292/100</x:f>
        <x:v>305.3</x:v>
      </x:c>
      <x:c r="F1298" s="8" t="n">
        <x:f>Source!F1292/100</x:f>
        <x:v>0</x:v>
      </x:c>
      <x:c r="G1298" s="8" t="n">
        <x:f>Source!G1292/100</x:f>
        <x:v>305.3</x:v>
      </x:c>
      <x:c r="H1298" s="8" t="n">
        <x:f>G1298-D1298</x:f>
        <x:v>152.65</x:v>
      </x:c>
      <x:c r="I1298" s="1" t="str">
        <x:f>IF(H1298&gt;0,"Overbilled","Shortfall")</x:f>
        <x:v>Overbilled</x:v>
      </x:c>
      <x:c r="J1298" s="7"/>
      <x:c r="K1298" s="7" t="str">
        <x:v>Open</x:v>
      </x:c>
      <x:c r="L1298" s="7"/>
    </x:row>
    <x:row r="1299" ht="21" customHeight="1">
      <x:c r="A1299" s="1" t="str">
        <x:f>Source!A1293</x:f>
        <x:v>C0015404</x:v>
      </x:c>
      <x:c r="B1299" s="1" t="str">
        <x:f>_xlfn.IFNA(VLOOKUP(Source!B1293,Advertisers!$A$5:$B$34,2,FALSE),"Missing advertiser")</x:f>
        <x:v>Synthetic advertiser 1</x:v>
      </x:c>
      <x:c r="C1299" s="1" t="n">
        <x:f>Source!C1293</x:f>
        <x:v>1</x:v>
      </x:c>
      <x:c r="D1299" s="8" t="n">
        <x:f>Source!D1293/100</x:f>
        <x:v>152.65</x:v>
      </x:c>
      <x:c r="E1299" s="8" t="n">
        <x:f>Source!E1293/100</x:f>
        <x:v>0</x:v>
      </x:c>
      <x:c r="F1299" s="8" t="n">
        <x:f>Source!F1293/100</x:f>
        <x:v>0</x:v>
      </x:c>
      <x:c r="G1299" s="8" t="n">
        <x:f>Source!G1293/100</x:f>
        <x:v>0</x:v>
      </x:c>
      <x:c r="H1299" s="8" t="n">
        <x:f>G1299-D1299</x:f>
        <x:v>-152.65</x:v>
      </x:c>
      <x:c r="I1299" s="1" t="str">
        <x:f>IF(H1299&gt;0,"Overbilled","Shortfall")</x:f>
        <x:v>Shortfall</x:v>
      </x:c>
      <x:c r="J1299" s="7"/>
      <x:c r="K1299" s="7" t="str">
        <x:v>Open</x:v>
      </x:c>
      <x:c r="L1299" s="7"/>
    </x:row>
    <x:row r="1300" ht="21" customHeight="1">
      <x:c r="A1300" s="1" t="str">
        <x:f>Source!A1294</x:f>
        <x:v>C0009107</x:v>
      </x:c>
      <x:c r="B1300" s="1" t="str">
        <x:f>_xlfn.IFNA(VLOOKUP(Source!B1294,Advertisers!$A$5:$B$34,2,FALSE),"Missing advertiser")</x:f>
        <x:v>Synthetic advertiser 1</x:v>
      </x:c>
      <x:c r="C1300" s="1" t="n">
        <x:f>Source!C1294</x:f>
        <x:v>1</x:v>
      </x:c>
      <x:c r="D1300" s="8" t="n">
        <x:f>Source!D1294/100</x:f>
        <x:v>152.65</x:v>
      </x:c>
      <x:c r="E1300" s="8" t="n">
        <x:f>Source!E1294/100</x:f>
        <x:v>0</x:v>
      </x:c>
      <x:c r="F1300" s="8" t="n">
        <x:f>Source!F1294/100</x:f>
        <x:v>0</x:v>
      </x:c>
      <x:c r="G1300" s="8" t="n">
        <x:f>Source!G1294/100</x:f>
        <x:v>0</x:v>
      </x:c>
      <x:c r="H1300" s="8" t="n">
        <x:f>G1300-D1300</x:f>
        <x:v>-152.65</x:v>
      </x:c>
      <x:c r="I1300" s="1" t="str">
        <x:f>IF(H1300&gt;0,"Overbilled","Shortfall")</x:f>
        <x:v>Shortfall</x:v>
      </x:c>
      <x:c r="J1300" s="7"/>
      <x:c r="K1300" s="7" t="str">
        <x:v>Open</x:v>
      </x:c>
      <x:c r="L1300" s="7"/>
    </x:row>
    <x:row r="1301" ht="21" customHeight="1">
      <x:c r="A1301" s="1" t="str">
        <x:f>Source!A1295</x:f>
        <x:v>C0000522</x:v>
      </x:c>
      <x:c r="B1301" s="1" t="str">
        <x:f>_xlfn.IFNA(VLOOKUP(Source!B1295,Advertisers!$A$5:$B$34,2,FALSE),"Missing advertiser")</x:f>
        <x:v>Synthetic advertiser 1</x:v>
      </x:c>
      <x:c r="C1301" s="1" t="n">
        <x:f>Source!C1295</x:f>
        <x:v>1</x:v>
      </x:c>
      <x:c r="D1301" s="8" t="n">
        <x:f>Source!D1295/100</x:f>
        <x:v>152.65</x:v>
      </x:c>
      <x:c r="E1301" s="8" t="n">
        <x:f>Source!E1295/100</x:f>
        <x:v>305.3</x:v>
      </x:c>
      <x:c r="F1301" s="8" t="n">
        <x:f>Source!F1295/100</x:f>
        <x:v>0</x:v>
      </x:c>
      <x:c r="G1301" s="8" t="n">
        <x:f>Source!G1295/100</x:f>
        <x:v>305.3</x:v>
      </x:c>
      <x:c r="H1301" s="8" t="n">
        <x:f>G1301-D1301</x:f>
        <x:v>152.65</x:v>
      </x:c>
      <x:c r="I1301" s="1" t="str">
        <x:f>IF(H1301&gt;0,"Overbilled","Shortfall")</x:f>
        <x:v>Overbilled</x:v>
      </x:c>
      <x:c r="J1301" s="7"/>
      <x:c r="K1301" s="7" t="str">
        <x:v>Open</x:v>
      </x:c>
      <x:c r="L1301" s="7"/>
    </x:row>
    <x:row r="1302" ht="21" customHeight="1">
      <x:c r="A1302" s="1" t="str">
        <x:f>Source!A1296</x:f>
        <x:v>C0013607</x:v>
      </x:c>
      <x:c r="B1302" s="1" t="str">
        <x:f>_xlfn.IFNA(VLOOKUP(Source!B1296,Advertisers!$A$5:$B$34,2,FALSE),"Missing advertiser")</x:f>
        <x:v>Synthetic advertiser 13</x:v>
      </x:c>
      <x:c r="C1302" s="1" t="n">
        <x:f>Source!C1296</x:f>
        <x:v>73</x:v>
      </x:c>
      <x:c r="D1302" s="8" t="n">
        <x:f>Source!D1296/100</x:f>
        <x:v>0</x:v>
      </x:c>
      <x:c r="E1302" s="8" t="n">
        <x:f>Source!E1296/100</x:f>
        <x:v>151.64</x:v>
      </x:c>
      <x:c r="F1302" s="8" t="n">
        <x:f>Source!F1296/100</x:f>
        <x:v>0</x:v>
      </x:c>
      <x:c r="G1302" s="8" t="n">
        <x:f>Source!G1296/100</x:f>
        <x:v>151.64</x:v>
      </x:c>
      <x:c r="H1302" s="8" t="n">
        <x:f>G1302-D1302</x:f>
        <x:v>151.64</x:v>
      </x:c>
      <x:c r="I1302" s="1" t="str">
        <x:f>IF(H1302&gt;0,"Overbilled","Shortfall")</x:f>
        <x:v>Overbilled</x:v>
      </x:c>
      <x:c r="J1302" s="7"/>
      <x:c r="K1302" s="7" t="str">
        <x:v>Open</x:v>
      </x:c>
      <x:c r="L1302" s="7"/>
    </x:row>
    <x:row r="1303" ht="21" customHeight="1">
      <x:c r="A1303" s="1" t="str">
        <x:f>Source!A1297</x:f>
        <x:v>C0004429</x:v>
      </x:c>
      <x:c r="B1303" s="1" t="str">
        <x:f>_xlfn.IFNA(VLOOKUP(Source!B1297,Advertisers!$A$5:$B$34,2,FALSE),"Missing advertiser")</x:f>
        <x:v>Synthetic advertiser 13</x:v>
      </x:c>
      <x:c r="C1303" s="1" t="n">
        <x:f>Source!C1297</x:f>
        <x:v>73</x:v>
      </x:c>
      <x:c r="D1303" s="8" t="n">
        <x:f>Source!D1297/100</x:f>
        <x:v>151.64</x:v>
      </x:c>
      <x:c r="E1303" s="8" t="n">
        <x:f>Source!E1297/100</x:f>
        <x:v>303.28</x:v>
      </x:c>
      <x:c r="F1303" s="8" t="n">
        <x:f>Source!F1297/100</x:f>
        <x:v>0</x:v>
      </x:c>
      <x:c r="G1303" s="8" t="n">
        <x:f>Source!G1297/100</x:f>
        <x:v>303.28</x:v>
      </x:c>
      <x:c r="H1303" s="8" t="n">
        <x:f>G1303-D1303</x:f>
        <x:v>151.64</x:v>
      </x:c>
      <x:c r="I1303" s="1" t="str">
        <x:f>IF(H1303&gt;0,"Overbilled","Shortfall")</x:f>
        <x:v>Overbilled</x:v>
      </x:c>
      <x:c r="J1303" s="7"/>
      <x:c r="K1303" s="7" t="str">
        <x:v>Open</x:v>
      </x:c>
      <x:c r="L1303" s="7"/>
    </x:row>
    <x:row r="1304" ht="21" customHeight="1">
      <x:c r="A1304" s="1" t="str">
        <x:f>Source!A1298</x:f>
        <x:v>C0017225</x:v>
      </x:c>
      <x:c r="B1304" s="1" t="str">
        <x:f>_xlfn.IFNA(VLOOKUP(Source!B1298,Advertisers!$A$5:$B$34,2,FALSE),"Missing advertiser")</x:f>
        <x:v>Synthetic advertiser 13</x:v>
      </x:c>
      <x:c r="C1304" s="1" t="n">
        <x:f>Source!C1298</x:f>
        <x:v>73</x:v>
      </x:c>
      <x:c r="D1304" s="8" t="n">
        <x:f>Source!D1298/100</x:f>
        <x:v>151.64</x:v>
      </x:c>
      <x:c r="E1304" s="8" t="n">
        <x:f>Source!E1298/100</x:f>
        <x:v>0</x:v>
      </x:c>
      <x:c r="F1304" s="8" t="n">
        <x:f>Source!F1298/100</x:f>
        <x:v>0</x:v>
      </x:c>
      <x:c r="G1304" s="8" t="n">
        <x:f>Source!G1298/100</x:f>
        <x:v>0</x:v>
      </x:c>
      <x:c r="H1304" s="8" t="n">
        <x:f>G1304-D1304</x:f>
        <x:v>-151.64</x:v>
      </x:c>
      <x:c r="I1304" s="1" t="str">
        <x:f>IF(H1304&gt;0,"Overbilled","Shortfall")</x:f>
        <x:v>Shortfall</x:v>
      </x:c>
      <x:c r="J1304" s="7"/>
      <x:c r="K1304" s="7" t="str">
        <x:v>Open</x:v>
      </x:c>
      <x:c r="L1304" s="7"/>
    </x:row>
    <x:row r="1305" ht="21" customHeight="1">
      <x:c r="A1305" s="1" t="str">
        <x:f>Source!A1299</x:f>
        <x:v>C0014748</x:v>
      </x:c>
      <x:c r="B1305" s="1" t="str">
        <x:f>_xlfn.IFNA(VLOOKUP(Source!B1299,Advertisers!$A$5:$B$34,2,FALSE),"Missing advertiser")</x:f>
        <x:v>Synthetic advertiser 13</x:v>
      </x:c>
      <x:c r="C1305" s="1" t="n">
        <x:f>Source!C1299</x:f>
        <x:v>73</x:v>
      </x:c>
      <x:c r="D1305" s="8" t="n">
        <x:f>Source!D1299/100</x:f>
        <x:v>151.64</x:v>
      </x:c>
      <x:c r="E1305" s="8" t="n">
        <x:f>Source!E1299/100</x:f>
        <x:v>303.28</x:v>
      </x:c>
      <x:c r="F1305" s="8" t="n">
        <x:f>Source!F1299/100</x:f>
        <x:v>0</x:v>
      </x:c>
      <x:c r="G1305" s="8" t="n">
        <x:f>Source!G1299/100</x:f>
        <x:v>303.28</x:v>
      </x:c>
      <x:c r="H1305" s="8" t="n">
        <x:f>G1305-D1305</x:f>
        <x:v>151.64</x:v>
      </x:c>
      <x:c r="I1305" s="1" t="str">
        <x:f>IF(H1305&gt;0,"Overbilled","Shortfall")</x:f>
        <x:v>Overbilled</x:v>
      </x:c>
      <x:c r="J1305" s="7"/>
      <x:c r="K1305" s="7" t="str">
        <x:v>Open</x:v>
      </x:c>
      <x:c r="L1305" s="7"/>
    </x:row>
    <x:row r="1306" ht="21" customHeight="1">
      <x:c r="A1306" s="1" t="str">
        <x:f>Source!A1300</x:f>
        <x:v>C0011264</x:v>
      </x:c>
      <x:c r="B1306" s="1" t="str">
        <x:f>_xlfn.IFNA(VLOOKUP(Source!B1300,Advertisers!$A$5:$B$34,2,FALSE),"Missing advertiser")</x:f>
        <x:v>Synthetic advertiser 13</x:v>
      </x:c>
      <x:c r="C1306" s="1" t="n">
        <x:f>Source!C1300</x:f>
        <x:v>73</x:v>
      </x:c>
      <x:c r="D1306" s="8" t="n">
        <x:f>Source!D1300/100</x:f>
        <x:v>151.64</x:v>
      </x:c>
      <x:c r="E1306" s="8" t="n">
        <x:f>Source!E1300/100</x:f>
        <x:v>303.28</x:v>
      </x:c>
      <x:c r="F1306" s="8" t="n">
        <x:f>Source!F1300/100</x:f>
        <x:v>0</x:v>
      </x:c>
      <x:c r="G1306" s="8" t="n">
        <x:f>Source!G1300/100</x:f>
        <x:v>303.28</x:v>
      </x:c>
      <x:c r="H1306" s="8" t="n">
        <x:f>G1306-D1306</x:f>
        <x:v>151.64</x:v>
      </x:c>
      <x:c r="I1306" s="1" t="str">
        <x:f>IF(H1306&gt;0,"Overbilled","Shortfall")</x:f>
        <x:v>Overbilled</x:v>
      </x:c>
      <x:c r="J1306" s="7"/>
      <x:c r="K1306" s="7" t="str">
        <x:v>Open</x:v>
      </x:c>
      <x:c r="L1306" s="7"/>
    </x:row>
    <x:row r="1307" ht="21" customHeight="1">
      <x:c r="A1307" s="1" t="str">
        <x:f>Source!A1301</x:f>
        <x:v>C0010715</x:v>
      </x:c>
      <x:c r="B1307" s="1" t="str">
        <x:f>_xlfn.IFNA(VLOOKUP(Source!B1301,Advertisers!$A$5:$B$34,2,FALSE),"Missing advertiser")</x:f>
        <x:v>Synthetic advertiser 13</x:v>
      </x:c>
      <x:c r="C1307" s="1" t="n">
        <x:f>Source!C1301</x:f>
        <x:v>73</x:v>
      </x:c>
      <x:c r="D1307" s="8" t="n">
        <x:f>Source!D1301/100</x:f>
        <x:v>0</x:v>
      </x:c>
      <x:c r="E1307" s="8" t="n">
        <x:f>Source!E1301/100</x:f>
        <x:v>151.64</x:v>
      </x:c>
      <x:c r="F1307" s="8" t="n">
        <x:f>Source!F1301/100</x:f>
        <x:v>0</x:v>
      </x:c>
      <x:c r="G1307" s="8" t="n">
        <x:f>Source!G1301/100</x:f>
        <x:v>151.64</x:v>
      </x:c>
      <x:c r="H1307" s="8" t="n">
        <x:f>G1307-D1307</x:f>
        <x:v>151.64</x:v>
      </x:c>
      <x:c r="I1307" s="1" t="str">
        <x:f>IF(H1307&gt;0,"Overbilled","Shortfall")</x:f>
        <x:v>Overbilled</x:v>
      </x:c>
      <x:c r="J1307" s="7"/>
      <x:c r="K1307" s="7" t="str">
        <x:v>Open</x:v>
      </x:c>
      <x:c r="L1307" s="7"/>
    </x:row>
    <x:row r="1308" ht="21" customHeight="1">
      <x:c r="A1308" s="1" t="str">
        <x:f>Source!A1302</x:f>
        <x:v>C0011468</x:v>
      </x:c>
      <x:c r="B1308" s="1" t="str">
        <x:f>_xlfn.IFNA(VLOOKUP(Source!B1302,Advertisers!$A$5:$B$34,2,FALSE),"Missing advertiser")</x:f>
        <x:v>Synthetic advertiser 13</x:v>
      </x:c>
      <x:c r="C1308" s="1" t="n">
        <x:f>Source!C1302</x:f>
        <x:v>73</x:v>
      </x:c>
      <x:c r="D1308" s="8" t="n">
        <x:f>Source!D1302/100</x:f>
        <x:v>0</x:v>
      </x:c>
      <x:c r="E1308" s="8" t="n">
        <x:f>Source!E1302/100</x:f>
        <x:v>151.64</x:v>
      </x:c>
      <x:c r="F1308" s="8" t="n">
        <x:f>Source!F1302/100</x:f>
        <x:v>0</x:v>
      </x:c>
      <x:c r="G1308" s="8" t="n">
        <x:f>Source!G1302/100</x:f>
        <x:v>151.64</x:v>
      </x:c>
      <x:c r="H1308" s="8" t="n">
        <x:f>G1308-D1308</x:f>
        <x:v>151.64</x:v>
      </x:c>
      <x:c r="I1308" s="1" t="str">
        <x:f>IF(H1308&gt;0,"Overbilled","Shortfall")</x:f>
        <x:v>Overbilled</x:v>
      </x:c>
      <x:c r="J1308" s="7"/>
      <x:c r="K1308" s="7" t="str">
        <x:v>Open</x:v>
      </x:c>
      <x:c r="L1308" s="7"/>
    </x:row>
    <x:row r="1309" ht="21" customHeight="1">
      <x:c r="A1309" s="1" t="str">
        <x:f>Source!A1303</x:f>
        <x:v>C0016408</x:v>
      </x:c>
      <x:c r="B1309" s="1" t="str">
        <x:f>_xlfn.IFNA(VLOOKUP(Source!B1303,Advertisers!$A$5:$B$34,2,FALSE),"Missing advertiser")</x:f>
        <x:v>Synthetic advertiser 13</x:v>
      </x:c>
      <x:c r="C1309" s="1" t="n">
        <x:f>Source!C1303</x:f>
        <x:v>73</x:v>
      </x:c>
      <x:c r="D1309" s="8" t="n">
        <x:f>Source!D1303/100</x:f>
        <x:v>151.64</x:v>
      </x:c>
      <x:c r="E1309" s="8" t="n">
        <x:f>Source!E1303/100</x:f>
        <x:v>303.28</x:v>
      </x:c>
      <x:c r="F1309" s="8" t="n">
        <x:f>Source!F1303/100</x:f>
        <x:v>0</x:v>
      </x:c>
      <x:c r="G1309" s="8" t="n">
        <x:f>Source!G1303/100</x:f>
        <x:v>303.28</x:v>
      </x:c>
      <x:c r="H1309" s="8" t="n">
        <x:f>G1309-D1309</x:f>
        <x:v>151.64</x:v>
      </x:c>
      <x:c r="I1309" s="1" t="str">
        <x:f>IF(H1309&gt;0,"Overbilled","Shortfall")</x:f>
        <x:v>Overbilled</x:v>
      </x:c>
      <x:c r="J1309" s="7"/>
      <x:c r="K1309" s="7" t="str">
        <x:v>Open</x:v>
      </x:c>
      <x:c r="L1309" s="7"/>
    </x:row>
    <x:row r="1310" ht="21" customHeight="1">
      <x:c r="A1310" s="1" t="str">
        <x:f>Source!A1304</x:f>
        <x:v>C0009396</x:v>
      </x:c>
      <x:c r="B1310" s="1" t="str">
        <x:f>_xlfn.IFNA(VLOOKUP(Source!B1304,Advertisers!$A$5:$B$34,2,FALSE),"Missing advertiser")</x:f>
        <x:v>Synthetic advertiser 13</x:v>
      </x:c>
      <x:c r="C1310" s="1" t="n">
        <x:f>Source!C1304</x:f>
        <x:v>73</x:v>
      </x:c>
      <x:c r="D1310" s="8" t="n">
        <x:f>Source!D1304/100</x:f>
        <x:v>151.64</x:v>
      </x:c>
      <x:c r="E1310" s="8" t="n">
        <x:f>Source!E1304/100</x:f>
        <x:v>303.28</x:v>
      </x:c>
      <x:c r="F1310" s="8" t="n">
        <x:f>Source!F1304/100</x:f>
        <x:v>0</x:v>
      </x:c>
      <x:c r="G1310" s="8" t="n">
        <x:f>Source!G1304/100</x:f>
        <x:v>303.28</x:v>
      </x:c>
      <x:c r="H1310" s="8" t="n">
        <x:f>G1310-D1310</x:f>
        <x:v>151.64</x:v>
      </x:c>
      <x:c r="I1310" s="1" t="str">
        <x:f>IF(H1310&gt;0,"Overbilled","Shortfall")</x:f>
        <x:v>Overbilled</x:v>
      </x:c>
      <x:c r="J1310" s="7"/>
      <x:c r="K1310" s="7" t="str">
        <x:v>Open</x:v>
      </x:c>
      <x:c r="L1310" s="7"/>
    </x:row>
    <x:row r="1311" ht="21" customHeight="1">
      <x:c r="A1311" s="1" t="str">
        <x:f>Source!A1305</x:f>
        <x:v>C0002909</x:v>
      </x:c>
      <x:c r="B1311" s="1" t="str">
        <x:f>_xlfn.IFNA(VLOOKUP(Source!B1305,Advertisers!$A$5:$B$34,2,FALSE),"Missing advertiser")</x:f>
        <x:v>Synthetic advertiser 13</x:v>
      </x:c>
      <x:c r="C1311" s="1" t="n">
        <x:f>Source!C1305</x:f>
        <x:v>73</x:v>
      </x:c>
      <x:c r="D1311" s="8" t="n">
        <x:f>Source!D1305/100</x:f>
        <x:v>151.64</x:v>
      </x:c>
      <x:c r="E1311" s="8" t="n">
        <x:f>Source!E1305/100</x:f>
        <x:v>0</x:v>
      </x:c>
      <x:c r="F1311" s="8" t="n">
        <x:f>Source!F1305/100</x:f>
        <x:v>0</x:v>
      </x:c>
      <x:c r="G1311" s="8" t="n">
        <x:f>Source!G1305/100</x:f>
        <x:v>0</x:v>
      </x:c>
      <x:c r="H1311" s="8" t="n">
        <x:f>G1311-D1311</x:f>
        <x:v>-151.64</x:v>
      </x:c>
      <x:c r="I1311" s="1" t="str">
        <x:f>IF(H1311&gt;0,"Overbilled","Shortfall")</x:f>
        <x:v>Shortfall</x:v>
      </x:c>
      <x:c r="J1311" s="7"/>
      <x:c r="K1311" s="7" t="str">
        <x:v>Open</x:v>
      </x:c>
      <x:c r="L1311" s="7"/>
    </x:row>
    <x:row r="1312" ht="21" customHeight="1">
      <x:c r="A1312" s="1" t="str">
        <x:f>Source!A1306</x:f>
        <x:v>C0004288</x:v>
      </x:c>
      <x:c r="B1312" s="1" t="str">
        <x:f>_xlfn.IFNA(VLOOKUP(Source!B1306,Advertisers!$A$5:$B$34,2,FALSE),"Missing advertiser")</x:f>
        <x:v>Synthetic advertiser 13</x:v>
      </x:c>
      <x:c r="C1312" s="1" t="n">
        <x:f>Source!C1306</x:f>
        <x:v>73</x:v>
      </x:c>
      <x:c r="D1312" s="8" t="n">
        <x:f>Source!D1306/100</x:f>
        <x:v>0</x:v>
      </x:c>
      <x:c r="E1312" s="8" t="n">
        <x:f>Source!E1306/100</x:f>
        <x:v>151.64</x:v>
      </x:c>
      <x:c r="F1312" s="8" t="n">
        <x:f>Source!F1306/100</x:f>
        <x:v>0</x:v>
      </x:c>
      <x:c r="G1312" s="8" t="n">
        <x:f>Source!G1306/100</x:f>
        <x:v>151.64</x:v>
      </x:c>
      <x:c r="H1312" s="8" t="n">
        <x:f>G1312-D1312</x:f>
        <x:v>151.64</x:v>
      </x:c>
      <x:c r="I1312" s="1" t="str">
        <x:f>IF(H1312&gt;0,"Overbilled","Shortfall")</x:f>
        <x:v>Overbilled</x:v>
      </x:c>
      <x:c r="J1312" s="7"/>
      <x:c r="K1312" s="7" t="str">
        <x:v>Open</x:v>
      </x:c>
      <x:c r="L1312" s="7"/>
    </x:row>
    <x:row r="1313" ht="21" customHeight="1">
      <x:c r="A1313" s="1" t="str">
        <x:f>Source!A1307</x:f>
        <x:v>C0002130</x:v>
      </x:c>
      <x:c r="B1313" s="1" t="str">
        <x:f>_xlfn.IFNA(VLOOKUP(Source!B1307,Advertisers!$A$5:$B$34,2,FALSE),"Missing advertiser")</x:f>
        <x:v>Synthetic advertiser 13</x:v>
      </x:c>
      <x:c r="C1313" s="1" t="n">
        <x:f>Source!C1307</x:f>
        <x:v>73</x:v>
      </x:c>
      <x:c r="D1313" s="8" t="n">
        <x:f>Source!D1307/100</x:f>
        <x:v>151.64</x:v>
      </x:c>
      <x:c r="E1313" s="8" t="n">
        <x:f>Source!E1307/100</x:f>
        <x:v>0</x:v>
      </x:c>
      <x:c r="F1313" s="8" t="n">
        <x:f>Source!F1307/100</x:f>
        <x:v>0</x:v>
      </x:c>
      <x:c r="G1313" s="8" t="n">
        <x:f>Source!G1307/100</x:f>
        <x:v>0</x:v>
      </x:c>
      <x:c r="H1313" s="8" t="n">
        <x:f>G1313-D1313</x:f>
        <x:v>-151.64</x:v>
      </x:c>
      <x:c r="I1313" s="1" t="str">
        <x:f>IF(H1313&gt;0,"Overbilled","Shortfall")</x:f>
        <x:v>Shortfall</x:v>
      </x:c>
      <x:c r="J1313" s="7"/>
      <x:c r="K1313" s="7" t="str">
        <x:v>Open</x:v>
      </x:c>
      <x:c r="L1313" s="7"/>
    </x:row>
    <x:row r="1314" ht="21" customHeight="1">
      <x:c r="A1314" s="1" t="str">
        <x:f>Source!A1308</x:f>
        <x:v>C0001085</x:v>
      </x:c>
      <x:c r="B1314" s="1" t="str">
        <x:f>_xlfn.IFNA(VLOOKUP(Source!B1308,Advertisers!$A$5:$B$34,2,FALSE),"Missing advertiser")</x:f>
        <x:v>Synthetic advertiser 25</x:v>
      </x:c>
      <x:c r="C1314" s="1" t="n">
        <x:f>Source!C1308</x:f>
        <x:v>25</x:v>
      </x:c>
      <x:c r="D1314" s="8" t="n">
        <x:f>Source!D1308/100</x:f>
        <x:v>151.27</x:v>
      </x:c>
      <x:c r="E1314" s="8" t="n">
        <x:f>Source!E1308/100</x:f>
        <x:v>0</x:v>
      </x:c>
      <x:c r="F1314" s="8" t="n">
        <x:f>Source!F1308/100</x:f>
        <x:v>0</x:v>
      </x:c>
      <x:c r="G1314" s="8" t="n">
        <x:f>Source!G1308/100</x:f>
        <x:v>0</x:v>
      </x:c>
      <x:c r="H1314" s="8" t="n">
        <x:f>G1314-D1314</x:f>
        <x:v>-151.27</x:v>
      </x:c>
      <x:c r="I1314" s="1" t="str">
        <x:f>IF(H1314&gt;0,"Overbilled","Shortfall")</x:f>
        <x:v>Shortfall</x:v>
      </x:c>
      <x:c r="J1314" s="7"/>
      <x:c r="K1314" s="7" t="str">
        <x:v>Open</x:v>
      </x:c>
      <x:c r="L1314" s="7"/>
    </x:row>
    <x:row r="1315" ht="21" customHeight="1">
      <x:c r="A1315" s="1" t="str">
        <x:f>Source!A1309</x:f>
        <x:v>C0015833</x:v>
      </x:c>
      <x:c r="B1315" s="1" t="str">
        <x:f>_xlfn.IFNA(VLOOKUP(Source!B1309,Advertisers!$A$5:$B$34,2,FALSE),"Missing advertiser")</x:f>
        <x:v>Synthetic advertiser 25</x:v>
      </x:c>
      <x:c r="C1315" s="1" t="n">
        <x:f>Source!C1309</x:f>
        <x:v>25</x:v>
      </x:c>
      <x:c r="D1315" s="8" t="n">
        <x:f>Source!D1309/100</x:f>
        <x:v>151.27</x:v>
      </x:c>
      <x:c r="E1315" s="8" t="n">
        <x:f>Source!E1309/100</x:f>
        <x:v>0</x:v>
      </x:c>
      <x:c r="F1315" s="8" t="n">
        <x:f>Source!F1309/100</x:f>
        <x:v>0</x:v>
      </x:c>
      <x:c r="G1315" s="8" t="n">
        <x:f>Source!G1309/100</x:f>
        <x:v>0</x:v>
      </x:c>
      <x:c r="H1315" s="8" t="n">
        <x:f>G1315-D1315</x:f>
        <x:v>-151.27</x:v>
      </x:c>
      <x:c r="I1315" s="1" t="str">
        <x:f>IF(H1315&gt;0,"Overbilled","Shortfall")</x:f>
        <x:v>Shortfall</x:v>
      </x:c>
      <x:c r="J1315" s="7"/>
      <x:c r="K1315" s="7" t="str">
        <x:v>Open</x:v>
      </x:c>
      <x:c r="L1315" s="7"/>
    </x:row>
    <x:row r="1316" ht="21" customHeight="1">
      <x:c r="A1316" s="1" t="str">
        <x:f>Source!A1310</x:f>
        <x:v>C0009020</x:v>
      </x:c>
      <x:c r="B1316" s="1" t="str">
        <x:f>_xlfn.IFNA(VLOOKUP(Source!B1310,Advertisers!$A$5:$B$34,2,FALSE),"Missing advertiser")</x:f>
        <x:v>Synthetic advertiser 25</x:v>
      </x:c>
      <x:c r="C1316" s="1" t="n">
        <x:f>Source!C1310</x:f>
        <x:v>25</x:v>
      </x:c>
      <x:c r="D1316" s="8" t="n">
        <x:f>Source!D1310/100</x:f>
        <x:v>151.27</x:v>
      </x:c>
      <x:c r="E1316" s="8" t="n">
        <x:f>Source!E1310/100</x:f>
        <x:v>0</x:v>
      </x:c>
      <x:c r="F1316" s="8" t="n">
        <x:f>Source!F1310/100</x:f>
        <x:v>0</x:v>
      </x:c>
      <x:c r="G1316" s="8" t="n">
        <x:f>Source!G1310/100</x:f>
        <x:v>0</x:v>
      </x:c>
      <x:c r="H1316" s="8" t="n">
        <x:f>G1316-D1316</x:f>
        <x:v>-151.27</x:v>
      </x:c>
      <x:c r="I1316" s="1" t="str">
        <x:f>IF(H1316&gt;0,"Overbilled","Shortfall")</x:f>
        <x:v>Shortfall</x:v>
      </x:c>
      <x:c r="J1316" s="7"/>
      <x:c r="K1316" s="7" t="str">
        <x:v>Open</x:v>
      </x:c>
      <x:c r="L1316" s="7"/>
    </x:row>
    <x:row r="1317" ht="21" customHeight="1">
      <x:c r="A1317" s="1" t="str">
        <x:f>Source!A1311</x:f>
        <x:v>C0003131</x:v>
      </x:c>
      <x:c r="B1317" s="1" t="str">
        <x:f>_xlfn.IFNA(VLOOKUP(Source!B1311,Advertisers!$A$5:$B$34,2,FALSE),"Missing advertiser")</x:f>
        <x:v>Synthetic advertiser 25</x:v>
      </x:c>
      <x:c r="C1317" s="1" t="n">
        <x:f>Source!C1311</x:f>
        <x:v>25</x:v>
      </x:c>
      <x:c r="D1317" s="8" t="n">
        <x:f>Source!D1311/100</x:f>
        <x:v>151.27</x:v>
      </x:c>
      <x:c r="E1317" s="8" t="n">
        <x:f>Source!E1311/100</x:f>
        <x:v>0</x:v>
      </x:c>
      <x:c r="F1317" s="8" t="n">
        <x:f>Source!F1311/100</x:f>
        <x:v>0</x:v>
      </x:c>
      <x:c r="G1317" s="8" t="n">
        <x:f>Source!G1311/100</x:f>
        <x:v>0</x:v>
      </x:c>
      <x:c r="H1317" s="8" t="n">
        <x:f>G1317-D1317</x:f>
        <x:v>-151.27</x:v>
      </x:c>
      <x:c r="I1317" s="1" t="str">
        <x:f>IF(H1317&gt;0,"Overbilled","Shortfall")</x:f>
        <x:v>Shortfall</x:v>
      </x:c>
      <x:c r="J1317" s="7"/>
      <x:c r="K1317" s="7" t="str">
        <x:v>Open</x:v>
      </x:c>
      <x:c r="L1317" s="7"/>
    </x:row>
    <x:row r="1318" ht="21" customHeight="1">
      <x:c r="A1318" s="1" t="str">
        <x:f>Source!A1312</x:f>
        <x:v>C0010711</x:v>
      </x:c>
      <x:c r="B1318" s="1" t="str">
        <x:f>_xlfn.IFNA(VLOOKUP(Source!B1312,Advertisers!$A$5:$B$34,2,FALSE),"Missing advertiser")</x:f>
        <x:v>Synthetic advertiser 13</x:v>
      </x:c>
      <x:c r="C1318" s="1" t="n">
        <x:f>Source!C1312</x:f>
        <x:v>13</x:v>
      </x:c>
      <x:c r="D1318" s="8" t="n">
        <x:f>Source!D1312/100</x:f>
        <x:v>151.02</x:v>
      </x:c>
      <x:c r="E1318" s="8" t="n">
        <x:f>Source!E1312/100</x:f>
        <x:v>0</x:v>
      </x:c>
      <x:c r="F1318" s="8" t="n">
        <x:f>Source!F1312/100</x:f>
        <x:v>0</x:v>
      </x:c>
      <x:c r="G1318" s="8" t="n">
        <x:f>Source!G1312/100</x:f>
        <x:v>0</x:v>
      </x:c>
      <x:c r="H1318" s="8" t="n">
        <x:f>G1318-D1318</x:f>
        <x:v>-151.02</x:v>
      </x:c>
      <x:c r="I1318" s="1" t="str">
        <x:f>IF(H1318&gt;0,"Overbilled","Shortfall")</x:f>
        <x:v>Shortfall</x:v>
      </x:c>
      <x:c r="J1318" s="7"/>
      <x:c r="K1318" s="7" t="str">
        <x:v>Open</x:v>
      </x:c>
      <x:c r="L1318" s="7"/>
    </x:row>
    <x:row r="1319" ht="21" customHeight="1">
      <x:c r="A1319" s="1" t="str">
        <x:f>Source!A1313</x:f>
        <x:v>C0008565</x:v>
      </x:c>
      <x:c r="B1319" s="1" t="str">
        <x:f>_xlfn.IFNA(VLOOKUP(Source!B1313,Advertisers!$A$5:$B$34,2,FALSE),"Missing advertiser")</x:f>
        <x:v>Synthetic advertiser 13</x:v>
      </x:c>
      <x:c r="C1319" s="1" t="n">
        <x:f>Source!C1313</x:f>
        <x:v>13</x:v>
      </x:c>
      <x:c r="D1319" s="8" t="n">
        <x:f>Source!D1313/100</x:f>
        <x:v>151.02</x:v>
      </x:c>
      <x:c r="E1319" s="8" t="n">
        <x:f>Source!E1313/100</x:f>
        <x:v>0</x:v>
      </x:c>
      <x:c r="F1319" s="8" t="n">
        <x:f>Source!F1313/100</x:f>
        <x:v>0</x:v>
      </x:c>
      <x:c r="G1319" s="8" t="n">
        <x:f>Source!G1313/100</x:f>
        <x:v>0</x:v>
      </x:c>
      <x:c r="H1319" s="8" t="n">
        <x:f>G1319-D1319</x:f>
        <x:v>-151.02</x:v>
      </x:c>
      <x:c r="I1319" s="1" t="str">
        <x:f>IF(H1319&gt;0,"Overbilled","Shortfall")</x:f>
        <x:v>Shortfall</x:v>
      </x:c>
      <x:c r="J1319" s="7"/>
      <x:c r="K1319" s="7" t="str">
        <x:v>Open</x:v>
      </x:c>
      <x:c r="L1319" s="7"/>
    </x:row>
    <x:row r="1320" ht="21" customHeight="1">
      <x:c r="A1320" s="1" t="str">
        <x:f>Source!A1314</x:f>
        <x:v>C0002558</x:v>
      </x:c>
      <x:c r="B1320" s="1" t="str">
        <x:f>_xlfn.IFNA(VLOOKUP(Source!B1314,Advertisers!$A$5:$B$34,2,FALSE),"Missing advertiser")</x:f>
        <x:v>Synthetic advertiser 13</x:v>
      </x:c>
      <x:c r="C1320" s="1" t="n">
        <x:f>Source!C1314</x:f>
        <x:v>13</x:v>
      </x:c>
      <x:c r="D1320" s="8" t="n">
        <x:f>Source!D1314/100</x:f>
        <x:v>151.02</x:v>
      </x:c>
      <x:c r="E1320" s="8" t="n">
        <x:f>Source!E1314/100</x:f>
        <x:v>0</x:v>
      </x:c>
      <x:c r="F1320" s="8" t="n">
        <x:f>Source!F1314/100</x:f>
        <x:v>0</x:v>
      </x:c>
      <x:c r="G1320" s="8" t="n">
        <x:f>Source!G1314/100</x:f>
        <x:v>0</x:v>
      </x:c>
      <x:c r="H1320" s="8" t="n">
        <x:f>G1320-D1320</x:f>
        <x:v>-151.02</x:v>
      </x:c>
      <x:c r="I1320" s="1" t="str">
        <x:f>IF(H1320&gt;0,"Overbilled","Shortfall")</x:f>
        <x:v>Shortfall</x:v>
      </x:c>
      <x:c r="J1320" s="7"/>
      <x:c r="K1320" s="7" t="str">
        <x:v>Open</x:v>
      </x:c>
      <x:c r="L1320" s="7"/>
    </x:row>
    <x:row r="1321" ht="21" customHeight="1">
      <x:c r="A1321" s="1" t="str">
        <x:f>Source!A1315</x:f>
        <x:v>C0009246</x:v>
      </x:c>
      <x:c r="B1321" s="1" t="str">
        <x:f>_xlfn.IFNA(VLOOKUP(Source!B1315,Advertisers!$A$5:$B$34,2,FALSE),"Missing advertiser")</x:f>
        <x:v>Synthetic advertiser 13</x:v>
      </x:c>
      <x:c r="C1321" s="1" t="n">
        <x:f>Source!C1315</x:f>
        <x:v>13</x:v>
      </x:c>
      <x:c r="D1321" s="8" t="n">
        <x:f>Source!D1315/100</x:f>
        <x:v>151.02</x:v>
      </x:c>
      <x:c r="E1321" s="8" t="n">
        <x:f>Source!E1315/100</x:f>
        <x:v>302.04</x:v>
      </x:c>
      <x:c r="F1321" s="8" t="n">
        <x:f>Source!F1315/100</x:f>
        <x:v>0</x:v>
      </x:c>
      <x:c r="G1321" s="8" t="n">
        <x:f>Source!G1315/100</x:f>
        <x:v>302.04</x:v>
      </x:c>
      <x:c r="H1321" s="8" t="n">
        <x:f>G1321-D1321</x:f>
        <x:v>151.02</x:v>
      </x:c>
      <x:c r="I1321" s="1" t="str">
        <x:f>IF(H1321&gt;0,"Overbilled","Shortfall")</x:f>
        <x:v>Overbilled</x:v>
      </x:c>
      <x:c r="J1321" s="7"/>
      <x:c r="K1321" s="7" t="str">
        <x:v>Open</x:v>
      </x:c>
      <x:c r="L1321" s="7"/>
    </x:row>
    <x:row r="1322" ht="21" customHeight="1">
      <x:c r="A1322" s="1" t="str">
        <x:f>Source!A1316</x:f>
        <x:v>C0017872</x:v>
      </x:c>
      <x:c r="B1322" s="1" t="str">
        <x:f>_xlfn.IFNA(VLOOKUP(Source!B1316,Advertisers!$A$5:$B$34,2,FALSE),"Missing advertiser")</x:f>
        <x:v>Synthetic advertiser 13</x:v>
      </x:c>
      <x:c r="C1322" s="1" t="n">
        <x:f>Source!C1316</x:f>
        <x:v>13</x:v>
      </x:c>
      <x:c r="D1322" s="8" t="n">
        <x:f>Source!D1316/100</x:f>
        <x:v>151.02</x:v>
      </x:c>
      <x:c r="E1322" s="8" t="n">
        <x:f>Source!E1316/100</x:f>
        <x:v>302.04</x:v>
      </x:c>
      <x:c r="F1322" s="8" t="n">
        <x:f>Source!F1316/100</x:f>
        <x:v>0</x:v>
      </x:c>
      <x:c r="G1322" s="8" t="n">
        <x:f>Source!G1316/100</x:f>
        <x:v>302.04</x:v>
      </x:c>
      <x:c r="H1322" s="8" t="n">
        <x:f>G1322-D1322</x:f>
        <x:v>151.02</x:v>
      </x:c>
      <x:c r="I1322" s="1" t="str">
        <x:f>IF(H1322&gt;0,"Overbilled","Shortfall")</x:f>
        <x:v>Overbilled</x:v>
      </x:c>
      <x:c r="J1322" s="7"/>
      <x:c r="K1322" s="7" t="str">
        <x:v>Open</x:v>
      </x:c>
      <x:c r="L1322" s="7"/>
    </x:row>
    <x:row r="1323" ht="21" customHeight="1">
      <x:c r="A1323" s="1" t="str">
        <x:f>Source!A1317</x:f>
        <x:v>C0011948</x:v>
      </x:c>
      <x:c r="B1323" s="1" t="str">
        <x:f>_xlfn.IFNA(VLOOKUP(Source!B1317,Advertisers!$A$5:$B$34,2,FALSE),"Missing advertiser")</x:f>
        <x:v>Synthetic advertiser 13</x:v>
      </x:c>
      <x:c r="C1323" s="1" t="n">
        <x:f>Source!C1317</x:f>
        <x:v>13</x:v>
      </x:c>
      <x:c r="D1323" s="8" t="n">
        <x:f>Source!D1317/100</x:f>
        <x:v>151.02</x:v>
      </x:c>
      <x:c r="E1323" s="8" t="n">
        <x:f>Source!E1317/100</x:f>
        <x:v>0</x:v>
      </x:c>
      <x:c r="F1323" s="8" t="n">
        <x:f>Source!F1317/100</x:f>
        <x:v>0</x:v>
      </x:c>
      <x:c r="G1323" s="8" t="n">
        <x:f>Source!G1317/100</x:f>
        <x:v>0</x:v>
      </x:c>
      <x:c r="H1323" s="8" t="n">
        <x:f>G1323-D1323</x:f>
        <x:v>-151.02</x:v>
      </x:c>
      <x:c r="I1323" s="1" t="str">
        <x:f>IF(H1323&gt;0,"Overbilled","Shortfall")</x:f>
        <x:v>Shortfall</x:v>
      </x:c>
      <x:c r="J1323" s="7"/>
      <x:c r="K1323" s="7" t="str">
        <x:v>Open</x:v>
      </x:c>
      <x:c r="L1323" s="7"/>
    </x:row>
    <x:row r="1324" ht="21" customHeight="1">
      <x:c r="A1324" s="1" t="str">
        <x:f>Source!A1318</x:f>
        <x:v>C0009473</x:v>
      </x:c>
      <x:c r="B1324" s="1" t="str">
        <x:f>_xlfn.IFNA(VLOOKUP(Source!B1318,Advertisers!$A$5:$B$34,2,FALSE),"Missing advertiser")</x:f>
        <x:v>Synthetic advertiser 13</x:v>
      </x:c>
      <x:c r="C1324" s="1" t="n">
        <x:f>Source!C1318</x:f>
        <x:v>13</x:v>
      </x:c>
      <x:c r="D1324" s="8" t="n">
        <x:f>Source!D1318/100</x:f>
        <x:v>151.02</x:v>
      </x:c>
      <x:c r="E1324" s="8" t="n">
        <x:f>Source!E1318/100</x:f>
        <x:v>302.04</x:v>
      </x:c>
      <x:c r="F1324" s="8" t="n">
        <x:f>Source!F1318/100</x:f>
        <x:v>0</x:v>
      </x:c>
      <x:c r="G1324" s="8" t="n">
        <x:f>Source!G1318/100</x:f>
        <x:v>302.04</x:v>
      </x:c>
      <x:c r="H1324" s="8" t="n">
        <x:f>G1324-D1324</x:f>
        <x:v>151.02</x:v>
      </x:c>
      <x:c r="I1324" s="1" t="str">
        <x:f>IF(H1324&gt;0,"Overbilled","Shortfall")</x:f>
        <x:v>Overbilled</x:v>
      </x:c>
      <x:c r="J1324" s="7"/>
      <x:c r="K1324" s="7" t="str">
        <x:v>Open</x:v>
      </x:c>
      <x:c r="L1324" s="7"/>
    </x:row>
    <x:row r="1325" ht="21" customHeight="1">
      <x:c r="A1325" s="1" t="str">
        <x:f>Source!A1319</x:f>
        <x:v>C0007089</x:v>
      </x:c>
      <x:c r="B1325" s="1" t="str">
        <x:f>_xlfn.IFNA(VLOOKUP(Source!B1319,Advertisers!$A$5:$B$34,2,FALSE),"Missing advertiser")</x:f>
        <x:v>Synthetic advertiser 13</x:v>
      </x:c>
      <x:c r="C1325" s="1" t="n">
        <x:f>Source!C1319</x:f>
        <x:v>13</x:v>
      </x:c>
      <x:c r="D1325" s="8" t="n">
        <x:f>Source!D1319/100</x:f>
        <x:v>151.02</x:v>
      </x:c>
      <x:c r="E1325" s="8" t="n">
        <x:f>Source!E1319/100</x:f>
        <x:v>302.04</x:v>
      </x:c>
      <x:c r="F1325" s="8" t="n">
        <x:f>Source!F1319/100</x:f>
        <x:v>0</x:v>
      </x:c>
      <x:c r="G1325" s="8" t="n">
        <x:f>Source!G1319/100</x:f>
        <x:v>302.04</x:v>
      </x:c>
      <x:c r="H1325" s="8" t="n">
        <x:f>G1325-D1325</x:f>
        <x:v>151.02</x:v>
      </x:c>
      <x:c r="I1325" s="1" t="str">
        <x:f>IF(H1325&gt;0,"Overbilled","Shortfall")</x:f>
        <x:v>Overbilled</x:v>
      </x:c>
      <x:c r="J1325" s="7"/>
      <x:c r="K1325" s="7" t="str">
        <x:v>Open</x:v>
      </x:c>
      <x:c r="L1325" s="7"/>
    </x:row>
    <x:row r="1326" ht="21" customHeight="1">
      <x:c r="A1326" s="1" t="str">
        <x:f>Source!A1320</x:f>
        <x:v>C0015261</x:v>
      </x:c>
      <x:c r="B1326" s="1" t="str">
        <x:f>_xlfn.IFNA(VLOOKUP(Source!B1320,Advertisers!$A$5:$B$34,2,FALSE),"Missing advertiser")</x:f>
        <x:v>Synthetic advertiser 7</x:v>
      </x:c>
      <x:c r="C1326" s="1" t="n">
        <x:f>Source!C1320</x:f>
        <x:v>37</x:v>
      </x:c>
      <x:c r="D1326" s="8" t="n">
        <x:f>Source!D1320/100</x:f>
        <x:v>151.01</x:v>
      </x:c>
      <x:c r="E1326" s="8" t="n">
        <x:f>Source!E1320/100</x:f>
        <x:v>302.02</x:v>
      </x:c>
      <x:c r="F1326" s="8" t="n">
        <x:f>Source!F1320/100</x:f>
        <x:v>0</x:v>
      </x:c>
      <x:c r="G1326" s="8" t="n">
        <x:f>Source!G1320/100</x:f>
        <x:v>302.02</x:v>
      </x:c>
      <x:c r="H1326" s="8" t="n">
        <x:f>G1326-D1326</x:f>
        <x:v>151.01</x:v>
      </x:c>
      <x:c r="I1326" s="1" t="str">
        <x:f>IF(H1326&gt;0,"Overbilled","Shortfall")</x:f>
        <x:v>Overbilled</x:v>
      </x:c>
      <x:c r="J1326" s="7"/>
      <x:c r="K1326" s="7" t="str">
        <x:v>Open</x:v>
      </x:c>
      <x:c r="L1326" s="7"/>
    </x:row>
    <x:row r="1327" ht="21" customHeight="1">
      <x:c r="A1327" s="1" t="str">
        <x:f>Source!A1321</x:f>
        <x:v>C0014647</x:v>
      </x:c>
      <x:c r="B1327" s="1" t="str">
        <x:f>_xlfn.IFNA(VLOOKUP(Source!B1321,Advertisers!$A$5:$B$34,2,FALSE),"Missing advertiser")</x:f>
        <x:v>Synthetic advertiser 7</x:v>
      </x:c>
      <x:c r="C1327" s="1" t="n">
        <x:f>Source!C1321</x:f>
        <x:v>37</x:v>
      </x:c>
      <x:c r="D1327" s="8" t="n">
        <x:f>Source!D1321/100</x:f>
        <x:v>151.01</x:v>
      </x:c>
      <x:c r="E1327" s="8" t="n">
        <x:f>Source!E1321/100</x:f>
        <x:v>302.02</x:v>
      </x:c>
      <x:c r="F1327" s="8" t="n">
        <x:f>Source!F1321/100</x:f>
        <x:v>0</x:v>
      </x:c>
      <x:c r="G1327" s="8" t="n">
        <x:f>Source!G1321/100</x:f>
        <x:v>302.02</x:v>
      </x:c>
      <x:c r="H1327" s="8" t="n">
        <x:f>G1327-D1327</x:f>
        <x:v>151.01</x:v>
      </x:c>
      <x:c r="I1327" s="1" t="str">
        <x:f>IF(H1327&gt;0,"Overbilled","Shortfall")</x:f>
        <x:v>Overbilled</x:v>
      </x:c>
      <x:c r="J1327" s="7"/>
      <x:c r="K1327" s="7" t="str">
        <x:v>Open</x:v>
      </x:c>
      <x:c r="L1327" s="7"/>
    </x:row>
    <x:row r="1328" ht="21" customHeight="1">
      <x:c r="A1328" s="1" t="str">
        <x:f>Source!A1322</x:f>
        <x:v>C0001869</x:v>
      </x:c>
      <x:c r="B1328" s="1" t="str">
        <x:f>_xlfn.IFNA(VLOOKUP(Source!B1322,Advertisers!$A$5:$B$34,2,FALSE),"Missing advertiser")</x:f>
        <x:v>Synthetic advertiser 7</x:v>
      </x:c>
      <x:c r="C1328" s="1" t="n">
        <x:f>Source!C1322</x:f>
        <x:v>37</x:v>
      </x:c>
      <x:c r="D1328" s="8" t="n">
        <x:f>Source!D1322/100</x:f>
        <x:v>151.01</x:v>
      </x:c>
      <x:c r="E1328" s="8" t="n">
        <x:f>Source!E1322/100</x:f>
        <x:v>302.02</x:v>
      </x:c>
      <x:c r="F1328" s="8" t="n">
        <x:f>Source!F1322/100</x:f>
        <x:v>0</x:v>
      </x:c>
      <x:c r="G1328" s="8" t="n">
        <x:f>Source!G1322/100</x:f>
        <x:v>302.02</x:v>
      </x:c>
      <x:c r="H1328" s="8" t="n">
        <x:f>G1328-D1328</x:f>
        <x:v>151.01</x:v>
      </x:c>
      <x:c r="I1328" s="1" t="str">
        <x:f>IF(H1328&gt;0,"Overbilled","Shortfall")</x:f>
        <x:v>Overbilled</x:v>
      </x:c>
      <x:c r="J1328" s="7"/>
      <x:c r="K1328" s="7" t="str">
        <x:v>Open</x:v>
      </x:c>
      <x:c r="L1328" s="7"/>
    </x:row>
    <x:row r="1329" ht="21" customHeight="1">
      <x:c r="A1329" s="1" t="str">
        <x:f>Source!A1323</x:f>
        <x:v>C0006528</x:v>
      </x:c>
      <x:c r="B1329" s="1" t="str">
        <x:f>_xlfn.IFNA(VLOOKUP(Source!B1323,Advertisers!$A$5:$B$34,2,FALSE),"Missing advertiser")</x:f>
        <x:v>Synthetic advertiser 7</x:v>
      </x:c>
      <x:c r="C1329" s="1" t="n">
        <x:f>Source!C1323</x:f>
        <x:v>37</x:v>
      </x:c>
      <x:c r="D1329" s="8" t="n">
        <x:f>Source!D1323/100</x:f>
        <x:v>151.01</x:v>
      </x:c>
      <x:c r="E1329" s="8" t="n">
        <x:f>Source!E1323/100</x:f>
        <x:v>0</x:v>
      </x:c>
      <x:c r="F1329" s="8" t="n">
        <x:f>Source!F1323/100</x:f>
        <x:v>0</x:v>
      </x:c>
      <x:c r="G1329" s="8" t="n">
        <x:f>Source!G1323/100</x:f>
        <x:v>0</x:v>
      </x:c>
      <x:c r="H1329" s="8" t="n">
        <x:f>G1329-D1329</x:f>
        <x:v>-151.01</x:v>
      </x:c>
      <x:c r="I1329" s="1" t="str">
        <x:f>IF(H1329&gt;0,"Overbilled","Shortfall")</x:f>
        <x:v>Shortfall</x:v>
      </x:c>
      <x:c r="J1329" s="7"/>
      <x:c r="K1329" s="7" t="str">
        <x:v>Open</x:v>
      </x:c>
      <x:c r="L1329" s="7"/>
    </x:row>
    <x:row r="1330" ht="21" customHeight="1">
      <x:c r="A1330" s="1" t="str">
        <x:f>Source!A1324</x:f>
        <x:v>C0002987</x:v>
      </x:c>
      <x:c r="B1330" s="1" t="str">
        <x:f>_xlfn.IFNA(VLOOKUP(Source!B1324,Advertisers!$A$5:$B$34,2,FALSE),"Missing advertiser")</x:f>
        <x:v>Synthetic advertiser 7</x:v>
      </x:c>
      <x:c r="C1330" s="1" t="n">
        <x:f>Source!C1324</x:f>
        <x:v>37</x:v>
      </x:c>
      <x:c r="D1330" s="8" t="n">
        <x:f>Source!D1324/100</x:f>
        <x:v>151.01</x:v>
      </x:c>
      <x:c r="E1330" s="8" t="n">
        <x:f>Source!E1324/100</x:f>
        <x:v>0</x:v>
      </x:c>
      <x:c r="F1330" s="8" t="n">
        <x:f>Source!F1324/100</x:f>
        <x:v>0</x:v>
      </x:c>
      <x:c r="G1330" s="8" t="n">
        <x:f>Source!G1324/100</x:f>
        <x:v>0</x:v>
      </x:c>
      <x:c r="H1330" s="8" t="n">
        <x:f>G1330-D1330</x:f>
        <x:v>-151.01</x:v>
      </x:c>
      <x:c r="I1330" s="1" t="str">
        <x:f>IF(H1330&gt;0,"Overbilled","Shortfall")</x:f>
        <x:v>Shortfall</x:v>
      </x:c>
      <x:c r="J1330" s="7"/>
      <x:c r="K1330" s="7" t="str">
        <x:v>Open</x:v>
      </x:c>
      <x:c r="L1330" s="7"/>
    </x:row>
    <x:row r="1331" ht="21" customHeight="1">
      <x:c r="A1331" s="1" t="str">
        <x:f>Source!A1325</x:f>
        <x:v>C0017981</x:v>
      </x:c>
      <x:c r="B1331" s="1" t="str">
        <x:f>_xlfn.IFNA(VLOOKUP(Source!B1325,Advertisers!$A$5:$B$34,2,FALSE),"Missing advertiser")</x:f>
        <x:v>Synthetic advertiser 3</x:v>
      </x:c>
      <x:c r="C1331" s="1" t="n">
        <x:f>Source!C1325</x:f>
        <x:v>33</x:v>
      </x:c>
      <x:c r="D1331" s="8" t="n">
        <x:f>Source!D1325/100</x:f>
        <x:v>0</x:v>
      </x:c>
      <x:c r="E1331" s="8" t="n">
        <x:f>Source!E1325/100</x:f>
        <x:v>150.91</x:v>
      </x:c>
      <x:c r="F1331" s="8" t="n">
        <x:f>Source!F1325/100</x:f>
        <x:v>0</x:v>
      </x:c>
      <x:c r="G1331" s="8" t="n">
        <x:f>Source!G1325/100</x:f>
        <x:v>150.91</x:v>
      </x:c>
      <x:c r="H1331" s="8" t="n">
        <x:f>G1331-D1331</x:f>
        <x:v>150.91</x:v>
      </x:c>
      <x:c r="I1331" s="1" t="str">
        <x:f>IF(H1331&gt;0,"Overbilled","Shortfall")</x:f>
        <x:v>Overbilled</x:v>
      </x:c>
      <x:c r="J1331" s="7"/>
      <x:c r="K1331" s="7" t="str">
        <x:v>Open</x:v>
      </x:c>
      <x:c r="L1331" s="7"/>
    </x:row>
    <x:row r="1332" ht="21" customHeight="1">
      <x:c r="A1332" s="1" t="str">
        <x:f>Source!A1326</x:f>
        <x:v>C0013673</x:v>
      </x:c>
      <x:c r="B1332" s="1" t="str">
        <x:f>_xlfn.IFNA(VLOOKUP(Source!B1326,Advertisers!$A$5:$B$34,2,FALSE),"Missing advertiser")</x:f>
        <x:v>Synthetic advertiser 3</x:v>
      </x:c>
      <x:c r="C1332" s="1" t="n">
        <x:f>Source!C1326</x:f>
        <x:v>33</x:v>
      </x:c>
      <x:c r="D1332" s="8" t="n">
        <x:f>Source!D1326/100</x:f>
        <x:v>150.91</x:v>
      </x:c>
      <x:c r="E1332" s="8" t="n">
        <x:f>Source!E1326/100</x:f>
        <x:v>301.82</x:v>
      </x:c>
      <x:c r="F1332" s="8" t="n">
        <x:f>Source!F1326/100</x:f>
        <x:v>0</x:v>
      </x:c>
      <x:c r="G1332" s="8" t="n">
        <x:f>Source!G1326/100</x:f>
        <x:v>301.82</x:v>
      </x:c>
      <x:c r="H1332" s="8" t="n">
        <x:f>G1332-D1332</x:f>
        <x:v>150.91</x:v>
      </x:c>
      <x:c r="I1332" s="1" t="str">
        <x:f>IF(H1332&gt;0,"Overbilled","Shortfall")</x:f>
        <x:v>Overbilled</x:v>
      </x:c>
      <x:c r="J1332" s="7"/>
      <x:c r="K1332" s="7" t="str">
        <x:v>Open</x:v>
      </x:c>
      <x:c r="L1332" s="7"/>
    </x:row>
    <x:row r="1333" ht="21" customHeight="1">
      <x:c r="A1333" s="1" t="str">
        <x:f>Source!A1327</x:f>
        <x:v>C0004609</x:v>
      </x:c>
      <x:c r="B1333" s="1" t="str">
        <x:f>_xlfn.IFNA(VLOOKUP(Source!B1327,Advertisers!$A$5:$B$34,2,FALSE),"Missing advertiser")</x:f>
        <x:v>Synthetic advertiser 3</x:v>
      </x:c>
      <x:c r="C1333" s="1" t="n">
        <x:f>Source!C1327</x:f>
        <x:v>33</x:v>
      </x:c>
      <x:c r="D1333" s="8" t="n">
        <x:f>Source!D1327/100</x:f>
        <x:v>150.91</x:v>
      </x:c>
      <x:c r="E1333" s="8" t="n">
        <x:f>Source!E1327/100</x:f>
        <x:v>301.82</x:v>
      </x:c>
      <x:c r="F1333" s="8" t="n">
        <x:f>Source!F1327/100</x:f>
        <x:v>0</x:v>
      </x:c>
      <x:c r="G1333" s="8" t="n">
        <x:f>Source!G1327/100</x:f>
        <x:v>301.82</x:v>
      </x:c>
      <x:c r="H1333" s="8" t="n">
        <x:f>G1333-D1333</x:f>
        <x:v>150.91</x:v>
      </x:c>
      <x:c r="I1333" s="1" t="str">
        <x:f>IF(H1333&gt;0,"Overbilled","Shortfall")</x:f>
        <x:v>Overbilled</x:v>
      </x:c>
      <x:c r="J1333" s="7"/>
      <x:c r="K1333" s="7" t="str">
        <x:v>Open</x:v>
      </x:c>
      <x:c r="L1333" s="7"/>
    </x:row>
    <x:row r="1334" ht="21" customHeight="1">
      <x:c r="A1334" s="1" t="str">
        <x:f>Source!A1328</x:f>
        <x:v>C0012597</x:v>
      </x:c>
      <x:c r="B1334" s="1" t="str">
        <x:f>_xlfn.IFNA(VLOOKUP(Source!B1328,Advertisers!$A$5:$B$34,2,FALSE),"Missing advertiser")</x:f>
        <x:v>Synthetic advertiser 3</x:v>
      </x:c>
      <x:c r="C1334" s="1" t="n">
        <x:f>Source!C1328</x:f>
        <x:v>33</x:v>
      </x:c>
      <x:c r="D1334" s="8" t="n">
        <x:f>Source!D1328/100</x:f>
        <x:v>150.91</x:v>
      </x:c>
      <x:c r="E1334" s="8" t="n">
        <x:f>Source!E1328/100</x:f>
        <x:v>301.82</x:v>
      </x:c>
      <x:c r="F1334" s="8" t="n">
        <x:f>Source!F1328/100</x:f>
        <x:v>0</x:v>
      </x:c>
      <x:c r="G1334" s="8" t="n">
        <x:f>Source!G1328/100</x:f>
        <x:v>301.82</x:v>
      </x:c>
      <x:c r="H1334" s="8" t="n">
        <x:f>G1334-D1334</x:f>
        <x:v>150.91</x:v>
      </x:c>
      <x:c r="I1334" s="1" t="str">
        <x:f>IF(H1334&gt;0,"Overbilled","Shortfall")</x:f>
        <x:v>Overbilled</x:v>
      </x:c>
      <x:c r="J1334" s="7"/>
      <x:c r="K1334" s="7" t="str">
        <x:v>Open</x:v>
      </x:c>
      <x:c r="L1334" s="7"/>
    </x:row>
    <x:row r="1335" ht="21" customHeight="1">
      <x:c r="A1335" s="1" t="str">
        <x:f>Source!A1329</x:f>
        <x:v>C0003095</x:v>
      </x:c>
      <x:c r="B1335" s="1" t="str">
        <x:f>_xlfn.IFNA(VLOOKUP(Source!B1329,Advertisers!$A$5:$B$34,2,FALSE),"Missing advertiser")</x:f>
        <x:v>Synthetic advertiser 3</x:v>
      </x:c>
      <x:c r="C1335" s="1" t="n">
        <x:f>Source!C1329</x:f>
        <x:v>33</x:v>
      </x:c>
      <x:c r="D1335" s="8" t="n">
        <x:f>Source!D1329/100</x:f>
        <x:v>150.91</x:v>
      </x:c>
      <x:c r="E1335" s="8" t="n">
        <x:f>Source!E1329/100</x:f>
        <x:v>0</x:v>
      </x:c>
      <x:c r="F1335" s="8" t="n">
        <x:f>Source!F1329/100</x:f>
        <x:v>0</x:v>
      </x:c>
      <x:c r="G1335" s="8" t="n">
        <x:f>Source!G1329/100</x:f>
        <x:v>0</x:v>
      </x:c>
      <x:c r="H1335" s="8" t="n">
        <x:f>G1335-D1335</x:f>
        <x:v>-150.91</x:v>
      </x:c>
      <x:c r="I1335" s="1" t="str">
        <x:f>IF(H1335&gt;0,"Overbilled","Shortfall")</x:f>
        <x:v>Shortfall</x:v>
      </x:c>
      <x:c r="J1335" s="7"/>
      <x:c r="K1335" s="7" t="str">
        <x:v>Open</x:v>
      </x:c>
      <x:c r="L1335" s="7"/>
    </x:row>
    <x:row r="1336" ht="21" customHeight="1">
      <x:c r="A1336" s="1" t="str">
        <x:f>Source!A1330</x:f>
        <x:v>C0012200</x:v>
      </x:c>
      <x:c r="B1336" s="1" t="str">
        <x:f>_xlfn.IFNA(VLOOKUP(Source!B1330,Advertisers!$A$5:$B$34,2,FALSE),"Missing advertiser")</x:f>
        <x:v>Synthetic advertiser 3</x:v>
      </x:c>
      <x:c r="C1336" s="1" t="n">
        <x:f>Source!C1330</x:f>
        <x:v>33</x:v>
      </x:c>
      <x:c r="D1336" s="8" t="n">
        <x:f>Source!D1330/100</x:f>
        <x:v>150.91</x:v>
      </x:c>
      <x:c r="E1336" s="8" t="n">
        <x:f>Source!E1330/100</x:f>
        <x:v>0</x:v>
      </x:c>
      <x:c r="F1336" s="8" t="n">
        <x:f>Source!F1330/100</x:f>
        <x:v>0</x:v>
      </x:c>
      <x:c r="G1336" s="8" t="n">
        <x:f>Source!G1330/100</x:f>
        <x:v>0</x:v>
      </x:c>
      <x:c r="H1336" s="8" t="n">
        <x:f>G1336-D1336</x:f>
        <x:v>-150.91</x:v>
      </x:c>
      <x:c r="I1336" s="1" t="str">
        <x:f>IF(H1336&gt;0,"Overbilled","Shortfall")</x:f>
        <x:v>Shortfall</x:v>
      </x:c>
      <x:c r="J1336" s="7"/>
      <x:c r="K1336" s="7" t="str">
        <x:v>Open</x:v>
      </x:c>
      <x:c r="L1336" s="7"/>
    </x:row>
    <x:row r="1337" ht="21" customHeight="1">
      <x:c r="A1337" s="1" t="str">
        <x:f>Source!A1331</x:f>
        <x:v>C0015834</x:v>
      </x:c>
      <x:c r="B1337" s="1" t="str">
        <x:f>_xlfn.IFNA(VLOOKUP(Source!B1331,Advertisers!$A$5:$B$34,2,FALSE),"Missing advertiser")</x:f>
        <x:v>Synthetic advertiser 3</x:v>
      </x:c>
      <x:c r="C1337" s="1" t="n">
        <x:f>Source!C1331</x:f>
        <x:v>33</x:v>
      </x:c>
      <x:c r="D1337" s="8" t="n">
        <x:f>Source!D1331/100</x:f>
        <x:v>150.91</x:v>
      </x:c>
      <x:c r="E1337" s="8" t="n">
        <x:f>Source!E1331/100</x:f>
        <x:v>0</x:v>
      </x:c>
      <x:c r="F1337" s="8" t="n">
        <x:f>Source!F1331/100</x:f>
        <x:v>0</x:v>
      </x:c>
      <x:c r="G1337" s="8" t="n">
        <x:f>Source!G1331/100</x:f>
        <x:v>0</x:v>
      </x:c>
      <x:c r="H1337" s="8" t="n">
        <x:f>G1337-D1337</x:f>
        <x:v>-150.91</x:v>
      </x:c>
      <x:c r="I1337" s="1" t="str">
        <x:f>IF(H1337&gt;0,"Overbilled","Shortfall")</x:f>
        <x:v>Shortfall</x:v>
      </x:c>
      <x:c r="J1337" s="7"/>
      <x:c r="K1337" s="7" t="str">
        <x:v>Open</x:v>
      </x:c>
      <x:c r="L1337" s="7"/>
    </x:row>
    <x:row r="1338" ht="21" customHeight="1">
      <x:c r="A1338" s="1" t="str">
        <x:f>Source!A1332</x:f>
        <x:v>C0007310</x:v>
      </x:c>
      <x:c r="B1338" s="1" t="str">
        <x:f>_xlfn.IFNA(VLOOKUP(Source!B1332,Advertisers!$A$5:$B$34,2,FALSE),"Missing advertiser")</x:f>
        <x:v>Synthetic advertiser 3</x:v>
      </x:c>
      <x:c r="C1338" s="1" t="n">
        <x:f>Source!C1332</x:f>
        <x:v>33</x:v>
      </x:c>
      <x:c r="D1338" s="8" t="n">
        <x:f>Source!D1332/100</x:f>
        <x:v>150.91</x:v>
      </x:c>
      <x:c r="E1338" s="8" t="n">
        <x:f>Source!E1332/100</x:f>
        <x:v>301.82</x:v>
      </x:c>
      <x:c r="F1338" s="8" t="n">
        <x:f>Source!F1332/100</x:f>
        <x:v>0</x:v>
      </x:c>
      <x:c r="G1338" s="8" t="n">
        <x:f>Source!G1332/100</x:f>
        <x:v>301.82</x:v>
      </x:c>
      <x:c r="H1338" s="8" t="n">
        <x:f>G1338-D1338</x:f>
        <x:v>150.91</x:v>
      </x:c>
      <x:c r="I1338" s="1" t="str">
        <x:f>IF(H1338&gt;0,"Overbilled","Shortfall")</x:f>
        <x:v>Overbilled</x:v>
      </x:c>
      <x:c r="J1338" s="7"/>
      <x:c r="K1338" s="7" t="str">
        <x:v>Open</x:v>
      </x:c>
      <x:c r="L1338" s="7"/>
    </x:row>
    <x:row r="1339" ht="21" customHeight="1">
      <x:c r="A1339" s="1" t="str">
        <x:f>Source!A1333</x:f>
        <x:v>C0002337</x:v>
      </x:c>
      <x:c r="B1339" s="1" t="str">
        <x:f>_xlfn.IFNA(VLOOKUP(Source!B1333,Advertisers!$A$5:$B$34,2,FALSE),"Missing advertiser")</x:f>
        <x:v>Synthetic advertiser 3</x:v>
      </x:c>
      <x:c r="C1339" s="1" t="n">
        <x:f>Source!C1333</x:f>
        <x:v>33</x:v>
      </x:c>
      <x:c r="D1339" s="8" t="n">
        <x:f>Source!D1333/100</x:f>
        <x:v>150.91</x:v>
      </x:c>
      <x:c r="E1339" s="8" t="n">
        <x:f>Source!E1333/100</x:f>
        <x:v>0</x:v>
      </x:c>
      <x:c r="F1339" s="8" t="n">
        <x:f>Source!F1333/100</x:f>
        <x:v>0</x:v>
      </x:c>
      <x:c r="G1339" s="8" t="n">
        <x:f>Source!G1333/100</x:f>
        <x:v>0</x:v>
      </x:c>
      <x:c r="H1339" s="8" t="n">
        <x:f>G1339-D1339</x:f>
        <x:v>-150.91</x:v>
      </x:c>
      <x:c r="I1339" s="1" t="str">
        <x:f>IF(H1339&gt;0,"Overbilled","Shortfall")</x:f>
        <x:v>Shortfall</x:v>
      </x:c>
      <x:c r="J1339" s="7"/>
      <x:c r="K1339" s="7" t="str">
        <x:v>Open</x:v>
      </x:c>
      <x:c r="L1339" s="7"/>
    </x:row>
    <x:row r="1340" ht="21" customHeight="1">
      <x:c r="A1340" s="1" t="str">
        <x:f>Source!A1334</x:f>
        <x:v>C0012187</x:v>
      </x:c>
      <x:c r="B1340" s="1" t="str">
        <x:f>_xlfn.IFNA(VLOOKUP(Source!B1334,Advertisers!$A$5:$B$34,2,FALSE),"Missing advertiser")</x:f>
        <x:v>Synthetic advertiser 3</x:v>
      </x:c>
      <x:c r="C1340" s="1" t="n">
        <x:f>Source!C1334</x:f>
        <x:v>33</x:v>
      </x:c>
      <x:c r="D1340" s="8" t="n">
        <x:f>Source!D1334/100</x:f>
        <x:v>150.91</x:v>
      </x:c>
      <x:c r="E1340" s="8" t="n">
        <x:f>Source!E1334/100</x:f>
        <x:v>0</x:v>
      </x:c>
      <x:c r="F1340" s="8" t="n">
        <x:f>Source!F1334/100</x:f>
        <x:v>0</x:v>
      </x:c>
      <x:c r="G1340" s="8" t="n">
        <x:f>Source!G1334/100</x:f>
        <x:v>0</x:v>
      </x:c>
      <x:c r="H1340" s="8" t="n">
        <x:f>G1340-D1340</x:f>
        <x:v>-150.91</x:v>
      </x:c>
      <x:c r="I1340" s="1" t="str">
        <x:f>IF(H1340&gt;0,"Overbilled","Shortfall")</x:f>
        <x:v>Shortfall</x:v>
      </x:c>
      <x:c r="J1340" s="7"/>
      <x:c r="K1340" s="7" t="str">
        <x:v>Open</x:v>
      </x:c>
      <x:c r="L1340" s="7"/>
    </x:row>
    <x:row r="1341" ht="21" customHeight="1">
      <x:c r="A1341" s="1" t="str">
        <x:f>Source!A1335</x:f>
        <x:v>C0008079</x:v>
      </x:c>
      <x:c r="B1341" s="1" t="str">
        <x:f>_xlfn.IFNA(VLOOKUP(Source!B1335,Advertisers!$A$5:$B$34,2,FALSE),"Missing advertiser")</x:f>
        <x:v>Synthetic advertiser 17</x:v>
      </x:c>
      <x:c r="C1341" s="1" t="n">
        <x:f>Source!C1335</x:f>
        <x:v>107</x:v>
      </x:c>
      <x:c r="D1341" s="8" t="n">
        <x:f>Source!D1335/100</x:f>
        <x:v>149.1</x:v>
      </x:c>
      <x:c r="E1341" s="8" t="n">
        <x:f>Source!E1335/100</x:f>
        <x:v>0</x:v>
      </x:c>
      <x:c r="F1341" s="8" t="n">
        <x:f>Source!F1335/100</x:f>
        <x:v>0</x:v>
      </x:c>
      <x:c r="G1341" s="8" t="n">
        <x:f>Source!G1335/100</x:f>
        <x:v>0</x:v>
      </x:c>
      <x:c r="H1341" s="8" t="n">
        <x:f>G1341-D1341</x:f>
        <x:v>-149.1</x:v>
      </x:c>
      <x:c r="I1341" s="1" t="str">
        <x:f>IF(H1341&gt;0,"Overbilled","Shortfall")</x:f>
        <x:v>Shortfall</x:v>
      </x:c>
      <x:c r="J1341" s="7"/>
      <x:c r="K1341" s="7" t="str">
        <x:v>Open</x:v>
      </x:c>
      <x:c r="L1341" s="7"/>
    </x:row>
    <x:row r="1342" ht="21" customHeight="1">
      <x:c r="A1342" s="1" t="str">
        <x:f>Source!A1336</x:f>
        <x:v>C0006775</x:v>
      </x:c>
      <x:c r="B1342" s="1" t="str">
        <x:f>_xlfn.IFNA(VLOOKUP(Source!B1336,Advertisers!$A$5:$B$34,2,FALSE),"Missing advertiser")</x:f>
        <x:v>Synthetic advertiser 17</x:v>
      </x:c>
      <x:c r="C1342" s="1" t="n">
        <x:f>Source!C1336</x:f>
        <x:v>107</x:v>
      </x:c>
      <x:c r="D1342" s="8" t="n">
        <x:f>Source!D1336/100</x:f>
        <x:v>149.1</x:v>
      </x:c>
      <x:c r="E1342" s="8" t="n">
        <x:f>Source!E1336/100</x:f>
        <x:v>0</x:v>
      </x:c>
      <x:c r="F1342" s="8" t="n">
        <x:f>Source!F1336/100</x:f>
        <x:v>0</x:v>
      </x:c>
      <x:c r="G1342" s="8" t="n">
        <x:f>Source!G1336/100</x:f>
        <x:v>0</x:v>
      </x:c>
      <x:c r="H1342" s="8" t="n">
        <x:f>G1342-D1342</x:f>
        <x:v>-149.1</x:v>
      </x:c>
      <x:c r="I1342" s="1" t="str">
        <x:f>IF(H1342&gt;0,"Overbilled","Shortfall")</x:f>
        <x:v>Shortfall</x:v>
      </x:c>
      <x:c r="J1342" s="7"/>
      <x:c r="K1342" s="7" t="str">
        <x:v>Open</x:v>
      </x:c>
      <x:c r="L1342" s="7"/>
    </x:row>
    <x:row r="1343" ht="21" customHeight="1">
      <x:c r="A1343" s="1" t="str">
        <x:f>Source!A1337</x:f>
        <x:v>C0011684</x:v>
      </x:c>
      <x:c r="B1343" s="1" t="str">
        <x:f>_xlfn.IFNA(VLOOKUP(Source!B1337,Advertisers!$A$5:$B$34,2,FALSE),"Missing advertiser")</x:f>
        <x:v>Synthetic advertiser 17</x:v>
      </x:c>
      <x:c r="C1343" s="1" t="n">
        <x:f>Source!C1337</x:f>
        <x:v>107</x:v>
      </x:c>
      <x:c r="D1343" s="8" t="n">
        <x:f>Source!D1337/100</x:f>
        <x:v>0</x:v>
      </x:c>
      <x:c r="E1343" s="8" t="n">
        <x:f>Source!E1337/100</x:f>
        <x:v>149.1</x:v>
      </x:c>
      <x:c r="F1343" s="8" t="n">
        <x:f>Source!F1337/100</x:f>
        <x:v>0</x:v>
      </x:c>
      <x:c r="G1343" s="8" t="n">
        <x:f>Source!G1337/100</x:f>
        <x:v>149.1</x:v>
      </x:c>
      <x:c r="H1343" s="8" t="n">
        <x:f>G1343-D1343</x:f>
        <x:v>149.1</x:v>
      </x:c>
      <x:c r="I1343" s="1" t="str">
        <x:f>IF(H1343&gt;0,"Overbilled","Shortfall")</x:f>
        <x:v>Overbilled</x:v>
      </x:c>
      <x:c r="J1343" s="7"/>
      <x:c r="K1343" s="7" t="str">
        <x:v>Open</x:v>
      </x:c>
      <x:c r="L1343" s="7"/>
    </x:row>
    <x:row r="1344" ht="21" customHeight="1">
      <x:c r="A1344" s="1" t="str">
        <x:f>Source!A1338</x:f>
        <x:v>C0003542</x:v>
      </x:c>
      <x:c r="B1344" s="1" t="str">
        <x:f>_xlfn.IFNA(VLOOKUP(Source!B1338,Advertisers!$A$5:$B$34,2,FALSE),"Missing advertiser")</x:f>
        <x:v>Synthetic advertiser 17</x:v>
      </x:c>
      <x:c r="C1344" s="1" t="n">
        <x:f>Source!C1338</x:f>
        <x:v>107</x:v>
      </x:c>
      <x:c r="D1344" s="8" t="n">
        <x:f>Source!D1338/100</x:f>
        <x:v>149.1</x:v>
      </x:c>
      <x:c r="E1344" s="8" t="n">
        <x:f>Source!E1338/100</x:f>
        <x:v>298.2</x:v>
      </x:c>
      <x:c r="F1344" s="8" t="n">
        <x:f>Source!F1338/100</x:f>
        <x:v>0</x:v>
      </x:c>
      <x:c r="G1344" s="8" t="n">
        <x:f>Source!G1338/100</x:f>
        <x:v>298.2</x:v>
      </x:c>
      <x:c r="H1344" s="8" t="n">
        <x:f>G1344-D1344</x:f>
        <x:v>149.1</x:v>
      </x:c>
      <x:c r="I1344" s="1" t="str">
        <x:f>IF(H1344&gt;0,"Overbilled","Shortfall")</x:f>
        <x:v>Overbilled</x:v>
      </x:c>
      <x:c r="J1344" s="7"/>
      <x:c r="K1344" s="7" t="str">
        <x:v>Open</x:v>
      </x:c>
      <x:c r="L1344" s="7"/>
    </x:row>
    <x:row r="1345" ht="21" customHeight="1">
      <x:c r="A1345" s="1" t="str">
        <x:f>Source!A1339</x:f>
        <x:v>C0001047</x:v>
      </x:c>
      <x:c r="B1345" s="1" t="str">
        <x:f>_xlfn.IFNA(VLOOKUP(Source!B1339,Advertisers!$A$5:$B$34,2,FALSE),"Missing advertiser")</x:f>
        <x:v>Synthetic advertiser 17</x:v>
      </x:c>
      <x:c r="C1345" s="1" t="n">
        <x:f>Source!C1339</x:f>
        <x:v>17</x:v>
      </x:c>
      <x:c r="D1345" s="8" t="n">
        <x:f>Source!D1339/100</x:f>
        <x:v>148.14</x:v>
      </x:c>
      <x:c r="E1345" s="8" t="n">
        <x:f>Source!E1339/100</x:f>
        <x:v>296.28</x:v>
      </x:c>
      <x:c r="F1345" s="8" t="n">
        <x:f>Source!F1339/100</x:f>
        <x:v>0</x:v>
      </x:c>
      <x:c r="G1345" s="8" t="n">
        <x:f>Source!G1339/100</x:f>
        <x:v>296.28</x:v>
      </x:c>
      <x:c r="H1345" s="8" t="n">
        <x:f>G1345-D1345</x:f>
        <x:v>148.14</x:v>
      </x:c>
      <x:c r="I1345" s="1" t="str">
        <x:f>IF(H1345&gt;0,"Overbilled","Shortfall")</x:f>
        <x:v>Overbilled</x:v>
      </x:c>
      <x:c r="J1345" s="7"/>
      <x:c r="K1345" s="7" t="str">
        <x:v>Open</x:v>
      </x:c>
      <x:c r="L1345" s="7"/>
    </x:row>
    <x:row r="1346" ht="21" customHeight="1">
      <x:c r="A1346" s="1" t="str">
        <x:f>Source!A1340</x:f>
        <x:v>C0000428</x:v>
      </x:c>
      <x:c r="B1346" s="1" t="str">
        <x:f>_xlfn.IFNA(VLOOKUP(Source!B1340,Advertisers!$A$5:$B$34,2,FALSE),"Missing advertiser")</x:f>
        <x:v>Synthetic advertiser 17</x:v>
      </x:c>
      <x:c r="C1346" s="1" t="n">
        <x:f>Source!C1340</x:f>
        <x:v>17</x:v>
      </x:c>
      <x:c r="D1346" s="8" t="n">
        <x:f>Source!D1340/100</x:f>
        <x:v>148.14</x:v>
      </x:c>
      <x:c r="E1346" s="8" t="n">
        <x:f>Source!E1340/100</x:f>
        <x:v>296.28</x:v>
      </x:c>
      <x:c r="F1346" s="8" t="n">
        <x:f>Source!F1340/100</x:f>
        <x:v>0</x:v>
      </x:c>
      <x:c r="G1346" s="8" t="n">
        <x:f>Source!G1340/100</x:f>
        <x:v>296.28</x:v>
      </x:c>
      <x:c r="H1346" s="8" t="n">
        <x:f>G1346-D1346</x:f>
        <x:v>148.14</x:v>
      </x:c>
      <x:c r="I1346" s="1" t="str">
        <x:f>IF(H1346&gt;0,"Overbilled","Shortfall")</x:f>
        <x:v>Overbilled</x:v>
      </x:c>
      <x:c r="J1346" s="7"/>
      <x:c r="K1346" s="7" t="str">
        <x:v>Open</x:v>
      </x:c>
      <x:c r="L1346" s="7"/>
    </x:row>
    <x:row r="1347" ht="21" customHeight="1">
      <x:c r="A1347" s="1" t="str">
        <x:f>Source!A1341</x:f>
        <x:v>C0017174</x:v>
      </x:c>
      <x:c r="B1347" s="1" t="str">
        <x:f>_xlfn.IFNA(VLOOKUP(Source!B1341,Advertisers!$A$5:$B$34,2,FALSE),"Missing advertiser")</x:f>
        <x:v>Synthetic advertiser 17</x:v>
      </x:c>
      <x:c r="C1347" s="1" t="n">
        <x:f>Source!C1341</x:f>
        <x:v>17</x:v>
      </x:c>
      <x:c r="D1347" s="8" t="n">
        <x:f>Source!D1341/100</x:f>
        <x:v>148.14</x:v>
      </x:c>
      <x:c r="E1347" s="8" t="n">
        <x:f>Source!E1341/100</x:f>
        <x:v>296.28</x:v>
      </x:c>
      <x:c r="F1347" s="8" t="n">
        <x:f>Source!F1341/100</x:f>
        <x:v>0</x:v>
      </x:c>
      <x:c r="G1347" s="8" t="n">
        <x:f>Source!G1341/100</x:f>
        <x:v>296.28</x:v>
      </x:c>
      <x:c r="H1347" s="8" t="n">
        <x:f>G1347-D1347</x:f>
        <x:v>148.14</x:v>
      </x:c>
      <x:c r="I1347" s="1" t="str">
        <x:f>IF(H1347&gt;0,"Overbilled","Shortfall")</x:f>
        <x:v>Overbilled</x:v>
      </x:c>
      <x:c r="J1347" s="7"/>
      <x:c r="K1347" s="7" t="str">
        <x:v>Open</x:v>
      </x:c>
      <x:c r="L1347" s="7"/>
    </x:row>
    <x:row r="1348" ht="21" customHeight="1">
      <x:c r="A1348" s="1" t="str">
        <x:f>Source!A1342</x:f>
        <x:v>C0009375</x:v>
      </x:c>
      <x:c r="B1348" s="1" t="str">
        <x:f>_xlfn.IFNA(VLOOKUP(Source!B1342,Advertisers!$A$5:$B$34,2,FALSE),"Missing advertiser")</x:f>
        <x:v>Synthetic advertiser 17</x:v>
      </x:c>
      <x:c r="C1348" s="1" t="n">
        <x:f>Source!C1342</x:f>
        <x:v>17</x:v>
      </x:c>
      <x:c r="D1348" s="8" t="n">
        <x:f>Source!D1342/100</x:f>
        <x:v>148.14</x:v>
      </x:c>
      <x:c r="E1348" s="8" t="n">
        <x:f>Source!E1342/100</x:f>
        <x:v>296.28</x:v>
      </x:c>
      <x:c r="F1348" s="8" t="n">
        <x:f>Source!F1342/100</x:f>
        <x:v>0</x:v>
      </x:c>
      <x:c r="G1348" s="8" t="n">
        <x:f>Source!G1342/100</x:f>
        <x:v>296.28</x:v>
      </x:c>
      <x:c r="H1348" s="8" t="n">
        <x:f>G1348-D1348</x:f>
        <x:v>148.14</x:v>
      </x:c>
      <x:c r="I1348" s="1" t="str">
        <x:f>IF(H1348&gt;0,"Overbilled","Shortfall")</x:f>
        <x:v>Overbilled</x:v>
      </x:c>
      <x:c r="J1348" s="7"/>
      <x:c r="K1348" s="7" t="str">
        <x:v>Open</x:v>
      </x:c>
      <x:c r="L1348" s="7"/>
    </x:row>
    <x:row r="1349" ht="21" customHeight="1">
      <x:c r="A1349" s="1" t="str">
        <x:f>Source!A1343</x:f>
        <x:v>C0017500</x:v>
      </x:c>
      <x:c r="B1349" s="1" t="str">
        <x:f>_xlfn.IFNA(VLOOKUP(Source!B1343,Advertisers!$A$5:$B$34,2,FALSE),"Missing advertiser")</x:f>
        <x:v>Synthetic advertiser 17</x:v>
      </x:c>
      <x:c r="C1349" s="1" t="n">
        <x:f>Source!C1343</x:f>
        <x:v>17</x:v>
      </x:c>
      <x:c r="D1349" s="8" t="n">
        <x:f>Source!D1343/100</x:f>
        <x:v>148.14</x:v>
      </x:c>
      <x:c r="E1349" s="8" t="n">
        <x:f>Source!E1343/100</x:f>
        <x:v>296.28</x:v>
      </x:c>
      <x:c r="F1349" s="8" t="n">
        <x:f>Source!F1343/100</x:f>
        <x:v>0</x:v>
      </x:c>
      <x:c r="G1349" s="8" t="n">
        <x:f>Source!G1343/100</x:f>
        <x:v>296.28</x:v>
      </x:c>
      <x:c r="H1349" s="8" t="n">
        <x:f>G1349-D1349</x:f>
        <x:v>148.14</x:v>
      </x:c>
      <x:c r="I1349" s="1" t="str">
        <x:f>IF(H1349&gt;0,"Overbilled","Shortfall")</x:f>
        <x:v>Overbilled</x:v>
      </x:c>
      <x:c r="J1349" s="7"/>
      <x:c r="K1349" s="7" t="str">
        <x:v>Open</x:v>
      </x:c>
      <x:c r="L1349" s="7"/>
    </x:row>
    <x:row r="1350" ht="21" customHeight="1">
      <x:c r="A1350" s="1" t="str">
        <x:f>Source!A1344</x:f>
        <x:v>C0002794</x:v>
      </x:c>
      <x:c r="B1350" s="1" t="str">
        <x:f>_xlfn.IFNA(VLOOKUP(Source!B1344,Advertisers!$A$5:$B$34,2,FALSE),"Missing advertiser")</x:f>
        <x:v>Synthetic advertiser 17</x:v>
      </x:c>
      <x:c r="C1350" s="1" t="n">
        <x:f>Source!C1344</x:f>
        <x:v>17</x:v>
      </x:c>
      <x:c r="D1350" s="8" t="n">
        <x:f>Source!D1344/100</x:f>
        <x:v>148.14</x:v>
      </x:c>
      <x:c r="E1350" s="8" t="n">
        <x:f>Source!E1344/100</x:f>
        <x:v>296.28</x:v>
      </x:c>
      <x:c r="F1350" s="8" t="n">
        <x:f>Source!F1344/100</x:f>
        <x:v>0</x:v>
      </x:c>
      <x:c r="G1350" s="8" t="n">
        <x:f>Source!G1344/100</x:f>
        <x:v>296.28</x:v>
      </x:c>
      <x:c r="H1350" s="8" t="n">
        <x:f>G1350-D1350</x:f>
        <x:v>148.14</x:v>
      </x:c>
      <x:c r="I1350" s="1" t="str">
        <x:f>IF(H1350&gt;0,"Overbilled","Shortfall")</x:f>
        <x:v>Overbilled</x:v>
      </x:c>
      <x:c r="J1350" s="7"/>
      <x:c r="K1350" s="7" t="str">
        <x:v>Open</x:v>
      </x:c>
      <x:c r="L1350" s="7"/>
    </x:row>
    <x:row r="1351" ht="21" customHeight="1">
      <x:c r="A1351" s="1" t="str">
        <x:f>Source!A1345</x:f>
        <x:v>C0014772</x:v>
      </x:c>
      <x:c r="B1351" s="1" t="str">
        <x:f>_xlfn.IFNA(VLOOKUP(Source!B1345,Advertisers!$A$5:$B$34,2,FALSE),"Missing advertiser")</x:f>
        <x:v>Synthetic advertiser 17</x:v>
      </x:c>
      <x:c r="C1351" s="1" t="n">
        <x:f>Source!C1345</x:f>
        <x:v>17</x:v>
      </x:c>
      <x:c r="D1351" s="8" t="n">
        <x:f>Source!D1345/100</x:f>
        <x:v>148.14</x:v>
      </x:c>
      <x:c r="E1351" s="8" t="n">
        <x:f>Source!E1345/100</x:f>
        <x:v>296.28</x:v>
      </x:c>
      <x:c r="F1351" s="8" t="n">
        <x:f>Source!F1345/100</x:f>
        <x:v>0</x:v>
      </x:c>
      <x:c r="G1351" s="8" t="n">
        <x:f>Source!G1345/100</x:f>
        <x:v>296.28</x:v>
      </x:c>
      <x:c r="H1351" s="8" t="n">
        <x:f>G1351-D1351</x:f>
        <x:v>148.14</x:v>
      </x:c>
      <x:c r="I1351" s="1" t="str">
        <x:f>IF(H1351&gt;0,"Overbilled","Shortfall")</x:f>
        <x:v>Overbilled</x:v>
      </x:c>
      <x:c r="J1351" s="7"/>
      <x:c r="K1351" s="7" t="str">
        <x:v>Open</x:v>
      </x:c>
      <x:c r="L1351" s="7"/>
    </x:row>
    <x:row r="1352" ht="21" customHeight="1">
      <x:c r="A1352" s="1" t="str">
        <x:f>Source!A1346</x:f>
        <x:v>C0008774</x:v>
      </x:c>
      <x:c r="B1352" s="1" t="str">
        <x:f>_xlfn.IFNA(VLOOKUP(Source!B1346,Advertisers!$A$5:$B$34,2,FALSE),"Missing advertiser")</x:f>
        <x:v>Synthetic advertiser 17</x:v>
      </x:c>
      <x:c r="C1352" s="1" t="n">
        <x:f>Source!C1346</x:f>
        <x:v>17</x:v>
      </x:c>
      <x:c r="D1352" s="8" t="n">
        <x:f>Source!D1346/100</x:f>
        <x:v>148.14</x:v>
      </x:c>
      <x:c r="E1352" s="8" t="n">
        <x:f>Source!E1346/100</x:f>
        <x:v>0</x:v>
      </x:c>
      <x:c r="F1352" s="8" t="n">
        <x:f>Source!F1346/100</x:f>
        <x:v>0</x:v>
      </x:c>
      <x:c r="G1352" s="8" t="n">
        <x:f>Source!G1346/100</x:f>
        <x:v>0</x:v>
      </x:c>
      <x:c r="H1352" s="8" t="n">
        <x:f>G1352-D1352</x:f>
        <x:v>-148.14</x:v>
      </x:c>
      <x:c r="I1352" s="1" t="str">
        <x:f>IF(H1352&gt;0,"Overbilled","Shortfall")</x:f>
        <x:v>Shortfall</x:v>
      </x:c>
      <x:c r="J1352" s="7"/>
      <x:c r="K1352" s="7" t="str">
        <x:v>Open</x:v>
      </x:c>
      <x:c r="L1352" s="7"/>
    </x:row>
    <x:row r="1353" ht="21" customHeight="1">
      <x:c r="A1353" s="1" t="str">
        <x:f>Source!A1347</x:f>
        <x:v>C0014824</x:v>
      </x:c>
      <x:c r="B1353" s="1" t="str">
        <x:f>_xlfn.IFNA(VLOOKUP(Source!B1347,Advertisers!$A$5:$B$34,2,FALSE),"Missing advertiser")</x:f>
        <x:v>Synthetic advertiser 17</x:v>
      </x:c>
      <x:c r="C1353" s="1" t="n">
        <x:f>Source!C1347</x:f>
        <x:v>17</x:v>
      </x:c>
      <x:c r="D1353" s="8" t="n">
        <x:f>Source!D1347/100</x:f>
        <x:v>148.14</x:v>
      </x:c>
      <x:c r="E1353" s="8" t="n">
        <x:f>Source!E1347/100</x:f>
        <x:v>296.28</x:v>
      </x:c>
      <x:c r="F1353" s="8" t="n">
        <x:f>Source!F1347/100</x:f>
        <x:v>0</x:v>
      </x:c>
      <x:c r="G1353" s="8" t="n">
        <x:f>Source!G1347/100</x:f>
        <x:v>296.28</x:v>
      </x:c>
      <x:c r="H1353" s="8" t="n">
        <x:f>G1353-D1353</x:f>
        <x:v>148.14</x:v>
      </x:c>
      <x:c r="I1353" s="1" t="str">
        <x:f>IF(H1353&gt;0,"Overbilled","Shortfall")</x:f>
        <x:v>Overbilled</x:v>
      </x:c>
      <x:c r="J1353" s="7"/>
      <x:c r="K1353" s="7" t="str">
        <x:v>Open</x:v>
      </x:c>
      <x:c r="L1353" s="7"/>
    </x:row>
    <x:row r="1354" ht="21" customHeight="1">
      <x:c r="A1354" s="1" t="str">
        <x:f>Source!A1348</x:f>
        <x:v>C0013568</x:v>
      </x:c>
      <x:c r="B1354" s="1" t="str">
        <x:f>_xlfn.IFNA(VLOOKUP(Source!B1348,Advertisers!$A$5:$B$34,2,FALSE),"Missing advertiser")</x:f>
        <x:v>Synthetic advertiser 17</x:v>
      </x:c>
      <x:c r="C1354" s="1" t="n">
        <x:f>Source!C1348</x:f>
        <x:v>17</x:v>
      </x:c>
      <x:c r="D1354" s="8" t="n">
        <x:f>Source!D1348/100</x:f>
        <x:v>148.14</x:v>
      </x:c>
      <x:c r="E1354" s="8" t="n">
        <x:f>Source!E1348/100</x:f>
        <x:v>296.28</x:v>
      </x:c>
      <x:c r="F1354" s="8" t="n">
        <x:f>Source!F1348/100</x:f>
        <x:v>0</x:v>
      </x:c>
      <x:c r="G1354" s="8" t="n">
        <x:f>Source!G1348/100</x:f>
        <x:v>296.28</x:v>
      </x:c>
      <x:c r="H1354" s="8" t="n">
        <x:f>G1354-D1354</x:f>
        <x:v>148.14</x:v>
      </x:c>
      <x:c r="I1354" s="1" t="str">
        <x:f>IF(H1354&gt;0,"Overbilled","Shortfall")</x:f>
        <x:v>Overbilled</x:v>
      </x:c>
      <x:c r="J1354" s="7"/>
      <x:c r="K1354" s="7" t="str">
        <x:v>Open</x:v>
      </x:c>
      <x:c r="L1354" s="7"/>
    </x:row>
    <x:row r="1355" ht="21" customHeight="1">
      <x:c r="A1355" s="1" t="str">
        <x:f>Source!A1349</x:f>
        <x:v>C0007898</x:v>
      </x:c>
      <x:c r="B1355" s="1" t="str">
        <x:f>_xlfn.IFNA(VLOOKUP(Source!B1349,Advertisers!$A$5:$B$34,2,FALSE),"Missing advertiser")</x:f>
        <x:v>Synthetic advertiser 17</x:v>
      </x:c>
      <x:c r="C1355" s="1" t="n">
        <x:f>Source!C1349</x:f>
        <x:v>17</x:v>
      </x:c>
      <x:c r="D1355" s="8" t="n">
        <x:f>Source!D1349/100</x:f>
        <x:v>148.14</x:v>
      </x:c>
      <x:c r="E1355" s="8" t="n">
        <x:f>Source!E1349/100</x:f>
        <x:v>296.28</x:v>
      </x:c>
      <x:c r="F1355" s="8" t="n">
        <x:f>Source!F1349/100</x:f>
        <x:v>0</x:v>
      </x:c>
      <x:c r="G1355" s="8" t="n">
        <x:f>Source!G1349/100</x:f>
        <x:v>296.28</x:v>
      </x:c>
      <x:c r="H1355" s="8" t="n">
        <x:f>G1355-D1355</x:f>
        <x:v>148.14</x:v>
      </x:c>
      <x:c r="I1355" s="1" t="str">
        <x:f>IF(H1355&gt;0,"Overbilled","Shortfall")</x:f>
        <x:v>Overbilled</x:v>
      </x:c>
      <x:c r="J1355" s="7"/>
      <x:c r="K1355" s="7" t="str">
        <x:v>Open</x:v>
      </x:c>
      <x:c r="L1355" s="7"/>
    </x:row>
    <x:row r="1356" ht="21" customHeight="1">
      <x:c r="A1356" s="1" t="str">
        <x:f>Source!A1350</x:f>
        <x:v>C0015419</x:v>
      </x:c>
      <x:c r="B1356" s="1" t="str">
        <x:f>_xlfn.IFNA(VLOOKUP(Source!B1350,Advertisers!$A$5:$B$34,2,FALSE),"Missing advertiser")</x:f>
        <x:v>Synthetic advertiser 29</x:v>
      </x:c>
      <x:c r="C1356" s="1" t="n">
        <x:f>Source!C1350</x:f>
        <x:v>89</x:v>
      </x:c>
      <x:c r="D1356" s="8" t="n">
        <x:f>Source!D1350/100</x:f>
        <x:v>145.97</x:v>
      </x:c>
      <x:c r="E1356" s="8" t="n">
        <x:f>Source!E1350/100</x:f>
        <x:v>0</x:v>
      </x:c>
      <x:c r="F1356" s="8" t="n">
        <x:f>Source!F1350/100</x:f>
        <x:v>0</x:v>
      </x:c>
      <x:c r="G1356" s="8" t="n">
        <x:f>Source!G1350/100</x:f>
        <x:v>0</x:v>
      </x:c>
      <x:c r="H1356" s="8" t="n">
        <x:f>G1356-D1356</x:f>
        <x:v>-145.97</x:v>
      </x:c>
      <x:c r="I1356" s="1" t="str">
        <x:f>IF(H1356&gt;0,"Overbilled","Shortfall")</x:f>
        <x:v>Shortfall</x:v>
      </x:c>
      <x:c r="J1356" s="7"/>
      <x:c r="K1356" s="7" t="str">
        <x:v>Open</x:v>
      </x:c>
      <x:c r="L1356" s="7"/>
    </x:row>
    <x:row r="1357" ht="21" customHeight="1">
      <x:c r="A1357" s="1" t="str">
        <x:f>Source!A1351</x:f>
        <x:v>C0016545</x:v>
      </x:c>
      <x:c r="B1357" s="1" t="str">
        <x:f>_xlfn.IFNA(VLOOKUP(Source!B1351,Advertisers!$A$5:$B$34,2,FALSE),"Missing advertiser")</x:f>
        <x:v>Synthetic advertiser 29</x:v>
      </x:c>
      <x:c r="C1357" s="1" t="n">
        <x:f>Source!C1351</x:f>
        <x:v>89</x:v>
      </x:c>
      <x:c r="D1357" s="8" t="n">
        <x:f>Source!D1351/100</x:f>
        <x:v>145.97</x:v>
      </x:c>
      <x:c r="E1357" s="8" t="n">
        <x:f>Source!E1351/100</x:f>
        <x:v>291.94</x:v>
      </x:c>
      <x:c r="F1357" s="8" t="n">
        <x:f>Source!F1351/100</x:f>
        <x:v>0</x:v>
      </x:c>
      <x:c r="G1357" s="8" t="n">
        <x:f>Source!G1351/100</x:f>
        <x:v>291.94</x:v>
      </x:c>
      <x:c r="H1357" s="8" t="n">
        <x:f>G1357-D1357</x:f>
        <x:v>145.97</x:v>
      </x:c>
      <x:c r="I1357" s="1" t="str">
        <x:f>IF(H1357&gt;0,"Overbilled","Shortfall")</x:f>
        <x:v>Overbilled</x:v>
      </x:c>
      <x:c r="J1357" s="7"/>
      <x:c r="K1357" s="7" t="str">
        <x:v>Open</x:v>
      </x:c>
      <x:c r="L1357" s="7"/>
    </x:row>
    <x:row r="1358" ht="21" customHeight="1">
      <x:c r="A1358" s="1" t="str">
        <x:f>Source!A1352</x:f>
        <x:v>C0004675</x:v>
      </x:c>
      <x:c r="B1358" s="1" t="str">
        <x:f>_xlfn.IFNA(VLOOKUP(Source!B1352,Advertisers!$A$5:$B$34,2,FALSE),"Missing advertiser")</x:f>
        <x:v>Synthetic advertiser 29</x:v>
      </x:c>
      <x:c r="C1358" s="1" t="n">
        <x:f>Source!C1352</x:f>
        <x:v>89</x:v>
      </x:c>
      <x:c r="D1358" s="8" t="n">
        <x:f>Source!D1352/100</x:f>
        <x:v>145.97</x:v>
      </x:c>
      <x:c r="E1358" s="8" t="n">
        <x:f>Source!E1352/100</x:f>
        <x:v>291.94</x:v>
      </x:c>
      <x:c r="F1358" s="8" t="n">
        <x:f>Source!F1352/100</x:f>
        <x:v>0</x:v>
      </x:c>
      <x:c r="G1358" s="8" t="n">
        <x:f>Source!G1352/100</x:f>
        <x:v>291.94</x:v>
      </x:c>
      <x:c r="H1358" s="8" t="n">
        <x:f>G1358-D1358</x:f>
        <x:v>145.97</x:v>
      </x:c>
      <x:c r="I1358" s="1" t="str">
        <x:f>IF(H1358&gt;0,"Overbilled","Shortfall")</x:f>
        <x:v>Overbilled</x:v>
      </x:c>
      <x:c r="J1358" s="7"/>
      <x:c r="K1358" s="7" t="str">
        <x:v>Open</x:v>
      </x:c>
      <x:c r="L1358" s="7"/>
    </x:row>
    <x:row r="1359" ht="21" customHeight="1">
      <x:c r="A1359" s="1" t="str">
        <x:f>Source!A1353</x:f>
        <x:v>C0010265</x:v>
      </x:c>
      <x:c r="B1359" s="1" t="str">
        <x:f>_xlfn.IFNA(VLOOKUP(Source!B1353,Advertisers!$A$5:$B$34,2,FALSE),"Missing advertiser")</x:f>
        <x:v>Synthetic advertiser 29</x:v>
      </x:c>
      <x:c r="C1359" s="1" t="n">
        <x:f>Source!C1353</x:f>
        <x:v>89</x:v>
      </x:c>
      <x:c r="D1359" s="8" t="n">
        <x:f>Source!D1353/100</x:f>
        <x:v>145.97</x:v>
      </x:c>
      <x:c r="E1359" s="8" t="n">
        <x:f>Source!E1353/100</x:f>
        <x:v>0</x:v>
      </x:c>
      <x:c r="F1359" s="8" t="n">
        <x:f>Source!F1353/100</x:f>
        <x:v>0</x:v>
      </x:c>
      <x:c r="G1359" s="8" t="n">
        <x:f>Source!G1353/100</x:f>
        <x:v>0</x:v>
      </x:c>
      <x:c r="H1359" s="8" t="n">
        <x:f>G1359-D1359</x:f>
        <x:v>-145.97</x:v>
      </x:c>
      <x:c r="I1359" s="1" t="str">
        <x:f>IF(H1359&gt;0,"Overbilled","Shortfall")</x:f>
        <x:v>Shortfall</x:v>
      </x:c>
      <x:c r="J1359" s="7"/>
      <x:c r="K1359" s="7" t="str">
        <x:v>Open</x:v>
      </x:c>
      <x:c r="L1359" s="7"/>
    </x:row>
    <x:row r="1360" ht="21" customHeight="1">
      <x:c r="A1360" s="1" t="str">
        <x:f>Source!A1354</x:f>
        <x:v>C0001970</x:v>
      </x:c>
      <x:c r="B1360" s="1" t="str">
        <x:f>_xlfn.IFNA(VLOOKUP(Source!B1354,Advertisers!$A$5:$B$34,2,FALSE),"Missing advertiser")</x:f>
        <x:v>Synthetic advertiser 29</x:v>
      </x:c>
      <x:c r="C1360" s="1" t="n">
        <x:f>Source!C1354</x:f>
        <x:v>89</x:v>
      </x:c>
      <x:c r="D1360" s="8" t="n">
        <x:f>Source!D1354/100</x:f>
        <x:v>145.97</x:v>
      </x:c>
      <x:c r="E1360" s="8" t="n">
        <x:f>Source!E1354/100</x:f>
        <x:v>291.94</x:v>
      </x:c>
      <x:c r="F1360" s="8" t="n">
        <x:f>Source!F1354/100</x:f>
        <x:v>0</x:v>
      </x:c>
      <x:c r="G1360" s="8" t="n">
        <x:f>Source!G1354/100</x:f>
        <x:v>291.94</x:v>
      </x:c>
      <x:c r="H1360" s="8" t="n">
        <x:f>G1360-D1360</x:f>
        <x:v>145.97</x:v>
      </x:c>
      <x:c r="I1360" s="1" t="str">
        <x:f>IF(H1360&gt;0,"Overbilled","Shortfall")</x:f>
        <x:v>Overbilled</x:v>
      </x:c>
      <x:c r="J1360" s="7"/>
      <x:c r="K1360" s="7" t="str">
        <x:v>Open</x:v>
      </x:c>
      <x:c r="L1360" s="7"/>
    </x:row>
    <x:row r="1361" ht="21" customHeight="1">
      <x:c r="A1361" s="1" t="str">
        <x:f>Source!A1355</x:f>
        <x:v>C0000664</x:v>
      </x:c>
      <x:c r="B1361" s="1" t="str">
        <x:f>_xlfn.IFNA(VLOOKUP(Source!B1355,Advertisers!$A$5:$B$34,2,FALSE),"Missing advertiser")</x:f>
        <x:v>Synthetic advertiser 29</x:v>
      </x:c>
      <x:c r="C1361" s="1" t="n">
        <x:f>Source!C1355</x:f>
        <x:v>89</x:v>
      </x:c>
      <x:c r="D1361" s="8" t="n">
        <x:f>Source!D1355/100</x:f>
        <x:v>145.97</x:v>
      </x:c>
      <x:c r="E1361" s="8" t="n">
        <x:f>Source!E1355/100</x:f>
        <x:v>0</x:v>
      </x:c>
      <x:c r="F1361" s="8" t="n">
        <x:f>Source!F1355/100</x:f>
        <x:v>0</x:v>
      </x:c>
      <x:c r="G1361" s="8" t="n">
        <x:f>Source!G1355/100</x:f>
        <x:v>0</x:v>
      </x:c>
      <x:c r="H1361" s="8" t="n">
        <x:f>G1361-D1361</x:f>
        <x:v>-145.97</x:v>
      </x:c>
      <x:c r="I1361" s="1" t="str">
        <x:f>IF(H1361&gt;0,"Overbilled","Shortfall")</x:f>
        <x:v>Shortfall</x:v>
      </x:c>
      <x:c r="J1361" s="7"/>
      <x:c r="K1361" s="7" t="str">
        <x:v>Open</x:v>
      </x:c>
      <x:c r="L1361" s="7"/>
    </x:row>
    <x:row r="1362" ht="21" customHeight="1">
      <x:c r="A1362" s="1" t="str">
        <x:f>Source!A1356</x:f>
        <x:v>C0014087</x:v>
      </x:c>
      <x:c r="B1362" s="1" t="str">
        <x:f>_xlfn.IFNA(VLOOKUP(Source!B1356,Advertisers!$A$5:$B$34,2,FALSE),"Missing advertiser")</x:f>
        <x:v>Synthetic advertiser 29</x:v>
      </x:c>
      <x:c r="C1362" s="1" t="n">
        <x:f>Source!C1356</x:f>
        <x:v>89</x:v>
      </x:c>
      <x:c r="D1362" s="8" t="n">
        <x:f>Source!D1356/100</x:f>
        <x:v>145.97</x:v>
      </x:c>
      <x:c r="E1362" s="8" t="n">
        <x:f>Source!E1356/100</x:f>
        <x:v>291.94</x:v>
      </x:c>
      <x:c r="F1362" s="8" t="n">
        <x:f>Source!F1356/100</x:f>
        <x:v>0</x:v>
      </x:c>
      <x:c r="G1362" s="8" t="n">
        <x:f>Source!G1356/100</x:f>
        <x:v>291.94</x:v>
      </x:c>
      <x:c r="H1362" s="8" t="n">
        <x:f>G1362-D1362</x:f>
        <x:v>145.97</x:v>
      </x:c>
      <x:c r="I1362" s="1" t="str">
        <x:f>IF(H1362&gt;0,"Overbilled","Shortfall")</x:f>
        <x:v>Overbilled</x:v>
      </x:c>
      <x:c r="J1362" s="7"/>
      <x:c r="K1362" s="7" t="str">
        <x:v>Open</x:v>
      </x:c>
      <x:c r="L1362" s="7"/>
    </x:row>
    <x:row r="1363" ht="21" customHeight="1">
      <x:c r="A1363" s="1" t="str">
        <x:f>Source!A1357</x:f>
        <x:v>C0013108</x:v>
      </x:c>
      <x:c r="B1363" s="1" t="str">
        <x:f>_xlfn.IFNA(VLOOKUP(Source!B1357,Advertisers!$A$5:$B$34,2,FALSE),"Missing advertiser")</x:f>
        <x:v>Synthetic advertiser 29</x:v>
      </x:c>
      <x:c r="C1363" s="1" t="n">
        <x:f>Source!C1357</x:f>
        <x:v>89</x:v>
      </x:c>
      <x:c r="D1363" s="8" t="n">
        <x:f>Source!D1357/100</x:f>
        <x:v>145.97</x:v>
      </x:c>
      <x:c r="E1363" s="8" t="n">
        <x:f>Source!E1357/100</x:f>
        <x:v>0</x:v>
      </x:c>
      <x:c r="F1363" s="8" t="n">
        <x:f>Source!F1357/100</x:f>
        <x:v>0</x:v>
      </x:c>
      <x:c r="G1363" s="8" t="n">
        <x:f>Source!G1357/100</x:f>
        <x:v>0</x:v>
      </x:c>
      <x:c r="H1363" s="8" t="n">
        <x:f>G1363-D1363</x:f>
        <x:v>-145.97</x:v>
      </x:c>
      <x:c r="I1363" s="1" t="str">
        <x:f>IF(H1363&gt;0,"Overbilled","Shortfall")</x:f>
        <x:v>Shortfall</x:v>
      </x:c>
      <x:c r="J1363" s="7"/>
      <x:c r="K1363" s="7" t="str">
        <x:v>Open</x:v>
      </x:c>
      <x:c r="L1363" s="7"/>
    </x:row>
    <x:row r="1364" ht="21" customHeight="1">
      <x:c r="A1364" s="1" t="str">
        <x:f>Source!A1358</x:f>
        <x:v>C0009079</x:v>
      </x:c>
      <x:c r="B1364" s="1" t="str">
        <x:f>_xlfn.IFNA(VLOOKUP(Source!B1358,Advertisers!$A$5:$B$34,2,FALSE),"Missing advertiser")</x:f>
        <x:v>Synthetic advertiser 11</x:v>
      </x:c>
      <x:c r="C1364" s="1" t="n">
        <x:f>Source!C1358</x:f>
        <x:v>71</x:v>
      </x:c>
      <x:c r="D1364" s="8" t="n">
        <x:f>Source!D1358/100</x:f>
        <x:v>145.5</x:v>
      </x:c>
      <x:c r="E1364" s="8" t="n">
        <x:f>Source!E1358/100</x:f>
        <x:v>0</x:v>
      </x:c>
      <x:c r="F1364" s="8" t="n">
        <x:f>Source!F1358/100</x:f>
        <x:v>0</x:v>
      </x:c>
      <x:c r="G1364" s="8" t="n">
        <x:f>Source!G1358/100</x:f>
        <x:v>0</x:v>
      </x:c>
      <x:c r="H1364" s="8" t="n">
        <x:f>G1364-D1364</x:f>
        <x:v>-145.5</x:v>
      </x:c>
      <x:c r="I1364" s="1" t="str">
        <x:f>IF(H1364&gt;0,"Overbilled","Shortfall")</x:f>
        <x:v>Shortfall</x:v>
      </x:c>
      <x:c r="J1364" s="7"/>
      <x:c r="K1364" s="7" t="str">
        <x:v>Open</x:v>
      </x:c>
      <x:c r="L1364" s="7"/>
    </x:row>
    <x:row r="1365" ht="21" customHeight="1">
      <x:c r="A1365" s="1" t="str">
        <x:f>Source!A1359</x:f>
        <x:v>C0003186</x:v>
      </x:c>
      <x:c r="B1365" s="1" t="str">
        <x:f>_xlfn.IFNA(VLOOKUP(Source!B1359,Advertisers!$A$5:$B$34,2,FALSE),"Missing advertiser")</x:f>
        <x:v>Synthetic advertiser 11</x:v>
      </x:c>
      <x:c r="C1365" s="1" t="n">
        <x:f>Source!C1359</x:f>
        <x:v>71</x:v>
      </x:c>
      <x:c r="D1365" s="8" t="n">
        <x:f>Source!D1359/100</x:f>
        <x:v>145.5</x:v>
      </x:c>
      <x:c r="E1365" s="8" t="n">
        <x:f>Source!E1359/100</x:f>
        <x:v>291</x:v>
      </x:c>
      <x:c r="F1365" s="8" t="n">
        <x:f>Source!F1359/100</x:f>
        <x:v>0</x:v>
      </x:c>
      <x:c r="G1365" s="8" t="n">
        <x:f>Source!G1359/100</x:f>
        <x:v>291</x:v>
      </x:c>
      <x:c r="H1365" s="8" t="n">
        <x:f>G1365-D1365</x:f>
        <x:v>145.5</x:v>
      </x:c>
      <x:c r="I1365" s="1" t="str">
        <x:f>IF(H1365&gt;0,"Overbilled","Shortfall")</x:f>
        <x:v>Overbilled</x:v>
      </x:c>
      <x:c r="J1365" s="7"/>
      <x:c r="K1365" s="7" t="str">
        <x:v>Open</x:v>
      </x:c>
      <x:c r="L1365" s="7"/>
    </x:row>
    <x:row r="1366" ht="21" customHeight="1">
      <x:c r="A1366" s="1" t="str">
        <x:f>Source!A1360</x:f>
        <x:v>C0011338</x:v>
      </x:c>
      <x:c r="B1366" s="1" t="str">
        <x:f>_xlfn.IFNA(VLOOKUP(Source!B1360,Advertisers!$A$5:$B$34,2,FALSE),"Missing advertiser")</x:f>
        <x:v>Synthetic advertiser 11</x:v>
      </x:c>
      <x:c r="C1366" s="1" t="n">
        <x:f>Source!C1360</x:f>
        <x:v>71</x:v>
      </x:c>
      <x:c r="D1366" s="8" t="n">
        <x:f>Source!D1360/100</x:f>
        <x:v>145.5</x:v>
      </x:c>
      <x:c r="E1366" s="8" t="n">
        <x:f>Source!E1360/100</x:f>
        <x:v>0</x:v>
      </x:c>
      <x:c r="F1366" s="8" t="n">
        <x:f>Source!F1360/100</x:f>
        <x:v>0</x:v>
      </x:c>
      <x:c r="G1366" s="8" t="n">
        <x:f>Source!G1360/100</x:f>
        <x:v>0</x:v>
      </x:c>
      <x:c r="H1366" s="8" t="n">
        <x:f>G1366-D1366</x:f>
        <x:v>-145.5</x:v>
      </x:c>
      <x:c r="I1366" s="1" t="str">
        <x:f>IF(H1366&gt;0,"Overbilled","Shortfall")</x:f>
        <x:v>Shortfall</x:v>
      </x:c>
      <x:c r="J1366" s="7"/>
      <x:c r="K1366" s="7" t="str">
        <x:v>Open</x:v>
      </x:c>
      <x:c r="L1366" s="7"/>
    </x:row>
    <x:row r="1367" ht="21" customHeight="1">
      <x:c r="A1367" s="1" t="str">
        <x:f>Source!A1361</x:f>
        <x:v>C0005053</x:v>
      </x:c>
      <x:c r="B1367" s="1" t="str">
        <x:f>_xlfn.IFNA(VLOOKUP(Source!B1361,Advertisers!$A$5:$B$34,2,FALSE),"Missing advertiser")</x:f>
        <x:v>Synthetic advertiser 11</x:v>
      </x:c>
      <x:c r="C1367" s="1" t="n">
        <x:f>Source!C1361</x:f>
        <x:v>71</x:v>
      </x:c>
      <x:c r="D1367" s="8" t="n">
        <x:f>Source!D1361/100</x:f>
        <x:v>145.5</x:v>
      </x:c>
      <x:c r="E1367" s="8" t="n">
        <x:f>Source!E1361/100</x:f>
        <x:v>291</x:v>
      </x:c>
      <x:c r="F1367" s="8" t="n">
        <x:f>Source!F1361/100</x:f>
        <x:v>0</x:v>
      </x:c>
      <x:c r="G1367" s="8" t="n">
        <x:f>Source!G1361/100</x:f>
        <x:v>291</x:v>
      </x:c>
      <x:c r="H1367" s="8" t="n">
        <x:f>G1367-D1367</x:f>
        <x:v>145.5</x:v>
      </x:c>
      <x:c r="I1367" s="1" t="str">
        <x:f>IF(H1367&gt;0,"Overbilled","Shortfall")</x:f>
        <x:v>Overbilled</x:v>
      </x:c>
      <x:c r="J1367" s="7"/>
      <x:c r="K1367" s="7" t="str">
        <x:v>Open</x:v>
      </x:c>
      <x:c r="L1367" s="7"/>
    </x:row>
    <x:row r="1368" ht="21" customHeight="1">
      <x:c r="A1368" s="1" t="str">
        <x:f>Source!A1362</x:f>
        <x:v>C0008950</x:v>
      </x:c>
      <x:c r="B1368" s="1" t="str">
        <x:f>_xlfn.IFNA(VLOOKUP(Source!B1362,Advertisers!$A$5:$B$34,2,FALSE),"Missing advertiser")</x:f>
        <x:v>Synthetic advertiser 12</x:v>
      </x:c>
      <x:c r="C1368" s="1" t="n">
        <x:f>Source!C1362</x:f>
        <x:v>42</x:v>
      </x:c>
      <x:c r="D1368" s="8" t="n">
        <x:f>Source!D1362/100</x:f>
        <x:v>145.19</x:v>
      </x:c>
      <x:c r="E1368" s="8" t="n">
        <x:f>Source!E1362/100</x:f>
        <x:v>290.38</x:v>
      </x:c>
      <x:c r="F1368" s="8" t="n">
        <x:f>Source!F1362/100</x:f>
        <x:v>0</x:v>
      </x:c>
      <x:c r="G1368" s="8" t="n">
        <x:f>Source!G1362/100</x:f>
        <x:v>290.38</x:v>
      </x:c>
      <x:c r="H1368" s="8" t="n">
        <x:f>G1368-D1368</x:f>
        <x:v>145.19</x:v>
      </x:c>
      <x:c r="I1368" s="1" t="str">
        <x:f>IF(H1368&gt;0,"Overbilled","Shortfall")</x:f>
        <x:v>Overbilled</x:v>
      </x:c>
      <x:c r="J1368" s="7"/>
      <x:c r="K1368" s="7" t="str">
        <x:v>Open</x:v>
      </x:c>
      <x:c r="L1368" s="7"/>
    </x:row>
    <x:row r="1369" ht="21" customHeight="1">
      <x:c r="A1369" s="1" t="str">
        <x:f>Source!A1363</x:f>
        <x:v>C0017026</x:v>
      </x:c>
      <x:c r="B1369" s="1" t="str">
        <x:f>_xlfn.IFNA(VLOOKUP(Source!B1363,Advertisers!$A$5:$B$34,2,FALSE),"Missing advertiser")</x:f>
        <x:v>Synthetic advertiser 12</x:v>
      </x:c>
      <x:c r="C1369" s="1" t="n">
        <x:f>Source!C1363</x:f>
        <x:v>42</x:v>
      </x:c>
      <x:c r="D1369" s="8" t="n">
        <x:f>Source!D1363/100</x:f>
        <x:v>145.19</x:v>
      </x:c>
      <x:c r="E1369" s="8" t="n">
        <x:f>Source!E1363/100</x:f>
        <x:v>290.38</x:v>
      </x:c>
      <x:c r="F1369" s="8" t="n">
        <x:f>Source!F1363/100</x:f>
        <x:v>0</x:v>
      </x:c>
      <x:c r="G1369" s="8" t="n">
        <x:f>Source!G1363/100</x:f>
        <x:v>290.38</x:v>
      </x:c>
      <x:c r="H1369" s="8" t="n">
        <x:f>G1369-D1369</x:f>
        <x:v>145.19</x:v>
      </x:c>
      <x:c r="I1369" s="1" t="str">
        <x:f>IF(H1369&gt;0,"Overbilled","Shortfall")</x:f>
        <x:v>Overbilled</x:v>
      </x:c>
      <x:c r="J1369" s="7"/>
      <x:c r="K1369" s="7" t="str">
        <x:v>Open</x:v>
      </x:c>
      <x:c r="L1369" s="7"/>
    </x:row>
    <x:row r="1370" ht="21" customHeight="1">
      <x:c r="A1370" s="1" t="str">
        <x:f>Source!A1364</x:f>
        <x:v>C0001878</x:v>
      </x:c>
      <x:c r="B1370" s="1" t="str">
        <x:f>_xlfn.IFNA(VLOOKUP(Source!B1364,Advertisers!$A$5:$B$34,2,FALSE),"Missing advertiser")</x:f>
        <x:v>Synthetic advertiser 12</x:v>
      </x:c>
      <x:c r="C1370" s="1" t="n">
        <x:f>Source!C1364</x:f>
        <x:v>42</x:v>
      </x:c>
      <x:c r="D1370" s="8" t="n">
        <x:f>Source!D1364/100</x:f>
        <x:v>145.19</x:v>
      </x:c>
      <x:c r="E1370" s="8" t="n">
        <x:f>Source!E1364/100</x:f>
        <x:v>0</x:v>
      </x:c>
      <x:c r="F1370" s="8" t="n">
        <x:f>Source!F1364/100</x:f>
        <x:v>0</x:v>
      </x:c>
      <x:c r="G1370" s="8" t="n">
        <x:f>Source!G1364/100</x:f>
        <x:v>0</x:v>
      </x:c>
      <x:c r="H1370" s="8" t="n">
        <x:f>G1370-D1370</x:f>
        <x:v>-145.19</x:v>
      </x:c>
      <x:c r="I1370" s="1" t="str">
        <x:f>IF(H1370&gt;0,"Overbilled","Shortfall")</x:f>
        <x:v>Shortfall</x:v>
      </x:c>
      <x:c r="J1370" s="7"/>
      <x:c r="K1370" s="7" t="str">
        <x:v>Open</x:v>
      </x:c>
      <x:c r="L1370" s="7"/>
    </x:row>
    <x:row r="1371" ht="21" customHeight="1">
      <x:c r="A1371" s="1" t="str">
        <x:f>Source!A1365</x:f>
        <x:v>C0016460</x:v>
      </x:c>
      <x:c r="B1371" s="1" t="str">
        <x:f>_xlfn.IFNA(VLOOKUP(Source!B1365,Advertisers!$A$5:$B$34,2,FALSE),"Missing advertiser")</x:f>
        <x:v>Synthetic advertiser 12</x:v>
      </x:c>
      <x:c r="C1371" s="1" t="n">
        <x:f>Source!C1365</x:f>
        <x:v>42</x:v>
      </x:c>
      <x:c r="D1371" s="8" t="n">
        <x:f>Source!D1365/100</x:f>
        <x:v>145.19</x:v>
      </x:c>
      <x:c r="E1371" s="8" t="n">
        <x:f>Source!E1365/100</x:f>
        <x:v>290.38</x:v>
      </x:c>
      <x:c r="F1371" s="8" t="n">
        <x:f>Source!F1365/100</x:f>
        <x:v>0</x:v>
      </x:c>
      <x:c r="G1371" s="8" t="n">
        <x:f>Source!G1365/100</x:f>
        <x:v>290.38</x:v>
      </x:c>
      <x:c r="H1371" s="8" t="n">
        <x:f>G1371-D1371</x:f>
        <x:v>145.19</x:v>
      </x:c>
      <x:c r="I1371" s="1" t="str">
        <x:f>IF(H1371&gt;0,"Overbilled","Shortfall")</x:f>
        <x:v>Overbilled</x:v>
      </x:c>
      <x:c r="J1371" s="7"/>
      <x:c r="K1371" s="7" t="str">
        <x:v>Open</x:v>
      </x:c>
      <x:c r="L1371" s="7"/>
    </x:row>
    <x:row r="1372" ht="21" customHeight="1">
      <x:c r="A1372" s="1" t="str">
        <x:f>Source!A1366</x:f>
        <x:v>C0014156</x:v>
      </x:c>
      <x:c r="B1372" s="1" t="str">
        <x:f>_xlfn.IFNA(VLOOKUP(Source!B1366,Advertisers!$A$5:$B$34,2,FALSE),"Missing advertiser")</x:f>
        <x:v>Synthetic advertiser 7</x:v>
      </x:c>
      <x:c r="C1372" s="1" t="n">
        <x:f>Source!C1366</x:f>
        <x:v>7</x:v>
      </x:c>
      <x:c r="D1372" s="8" t="n">
        <x:f>Source!D1366/100</x:f>
        <x:v>144.31</x:v>
      </x:c>
      <x:c r="E1372" s="8" t="n">
        <x:f>Source!E1366/100</x:f>
        <x:v>288.62</x:v>
      </x:c>
      <x:c r="F1372" s="8" t="n">
        <x:f>Source!F1366/100</x:f>
        <x:v>0</x:v>
      </x:c>
      <x:c r="G1372" s="8" t="n">
        <x:f>Source!G1366/100</x:f>
        <x:v>288.62</x:v>
      </x:c>
      <x:c r="H1372" s="8" t="n">
        <x:f>G1372-D1372</x:f>
        <x:v>144.31</x:v>
      </x:c>
      <x:c r="I1372" s="1" t="str">
        <x:f>IF(H1372&gt;0,"Overbilled","Shortfall")</x:f>
        <x:v>Overbilled</x:v>
      </x:c>
      <x:c r="J1372" s="7"/>
      <x:c r="K1372" s="7" t="str">
        <x:v>Open</x:v>
      </x:c>
      <x:c r="L1372" s="7"/>
    </x:row>
    <x:row r="1373" ht="21" customHeight="1">
      <x:c r="A1373" s="1" t="str">
        <x:f>Source!A1367</x:f>
        <x:v>C0013671</x:v>
      </x:c>
      <x:c r="B1373" s="1" t="str">
        <x:f>_xlfn.IFNA(VLOOKUP(Source!B1367,Advertisers!$A$5:$B$34,2,FALSE),"Missing advertiser")</x:f>
        <x:v>Synthetic advertiser 7</x:v>
      </x:c>
      <x:c r="C1373" s="1" t="n">
        <x:f>Source!C1367</x:f>
        <x:v>7</x:v>
      </x:c>
      <x:c r="D1373" s="8" t="n">
        <x:f>Source!D1367/100</x:f>
        <x:v>144.31</x:v>
      </x:c>
      <x:c r="E1373" s="8" t="n">
        <x:f>Source!E1367/100</x:f>
        <x:v>288.62</x:v>
      </x:c>
      <x:c r="F1373" s="8" t="n">
        <x:f>Source!F1367/100</x:f>
        <x:v>0</x:v>
      </x:c>
      <x:c r="G1373" s="8" t="n">
        <x:f>Source!G1367/100</x:f>
        <x:v>288.62</x:v>
      </x:c>
      <x:c r="H1373" s="8" t="n">
        <x:f>G1373-D1373</x:f>
        <x:v>144.31</x:v>
      </x:c>
      <x:c r="I1373" s="1" t="str">
        <x:f>IF(H1373&gt;0,"Overbilled","Shortfall")</x:f>
        <x:v>Overbilled</x:v>
      </x:c>
      <x:c r="J1373" s="7"/>
      <x:c r="K1373" s="7" t="str">
        <x:v>Open</x:v>
      </x:c>
      <x:c r="L1373" s="7"/>
    </x:row>
    <x:row r="1374" ht="21" customHeight="1">
      <x:c r="A1374" s="1" t="str">
        <x:f>Source!A1368</x:f>
        <x:v>C0010890</x:v>
      </x:c>
      <x:c r="B1374" s="1" t="str">
        <x:f>_xlfn.IFNA(VLOOKUP(Source!B1368,Advertisers!$A$5:$B$34,2,FALSE),"Missing advertiser")</x:f>
        <x:v>Synthetic advertiser 11</x:v>
      </x:c>
      <x:c r="C1374" s="1" t="n">
        <x:f>Source!C1368</x:f>
        <x:v>101</x:v>
      </x:c>
      <x:c r="D1374" s="8" t="n">
        <x:f>Source!D1368/100</x:f>
        <x:v>143.96</x:v>
      </x:c>
      <x:c r="E1374" s="8" t="n">
        <x:f>Source!E1368/100</x:f>
        <x:v>287.92</x:v>
      </x:c>
      <x:c r="F1374" s="8" t="n">
        <x:f>Source!F1368/100</x:f>
        <x:v>0</x:v>
      </x:c>
      <x:c r="G1374" s="8" t="n">
        <x:f>Source!G1368/100</x:f>
        <x:v>287.92</x:v>
      </x:c>
      <x:c r="H1374" s="8" t="n">
        <x:f>G1374-D1374</x:f>
        <x:v>143.96</x:v>
      </x:c>
      <x:c r="I1374" s="1" t="str">
        <x:f>IF(H1374&gt;0,"Overbilled","Shortfall")</x:f>
        <x:v>Overbilled</x:v>
      </x:c>
      <x:c r="J1374" s="7"/>
      <x:c r="K1374" s="7" t="str">
        <x:v>Open</x:v>
      </x:c>
      <x:c r="L1374" s="7"/>
    </x:row>
    <x:row r="1375" ht="21" customHeight="1">
      <x:c r="A1375" s="1" t="str">
        <x:f>Source!A1369</x:f>
        <x:v>C0015076</x:v>
      </x:c>
      <x:c r="B1375" s="1" t="str">
        <x:f>_xlfn.IFNA(VLOOKUP(Source!B1369,Advertisers!$A$5:$B$34,2,FALSE),"Missing advertiser")</x:f>
        <x:v>Synthetic advertiser 11</x:v>
      </x:c>
      <x:c r="C1375" s="1" t="n">
        <x:f>Source!C1369</x:f>
        <x:v>101</x:v>
      </x:c>
      <x:c r="D1375" s="8" t="n">
        <x:f>Source!D1369/100</x:f>
        <x:v>143.96</x:v>
      </x:c>
      <x:c r="E1375" s="8" t="n">
        <x:f>Source!E1369/100</x:f>
        <x:v>0</x:v>
      </x:c>
      <x:c r="F1375" s="8" t="n">
        <x:f>Source!F1369/100</x:f>
        <x:v>0</x:v>
      </x:c>
      <x:c r="G1375" s="8" t="n">
        <x:f>Source!G1369/100</x:f>
        <x:v>0</x:v>
      </x:c>
      <x:c r="H1375" s="8" t="n">
        <x:f>G1375-D1375</x:f>
        <x:v>-143.96</x:v>
      </x:c>
      <x:c r="I1375" s="1" t="str">
        <x:f>IF(H1375&gt;0,"Overbilled","Shortfall")</x:f>
        <x:v>Shortfall</x:v>
      </x:c>
      <x:c r="J1375" s="7"/>
      <x:c r="K1375" s="7" t="str">
        <x:v>Open</x:v>
      </x:c>
      <x:c r="L1375" s="7"/>
    </x:row>
    <x:row r="1376" ht="21" customHeight="1">
      <x:c r="A1376" s="1" t="str">
        <x:f>Source!A1370</x:f>
        <x:v>C0003352</x:v>
      </x:c>
      <x:c r="B1376" s="1" t="str">
        <x:f>_xlfn.IFNA(VLOOKUP(Source!B1370,Advertisers!$A$5:$B$34,2,FALSE),"Missing advertiser")</x:f>
        <x:v>Synthetic advertiser 11</x:v>
      </x:c>
      <x:c r="C1376" s="1" t="n">
        <x:f>Source!C1370</x:f>
        <x:v>101</x:v>
      </x:c>
      <x:c r="D1376" s="8" t="n">
        <x:f>Source!D1370/100</x:f>
        <x:v>143.96</x:v>
      </x:c>
      <x:c r="E1376" s="8" t="n">
        <x:f>Source!E1370/100</x:f>
        <x:v>287.92</x:v>
      </x:c>
      <x:c r="F1376" s="8" t="n">
        <x:f>Source!F1370/100</x:f>
        <x:v>0</x:v>
      </x:c>
      <x:c r="G1376" s="8" t="n">
        <x:f>Source!G1370/100</x:f>
        <x:v>287.92</x:v>
      </x:c>
      <x:c r="H1376" s="8" t="n">
        <x:f>G1376-D1376</x:f>
        <x:v>143.96</x:v>
      </x:c>
      <x:c r="I1376" s="1" t="str">
        <x:f>IF(H1376&gt;0,"Overbilled","Shortfall")</x:f>
        <x:v>Overbilled</x:v>
      </x:c>
      <x:c r="J1376" s="7"/>
      <x:c r="K1376" s="7" t="str">
        <x:v>Open</x:v>
      </x:c>
      <x:c r="L1376" s="7"/>
    </x:row>
    <x:row r="1377" ht="21" customHeight="1">
      <x:c r="A1377" s="1" t="str">
        <x:f>Source!A1371</x:f>
        <x:v>C0014440</x:v>
      </x:c>
      <x:c r="B1377" s="1" t="str">
        <x:f>_xlfn.IFNA(VLOOKUP(Source!B1371,Advertisers!$A$5:$B$34,2,FALSE),"Missing advertiser")</x:f>
        <x:v>Synthetic advertiser 16</x:v>
      </x:c>
      <x:c r="C1377" s="1" t="n">
        <x:f>Source!C1371</x:f>
        <x:v>106</x:v>
      </x:c>
      <x:c r="D1377" s="8" t="n">
        <x:f>Source!D1371/100</x:f>
        <x:v>0</x:v>
      </x:c>
      <x:c r="E1377" s="8" t="n">
        <x:f>Source!E1371/100</x:f>
        <x:v>143.68</x:v>
      </x:c>
      <x:c r="F1377" s="8" t="n">
        <x:f>Source!F1371/100</x:f>
        <x:v>0</x:v>
      </x:c>
      <x:c r="G1377" s="8" t="n">
        <x:f>Source!G1371/100</x:f>
        <x:v>143.68</x:v>
      </x:c>
      <x:c r="H1377" s="8" t="n">
        <x:f>G1377-D1377</x:f>
        <x:v>143.68</x:v>
      </x:c>
      <x:c r="I1377" s="1" t="str">
        <x:f>IF(H1377&gt;0,"Overbilled","Shortfall")</x:f>
        <x:v>Overbilled</x:v>
      </x:c>
      <x:c r="J1377" s="7"/>
      <x:c r="K1377" s="7" t="str">
        <x:v>Open</x:v>
      </x:c>
      <x:c r="L1377" s="7"/>
    </x:row>
    <x:row r="1378" ht="21" customHeight="1">
      <x:c r="A1378" s="1" t="str">
        <x:f>Source!A1372</x:f>
        <x:v>C0003612</x:v>
      </x:c>
      <x:c r="B1378" s="1" t="str">
        <x:f>_xlfn.IFNA(VLOOKUP(Source!B1372,Advertisers!$A$5:$B$34,2,FALSE),"Missing advertiser")</x:f>
        <x:v>Synthetic advertiser 16</x:v>
      </x:c>
      <x:c r="C1378" s="1" t="n">
        <x:f>Source!C1372</x:f>
        <x:v>106</x:v>
      </x:c>
      <x:c r="D1378" s="8" t="n">
        <x:f>Source!D1372/100</x:f>
        <x:v>143.68</x:v>
      </x:c>
      <x:c r="E1378" s="8" t="n">
        <x:f>Source!E1372/100</x:f>
        <x:v>287.36</x:v>
      </x:c>
      <x:c r="F1378" s="8" t="n">
        <x:f>Source!F1372/100</x:f>
        <x:v>0</x:v>
      </x:c>
      <x:c r="G1378" s="8" t="n">
        <x:f>Source!G1372/100</x:f>
        <x:v>287.36</x:v>
      </x:c>
      <x:c r="H1378" s="8" t="n">
        <x:f>G1378-D1378</x:f>
        <x:v>143.68</x:v>
      </x:c>
      <x:c r="I1378" s="1" t="str">
        <x:f>IF(H1378&gt;0,"Overbilled","Shortfall")</x:f>
        <x:v>Overbilled</x:v>
      </x:c>
      <x:c r="J1378" s="7"/>
      <x:c r="K1378" s="7" t="str">
        <x:v>Open</x:v>
      </x:c>
      <x:c r="L1378" s="7"/>
    </x:row>
    <x:row r="1379" ht="21" customHeight="1">
      <x:c r="A1379" s="1" t="str">
        <x:f>Source!A1373</x:f>
        <x:v>C0012487</x:v>
      </x:c>
      <x:c r="B1379" s="1" t="str">
        <x:f>_xlfn.IFNA(VLOOKUP(Source!B1373,Advertisers!$A$5:$B$34,2,FALSE),"Missing advertiser")</x:f>
        <x:v>Synthetic advertiser 16</x:v>
      </x:c>
      <x:c r="C1379" s="1" t="n">
        <x:f>Source!C1373</x:f>
        <x:v>106</x:v>
      </x:c>
      <x:c r="D1379" s="8" t="n">
        <x:f>Source!D1373/100</x:f>
        <x:v>0</x:v>
      </x:c>
      <x:c r="E1379" s="8" t="n">
        <x:f>Source!E1373/100</x:f>
        <x:v>143.68</x:v>
      </x:c>
      <x:c r="F1379" s="8" t="n">
        <x:f>Source!F1373/100</x:f>
        <x:v>0</x:v>
      </x:c>
      <x:c r="G1379" s="8" t="n">
        <x:f>Source!G1373/100</x:f>
        <x:v>143.68</x:v>
      </x:c>
      <x:c r="H1379" s="8" t="n">
        <x:f>G1379-D1379</x:f>
        <x:v>143.68</x:v>
      </x:c>
      <x:c r="I1379" s="1" t="str">
        <x:f>IF(H1379&gt;0,"Overbilled","Shortfall")</x:f>
        <x:v>Overbilled</x:v>
      </x:c>
      <x:c r="J1379" s="7"/>
      <x:c r="K1379" s="7" t="str">
        <x:v>Open</x:v>
      </x:c>
      <x:c r="L1379" s="7"/>
    </x:row>
    <x:row r="1380" ht="21" customHeight="1">
      <x:c r="A1380" s="1" t="str">
        <x:f>Source!A1374</x:f>
        <x:v>C0007634</x:v>
      </x:c>
      <x:c r="B1380" s="1" t="str">
        <x:f>_xlfn.IFNA(VLOOKUP(Source!B1374,Advertisers!$A$5:$B$34,2,FALSE),"Missing advertiser")</x:f>
        <x:v>Synthetic advertiser 16</x:v>
      </x:c>
      <x:c r="C1380" s="1" t="n">
        <x:f>Source!C1374</x:f>
        <x:v>106</x:v>
      </x:c>
      <x:c r="D1380" s="8" t="n">
        <x:f>Source!D1374/100</x:f>
        <x:v>143.68</x:v>
      </x:c>
      <x:c r="E1380" s="8" t="n">
        <x:f>Source!E1374/100</x:f>
        <x:v>287.36</x:v>
      </x:c>
      <x:c r="F1380" s="8" t="n">
        <x:f>Source!F1374/100</x:f>
        <x:v>0</x:v>
      </x:c>
      <x:c r="G1380" s="8" t="n">
        <x:f>Source!G1374/100</x:f>
        <x:v>287.36</x:v>
      </x:c>
      <x:c r="H1380" s="8" t="n">
        <x:f>G1380-D1380</x:f>
        <x:v>143.68</x:v>
      </x:c>
      <x:c r="I1380" s="1" t="str">
        <x:f>IF(H1380&gt;0,"Overbilled","Shortfall")</x:f>
        <x:v>Overbilled</x:v>
      </x:c>
      <x:c r="J1380" s="7"/>
      <x:c r="K1380" s="7" t="str">
        <x:v>Open</x:v>
      </x:c>
      <x:c r="L1380" s="7"/>
    </x:row>
    <x:row r="1381" ht="21" customHeight="1">
      <x:c r="A1381" s="1" t="str">
        <x:f>Source!A1375</x:f>
        <x:v>C0004071</x:v>
      </x:c>
      <x:c r="B1381" s="1" t="str">
        <x:f>_xlfn.IFNA(VLOOKUP(Source!B1375,Advertisers!$A$5:$B$34,2,FALSE),"Missing advertiser")</x:f>
        <x:v>Synthetic advertiser 16</x:v>
      </x:c>
      <x:c r="C1381" s="1" t="n">
        <x:f>Source!C1375</x:f>
        <x:v>106</x:v>
      </x:c>
      <x:c r="D1381" s="8" t="n">
        <x:f>Source!D1375/100</x:f>
        <x:v>143.68</x:v>
      </x:c>
      <x:c r="E1381" s="8" t="n">
        <x:f>Source!E1375/100</x:f>
        <x:v>0</x:v>
      </x:c>
      <x:c r="F1381" s="8" t="n">
        <x:f>Source!F1375/100</x:f>
        <x:v>0</x:v>
      </x:c>
      <x:c r="G1381" s="8" t="n">
        <x:f>Source!G1375/100</x:f>
        <x:v>0</x:v>
      </x:c>
      <x:c r="H1381" s="8" t="n">
        <x:f>G1381-D1381</x:f>
        <x:v>-143.68</x:v>
      </x:c>
      <x:c r="I1381" s="1" t="str">
        <x:f>IF(H1381&gt;0,"Overbilled","Shortfall")</x:f>
        <x:v>Shortfall</x:v>
      </x:c>
      <x:c r="J1381" s="7"/>
      <x:c r="K1381" s="7" t="str">
        <x:v>Open</x:v>
      </x:c>
      <x:c r="L1381" s="7"/>
    </x:row>
    <x:row r="1382" ht="21" customHeight="1">
      <x:c r="A1382" s="1" t="str">
        <x:f>Source!A1376</x:f>
        <x:v>C0006136</x:v>
      </x:c>
      <x:c r="B1382" s="1" t="str">
        <x:f>_xlfn.IFNA(VLOOKUP(Source!B1376,Advertisers!$A$5:$B$34,2,FALSE),"Missing advertiser")</x:f>
        <x:v>Synthetic advertiser 16</x:v>
      </x:c>
      <x:c r="C1382" s="1" t="n">
        <x:f>Source!C1376</x:f>
        <x:v>106</x:v>
      </x:c>
      <x:c r="D1382" s="8" t="n">
        <x:f>Source!D1376/100</x:f>
        <x:v>143.68</x:v>
      </x:c>
      <x:c r="E1382" s="8" t="n">
        <x:f>Source!E1376/100</x:f>
        <x:v>0</x:v>
      </x:c>
      <x:c r="F1382" s="8" t="n">
        <x:f>Source!F1376/100</x:f>
        <x:v>0</x:v>
      </x:c>
      <x:c r="G1382" s="8" t="n">
        <x:f>Source!G1376/100</x:f>
        <x:v>0</x:v>
      </x:c>
      <x:c r="H1382" s="8" t="n">
        <x:f>G1382-D1382</x:f>
        <x:v>-143.68</x:v>
      </x:c>
      <x:c r="I1382" s="1" t="str">
        <x:f>IF(H1382&gt;0,"Overbilled","Shortfall")</x:f>
        <x:v>Shortfall</x:v>
      </x:c>
      <x:c r="J1382" s="7"/>
      <x:c r="K1382" s="7" t="str">
        <x:v>Open</x:v>
      </x:c>
      <x:c r="L1382" s="7"/>
    </x:row>
    <x:row r="1383" ht="21" customHeight="1">
      <x:c r="A1383" s="1" t="str">
        <x:f>Source!A1377</x:f>
        <x:v>C0000971</x:v>
      </x:c>
      <x:c r="B1383" s="1" t="str">
        <x:f>_xlfn.IFNA(VLOOKUP(Source!B1377,Advertisers!$A$5:$B$34,2,FALSE),"Missing advertiser")</x:f>
        <x:v>Synthetic advertiser 16</x:v>
      </x:c>
      <x:c r="C1383" s="1" t="n">
        <x:f>Source!C1377</x:f>
        <x:v>106</x:v>
      </x:c>
      <x:c r="D1383" s="8" t="n">
        <x:f>Source!D1377/100</x:f>
        <x:v>143.68</x:v>
      </x:c>
      <x:c r="E1383" s="8" t="n">
        <x:f>Source!E1377/100</x:f>
        <x:v>287.36</x:v>
      </x:c>
      <x:c r="F1383" s="8" t="n">
        <x:f>Source!F1377/100</x:f>
        <x:v>0</x:v>
      </x:c>
      <x:c r="G1383" s="8" t="n">
        <x:f>Source!G1377/100</x:f>
        <x:v>287.36</x:v>
      </x:c>
      <x:c r="H1383" s="8" t="n">
        <x:f>G1383-D1383</x:f>
        <x:v>143.68</x:v>
      </x:c>
      <x:c r="I1383" s="1" t="str">
        <x:f>IF(H1383&gt;0,"Overbilled","Shortfall")</x:f>
        <x:v>Overbilled</x:v>
      </x:c>
      <x:c r="J1383" s="7"/>
      <x:c r="K1383" s="7" t="str">
        <x:v>Open</x:v>
      </x:c>
      <x:c r="L1383" s="7"/>
    </x:row>
    <x:row r="1384" ht="21" customHeight="1">
      <x:c r="A1384" s="1" t="str">
        <x:f>Source!A1378</x:f>
        <x:v>C0006685</x:v>
      </x:c>
      <x:c r="B1384" s="1" t="str">
        <x:f>_xlfn.IFNA(VLOOKUP(Source!B1378,Advertisers!$A$5:$B$34,2,FALSE),"Missing advertiser")</x:f>
        <x:v>Synthetic advertiser 16</x:v>
      </x:c>
      <x:c r="C1384" s="1" t="n">
        <x:f>Source!C1378</x:f>
        <x:v>106</x:v>
      </x:c>
      <x:c r="D1384" s="8" t="n">
        <x:f>Source!D1378/100</x:f>
        <x:v>143.68</x:v>
      </x:c>
      <x:c r="E1384" s="8" t="n">
        <x:f>Source!E1378/100</x:f>
        <x:v>0</x:v>
      </x:c>
      <x:c r="F1384" s="8" t="n">
        <x:f>Source!F1378/100</x:f>
        <x:v>0</x:v>
      </x:c>
      <x:c r="G1384" s="8" t="n">
        <x:f>Source!G1378/100</x:f>
        <x:v>0</x:v>
      </x:c>
      <x:c r="H1384" s="8" t="n">
        <x:f>G1384-D1384</x:f>
        <x:v>-143.68</x:v>
      </x:c>
      <x:c r="I1384" s="1" t="str">
        <x:f>IF(H1384&gt;0,"Overbilled","Shortfall")</x:f>
        <x:v>Shortfall</x:v>
      </x:c>
      <x:c r="J1384" s="7"/>
      <x:c r="K1384" s="7" t="str">
        <x:v>Open</x:v>
      </x:c>
      <x:c r="L1384" s="7"/>
    </x:row>
    <x:row r="1385" ht="21" customHeight="1">
      <x:c r="A1385" s="1" t="str">
        <x:f>Source!A1379</x:f>
        <x:v>C0000268</x:v>
      </x:c>
      <x:c r="B1385" s="1" t="str">
        <x:f>_xlfn.IFNA(VLOOKUP(Source!B1379,Advertisers!$A$5:$B$34,2,FALSE),"Missing advertiser")</x:f>
        <x:v>Synthetic advertiser 30</x:v>
      </x:c>
      <x:c r="C1385" s="1" t="n">
        <x:f>Source!C1379</x:f>
        <x:v>90</x:v>
      </x:c>
      <x:c r="D1385" s="8" t="n">
        <x:f>Source!D1379/100</x:f>
        <x:v>142.15</x:v>
      </x:c>
      <x:c r="E1385" s="8" t="n">
        <x:f>Source!E1379/100</x:f>
        <x:v>0</x:v>
      </x:c>
      <x:c r="F1385" s="8" t="n">
        <x:f>Source!F1379/100</x:f>
        <x:v>0</x:v>
      </x:c>
      <x:c r="G1385" s="8" t="n">
        <x:f>Source!G1379/100</x:f>
        <x:v>0</x:v>
      </x:c>
      <x:c r="H1385" s="8" t="n">
        <x:f>G1385-D1385</x:f>
        <x:v>-142.15</x:v>
      </x:c>
      <x:c r="I1385" s="1" t="str">
        <x:f>IF(H1385&gt;0,"Overbilled","Shortfall")</x:f>
        <x:v>Shortfall</x:v>
      </x:c>
      <x:c r="J1385" s="7"/>
      <x:c r="K1385" s="7" t="str">
        <x:v>Open</x:v>
      </x:c>
      <x:c r="L1385" s="7"/>
    </x:row>
    <x:row r="1386" ht="21" customHeight="1">
      <x:c r="A1386" s="1" t="str">
        <x:f>Source!A1380</x:f>
        <x:v>C0008224</x:v>
      </x:c>
      <x:c r="B1386" s="1" t="str">
        <x:f>_xlfn.IFNA(VLOOKUP(Source!B1380,Advertisers!$A$5:$B$34,2,FALSE),"Missing advertiser")</x:f>
        <x:v>Synthetic advertiser 30</x:v>
      </x:c>
      <x:c r="C1386" s="1" t="n">
        <x:f>Source!C1380</x:f>
        <x:v>90</x:v>
      </x:c>
      <x:c r="D1386" s="8" t="n">
        <x:f>Source!D1380/100</x:f>
        <x:v>142.15</x:v>
      </x:c>
      <x:c r="E1386" s="8" t="n">
        <x:f>Source!E1380/100</x:f>
        <x:v>284.3</x:v>
      </x:c>
      <x:c r="F1386" s="8" t="n">
        <x:f>Source!F1380/100</x:f>
        <x:v>0</x:v>
      </x:c>
      <x:c r="G1386" s="8" t="n">
        <x:f>Source!G1380/100</x:f>
        <x:v>284.3</x:v>
      </x:c>
      <x:c r="H1386" s="8" t="n">
        <x:f>G1386-D1386</x:f>
        <x:v>142.15</x:v>
      </x:c>
      <x:c r="I1386" s="1" t="str">
        <x:f>IF(H1386&gt;0,"Overbilled","Shortfall")</x:f>
        <x:v>Overbilled</x:v>
      </x:c>
      <x:c r="J1386" s="7"/>
      <x:c r="K1386" s="7" t="str">
        <x:v>Open</x:v>
      </x:c>
      <x:c r="L1386" s="7"/>
    </x:row>
    <x:row r="1387" ht="21" customHeight="1">
      <x:c r="A1387" s="1" t="str">
        <x:f>Source!A1381</x:f>
        <x:v>C0011621</x:v>
      </x:c>
      <x:c r="B1387" s="1" t="str">
        <x:f>_xlfn.IFNA(VLOOKUP(Source!B1381,Advertisers!$A$5:$B$34,2,FALSE),"Missing advertiser")</x:f>
        <x:v>Synthetic advertiser 30</x:v>
      </x:c>
      <x:c r="C1387" s="1" t="n">
        <x:f>Source!C1381</x:f>
        <x:v>90</x:v>
      </x:c>
      <x:c r="D1387" s="8" t="n">
        <x:f>Source!D1381/100</x:f>
        <x:v>142.15</x:v>
      </x:c>
      <x:c r="E1387" s="8" t="n">
        <x:f>Source!E1381/100</x:f>
        <x:v>0</x:v>
      </x:c>
      <x:c r="F1387" s="8" t="n">
        <x:f>Source!F1381/100</x:f>
        <x:v>0</x:v>
      </x:c>
      <x:c r="G1387" s="8" t="n">
        <x:f>Source!G1381/100</x:f>
        <x:v>0</x:v>
      </x:c>
      <x:c r="H1387" s="8" t="n">
        <x:f>G1387-D1387</x:f>
        <x:v>-142.15</x:v>
      </x:c>
      <x:c r="I1387" s="1" t="str">
        <x:f>IF(H1387&gt;0,"Overbilled","Shortfall")</x:f>
        <x:v>Shortfall</x:v>
      </x:c>
      <x:c r="J1387" s="7"/>
      <x:c r="K1387" s="7" t="str">
        <x:v>Open</x:v>
      </x:c>
      <x:c r="L1387" s="7"/>
    </x:row>
    <x:row r="1388" ht="21" customHeight="1">
      <x:c r="A1388" s="1" t="str">
        <x:f>Source!A1382</x:f>
        <x:v>C0012322</x:v>
      </x:c>
      <x:c r="B1388" s="1" t="str">
        <x:f>_xlfn.IFNA(VLOOKUP(Source!B1382,Advertisers!$A$5:$B$34,2,FALSE),"Missing advertiser")</x:f>
        <x:v>Synthetic advertiser 30</x:v>
      </x:c>
      <x:c r="C1388" s="1" t="n">
        <x:f>Source!C1382</x:f>
        <x:v>90</x:v>
      </x:c>
      <x:c r="D1388" s="8" t="n">
        <x:f>Source!D1382/100</x:f>
        <x:v>142.15</x:v>
      </x:c>
      <x:c r="E1388" s="8" t="n">
        <x:f>Source!E1382/100</x:f>
        <x:v>284.3</x:v>
      </x:c>
      <x:c r="F1388" s="8" t="n">
        <x:f>Source!F1382/100</x:f>
        <x:v>0</x:v>
      </x:c>
      <x:c r="G1388" s="8" t="n">
        <x:f>Source!G1382/100</x:f>
        <x:v>284.3</x:v>
      </x:c>
      <x:c r="H1388" s="8" t="n">
        <x:f>G1388-D1388</x:f>
        <x:v>142.15</x:v>
      </x:c>
      <x:c r="I1388" s="1" t="str">
        <x:f>IF(H1388&gt;0,"Overbilled","Shortfall")</x:f>
        <x:v>Overbilled</x:v>
      </x:c>
      <x:c r="J1388" s="7"/>
      <x:c r="K1388" s="7" t="str">
        <x:v>Open</x:v>
      </x:c>
      <x:c r="L1388" s="7"/>
    </x:row>
    <x:row r="1389" ht="21" customHeight="1">
      <x:c r="A1389" s="1" t="str">
        <x:f>Source!A1383</x:f>
        <x:v>C0006113</x:v>
      </x:c>
      <x:c r="B1389" s="1" t="str">
        <x:f>_xlfn.IFNA(VLOOKUP(Source!B1383,Advertisers!$A$5:$B$34,2,FALSE),"Missing advertiser")</x:f>
        <x:v>Synthetic advertiser 30</x:v>
      </x:c>
      <x:c r="C1389" s="1" t="n">
        <x:f>Source!C1383</x:f>
        <x:v>90</x:v>
      </x:c>
      <x:c r="D1389" s="8" t="n">
        <x:f>Source!D1383/100</x:f>
        <x:v>142.15</x:v>
      </x:c>
      <x:c r="E1389" s="8" t="n">
        <x:f>Source!E1383/100</x:f>
        <x:v>284.3</x:v>
      </x:c>
      <x:c r="F1389" s="8" t="n">
        <x:f>Source!F1383/100</x:f>
        <x:v>0</x:v>
      </x:c>
      <x:c r="G1389" s="8" t="n">
        <x:f>Source!G1383/100</x:f>
        <x:v>284.3</x:v>
      </x:c>
      <x:c r="H1389" s="8" t="n">
        <x:f>G1389-D1389</x:f>
        <x:v>142.15</x:v>
      </x:c>
      <x:c r="I1389" s="1" t="str">
        <x:f>IF(H1389&gt;0,"Overbilled","Shortfall")</x:f>
        <x:v>Overbilled</x:v>
      </x:c>
      <x:c r="J1389" s="7"/>
      <x:c r="K1389" s="7" t="str">
        <x:v>Open</x:v>
      </x:c>
      <x:c r="L1389" s="7"/>
    </x:row>
    <x:row r="1390" ht="21" customHeight="1">
      <x:c r="A1390" s="1" t="str">
        <x:f>Source!A1384</x:f>
        <x:v>C0011491</x:v>
      </x:c>
      <x:c r="B1390" s="1" t="str">
        <x:f>_xlfn.IFNA(VLOOKUP(Source!B1384,Advertisers!$A$5:$B$34,2,FALSE),"Missing advertiser")</x:f>
        <x:v>Synthetic advertiser 30</x:v>
      </x:c>
      <x:c r="C1390" s="1" t="n">
        <x:f>Source!C1384</x:f>
        <x:v>90</x:v>
      </x:c>
      <x:c r="D1390" s="8" t="n">
        <x:f>Source!D1384/100</x:f>
        <x:v>142.15</x:v>
      </x:c>
      <x:c r="E1390" s="8" t="n">
        <x:f>Source!E1384/100</x:f>
        <x:v>0</x:v>
      </x:c>
      <x:c r="F1390" s="8" t="n">
        <x:f>Source!F1384/100</x:f>
        <x:v>0</x:v>
      </x:c>
      <x:c r="G1390" s="8" t="n">
        <x:f>Source!G1384/100</x:f>
        <x:v>0</x:v>
      </x:c>
      <x:c r="H1390" s="8" t="n">
        <x:f>G1390-D1390</x:f>
        <x:v>-142.15</x:v>
      </x:c>
      <x:c r="I1390" s="1" t="str">
        <x:f>IF(H1390&gt;0,"Overbilled","Shortfall")</x:f>
        <x:v>Shortfall</x:v>
      </x:c>
      <x:c r="J1390" s="7"/>
      <x:c r="K1390" s="7" t="str">
        <x:v>Open</x:v>
      </x:c>
      <x:c r="L1390" s="7"/>
    </x:row>
    <x:row r="1391" ht="21" customHeight="1">
      <x:c r="A1391" s="1" t="str">
        <x:f>Source!A1385</x:f>
        <x:v>C0008529</x:v>
      </x:c>
      <x:c r="B1391" s="1" t="str">
        <x:f>_xlfn.IFNA(VLOOKUP(Source!B1385,Advertisers!$A$5:$B$34,2,FALSE),"Missing advertiser")</x:f>
        <x:v>Synthetic advertiser 30</x:v>
      </x:c>
      <x:c r="C1391" s="1" t="n">
        <x:f>Source!C1385</x:f>
        <x:v>90</x:v>
      </x:c>
      <x:c r="D1391" s="8" t="n">
        <x:f>Source!D1385/100</x:f>
        <x:v>142.15</x:v>
      </x:c>
      <x:c r="E1391" s="8" t="n">
        <x:f>Source!E1385/100</x:f>
        <x:v>284.3</x:v>
      </x:c>
      <x:c r="F1391" s="8" t="n">
        <x:f>Source!F1385/100</x:f>
        <x:v>0</x:v>
      </x:c>
      <x:c r="G1391" s="8" t="n">
        <x:f>Source!G1385/100</x:f>
        <x:v>284.3</x:v>
      </x:c>
      <x:c r="H1391" s="8" t="n">
        <x:f>G1391-D1391</x:f>
        <x:v>142.15</x:v>
      </x:c>
      <x:c r="I1391" s="1" t="str">
        <x:f>IF(H1391&gt;0,"Overbilled","Shortfall")</x:f>
        <x:v>Overbilled</x:v>
      </x:c>
      <x:c r="J1391" s="7"/>
      <x:c r="K1391" s="7" t="str">
        <x:v>Open</x:v>
      </x:c>
      <x:c r="L1391" s="7"/>
    </x:row>
    <x:row r="1392" ht="21" customHeight="1">
      <x:c r="A1392" s="1" t="str">
        <x:f>Source!A1386</x:f>
        <x:v>C0005148</x:v>
      </x:c>
      <x:c r="B1392" s="1" t="str">
        <x:f>_xlfn.IFNA(VLOOKUP(Source!B1386,Advertisers!$A$5:$B$34,2,FALSE),"Missing advertiser")</x:f>
        <x:v>Synthetic advertiser 7</x:v>
      </x:c>
      <x:c r="C1392" s="1" t="n">
        <x:f>Source!C1386</x:f>
        <x:v>7</x:v>
      </x:c>
      <x:c r="D1392" s="8" t="n">
        <x:f>Source!D1386/100</x:f>
        <x:v>141.78</x:v>
      </x:c>
      <x:c r="E1392" s="8" t="n">
        <x:f>Source!E1386/100</x:f>
        <x:v>283.56</x:v>
      </x:c>
      <x:c r="F1392" s="8" t="n">
        <x:f>Source!F1386/100</x:f>
        <x:v>0</x:v>
      </x:c>
      <x:c r="G1392" s="8" t="n">
        <x:f>Source!G1386/100</x:f>
        <x:v>283.56</x:v>
      </x:c>
      <x:c r="H1392" s="8" t="n">
        <x:f>G1392-D1392</x:f>
        <x:v>141.78</x:v>
      </x:c>
      <x:c r="I1392" s="1" t="str">
        <x:f>IF(H1392&gt;0,"Overbilled","Shortfall")</x:f>
        <x:v>Overbilled</x:v>
      </x:c>
      <x:c r="J1392" s="7"/>
      <x:c r="K1392" s="7" t="str">
        <x:v>Open</x:v>
      </x:c>
      <x:c r="L1392" s="7"/>
    </x:row>
    <x:row r="1393" ht="21" customHeight="1">
      <x:c r="A1393" s="1" t="str">
        <x:f>Source!A1387</x:f>
        <x:v>C0011599</x:v>
      </x:c>
      <x:c r="B1393" s="1" t="str">
        <x:f>_xlfn.IFNA(VLOOKUP(Source!B1387,Advertisers!$A$5:$B$34,2,FALSE),"Missing advertiser")</x:f>
        <x:v>Synthetic advertiser 7</x:v>
      </x:c>
      <x:c r="C1393" s="1" t="n">
        <x:f>Source!C1387</x:f>
        <x:v>7</x:v>
      </x:c>
      <x:c r="D1393" s="8" t="n">
        <x:f>Source!D1387/100</x:f>
        <x:v>0</x:v>
      </x:c>
      <x:c r="E1393" s="8" t="n">
        <x:f>Source!E1387/100</x:f>
        <x:v>141.78</x:v>
      </x:c>
      <x:c r="F1393" s="8" t="n">
        <x:f>Source!F1387/100</x:f>
        <x:v>0</x:v>
      </x:c>
      <x:c r="G1393" s="8" t="n">
        <x:f>Source!G1387/100</x:f>
        <x:v>141.78</x:v>
      </x:c>
      <x:c r="H1393" s="8" t="n">
        <x:f>G1393-D1393</x:f>
        <x:v>141.78</x:v>
      </x:c>
      <x:c r="I1393" s="1" t="str">
        <x:f>IF(H1393&gt;0,"Overbilled","Shortfall")</x:f>
        <x:v>Overbilled</x:v>
      </x:c>
      <x:c r="J1393" s="7"/>
      <x:c r="K1393" s="7" t="str">
        <x:v>Open</x:v>
      </x:c>
      <x:c r="L1393" s="7"/>
    </x:row>
    <x:row r="1394" ht="21" customHeight="1">
      <x:c r="A1394" s="1" t="str">
        <x:f>Source!A1388</x:f>
        <x:v>C0009250</x:v>
      </x:c>
      <x:c r="B1394" s="1" t="str">
        <x:f>_xlfn.IFNA(VLOOKUP(Source!B1388,Advertisers!$A$5:$B$34,2,FALSE),"Missing advertiser")</x:f>
        <x:v>Synthetic advertiser 7</x:v>
      </x:c>
      <x:c r="C1394" s="1" t="n">
        <x:f>Source!C1388</x:f>
        <x:v>7</x:v>
      </x:c>
      <x:c r="D1394" s="8" t="n">
        <x:f>Source!D1388/100</x:f>
        <x:v>141.78</x:v>
      </x:c>
      <x:c r="E1394" s="8" t="n">
        <x:f>Source!E1388/100</x:f>
        <x:v>283.56</x:v>
      </x:c>
      <x:c r="F1394" s="8" t="n">
        <x:f>Source!F1388/100</x:f>
        <x:v>0</x:v>
      </x:c>
      <x:c r="G1394" s="8" t="n">
        <x:f>Source!G1388/100</x:f>
        <x:v>283.56</x:v>
      </x:c>
      <x:c r="H1394" s="8" t="n">
        <x:f>G1394-D1394</x:f>
        <x:v>141.78</x:v>
      </x:c>
      <x:c r="I1394" s="1" t="str">
        <x:f>IF(H1394&gt;0,"Overbilled","Shortfall")</x:f>
        <x:v>Overbilled</x:v>
      </x:c>
      <x:c r="J1394" s="7"/>
      <x:c r="K1394" s="7" t="str">
        <x:v>Open</x:v>
      </x:c>
      <x:c r="L1394" s="7"/>
    </x:row>
    <x:row r="1395" ht="21" customHeight="1">
      <x:c r="A1395" s="1" t="str">
        <x:f>Source!A1389</x:f>
        <x:v>C0013572</x:v>
      </x:c>
      <x:c r="B1395" s="1" t="str">
        <x:f>_xlfn.IFNA(VLOOKUP(Source!B1389,Advertisers!$A$5:$B$34,2,FALSE),"Missing advertiser")</x:f>
        <x:v>Synthetic advertiser 7</x:v>
      </x:c>
      <x:c r="C1395" s="1" t="n">
        <x:f>Source!C1389</x:f>
        <x:v>7</x:v>
      </x:c>
      <x:c r="D1395" s="8" t="n">
        <x:f>Source!D1389/100</x:f>
        <x:v>141.78</x:v>
      </x:c>
      <x:c r="E1395" s="8" t="n">
        <x:f>Source!E1389/100</x:f>
        <x:v>283.56</x:v>
      </x:c>
      <x:c r="F1395" s="8" t="n">
        <x:f>Source!F1389/100</x:f>
        <x:v>0</x:v>
      </x:c>
      <x:c r="G1395" s="8" t="n">
        <x:f>Source!G1389/100</x:f>
        <x:v>283.56</x:v>
      </x:c>
      <x:c r="H1395" s="8" t="n">
        <x:f>G1395-D1395</x:f>
        <x:v>141.78</x:v>
      </x:c>
      <x:c r="I1395" s="1" t="str">
        <x:f>IF(H1395&gt;0,"Overbilled","Shortfall")</x:f>
        <x:v>Overbilled</x:v>
      </x:c>
      <x:c r="J1395" s="7"/>
      <x:c r="K1395" s="7" t="str">
        <x:v>Open</x:v>
      </x:c>
      <x:c r="L1395" s="7"/>
    </x:row>
    <x:row r="1396" ht="21" customHeight="1">
      <x:c r="A1396" s="1" t="str">
        <x:f>Source!A1390</x:f>
        <x:v>C0009840</x:v>
      </x:c>
      <x:c r="B1396" s="1" t="str">
        <x:f>_xlfn.IFNA(VLOOKUP(Source!B1390,Advertisers!$A$5:$B$34,2,FALSE),"Missing advertiser")</x:f>
        <x:v>Synthetic advertiser 7</x:v>
      </x:c>
      <x:c r="C1396" s="1" t="n">
        <x:f>Source!C1390</x:f>
        <x:v>7</x:v>
      </x:c>
      <x:c r="D1396" s="8" t="n">
        <x:f>Source!D1390/100</x:f>
        <x:v>0</x:v>
      </x:c>
      <x:c r="E1396" s="8" t="n">
        <x:f>Source!E1390/100</x:f>
        <x:v>141.78</x:v>
      </x:c>
      <x:c r="F1396" s="8" t="n">
        <x:f>Source!F1390/100</x:f>
        <x:v>0</x:v>
      </x:c>
      <x:c r="G1396" s="8" t="n">
        <x:f>Source!G1390/100</x:f>
        <x:v>141.78</x:v>
      </x:c>
      <x:c r="H1396" s="8" t="n">
        <x:f>G1396-D1396</x:f>
        <x:v>141.78</x:v>
      </x:c>
      <x:c r="I1396" s="1" t="str">
        <x:f>IF(H1396&gt;0,"Overbilled","Shortfall")</x:f>
        <x:v>Overbilled</x:v>
      </x:c>
      <x:c r="J1396" s="7"/>
      <x:c r="K1396" s="7" t="str">
        <x:v>Open</x:v>
      </x:c>
      <x:c r="L1396" s="7"/>
    </x:row>
    <x:row r="1397" ht="21" customHeight="1">
      <x:c r="A1397" s="1" t="str">
        <x:f>Source!A1391</x:f>
        <x:v>C0000634</x:v>
      </x:c>
      <x:c r="B1397" s="1" t="str">
        <x:f>_xlfn.IFNA(VLOOKUP(Source!B1391,Advertisers!$A$5:$B$34,2,FALSE),"Missing advertiser")</x:f>
        <x:v>Synthetic advertiser 7</x:v>
      </x:c>
      <x:c r="C1397" s="1" t="n">
        <x:f>Source!C1391</x:f>
        <x:v>7</x:v>
      </x:c>
      <x:c r="D1397" s="8" t="n">
        <x:f>Source!D1391/100</x:f>
        <x:v>141.78</x:v>
      </x:c>
      <x:c r="E1397" s="8" t="n">
        <x:f>Source!E1391/100</x:f>
        <x:v>283.56</x:v>
      </x:c>
      <x:c r="F1397" s="8" t="n">
        <x:f>Source!F1391/100</x:f>
        <x:v>0</x:v>
      </x:c>
      <x:c r="G1397" s="8" t="n">
        <x:f>Source!G1391/100</x:f>
        <x:v>283.56</x:v>
      </x:c>
      <x:c r="H1397" s="8" t="n">
        <x:f>G1397-D1397</x:f>
        <x:v>141.78</x:v>
      </x:c>
      <x:c r="I1397" s="1" t="str">
        <x:f>IF(H1397&gt;0,"Overbilled","Shortfall")</x:f>
        <x:v>Overbilled</x:v>
      </x:c>
      <x:c r="J1397" s="7"/>
      <x:c r="K1397" s="7" t="str">
        <x:v>Open</x:v>
      </x:c>
      <x:c r="L1397" s="7"/>
    </x:row>
    <x:row r="1398" ht="21" customHeight="1">
      <x:c r="A1398" s="1" t="str">
        <x:f>Source!A1392</x:f>
        <x:v>C0014310</x:v>
      </x:c>
      <x:c r="B1398" s="1" t="str">
        <x:f>_xlfn.IFNA(VLOOKUP(Source!B1392,Advertisers!$A$5:$B$34,2,FALSE),"Missing advertiser")</x:f>
        <x:v>Synthetic advertiser 7</x:v>
      </x:c>
      <x:c r="C1398" s="1" t="n">
        <x:f>Source!C1392</x:f>
        <x:v>7</x:v>
      </x:c>
      <x:c r="D1398" s="8" t="n">
        <x:f>Source!D1392/100</x:f>
        <x:v>141.78</x:v>
      </x:c>
      <x:c r="E1398" s="8" t="n">
        <x:f>Source!E1392/100</x:f>
        <x:v>0</x:v>
      </x:c>
      <x:c r="F1398" s="8" t="n">
        <x:f>Source!F1392/100</x:f>
        <x:v>0</x:v>
      </x:c>
      <x:c r="G1398" s="8" t="n">
        <x:f>Source!G1392/100</x:f>
        <x:v>0</x:v>
      </x:c>
      <x:c r="H1398" s="8" t="n">
        <x:f>G1398-D1398</x:f>
        <x:v>-141.78</x:v>
      </x:c>
      <x:c r="I1398" s="1" t="str">
        <x:f>IF(H1398&gt;0,"Overbilled","Shortfall")</x:f>
        <x:v>Shortfall</x:v>
      </x:c>
      <x:c r="J1398" s="7"/>
      <x:c r="K1398" s="7" t="str">
        <x:v>Open</x:v>
      </x:c>
      <x:c r="L1398" s="7"/>
    </x:row>
    <x:row r="1399" ht="21" customHeight="1">
      <x:c r="A1399" s="1" t="str">
        <x:f>Source!A1393</x:f>
        <x:v>C0004472</x:v>
      </x:c>
      <x:c r="B1399" s="1" t="str">
        <x:f>_xlfn.IFNA(VLOOKUP(Source!B1393,Advertisers!$A$5:$B$34,2,FALSE),"Missing advertiser")</x:f>
        <x:v>Synthetic advertiser 19</x:v>
      </x:c>
      <x:c r="C1399" s="1" t="n">
        <x:f>Source!C1393</x:f>
        <x:v>109</x:v>
      </x:c>
      <x:c r="D1399" s="8" t="n">
        <x:f>Source!D1393/100</x:f>
        <x:v>140.87</x:v>
      </x:c>
      <x:c r="E1399" s="8" t="n">
        <x:f>Source!E1393/100</x:f>
        <x:v>0</x:v>
      </x:c>
      <x:c r="F1399" s="8" t="n">
        <x:f>Source!F1393/100</x:f>
        <x:v>0</x:v>
      </x:c>
      <x:c r="G1399" s="8" t="n">
        <x:f>Source!G1393/100</x:f>
        <x:v>0</x:v>
      </x:c>
      <x:c r="H1399" s="8" t="n">
        <x:f>G1399-D1399</x:f>
        <x:v>-140.87</x:v>
      </x:c>
      <x:c r="I1399" s="1" t="str">
        <x:f>IF(H1399&gt;0,"Overbilled","Shortfall")</x:f>
        <x:v>Shortfall</x:v>
      </x:c>
      <x:c r="J1399" s="7"/>
      <x:c r="K1399" s="7" t="str">
        <x:v>Open</x:v>
      </x:c>
      <x:c r="L1399" s="7"/>
    </x:row>
    <x:row r="1400" ht="21" customHeight="1">
      <x:c r="A1400" s="1" t="str">
        <x:f>Source!A1394</x:f>
        <x:v>C0014729</x:v>
      </x:c>
      <x:c r="B1400" s="1" t="str">
        <x:f>_xlfn.IFNA(VLOOKUP(Source!B1394,Advertisers!$A$5:$B$34,2,FALSE),"Missing advertiser")</x:f>
        <x:v>Synthetic advertiser 19</x:v>
      </x:c>
      <x:c r="C1400" s="1" t="n">
        <x:f>Source!C1394</x:f>
        <x:v>109</x:v>
      </x:c>
      <x:c r="D1400" s="8" t="n">
        <x:f>Source!D1394/100</x:f>
        <x:v>140.87</x:v>
      </x:c>
      <x:c r="E1400" s="8" t="n">
        <x:f>Source!E1394/100</x:f>
        <x:v>281.74</x:v>
      </x:c>
      <x:c r="F1400" s="8" t="n">
        <x:f>Source!F1394/100</x:f>
        <x:v>0</x:v>
      </x:c>
      <x:c r="G1400" s="8" t="n">
        <x:f>Source!G1394/100</x:f>
        <x:v>281.74</x:v>
      </x:c>
      <x:c r="H1400" s="8" t="n">
        <x:f>G1400-D1400</x:f>
        <x:v>140.87</x:v>
      </x:c>
      <x:c r="I1400" s="1" t="str">
        <x:f>IF(H1400&gt;0,"Overbilled","Shortfall")</x:f>
        <x:v>Overbilled</x:v>
      </x:c>
      <x:c r="J1400" s="7"/>
      <x:c r="K1400" s="7" t="str">
        <x:v>Open</x:v>
      </x:c>
      <x:c r="L1400" s="7"/>
    </x:row>
    <x:row r="1401" ht="21" customHeight="1">
      <x:c r="A1401" s="1" t="str">
        <x:f>Source!A1395</x:f>
        <x:v>C0014545</x:v>
      </x:c>
      <x:c r="B1401" s="1" t="str">
        <x:f>_xlfn.IFNA(VLOOKUP(Source!B1395,Advertisers!$A$5:$B$34,2,FALSE),"Missing advertiser")</x:f>
        <x:v>Synthetic advertiser 19</x:v>
      </x:c>
      <x:c r="C1401" s="1" t="n">
        <x:f>Source!C1395</x:f>
        <x:v>109</x:v>
      </x:c>
      <x:c r="D1401" s="8" t="n">
        <x:f>Source!D1395/100</x:f>
        <x:v>140.87</x:v>
      </x:c>
      <x:c r="E1401" s="8" t="n">
        <x:f>Source!E1395/100</x:f>
        <x:v>0</x:v>
      </x:c>
      <x:c r="F1401" s="8" t="n">
        <x:f>Source!F1395/100</x:f>
        <x:v>0</x:v>
      </x:c>
      <x:c r="G1401" s="8" t="n">
        <x:f>Source!G1395/100</x:f>
        <x:v>0</x:v>
      </x:c>
      <x:c r="H1401" s="8" t="n">
        <x:f>G1401-D1401</x:f>
        <x:v>-140.87</x:v>
      </x:c>
      <x:c r="I1401" s="1" t="str">
        <x:f>IF(H1401&gt;0,"Overbilled","Shortfall")</x:f>
        <x:v>Shortfall</x:v>
      </x:c>
      <x:c r="J1401" s="7"/>
      <x:c r="K1401" s="7" t="str">
        <x:v>Open</x:v>
      </x:c>
      <x:c r="L1401" s="7"/>
    </x:row>
    <x:row r="1402" ht="21" customHeight="1">
      <x:c r="A1402" s="1" t="str">
        <x:f>Source!A1396</x:f>
        <x:v>C0002024</x:v>
      </x:c>
      <x:c r="B1402" s="1" t="str">
        <x:f>_xlfn.IFNA(VLOOKUP(Source!B1396,Advertisers!$A$5:$B$34,2,FALSE),"Missing advertiser")</x:f>
        <x:v>Synthetic advertiser 19</x:v>
      </x:c>
      <x:c r="C1402" s="1" t="n">
        <x:f>Source!C1396</x:f>
        <x:v>109</x:v>
      </x:c>
      <x:c r="D1402" s="8" t="n">
        <x:f>Source!D1396/100</x:f>
        <x:v>140.87</x:v>
      </x:c>
      <x:c r="E1402" s="8" t="n">
        <x:f>Source!E1396/100</x:f>
        <x:v>0</x:v>
      </x:c>
      <x:c r="F1402" s="8" t="n">
        <x:f>Source!F1396/100</x:f>
        <x:v>0</x:v>
      </x:c>
      <x:c r="G1402" s="8" t="n">
        <x:f>Source!G1396/100</x:f>
        <x:v>0</x:v>
      </x:c>
      <x:c r="H1402" s="8" t="n">
        <x:f>G1402-D1402</x:f>
        <x:v>-140.87</x:v>
      </x:c>
      <x:c r="I1402" s="1" t="str">
        <x:f>IF(H1402&gt;0,"Overbilled","Shortfall")</x:f>
        <x:v>Shortfall</x:v>
      </x:c>
      <x:c r="J1402" s="7"/>
      <x:c r="K1402" s="7" t="str">
        <x:v>Open</x:v>
      </x:c>
      <x:c r="L1402" s="7"/>
    </x:row>
    <x:row r="1403" ht="21" customHeight="1">
      <x:c r="A1403" s="1" t="str">
        <x:f>Source!A1397</x:f>
        <x:v>C0010782</x:v>
      </x:c>
      <x:c r="B1403" s="1" t="str">
        <x:f>_xlfn.IFNA(VLOOKUP(Source!B1397,Advertisers!$A$5:$B$34,2,FALSE),"Missing advertiser")</x:f>
        <x:v>Synthetic advertiser 19</x:v>
      </x:c>
      <x:c r="C1403" s="1" t="n">
        <x:f>Source!C1397</x:f>
        <x:v>109</x:v>
      </x:c>
      <x:c r="D1403" s="8" t="n">
        <x:f>Source!D1397/100</x:f>
        <x:v>140.87</x:v>
      </x:c>
      <x:c r="E1403" s="8" t="n">
        <x:f>Source!E1397/100</x:f>
        <x:v>0</x:v>
      </x:c>
      <x:c r="F1403" s="8" t="n">
        <x:f>Source!F1397/100</x:f>
        <x:v>0</x:v>
      </x:c>
      <x:c r="G1403" s="8" t="n">
        <x:f>Source!G1397/100</x:f>
        <x:v>0</x:v>
      </x:c>
      <x:c r="H1403" s="8" t="n">
        <x:f>G1403-D1403</x:f>
        <x:v>-140.87</x:v>
      </x:c>
      <x:c r="I1403" s="1" t="str">
        <x:f>IF(H1403&gt;0,"Overbilled","Shortfall")</x:f>
        <x:v>Shortfall</x:v>
      </x:c>
      <x:c r="J1403" s="7"/>
      <x:c r="K1403" s="7" t="str">
        <x:v>Open</x:v>
      </x:c>
      <x:c r="L1403" s="7"/>
    </x:row>
    <x:row r="1404" ht="21" customHeight="1">
      <x:c r="A1404" s="1" t="str">
        <x:f>Source!A1398</x:f>
        <x:v>C0009778</x:v>
      </x:c>
      <x:c r="B1404" s="1" t="str">
        <x:f>_xlfn.IFNA(VLOOKUP(Source!B1398,Advertisers!$A$5:$B$34,2,FALSE),"Missing advertiser")</x:f>
        <x:v>Synthetic advertiser 19</x:v>
      </x:c>
      <x:c r="C1404" s="1" t="n">
        <x:f>Source!C1398</x:f>
        <x:v>109</x:v>
      </x:c>
      <x:c r="D1404" s="8" t="n">
        <x:f>Source!D1398/100</x:f>
        <x:v>140.87</x:v>
      </x:c>
      <x:c r="E1404" s="8" t="n">
        <x:f>Source!E1398/100</x:f>
        <x:v>281.74</x:v>
      </x:c>
      <x:c r="F1404" s="8" t="n">
        <x:f>Source!F1398/100</x:f>
        <x:v>0</x:v>
      </x:c>
      <x:c r="G1404" s="8" t="n">
        <x:f>Source!G1398/100</x:f>
        <x:v>281.74</x:v>
      </x:c>
      <x:c r="H1404" s="8" t="n">
        <x:f>G1404-D1404</x:f>
        <x:v>140.87</x:v>
      </x:c>
      <x:c r="I1404" s="1" t="str">
        <x:f>IF(H1404&gt;0,"Overbilled","Shortfall")</x:f>
        <x:v>Overbilled</x:v>
      </x:c>
      <x:c r="J1404" s="7"/>
      <x:c r="K1404" s="7" t="str">
        <x:v>Open</x:v>
      </x:c>
      <x:c r="L1404" s="7"/>
    </x:row>
    <x:row r="1405" ht="21" customHeight="1">
      <x:c r="A1405" s="1" t="str">
        <x:f>Source!A1399</x:f>
        <x:v>C0012044</x:v>
      </x:c>
      <x:c r="B1405" s="1" t="str">
        <x:f>_xlfn.IFNA(VLOOKUP(Source!B1399,Advertisers!$A$5:$B$34,2,FALSE),"Missing advertiser")</x:f>
        <x:v>Synthetic advertiser 19</x:v>
      </x:c>
      <x:c r="C1405" s="1" t="n">
        <x:f>Source!C1399</x:f>
        <x:v>109</x:v>
      </x:c>
      <x:c r="D1405" s="8" t="n">
        <x:f>Source!D1399/100</x:f>
        <x:v>140.87</x:v>
      </x:c>
      <x:c r="E1405" s="8" t="n">
        <x:f>Source!E1399/100</x:f>
        <x:v>0</x:v>
      </x:c>
      <x:c r="F1405" s="8" t="n">
        <x:f>Source!F1399/100</x:f>
        <x:v>0</x:v>
      </x:c>
      <x:c r="G1405" s="8" t="n">
        <x:f>Source!G1399/100</x:f>
        <x:v>0</x:v>
      </x:c>
      <x:c r="H1405" s="8" t="n">
        <x:f>G1405-D1405</x:f>
        <x:v>-140.87</x:v>
      </x:c>
      <x:c r="I1405" s="1" t="str">
        <x:f>IF(H1405&gt;0,"Overbilled","Shortfall")</x:f>
        <x:v>Shortfall</x:v>
      </x:c>
      <x:c r="J1405" s="7"/>
      <x:c r="K1405" s="7" t="str">
        <x:v>Open</x:v>
      </x:c>
      <x:c r="L1405" s="7"/>
    </x:row>
    <x:row r="1406" ht="21" customHeight="1">
      <x:c r="A1406" s="1" t="str">
        <x:f>Source!A1400</x:f>
        <x:v>C0006472</x:v>
      </x:c>
      <x:c r="B1406" s="1" t="str">
        <x:f>_xlfn.IFNA(VLOOKUP(Source!B1400,Advertisers!$A$5:$B$34,2,FALSE),"Missing advertiser")</x:f>
        <x:v>Synthetic advertiser 19</x:v>
      </x:c>
      <x:c r="C1406" s="1" t="n">
        <x:f>Source!C1400</x:f>
        <x:v>49</x:v>
      </x:c>
      <x:c r="D1406" s="8" t="n">
        <x:f>Source!D1400/100</x:f>
        <x:v>140.66</x:v>
      </x:c>
      <x:c r="E1406" s="8" t="n">
        <x:f>Source!E1400/100</x:f>
        <x:v>281.32</x:v>
      </x:c>
      <x:c r="F1406" s="8" t="n">
        <x:f>Source!F1400/100</x:f>
        <x:v>0</x:v>
      </x:c>
      <x:c r="G1406" s="8" t="n">
        <x:f>Source!G1400/100</x:f>
        <x:v>281.32</x:v>
      </x:c>
      <x:c r="H1406" s="8" t="n">
        <x:f>G1406-D1406</x:f>
        <x:v>140.66</x:v>
      </x:c>
      <x:c r="I1406" s="1" t="str">
        <x:f>IF(H1406&gt;0,"Overbilled","Shortfall")</x:f>
        <x:v>Overbilled</x:v>
      </x:c>
      <x:c r="J1406" s="7"/>
      <x:c r="K1406" s="7" t="str">
        <x:v>Open</x:v>
      </x:c>
      <x:c r="L1406" s="7"/>
    </x:row>
    <x:row r="1407" ht="21" customHeight="1">
      <x:c r="A1407" s="1" t="str">
        <x:f>Source!A1401</x:f>
        <x:v>C0016774</x:v>
      </x:c>
      <x:c r="B1407" s="1" t="str">
        <x:f>_xlfn.IFNA(VLOOKUP(Source!B1401,Advertisers!$A$5:$B$34,2,FALSE),"Missing advertiser")</x:f>
        <x:v>Synthetic advertiser 30</x:v>
      </x:c>
      <x:c r="C1407" s="1" t="n">
        <x:f>Source!C1401</x:f>
        <x:v>120</x:v>
      </x:c>
      <x:c r="D1407" s="8" t="n">
        <x:f>Source!D1401/100</x:f>
        <x:v>139.93</x:v>
      </x:c>
      <x:c r="E1407" s="8" t="n">
        <x:f>Source!E1401/100</x:f>
        <x:v>279.86</x:v>
      </x:c>
      <x:c r="F1407" s="8" t="n">
        <x:f>Source!F1401/100</x:f>
        <x:v>0</x:v>
      </x:c>
      <x:c r="G1407" s="8" t="n">
        <x:f>Source!G1401/100</x:f>
        <x:v>279.86</x:v>
      </x:c>
      <x:c r="H1407" s="8" t="n">
        <x:f>G1407-D1407</x:f>
        <x:v>139.93</x:v>
      </x:c>
      <x:c r="I1407" s="1" t="str">
        <x:f>IF(H1407&gt;0,"Overbilled","Shortfall")</x:f>
        <x:v>Overbilled</x:v>
      </x:c>
      <x:c r="J1407" s="7"/>
      <x:c r="K1407" s="7" t="str">
        <x:v>Open</x:v>
      </x:c>
      <x:c r="L1407" s="7"/>
    </x:row>
    <x:row r="1408" ht="21" customHeight="1">
      <x:c r="A1408" s="1" t="str">
        <x:f>Source!A1402</x:f>
        <x:v>C0014065</x:v>
      </x:c>
      <x:c r="B1408" s="1" t="str">
        <x:f>_xlfn.IFNA(VLOOKUP(Source!B1402,Advertisers!$A$5:$B$34,2,FALSE),"Missing advertiser")</x:f>
        <x:v>Synthetic advertiser 30</x:v>
      </x:c>
      <x:c r="C1408" s="1" t="n">
        <x:f>Source!C1402</x:f>
        <x:v>120</x:v>
      </x:c>
      <x:c r="D1408" s="8" t="n">
        <x:f>Source!D1402/100</x:f>
        <x:v>139.93</x:v>
      </x:c>
      <x:c r="E1408" s="8" t="n">
        <x:f>Source!E1402/100</x:f>
        <x:v>279.86</x:v>
      </x:c>
      <x:c r="F1408" s="8" t="n">
        <x:f>Source!F1402/100</x:f>
        <x:v>0</x:v>
      </x:c>
      <x:c r="G1408" s="8" t="n">
        <x:f>Source!G1402/100</x:f>
        <x:v>279.86</x:v>
      </x:c>
      <x:c r="H1408" s="8" t="n">
        <x:f>G1408-D1408</x:f>
        <x:v>139.93</x:v>
      </x:c>
      <x:c r="I1408" s="1" t="str">
        <x:f>IF(H1408&gt;0,"Overbilled","Shortfall")</x:f>
        <x:v>Overbilled</x:v>
      </x:c>
      <x:c r="J1408" s="7"/>
      <x:c r="K1408" s="7" t="str">
        <x:v>Open</x:v>
      </x:c>
      <x:c r="L1408" s="7"/>
    </x:row>
    <x:row r="1409" ht="21" customHeight="1">
      <x:c r="A1409" s="1" t="str">
        <x:f>Source!A1403</x:f>
        <x:v>C0006895</x:v>
      </x:c>
      <x:c r="B1409" s="1" t="str">
        <x:f>_xlfn.IFNA(VLOOKUP(Source!B1403,Advertisers!$A$5:$B$34,2,FALSE),"Missing advertiser")</x:f>
        <x:v>Synthetic advertiser 30</x:v>
      </x:c>
      <x:c r="C1409" s="1" t="n">
        <x:f>Source!C1403</x:f>
        <x:v>120</x:v>
      </x:c>
      <x:c r="D1409" s="8" t="n">
        <x:f>Source!D1403/100</x:f>
        <x:v>139.93</x:v>
      </x:c>
      <x:c r="E1409" s="8" t="n">
        <x:f>Source!E1403/100</x:f>
        <x:v>0</x:v>
      </x:c>
      <x:c r="F1409" s="8" t="n">
        <x:f>Source!F1403/100</x:f>
        <x:v>0</x:v>
      </x:c>
      <x:c r="G1409" s="8" t="n">
        <x:f>Source!G1403/100</x:f>
        <x:v>0</x:v>
      </x:c>
      <x:c r="H1409" s="8" t="n">
        <x:f>G1409-D1409</x:f>
        <x:v>-139.93</x:v>
      </x:c>
      <x:c r="I1409" s="1" t="str">
        <x:f>IF(H1409&gt;0,"Overbilled","Shortfall")</x:f>
        <x:v>Shortfall</x:v>
      </x:c>
      <x:c r="J1409" s="7"/>
      <x:c r="K1409" s="7" t="str">
        <x:v>Open</x:v>
      </x:c>
      <x:c r="L1409" s="7"/>
    </x:row>
    <x:row r="1410" ht="21" customHeight="1">
      <x:c r="A1410" s="1" t="str">
        <x:f>Source!A1404</x:f>
        <x:v>C0017499</x:v>
      </x:c>
      <x:c r="B1410" s="1" t="str">
        <x:f>_xlfn.IFNA(VLOOKUP(Source!B1404,Advertisers!$A$5:$B$34,2,FALSE),"Missing advertiser")</x:f>
        <x:v>Synthetic advertiser 30</x:v>
      </x:c>
      <x:c r="C1410" s="1" t="n">
        <x:f>Source!C1404</x:f>
        <x:v>120</x:v>
      </x:c>
      <x:c r="D1410" s="8" t="n">
        <x:f>Source!D1404/100</x:f>
        <x:v>139.93</x:v>
      </x:c>
      <x:c r="E1410" s="8" t="n">
        <x:f>Source!E1404/100</x:f>
        <x:v>279.86</x:v>
      </x:c>
      <x:c r="F1410" s="8" t="n">
        <x:f>Source!F1404/100</x:f>
        <x:v>0</x:v>
      </x:c>
      <x:c r="G1410" s="8" t="n">
        <x:f>Source!G1404/100</x:f>
        <x:v>279.86</x:v>
      </x:c>
      <x:c r="H1410" s="8" t="n">
        <x:f>G1410-D1410</x:f>
        <x:v>139.93</x:v>
      </x:c>
      <x:c r="I1410" s="1" t="str">
        <x:f>IF(H1410&gt;0,"Overbilled","Shortfall")</x:f>
        <x:v>Overbilled</x:v>
      </x:c>
      <x:c r="J1410" s="7"/>
      <x:c r="K1410" s="7" t="str">
        <x:v>Open</x:v>
      </x:c>
      <x:c r="L1410" s="7"/>
    </x:row>
    <x:row r="1411" ht="21" customHeight="1">
      <x:c r="A1411" s="1" t="str">
        <x:f>Source!A1405</x:f>
        <x:v>C0008412</x:v>
      </x:c>
      <x:c r="B1411" s="1" t="str">
        <x:f>_xlfn.IFNA(VLOOKUP(Source!B1405,Advertisers!$A$5:$B$34,2,FALSE),"Missing advertiser")</x:f>
        <x:v>Synthetic advertiser 30</x:v>
      </x:c>
      <x:c r="C1411" s="1" t="n">
        <x:f>Source!C1405</x:f>
        <x:v>120</x:v>
      </x:c>
      <x:c r="D1411" s="8" t="n">
        <x:f>Source!D1405/100</x:f>
        <x:v>139.93</x:v>
      </x:c>
      <x:c r="E1411" s="8" t="n">
        <x:f>Source!E1405/100</x:f>
        <x:v>0</x:v>
      </x:c>
      <x:c r="F1411" s="8" t="n">
        <x:f>Source!F1405/100</x:f>
        <x:v>0</x:v>
      </x:c>
      <x:c r="G1411" s="8" t="n">
        <x:f>Source!G1405/100</x:f>
        <x:v>0</x:v>
      </x:c>
      <x:c r="H1411" s="8" t="n">
        <x:f>G1411-D1411</x:f>
        <x:v>-139.93</x:v>
      </x:c>
      <x:c r="I1411" s="1" t="str">
        <x:f>IF(H1411&gt;0,"Overbilled","Shortfall")</x:f>
        <x:v>Shortfall</x:v>
      </x:c>
      <x:c r="J1411" s="7"/>
      <x:c r="K1411" s="7" t="str">
        <x:v>Open</x:v>
      </x:c>
      <x:c r="L1411" s="7"/>
    </x:row>
    <x:row r="1412" ht="21" customHeight="1">
      <x:c r="A1412" s="1" t="str">
        <x:f>Source!A1406</x:f>
        <x:v>C0001442</x:v>
      </x:c>
      <x:c r="B1412" s="1" t="str">
        <x:f>_xlfn.IFNA(VLOOKUP(Source!B1406,Advertisers!$A$5:$B$34,2,FALSE),"Missing advertiser")</x:f>
        <x:v>Synthetic advertiser 30</x:v>
      </x:c>
      <x:c r="C1412" s="1" t="n">
        <x:f>Source!C1406</x:f>
        <x:v>120</x:v>
      </x:c>
      <x:c r="D1412" s="8" t="n">
        <x:f>Source!D1406/100</x:f>
        <x:v>139.93</x:v>
      </x:c>
      <x:c r="E1412" s="8" t="n">
        <x:f>Source!E1406/100</x:f>
        <x:v>0</x:v>
      </x:c>
      <x:c r="F1412" s="8" t="n">
        <x:f>Source!F1406/100</x:f>
        <x:v>0</x:v>
      </x:c>
      <x:c r="G1412" s="8" t="n">
        <x:f>Source!G1406/100</x:f>
        <x:v>0</x:v>
      </x:c>
      <x:c r="H1412" s="8" t="n">
        <x:f>G1412-D1412</x:f>
        <x:v>-139.93</x:v>
      </x:c>
      <x:c r="I1412" s="1" t="str">
        <x:f>IF(H1412&gt;0,"Overbilled","Shortfall")</x:f>
        <x:v>Shortfall</x:v>
      </x:c>
      <x:c r="J1412" s="7"/>
      <x:c r="K1412" s="7" t="str">
        <x:v>Open</x:v>
      </x:c>
      <x:c r="L1412" s="7"/>
    </x:row>
    <x:row r="1413" ht="21" customHeight="1">
      <x:c r="A1413" s="1" t="str">
        <x:f>Source!A1407</x:f>
        <x:v>C0004928</x:v>
      </x:c>
      <x:c r="B1413" s="1" t="str">
        <x:f>_xlfn.IFNA(VLOOKUP(Source!B1407,Advertisers!$A$5:$B$34,2,FALSE),"Missing advertiser")</x:f>
        <x:v>Synthetic advertiser 30</x:v>
      </x:c>
      <x:c r="C1413" s="1" t="n">
        <x:f>Source!C1407</x:f>
        <x:v>120</x:v>
      </x:c>
      <x:c r="D1413" s="8" t="n">
        <x:f>Source!D1407/100</x:f>
        <x:v>139.93</x:v>
      </x:c>
      <x:c r="E1413" s="8" t="n">
        <x:f>Source!E1407/100</x:f>
        <x:v>279.86</x:v>
      </x:c>
      <x:c r="F1413" s="8" t="n">
        <x:f>Source!F1407/100</x:f>
        <x:v>0</x:v>
      </x:c>
      <x:c r="G1413" s="8" t="n">
        <x:f>Source!G1407/100</x:f>
        <x:v>279.86</x:v>
      </x:c>
      <x:c r="H1413" s="8" t="n">
        <x:f>G1413-D1413</x:f>
        <x:v>139.93</x:v>
      </x:c>
      <x:c r="I1413" s="1" t="str">
        <x:f>IF(H1413&gt;0,"Overbilled","Shortfall")</x:f>
        <x:v>Overbilled</x:v>
      </x:c>
      <x:c r="J1413" s="7"/>
      <x:c r="K1413" s="7" t="str">
        <x:v>Open</x:v>
      </x:c>
      <x:c r="L1413" s="7"/>
    </x:row>
    <x:row r="1414" ht="21" customHeight="1">
      <x:c r="A1414" s="1" t="str">
        <x:f>Source!A1408</x:f>
        <x:v>C0009899</x:v>
      </x:c>
      <x:c r="B1414" s="1" t="str">
        <x:f>_xlfn.IFNA(VLOOKUP(Source!B1408,Advertisers!$A$5:$B$34,2,FALSE),"Missing advertiser")</x:f>
        <x:v>Synthetic advertiser 30</x:v>
      </x:c>
      <x:c r="C1414" s="1" t="n">
        <x:f>Source!C1408</x:f>
        <x:v>120</x:v>
      </x:c>
      <x:c r="D1414" s="8" t="n">
        <x:f>Source!D1408/100</x:f>
        <x:v>0</x:v>
      </x:c>
      <x:c r="E1414" s="8" t="n">
        <x:f>Source!E1408/100</x:f>
        <x:v>139.93</x:v>
      </x:c>
      <x:c r="F1414" s="8" t="n">
        <x:f>Source!F1408/100</x:f>
        <x:v>0</x:v>
      </x:c>
      <x:c r="G1414" s="8" t="n">
        <x:f>Source!G1408/100</x:f>
        <x:v>139.93</x:v>
      </x:c>
      <x:c r="H1414" s="8" t="n">
        <x:f>G1414-D1414</x:f>
        <x:v>139.93</x:v>
      </x:c>
      <x:c r="I1414" s="1" t="str">
        <x:f>IF(H1414&gt;0,"Overbilled","Shortfall")</x:f>
        <x:v>Overbilled</x:v>
      </x:c>
      <x:c r="J1414" s="7"/>
      <x:c r="K1414" s="7" t="str">
        <x:v>Open</x:v>
      </x:c>
      <x:c r="L1414" s="7"/>
    </x:row>
    <x:row r="1415" ht="21" customHeight="1">
      <x:c r="A1415" s="1" t="str">
        <x:f>Source!A1409</x:f>
        <x:v>C0007023</x:v>
      </x:c>
      <x:c r="B1415" s="1" t="str">
        <x:f>_xlfn.IFNA(VLOOKUP(Source!B1409,Advertisers!$A$5:$B$34,2,FALSE),"Missing advertiser")</x:f>
        <x:v>Synthetic advertiser 30</x:v>
      </x:c>
      <x:c r="C1415" s="1" t="n">
        <x:f>Source!C1409</x:f>
        <x:v>120</x:v>
      </x:c>
      <x:c r="D1415" s="8" t="n">
        <x:f>Source!D1409/100</x:f>
        <x:v>139.93</x:v>
      </x:c>
      <x:c r="E1415" s="8" t="n">
        <x:f>Source!E1409/100</x:f>
        <x:v>279.86</x:v>
      </x:c>
      <x:c r="F1415" s="8" t="n">
        <x:f>Source!F1409/100</x:f>
        <x:v>0</x:v>
      </x:c>
      <x:c r="G1415" s="8" t="n">
        <x:f>Source!G1409/100</x:f>
        <x:v>279.86</x:v>
      </x:c>
      <x:c r="H1415" s="8" t="n">
        <x:f>G1415-D1415</x:f>
        <x:v>139.93</x:v>
      </x:c>
      <x:c r="I1415" s="1" t="str">
        <x:f>IF(H1415&gt;0,"Overbilled","Shortfall")</x:f>
        <x:v>Overbilled</x:v>
      </x:c>
      <x:c r="J1415" s="7"/>
      <x:c r="K1415" s="7" t="str">
        <x:v>Open</x:v>
      </x:c>
      <x:c r="L1415" s="7"/>
    </x:row>
    <x:row r="1416" ht="21" customHeight="1">
      <x:c r="A1416" s="1" t="str">
        <x:f>Source!A1410</x:f>
        <x:v>C0003202</x:v>
      </x:c>
      <x:c r="B1416" s="1" t="str">
        <x:f>_xlfn.IFNA(VLOOKUP(Source!B1410,Advertisers!$A$5:$B$34,2,FALSE),"Missing advertiser")</x:f>
        <x:v>Synthetic advertiser 30</x:v>
      </x:c>
      <x:c r="C1416" s="1" t="n">
        <x:f>Source!C1410</x:f>
        <x:v>120</x:v>
      </x:c>
      <x:c r="D1416" s="8" t="n">
        <x:f>Source!D1410/100</x:f>
        <x:v>139.93</x:v>
      </x:c>
      <x:c r="E1416" s="8" t="n">
        <x:f>Source!E1410/100</x:f>
        <x:v>279.86</x:v>
      </x:c>
      <x:c r="F1416" s="8" t="n">
        <x:f>Source!F1410/100</x:f>
        <x:v>0</x:v>
      </x:c>
      <x:c r="G1416" s="8" t="n">
        <x:f>Source!G1410/100</x:f>
        <x:v>279.86</x:v>
      </x:c>
      <x:c r="H1416" s="8" t="n">
        <x:f>G1416-D1416</x:f>
        <x:v>139.93</x:v>
      </x:c>
      <x:c r="I1416" s="1" t="str">
        <x:f>IF(H1416&gt;0,"Overbilled","Shortfall")</x:f>
        <x:v>Overbilled</x:v>
      </x:c>
      <x:c r="J1416" s="7"/>
      <x:c r="K1416" s="7" t="str">
        <x:v>Open</x:v>
      </x:c>
      <x:c r="L1416" s="7"/>
    </x:row>
    <x:row r="1417" ht="21" customHeight="1">
      <x:c r="A1417" s="1" t="str">
        <x:f>Source!A1411</x:f>
        <x:v>C0012626</x:v>
      </x:c>
      <x:c r="B1417" s="1" t="str">
        <x:f>_xlfn.IFNA(VLOOKUP(Source!B1411,Advertisers!$A$5:$B$34,2,FALSE),"Missing advertiser")</x:f>
        <x:v>Synthetic advertiser 30</x:v>
      </x:c>
      <x:c r="C1417" s="1" t="n">
        <x:f>Source!C1411</x:f>
        <x:v>120</x:v>
      </x:c>
      <x:c r="D1417" s="8" t="n">
        <x:f>Source!D1411/100</x:f>
        <x:v>139.93</x:v>
      </x:c>
      <x:c r="E1417" s="8" t="n">
        <x:f>Source!E1411/100</x:f>
        <x:v>0</x:v>
      </x:c>
      <x:c r="F1417" s="8" t="n">
        <x:f>Source!F1411/100</x:f>
        <x:v>0</x:v>
      </x:c>
      <x:c r="G1417" s="8" t="n">
        <x:f>Source!G1411/100</x:f>
        <x:v>0</x:v>
      </x:c>
      <x:c r="H1417" s="8" t="n">
        <x:f>G1417-D1417</x:f>
        <x:v>-139.93</x:v>
      </x:c>
      <x:c r="I1417" s="1" t="str">
        <x:f>IF(H1417&gt;0,"Overbilled","Shortfall")</x:f>
        <x:v>Shortfall</x:v>
      </x:c>
      <x:c r="J1417" s="7"/>
      <x:c r="K1417" s="7" t="str">
        <x:v>Open</x:v>
      </x:c>
      <x:c r="L1417" s="7"/>
    </x:row>
    <x:row r="1418" ht="21" customHeight="1">
      <x:c r="A1418" s="1" t="str">
        <x:f>Source!A1412</x:f>
        <x:v>C0005656</x:v>
      </x:c>
      <x:c r="B1418" s="1" t="str">
        <x:f>_xlfn.IFNA(VLOOKUP(Source!B1412,Advertisers!$A$5:$B$34,2,FALSE),"Missing advertiser")</x:f>
        <x:v>Synthetic advertiser 16</x:v>
      </x:c>
      <x:c r="C1418" s="1" t="n">
        <x:f>Source!C1412</x:f>
        <x:v>16</x:v>
      </x:c>
      <x:c r="D1418" s="8" t="n">
        <x:f>Source!D1412/100</x:f>
        <x:v>139.41</x:v>
      </x:c>
      <x:c r="E1418" s="8" t="n">
        <x:f>Source!E1412/100</x:f>
        <x:v>0</x:v>
      </x:c>
      <x:c r="F1418" s="8" t="n">
        <x:f>Source!F1412/100</x:f>
        <x:v>0</x:v>
      </x:c>
      <x:c r="G1418" s="8" t="n">
        <x:f>Source!G1412/100</x:f>
        <x:v>0</x:v>
      </x:c>
      <x:c r="H1418" s="8" t="n">
        <x:f>G1418-D1418</x:f>
        <x:v>-139.41</x:v>
      </x:c>
      <x:c r="I1418" s="1" t="str">
        <x:f>IF(H1418&gt;0,"Overbilled","Shortfall")</x:f>
        <x:v>Shortfall</x:v>
      </x:c>
      <x:c r="J1418" s="7"/>
      <x:c r="K1418" s="7" t="str">
        <x:v>Open</x:v>
      </x:c>
      <x:c r="L1418" s="7"/>
    </x:row>
    <x:row r="1419" ht="21" customHeight="1">
      <x:c r="A1419" s="1" t="str">
        <x:f>Source!A1413</x:f>
        <x:v>C0011441</x:v>
      </x:c>
      <x:c r="B1419" s="1" t="str">
        <x:f>_xlfn.IFNA(VLOOKUP(Source!B1413,Advertisers!$A$5:$B$34,2,FALSE),"Missing advertiser")</x:f>
        <x:v>Synthetic advertiser 16</x:v>
      </x:c>
      <x:c r="C1419" s="1" t="n">
        <x:f>Source!C1413</x:f>
        <x:v>16</x:v>
      </x:c>
      <x:c r="D1419" s="8" t="n">
        <x:f>Source!D1413/100</x:f>
        <x:v>139.41</x:v>
      </x:c>
      <x:c r="E1419" s="8" t="n">
        <x:f>Source!E1413/100</x:f>
        <x:v>278.82</x:v>
      </x:c>
      <x:c r="F1419" s="8" t="n">
        <x:f>Source!F1413/100</x:f>
        <x:v>0</x:v>
      </x:c>
      <x:c r="G1419" s="8" t="n">
        <x:f>Source!G1413/100</x:f>
        <x:v>278.82</x:v>
      </x:c>
      <x:c r="H1419" s="8" t="n">
        <x:f>G1419-D1419</x:f>
        <x:v>139.41</x:v>
      </x:c>
      <x:c r="I1419" s="1" t="str">
        <x:f>IF(H1419&gt;0,"Overbilled","Shortfall")</x:f>
        <x:v>Overbilled</x:v>
      </x:c>
      <x:c r="J1419" s="7"/>
      <x:c r="K1419" s="7" t="str">
        <x:v>Open</x:v>
      </x:c>
      <x:c r="L1419" s="7"/>
    </x:row>
    <x:row r="1420" ht="21" customHeight="1">
      <x:c r="A1420" s="1" t="str">
        <x:f>Source!A1414</x:f>
        <x:v>C0013341</x:v>
      </x:c>
      <x:c r="B1420" s="1" t="str">
        <x:f>_xlfn.IFNA(VLOOKUP(Source!B1414,Advertisers!$A$5:$B$34,2,FALSE),"Missing advertiser")</x:f>
        <x:v>Synthetic advertiser 16</x:v>
      </x:c>
      <x:c r="C1420" s="1" t="n">
        <x:f>Source!C1414</x:f>
        <x:v>16</x:v>
      </x:c>
      <x:c r="D1420" s="8" t="n">
        <x:f>Source!D1414/100</x:f>
        <x:v>139.41</x:v>
      </x:c>
      <x:c r="E1420" s="8" t="n">
        <x:f>Source!E1414/100</x:f>
        <x:v>0</x:v>
      </x:c>
      <x:c r="F1420" s="8" t="n">
        <x:f>Source!F1414/100</x:f>
        <x:v>0</x:v>
      </x:c>
      <x:c r="G1420" s="8" t="n">
        <x:f>Source!G1414/100</x:f>
        <x:v>0</x:v>
      </x:c>
      <x:c r="H1420" s="8" t="n">
        <x:f>G1420-D1420</x:f>
        <x:v>-139.41</x:v>
      </x:c>
      <x:c r="I1420" s="1" t="str">
        <x:f>IF(H1420&gt;0,"Overbilled","Shortfall")</x:f>
        <x:v>Shortfall</x:v>
      </x:c>
      <x:c r="J1420" s="7"/>
      <x:c r="K1420" s="7" t="str">
        <x:v>Open</x:v>
      </x:c>
      <x:c r="L1420" s="7"/>
    </x:row>
    <x:row r="1421" ht="21" customHeight="1">
      <x:c r="A1421" s="1" t="str">
        <x:f>Source!A1415</x:f>
        <x:v>C0015926</x:v>
      </x:c>
      <x:c r="B1421" s="1" t="str">
        <x:f>_xlfn.IFNA(VLOOKUP(Source!B1415,Advertisers!$A$5:$B$34,2,FALSE),"Missing advertiser")</x:f>
        <x:v>Synthetic advertiser 16</x:v>
      </x:c>
      <x:c r="C1421" s="1" t="n">
        <x:f>Source!C1415</x:f>
        <x:v>16</x:v>
      </x:c>
      <x:c r="D1421" s="8" t="n">
        <x:f>Source!D1415/100</x:f>
        <x:v>139.41</x:v>
      </x:c>
      <x:c r="E1421" s="8" t="n">
        <x:f>Source!E1415/100</x:f>
        <x:v>0</x:v>
      </x:c>
      <x:c r="F1421" s="8" t="n">
        <x:f>Source!F1415/100</x:f>
        <x:v>0</x:v>
      </x:c>
      <x:c r="G1421" s="8" t="n">
        <x:f>Source!G1415/100</x:f>
        <x:v>0</x:v>
      </x:c>
      <x:c r="H1421" s="8" t="n">
        <x:f>G1421-D1421</x:f>
        <x:v>-139.41</x:v>
      </x:c>
      <x:c r="I1421" s="1" t="str">
        <x:f>IF(H1421&gt;0,"Overbilled","Shortfall")</x:f>
        <x:v>Shortfall</x:v>
      </x:c>
      <x:c r="J1421" s="7"/>
      <x:c r="K1421" s="7" t="str">
        <x:v>Open</x:v>
      </x:c>
      <x:c r="L1421" s="7"/>
    </x:row>
    <x:row r="1422" ht="21" customHeight="1">
      <x:c r="A1422" s="1" t="str">
        <x:f>Source!A1416</x:f>
        <x:v>C0004391</x:v>
      </x:c>
      <x:c r="B1422" s="1" t="str">
        <x:f>_xlfn.IFNA(VLOOKUP(Source!B1416,Advertisers!$A$5:$B$34,2,FALSE),"Missing advertiser")</x:f>
        <x:v>Synthetic advertiser 16</x:v>
      </x:c>
      <x:c r="C1422" s="1" t="n">
        <x:f>Source!C1416</x:f>
        <x:v>16</x:v>
      </x:c>
      <x:c r="D1422" s="8" t="n">
        <x:f>Source!D1416/100</x:f>
        <x:v>0</x:v>
      </x:c>
      <x:c r="E1422" s="8" t="n">
        <x:f>Source!E1416/100</x:f>
        <x:v>139.41</x:v>
      </x:c>
      <x:c r="F1422" s="8" t="n">
        <x:f>Source!F1416/100</x:f>
        <x:v>0</x:v>
      </x:c>
      <x:c r="G1422" s="8" t="n">
        <x:f>Source!G1416/100</x:f>
        <x:v>139.41</x:v>
      </x:c>
      <x:c r="H1422" s="8" t="n">
        <x:f>G1422-D1422</x:f>
        <x:v>139.41</x:v>
      </x:c>
      <x:c r="I1422" s="1" t="str">
        <x:f>IF(H1422&gt;0,"Overbilled","Shortfall")</x:f>
        <x:v>Overbilled</x:v>
      </x:c>
      <x:c r="J1422" s="7"/>
      <x:c r="K1422" s="7" t="str">
        <x:v>Open</x:v>
      </x:c>
      <x:c r="L1422" s="7"/>
    </x:row>
    <x:row r="1423" ht="21" customHeight="1">
      <x:c r="A1423" s="1" t="str">
        <x:f>Source!A1417</x:f>
        <x:v>C0016467</x:v>
      </x:c>
      <x:c r="B1423" s="1" t="str">
        <x:f>_xlfn.IFNA(VLOOKUP(Source!B1417,Advertisers!$A$5:$B$34,2,FALSE),"Missing advertiser")</x:f>
        <x:v>Synthetic advertiser 16</x:v>
      </x:c>
      <x:c r="C1423" s="1" t="n">
        <x:f>Source!C1417</x:f>
        <x:v>16</x:v>
      </x:c>
      <x:c r="D1423" s="8" t="n">
        <x:f>Source!D1417/100</x:f>
        <x:v>139.41</x:v>
      </x:c>
      <x:c r="E1423" s="8" t="n">
        <x:f>Source!E1417/100</x:f>
        <x:v>278.82</x:v>
      </x:c>
      <x:c r="F1423" s="8" t="n">
        <x:f>Source!F1417/100</x:f>
        <x:v>0</x:v>
      </x:c>
      <x:c r="G1423" s="8" t="n">
        <x:f>Source!G1417/100</x:f>
        <x:v>278.82</x:v>
      </x:c>
      <x:c r="H1423" s="8" t="n">
        <x:f>G1423-D1423</x:f>
        <x:v>139.41</x:v>
      </x:c>
      <x:c r="I1423" s="1" t="str">
        <x:f>IF(H1423&gt;0,"Overbilled","Shortfall")</x:f>
        <x:v>Overbilled</x:v>
      </x:c>
      <x:c r="J1423" s="7"/>
      <x:c r="K1423" s="7" t="str">
        <x:v>Open</x:v>
      </x:c>
      <x:c r="L1423" s="7"/>
    </x:row>
    <x:row r="1424" ht="21" customHeight="1">
      <x:c r="A1424" s="1" t="str">
        <x:f>Source!A1418</x:f>
        <x:v>C0009648</x:v>
      </x:c>
      <x:c r="B1424" s="1" t="str">
        <x:f>_xlfn.IFNA(VLOOKUP(Source!B1418,Advertisers!$A$5:$B$34,2,FALSE),"Missing advertiser")</x:f>
        <x:v>Synthetic advertiser 16</x:v>
      </x:c>
      <x:c r="C1424" s="1" t="n">
        <x:f>Source!C1418</x:f>
        <x:v>16</x:v>
      </x:c>
      <x:c r="D1424" s="8" t="n">
        <x:f>Source!D1418/100</x:f>
        <x:v>139.41</x:v>
      </x:c>
      <x:c r="E1424" s="8" t="n">
        <x:f>Source!E1418/100</x:f>
        <x:v>278.82</x:v>
      </x:c>
      <x:c r="F1424" s="8" t="n">
        <x:f>Source!F1418/100</x:f>
        <x:v>0</x:v>
      </x:c>
      <x:c r="G1424" s="8" t="n">
        <x:f>Source!G1418/100</x:f>
        <x:v>278.82</x:v>
      </x:c>
      <x:c r="H1424" s="8" t="n">
        <x:f>G1424-D1424</x:f>
        <x:v>139.41</x:v>
      </x:c>
      <x:c r="I1424" s="1" t="str">
        <x:f>IF(H1424&gt;0,"Overbilled","Shortfall")</x:f>
        <x:v>Overbilled</x:v>
      </x:c>
      <x:c r="J1424" s="7"/>
      <x:c r="K1424" s="7" t="str">
        <x:v>Open</x:v>
      </x:c>
      <x:c r="L1424" s="7"/>
    </x:row>
    <x:row r="1425" ht="21" customHeight="1">
      <x:c r="A1425" s="1" t="str">
        <x:f>Source!A1419</x:f>
        <x:v>C0000424</x:v>
      </x:c>
      <x:c r="B1425" s="1" t="str">
        <x:f>_xlfn.IFNA(VLOOKUP(Source!B1419,Advertisers!$A$5:$B$34,2,FALSE),"Missing advertiser")</x:f>
        <x:v>Synthetic advertiser 16</x:v>
      </x:c>
      <x:c r="C1425" s="1" t="n">
        <x:f>Source!C1419</x:f>
        <x:v>16</x:v>
      </x:c>
      <x:c r="D1425" s="8" t="n">
        <x:f>Source!D1419/100</x:f>
        <x:v>139.41</x:v>
      </x:c>
      <x:c r="E1425" s="8" t="n">
        <x:f>Source!E1419/100</x:f>
        <x:v>278.82</x:v>
      </x:c>
      <x:c r="F1425" s="8" t="n">
        <x:f>Source!F1419/100</x:f>
        <x:v>0</x:v>
      </x:c>
      <x:c r="G1425" s="8" t="n">
        <x:f>Source!G1419/100</x:f>
        <x:v>278.82</x:v>
      </x:c>
      <x:c r="H1425" s="8" t="n">
        <x:f>G1425-D1425</x:f>
        <x:v>139.41</x:v>
      </x:c>
      <x:c r="I1425" s="1" t="str">
        <x:f>IF(H1425&gt;0,"Overbilled","Shortfall")</x:f>
        <x:v>Overbilled</x:v>
      </x:c>
      <x:c r="J1425" s="7"/>
      <x:c r="K1425" s="7" t="str">
        <x:v>Open</x:v>
      </x:c>
      <x:c r="L1425" s="7"/>
    </x:row>
    <x:row r="1426" ht="21" customHeight="1">
      <x:c r="A1426" s="1" t="str">
        <x:f>Source!A1420</x:f>
        <x:v>C0016352</x:v>
      </x:c>
      <x:c r="B1426" s="1" t="str">
        <x:f>_xlfn.IFNA(VLOOKUP(Source!B1420,Advertisers!$A$5:$B$34,2,FALSE),"Missing advertiser")</x:f>
        <x:v>Synthetic advertiser 12</x:v>
      </x:c>
      <x:c r="C1426" s="1" t="n">
        <x:f>Source!C1420</x:f>
        <x:v>102</x:v>
      </x:c>
      <x:c r="D1426" s="8" t="n">
        <x:f>Source!D1420/100</x:f>
        <x:v>138.88</x:v>
      </x:c>
      <x:c r="E1426" s="8" t="n">
        <x:f>Source!E1420/100</x:f>
        <x:v>0</x:v>
      </x:c>
      <x:c r="F1426" s="8" t="n">
        <x:f>Source!F1420/100</x:f>
        <x:v>0</x:v>
      </x:c>
      <x:c r="G1426" s="8" t="n">
        <x:f>Source!G1420/100</x:f>
        <x:v>0</x:v>
      </x:c>
      <x:c r="H1426" s="8" t="n">
        <x:f>G1426-D1426</x:f>
        <x:v>-138.88</x:v>
      </x:c>
      <x:c r="I1426" s="1" t="str">
        <x:f>IF(H1426&gt;0,"Overbilled","Shortfall")</x:f>
        <x:v>Shortfall</x:v>
      </x:c>
      <x:c r="J1426" s="7"/>
      <x:c r="K1426" s="7" t="str">
        <x:v>Open</x:v>
      </x:c>
      <x:c r="L1426" s="7"/>
    </x:row>
    <x:row r="1427" ht="21" customHeight="1">
      <x:c r="A1427" s="1" t="str">
        <x:f>Source!A1421</x:f>
        <x:v>C0007201</x:v>
      </x:c>
      <x:c r="B1427" s="1" t="str">
        <x:f>_xlfn.IFNA(VLOOKUP(Source!B1421,Advertisers!$A$5:$B$34,2,FALSE),"Missing advertiser")</x:f>
        <x:v>Synthetic advertiser 25</x:v>
      </x:c>
      <x:c r="C1427" s="1" t="n">
        <x:f>Source!C1421</x:f>
        <x:v>55</x:v>
      </x:c>
      <x:c r="D1427" s="8" t="n">
        <x:f>Source!D1421/100</x:f>
        <x:v>138.53</x:v>
      </x:c>
      <x:c r="E1427" s="8" t="n">
        <x:f>Source!E1421/100</x:f>
        <x:v>277.06</x:v>
      </x:c>
      <x:c r="F1427" s="8" t="n">
        <x:f>Source!F1421/100</x:f>
        <x:v>0</x:v>
      </x:c>
      <x:c r="G1427" s="8" t="n">
        <x:f>Source!G1421/100</x:f>
        <x:v>277.06</x:v>
      </x:c>
      <x:c r="H1427" s="8" t="n">
        <x:f>G1427-D1427</x:f>
        <x:v>138.53</x:v>
      </x:c>
      <x:c r="I1427" s="1" t="str">
        <x:f>IF(H1427&gt;0,"Overbilled","Shortfall")</x:f>
        <x:v>Overbilled</x:v>
      </x:c>
      <x:c r="J1427" s="7"/>
      <x:c r="K1427" s="7" t="str">
        <x:v>Open</x:v>
      </x:c>
      <x:c r="L1427" s="7"/>
    </x:row>
    <x:row r="1428" ht="21" customHeight="1">
      <x:c r="A1428" s="1" t="str">
        <x:f>Source!A1422</x:f>
        <x:v>C0015508</x:v>
      </x:c>
      <x:c r="B1428" s="1" t="str">
        <x:f>_xlfn.IFNA(VLOOKUP(Source!B1422,Advertisers!$A$5:$B$34,2,FALSE),"Missing advertiser")</x:f>
        <x:v>Synthetic advertiser 25</x:v>
      </x:c>
      <x:c r="C1428" s="1" t="n">
        <x:f>Source!C1422</x:f>
        <x:v>55</x:v>
      </x:c>
      <x:c r="D1428" s="8" t="n">
        <x:f>Source!D1422/100</x:f>
        <x:v>138.53</x:v>
      </x:c>
      <x:c r="E1428" s="8" t="n">
        <x:f>Source!E1422/100</x:f>
        <x:v>0</x:v>
      </x:c>
      <x:c r="F1428" s="8" t="n">
        <x:f>Source!F1422/100</x:f>
        <x:v>0</x:v>
      </x:c>
      <x:c r="G1428" s="8" t="n">
        <x:f>Source!G1422/100</x:f>
        <x:v>0</x:v>
      </x:c>
      <x:c r="H1428" s="8" t="n">
        <x:f>G1428-D1428</x:f>
        <x:v>-138.53</x:v>
      </x:c>
      <x:c r="I1428" s="1" t="str">
        <x:f>IF(H1428&gt;0,"Overbilled","Shortfall")</x:f>
        <x:v>Shortfall</x:v>
      </x:c>
      <x:c r="J1428" s="7"/>
      <x:c r="K1428" s="7" t="str">
        <x:v>Open</x:v>
      </x:c>
      <x:c r="L1428" s="7"/>
    </x:row>
    <x:row r="1429" ht="21" customHeight="1">
      <x:c r="A1429" s="1" t="str">
        <x:f>Source!A1423</x:f>
        <x:v>C0015654</x:v>
      </x:c>
      <x:c r="B1429" s="1" t="str">
        <x:f>_xlfn.IFNA(VLOOKUP(Source!B1423,Advertisers!$A$5:$B$34,2,FALSE),"Missing advertiser")</x:f>
        <x:v>Synthetic advertiser 25</x:v>
      </x:c>
      <x:c r="C1429" s="1" t="n">
        <x:f>Source!C1423</x:f>
        <x:v>55</x:v>
      </x:c>
      <x:c r="D1429" s="8" t="n">
        <x:f>Source!D1423/100</x:f>
        <x:v>138.53</x:v>
      </x:c>
      <x:c r="E1429" s="8" t="n">
        <x:f>Source!E1423/100</x:f>
        <x:v>277.06</x:v>
      </x:c>
      <x:c r="F1429" s="8" t="n">
        <x:f>Source!F1423/100</x:f>
        <x:v>0</x:v>
      </x:c>
      <x:c r="G1429" s="8" t="n">
        <x:f>Source!G1423/100</x:f>
        <x:v>277.06</x:v>
      </x:c>
      <x:c r="H1429" s="8" t="n">
        <x:f>G1429-D1429</x:f>
        <x:v>138.53</x:v>
      </x:c>
      <x:c r="I1429" s="1" t="str">
        <x:f>IF(H1429&gt;0,"Overbilled","Shortfall")</x:f>
        <x:v>Overbilled</x:v>
      </x:c>
      <x:c r="J1429" s="7"/>
      <x:c r="K1429" s="7" t="str">
        <x:v>Open</x:v>
      </x:c>
      <x:c r="L1429" s="7"/>
    </x:row>
    <x:row r="1430" ht="21" customHeight="1">
      <x:c r="A1430" s="1" t="str">
        <x:f>Source!A1424</x:f>
        <x:v>C0015680</x:v>
      </x:c>
      <x:c r="B1430" s="1" t="str">
        <x:f>_xlfn.IFNA(VLOOKUP(Source!B1424,Advertisers!$A$5:$B$34,2,FALSE),"Missing advertiser")</x:f>
        <x:v>Synthetic advertiser 24</x:v>
      </x:c>
      <x:c r="C1430" s="1" t="n">
        <x:f>Source!C1424</x:f>
        <x:v>84</x:v>
      </x:c>
      <x:c r="D1430" s="8" t="n">
        <x:f>Source!D1424/100</x:f>
        <x:v>137.68</x:v>
      </x:c>
      <x:c r="E1430" s="8" t="n">
        <x:f>Source!E1424/100</x:f>
        <x:v>275.36</x:v>
      </x:c>
      <x:c r="F1430" s="8" t="n">
        <x:f>Source!F1424/100</x:f>
        <x:v>0</x:v>
      </x:c>
      <x:c r="G1430" s="8" t="n">
        <x:f>Source!G1424/100</x:f>
        <x:v>275.36</x:v>
      </x:c>
      <x:c r="H1430" s="8" t="n">
        <x:f>G1430-D1430</x:f>
        <x:v>137.68</x:v>
      </x:c>
      <x:c r="I1430" s="1" t="str">
        <x:f>IF(H1430&gt;0,"Overbilled","Shortfall")</x:f>
        <x:v>Overbilled</x:v>
      </x:c>
      <x:c r="J1430" s="7"/>
      <x:c r="K1430" s="7" t="str">
        <x:v>Open</x:v>
      </x:c>
      <x:c r="L1430" s="7"/>
    </x:row>
    <x:row r="1431" ht="21" customHeight="1">
      <x:c r="A1431" s="1" t="str">
        <x:f>Source!A1425</x:f>
        <x:v>C0002821</x:v>
      </x:c>
      <x:c r="B1431" s="1" t="str">
        <x:f>_xlfn.IFNA(VLOOKUP(Source!B1425,Advertisers!$A$5:$B$34,2,FALSE),"Missing advertiser")</x:f>
        <x:v>Synthetic advertiser 24</x:v>
      </x:c>
      <x:c r="C1431" s="1" t="n">
        <x:f>Source!C1425</x:f>
        <x:v>84</x:v>
      </x:c>
      <x:c r="D1431" s="8" t="n">
        <x:f>Source!D1425/100</x:f>
        <x:v>137.68</x:v>
      </x:c>
      <x:c r="E1431" s="8" t="n">
        <x:f>Source!E1425/100</x:f>
        <x:v>0</x:v>
      </x:c>
      <x:c r="F1431" s="8" t="n">
        <x:f>Source!F1425/100</x:f>
        <x:v>0</x:v>
      </x:c>
      <x:c r="G1431" s="8" t="n">
        <x:f>Source!G1425/100</x:f>
        <x:v>0</x:v>
      </x:c>
      <x:c r="H1431" s="8" t="n">
        <x:f>G1431-D1431</x:f>
        <x:v>-137.68</x:v>
      </x:c>
      <x:c r="I1431" s="1" t="str">
        <x:f>IF(H1431&gt;0,"Overbilled","Shortfall")</x:f>
        <x:v>Shortfall</x:v>
      </x:c>
      <x:c r="J1431" s="7"/>
      <x:c r="K1431" s="7" t="str">
        <x:v>Open</x:v>
      </x:c>
      <x:c r="L1431" s="7"/>
    </x:row>
    <x:row r="1432" ht="21" customHeight="1">
      <x:c r="A1432" s="1" t="str">
        <x:f>Source!A1426</x:f>
        <x:v>C0002296</x:v>
      </x:c>
      <x:c r="B1432" s="1" t="str">
        <x:f>_xlfn.IFNA(VLOOKUP(Source!B1426,Advertisers!$A$5:$B$34,2,FALSE),"Missing advertiser")</x:f>
        <x:v>Synthetic advertiser 24</x:v>
      </x:c>
      <x:c r="C1432" s="1" t="n">
        <x:f>Source!C1426</x:f>
        <x:v>84</x:v>
      </x:c>
      <x:c r="D1432" s="8" t="n">
        <x:f>Source!D1426/100</x:f>
        <x:v>137.68</x:v>
      </x:c>
      <x:c r="E1432" s="8" t="n">
        <x:f>Source!E1426/100</x:f>
        <x:v>0</x:v>
      </x:c>
      <x:c r="F1432" s="8" t="n">
        <x:f>Source!F1426/100</x:f>
        <x:v>0</x:v>
      </x:c>
      <x:c r="G1432" s="8" t="n">
        <x:f>Source!G1426/100</x:f>
        <x:v>0</x:v>
      </x:c>
      <x:c r="H1432" s="8" t="n">
        <x:f>G1432-D1432</x:f>
        <x:v>-137.68</x:v>
      </x:c>
      <x:c r="I1432" s="1" t="str">
        <x:f>IF(H1432&gt;0,"Overbilled","Shortfall")</x:f>
        <x:v>Shortfall</x:v>
      </x:c>
      <x:c r="J1432" s="7"/>
      <x:c r="K1432" s="7" t="str">
        <x:v>Open</x:v>
      </x:c>
      <x:c r="L1432" s="7"/>
    </x:row>
    <x:row r="1433" ht="21" customHeight="1">
      <x:c r="A1433" s="1" t="str">
        <x:f>Source!A1427</x:f>
        <x:v>C0005177</x:v>
      </x:c>
      <x:c r="B1433" s="1" t="str">
        <x:f>_xlfn.IFNA(VLOOKUP(Source!B1427,Advertisers!$A$5:$B$34,2,FALSE),"Missing advertiser")</x:f>
        <x:v>Synthetic advertiser 24</x:v>
      </x:c>
      <x:c r="C1433" s="1" t="n">
        <x:f>Source!C1427</x:f>
        <x:v>84</x:v>
      </x:c>
      <x:c r="D1433" s="8" t="n">
        <x:f>Source!D1427/100</x:f>
        <x:v>0</x:v>
      </x:c>
      <x:c r="E1433" s="8" t="n">
        <x:f>Source!E1427/100</x:f>
        <x:v>137.68</x:v>
      </x:c>
      <x:c r="F1433" s="8" t="n">
        <x:f>Source!F1427/100</x:f>
        <x:v>0</x:v>
      </x:c>
      <x:c r="G1433" s="8" t="n">
        <x:f>Source!G1427/100</x:f>
        <x:v>137.68</x:v>
      </x:c>
      <x:c r="H1433" s="8" t="n">
        <x:f>G1433-D1433</x:f>
        <x:v>137.68</x:v>
      </x:c>
      <x:c r="I1433" s="1" t="str">
        <x:f>IF(H1433&gt;0,"Overbilled","Shortfall")</x:f>
        <x:v>Overbilled</x:v>
      </x:c>
      <x:c r="J1433" s="7"/>
      <x:c r="K1433" s="7" t="str">
        <x:v>Open</x:v>
      </x:c>
      <x:c r="L1433" s="7"/>
    </x:row>
    <x:row r="1434" ht="21" customHeight="1">
      <x:c r="A1434" s="1" t="str">
        <x:f>Source!A1428</x:f>
        <x:v>C0015814</x:v>
      </x:c>
      <x:c r="B1434" s="1" t="str">
        <x:f>_xlfn.IFNA(VLOOKUP(Source!B1428,Advertisers!$A$5:$B$34,2,FALSE),"Missing advertiser")</x:f>
        <x:v>Synthetic advertiser 24</x:v>
      </x:c>
      <x:c r="C1434" s="1" t="n">
        <x:f>Source!C1428</x:f>
        <x:v>84</x:v>
      </x:c>
      <x:c r="D1434" s="8" t="n">
        <x:f>Source!D1428/100</x:f>
        <x:v>137.68</x:v>
      </x:c>
      <x:c r="E1434" s="8" t="n">
        <x:f>Source!E1428/100</x:f>
        <x:v>0</x:v>
      </x:c>
      <x:c r="F1434" s="8" t="n">
        <x:f>Source!F1428/100</x:f>
        <x:v>0</x:v>
      </x:c>
      <x:c r="G1434" s="8" t="n">
        <x:f>Source!G1428/100</x:f>
        <x:v>0</x:v>
      </x:c>
      <x:c r="H1434" s="8" t="n">
        <x:f>G1434-D1434</x:f>
        <x:v>-137.68</x:v>
      </x:c>
      <x:c r="I1434" s="1" t="str">
        <x:f>IF(H1434&gt;0,"Overbilled","Shortfall")</x:f>
        <x:v>Shortfall</x:v>
      </x:c>
      <x:c r="J1434" s="7"/>
      <x:c r="K1434" s="7" t="str">
        <x:v>Open</x:v>
      </x:c>
      <x:c r="L1434" s="7"/>
    </x:row>
    <x:row r="1435" ht="21" customHeight="1">
      <x:c r="A1435" s="1" t="str">
        <x:f>Source!A1429</x:f>
        <x:v>C0014934</x:v>
      </x:c>
      <x:c r="B1435" s="1" t="str">
        <x:f>_xlfn.IFNA(VLOOKUP(Source!B1429,Advertisers!$A$5:$B$34,2,FALSE),"Missing advertiser")</x:f>
        <x:v>Synthetic advertiser 24</x:v>
      </x:c>
      <x:c r="C1435" s="1" t="n">
        <x:f>Source!C1429</x:f>
        <x:v>84</x:v>
      </x:c>
      <x:c r="D1435" s="8" t="n">
        <x:f>Source!D1429/100</x:f>
        <x:v>137.68</x:v>
      </x:c>
      <x:c r="E1435" s="8" t="n">
        <x:f>Source!E1429/100</x:f>
        <x:v>0</x:v>
      </x:c>
      <x:c r="F1435" s="8" t="n">
        <x:f>Source!F1429/100</x:f>
        <x:v>0</x:v>
      </x:c>
      <x:c r="G1435" s="8" t="n">
        <x:f>Source!G1429/100</x:f>
        <x:v>0</x:v>
      </x:c>
      <x:c r="H1435" s="8" t="n">
        <x:f>G1435-D1435</x:f>
        <x:v>-137.68</x:v>
      </x:c>
      <x:c r="I1435" s="1" t="str">
        <x:f>IF(H1435&gt;0,"Overbilled","Shortfall")</x:f>
        <x:v>Shortfall</x:v>
      </x:c>
      <x:c r="J1435" s="7"/>
      <x:c r="K1435" s="7" t="str">
        <x:v>Open</x:v>
      </x:c>
      <x:c r="L1435" s="7"/>
    </x:row>
    <x:row r="1436" ht="21" customHeight="1">
      <x:c r="A1436" s="1" t="str">
        <x:f>Source!A1430</x:f>
        <x:v>C0003148</x:v>
      </x:c>
      <x:c r="B1436" s="1" t="str">
        <x:f>_xlfn.IFNA(VLOOKUP(Source!B1430,Advertisers!$A$5:$B$34,2,FALSE),"Missing advertiser")</x:f>
        <x:v>Synthetic advertiser 5</x:v>
      </x:c>
      <x:c r="C1436" s="1" t="n">
        <x:f>Source!C1430</x:f>
        <x:v>65</x:v>
      </x:c>
      <x:c r="D1436" s="8" t="n">
        <x:f>Source!D1430/100</x:f>
        <x:v>136.76</x:v>
      </x:c>
      <x:c r="E1436" s="8" t="n">
        <x:f>Source!E1430/100</x:f>
        <x:v>0</x:v>
      </x:c>
      <x:c r="F1436" s="8" t="n">
        <x:f>Source!F1430/100</x:f>
        <x:v>0</x:v>
      </x:c>
      <x:c r="G1436" s="8" t="n">
        <x:f>Source!G1430/100</x:f>
        <x:v>0</x:v>
      </x:c>
      <x:c r="H1436" s="8" t="n">
        <x:f>G1436-D1436</x:f>
        <x:v>-136.76</x:v>
      </x:c>
      <x:c r="I1436" s="1" t="str">
        <x:f>IF(H1436&gt;0,"Overbilled","Shortfall")</x:f>
        <x:v>Shortfall</x:v>
      </x:c>
      <x:c r="J1436" s="7"/>
      <x:c r="K1436" s="7" t="str">
        <x:v>Open</x:v>
      </x:c>
      <x:c r="L1436" s="7"/>
    </x:row>
    <x:row r="1437" ht="21" customHeight="1">
      <x:c r="A1437" s="1" t="str">
        <x:f>Source!A1431</x:f>
        <x:v>C0001216</x:v>
      </x:c>
      <x:c r="B1437" s="1" t="str">
        <x:f>_xlfn.IFNA(VLOOKUP(Source!B1431,Advertisers!$A$5:$B$34,2,FALSE),"Missing advertiser")</x:f>
        <x:v>Synthetic advertiser 5</x:v>
      </x:c>
      <x:c r="C1437" s="1" t="n">
        <x:f>Source!C1431</x:f>
        <x:v>65</x:v>
      </x:c>
      <x:c r="D1437" s="8" t="n">
        <x:f>Source!D1431/100</x:f>
        <x:v>136.76</x:v>
      </x:c>
      <x:c r="E1437" s="8" t="n">
        <x:f>Source!E1431/100</x:f>
        <x:v>0</x:v>
      </x:c>
      <x:c r="F1437" s="8" t="n">
        <x:f>Source!F1431/100</x:f>
        <x:v>0</x:v>
      </x:c>
      <x:c r="G1437" s="8" t="n">
        <x:f>Source!G1431/100</x:f>
        <x:v>0</x:v>
      </x:c>
      <x:c r="H1437" s="8" t="n">
        <x:f>G1437-D1437</x:f>
        <x:v>-136.76</x:v>
      </x:c>
      <x:c r="I1437" s="1" t="str">
        <x:f>IF(H1437&gt;0,"Overbilled","Shortfall")</x:f>
        <x:v>Shortfall</x:v>
      </x:c>
      <x:c r="J1437" s="7"/>
      <x:c r="K1437" s="7" t="str">
        <x:v>Open</x:v>
      </x:c>
      <x:c r="L1437" s="7"/>
    </x:row>
    <x:row r="1438" ht="21" customHeight="1">
      <x:c r="A1438" s="1" t="str">
        <x:f>Source!A1432</x:f>
        <x:v>C0017195</x:v>
      </x:c>
      <x:c r="B1438" s="1" t="str">
        <x:f>_xlfn.IFNA(VLOOKUP(Source!B1432,Advertisers!$A$5:$B$34,2,FALSE),"Missing advertiser")</x:f>
        <x:v>Synthetic advertiser 5</x:v>
      </x:c>
      <x:c r="C1438" s="1" t="n">
        <x:f>Source!C1432</x:f>
        <x:v>65</x:v>
      </x:c>
      <x:c r="D1438" s="8" t="n">
        <x:f>Source!D1432/100</x:f>
        <x:v>136.76</x:v>
      </x:c>
      <x:c r="E1438" s="8" t="n">
        <x:f>Source!E1432/100</x:f>
        <x:v>273.52</x:v>
      </x:c>
      <x:c r="F1438" s="8" t="n">
        <x:f>Source!F1432/100</x:f>
        <x:v>0</x:v>
      </x:c>
      <x:c r="G1438" s="8" t="n">
        <x:f>Source!G1432/100</x:f>
        <x:v>273.52</x:v>
      </x:c>
      <x:c r="H1438" s="8" t="n">
        <x:f>G1438-D1438</x:f>
        <x:v>136.76</x:v>
      </x:c>
      <x:c r="I1438" s="1" t="str">
        <x:f>IF(H1438&gt;0,"Overbilled","Shortfall")</x:f>
        <x:v>Overbilled</x:v>
      </x:c>
      <x:c r="J1438" s="7"/>
      <x:c r="K1438" s="7" t="str">
        <x:v>Open</x:v>
      </x:c>
      <x:c r="L1438" s="7"/>
    </x:row>
    <x:row r="1439" ht="21" customHeight="1">
      <x:c r="A1439" s="1" t="str">
        <x:f>Source!A1433</x:f>
        <x:v>C0006330</x:v>
      </x:c>
      <x:c r="B1439" s="1" t="str">
        <x:f>_xlfn.IFNA(VLOOKUP(Source!B1433,Advertisers!$A$5:$B$34,2,FALSE),"Missing advertiser")</x:f>
        <x:v>Synthetic advertiser 5</x:v>
      </x:c>
      <x:c r="C1439" s="1" t="n">
        <x:f>Source!C1433</x:f>
        <x:v>65</x:v>
      </x:c>
      <x:c r="D1439" s="8" t="n">
        <x:f>Source!D1433/100</x:f>
        <x:v>136.76</x:v>
      </x:c>
      <x:c r="E1439" s="8" t="n">
        <x:f>Source!E1433/100</x:f>
        <x:v>273.52</x:v>
      </x:c>
      <x:c r="F1439" s="8" t="n">
        <x:f>Source!F1433/100</x:f>
        <x:v>0</x:v>
      </x:c>
      <x:c r="G1439" s="8" t="n">
        <x:f>Source!G1433/100</x:f>
        <x:v>273.52</x:v>
      </x:c>
      <x:c r="H1439" s="8" t="n">
        <x:f>G1439-D1439</x:f>
        <x:v>136.76</x:v>
      </x:c>
      <x:c r="I1439" s="1" t="str">
        <x:f>IF(H1439&gt;0,"Overbilled","Shortfall")</x:f>
        <x:v>Overbilled</x:v>
      </x:c>
      <x:c r="J1439" s="7"/>
      <x:c r="K1439" s="7" t="str">
        <x:v>Open</x:v>
      </x:c>
      <x:c r="L1439" s="7"/>
    </x:row>
    <x:row r="1440" ht="21" customHeight="1">
      <x:c r="A1440" s="1" t="str">
        <x:f>Source!A1434</x:f>
        <x:v>C0006658</x:v>
      </x:c>
      <x:c r="B1440" s="1" t="str">
        <x:f>_xlfn.IFNA(VLOOKUP(Source!B1434,Advertisers!$A$5:$B$34,2,FALSE),"Missing advertiser")</x:f>
        <x:v>Synthetic advertiser 5</x:v>
      </x:c>
      <x:c r="C1440" s="1" t="n">
        <x:f>Source!C1434</x:f>
        <x:v>65</x:v>
      </x:c>
      <x:c r="D1440" s="8" t="n">
        <x:f>Source!D1434/100</x:f>
        <x:v>136.76</x:v>
      </x:c>
      <x:c r="E1440" s="8" t="n">
        <x:f>Source!E1434/100</x:f>
        <x:v>273.52</x:v>
      </x:c>
      <x:c r="F1440" s="8" t="n">
        <x:f>Source!F1434/100</x:f>
        <x:v>0</x:v>
      </x:c>
      <x:c r="G1440" s="8" t="n">
        <x:f>Source!G1434/100</x:f>
        <x:v>273.52</x:v>
      </x:c>
      <x:c r="H1440" s="8" t="n">
        <x:f>G1440-D1440</x:f>
        <x:v>136.76</x:v>
      </x:c>
      <x:c r="I1440" s="1" t="str">
        <x:f>IF(H1440&gt;0,"Overbilled","Shortfall")</x:f>
        <x:v>Overbilled</x:v>
      </x:c>
      <x:c r="J1440" s="7"/>
      <x:c r="K1440" s="7" t="str">
        <x:v>Open</x:v>
      </x:c>
      <x:c r="L1440" s="7"/>
    </x:row>
    <x:row r="1441" ht="21" customHeight="1">
      <x:c r="A1441" s="1" t="str">
        <x:f>Source!A1435</x:f>
        <x:v>C0005729</x:v>
      </x:c>
      <x:c r="B1441" s="1" t="str">
        <x:f>_xlfn.IFNA(VLOOKUP(Source!B1435,Advertisers!$A$5:$B$34,2,FALSE),"Missing advertiser")</x:f>
        <x:v>Synthetic advertiser 5</x:v>
      </x:c>
      <x:c r="C1441" s="1" t="n">
        <x:f>Source!C1435</x:f>
        <x:v>65</x:v>
      </x:c>
      <x:c r="D1441" s="8" t="n">
        <x:f>Source!D1435/100</x:f>
        <x:v>136.76</x:v>
      </x:c>
      <x:c r="E1441" s="8" t="n">
        <x:f>Source!E1435/100</x:f>
        <x:v>273.52</x:v>
      </x:c>
      <x:c r="F1441" s="8" t="n">
        <x:f>Source!F1435/100</x:f>
        <x:v>0</x:v>
      </x:c>
      <x:c r="G1441" s="8" t="n">
        <x:f>Source!G1435/100</x:f>
        <x:v>273.52</x:v>
      </x:c>
      <x:c r="H1441" s="8" t="n">
        <x:f>G1441-D1441</x:f>
        <x:v>136.76</x:v>
      </x:c>
      <x:c r="I1441" s="1" t="str">
        <x:f>IF(H1441&gt;0,"Overbilled","Shortfall")</x:f>
        <x:v>Overbilled</x:v>
      </x:c>
      <x:c r="J1441" s="7"/>
      <x:c r="K1441" s="7" t="str">
        <x:v>Open</x:v>
      </x:c>
      <x:c r="L1441" s="7"/>
    </x:row>
    <x:row r="1442" ht="21" customHeight="1">
      <x:c r="A1442" s="1" t="str">
        <x:f>Source!A1436</x:f>
        <x:v>C0012505</x:v>
      </x:c>
      <x:c r="B1442" s="1" t="str">
        <x:f>_xlfn.IFNA(VLOOKUP(Source!B1436,Advertisers!$A$5:$B$34,2,FALSE),"Missing advertiser")</x:f>
        <x:v>Synthetic advertiser 5</x:v>
      </x:c>
      <x:c r="C1442" s="1" t="n">
        <x:f>Source!C1436</x:f>
        <x:v>65</x:v>
      </x:c>
      <x:c r="D1442" s="8" t="n">
        <x:f>Source!D1436/100</x:f>
        <x:v>136.76</x:v>
      </x:c>
      <x:c r="E1442" s="8" t="n">
        <x:f>Source!E1436/100</x:f>
        <x:v>273.52</x:v>
      </x:c>
      <x:c r="F1442" s="8" t="n">
        <x:f>Source!F1436/100</x:f>
        <x:v>0</x:v>
      </x:c>
      <x:c r="G1442" s="8" t="n">
        <x:f>Source!G1436/100</x:f>
        <x:v>273.52</x:v>
      </x:c>
      <x:c r="H1442" s="8" t="n">
        <x:f>G1442-D1442</x:f>
        <x:v>136.76</x:v>
      </x:c>
      <x:c r="I1442" s="1" t="str">
        <x:f>IF(H1442&gt;0,"Overbilled","Shortfall")</x:f>
        <x:v>Overbilled</x:v>
      </x:c>
      <x:c r="J1442" s="7"/>
      <x:c r="K1442" s="7" t="str">
        <x:v>Open</x:v>
      </x:c>
      <x:c r="L1442" s="7"/>
    </x:row>
    <x:row r="1443" ht="21" customHeight="1">
      <x:c r="A1443" s="1" t="str">
        <x:f>Source!A1437</x:f>
        <x:v>C0013012</x:v>
      </x:c>
      <x:c r="B1443" s="1" t="str">
        <x:f>_xlfn.IFNA(VLOOKUP(Source!B1437,Advertisers!$A$5:$B$34,2,FALSE),"Missing advertiser")</x:f>
        <x:v>Synthetic advertiser 5</x:v>
      </x:c>
      <x:c r="C1443" s="1" t="n">
        <x:f>Source!C1437</x:f>
        <x:v>65</x:v>
      </x:c>
      <x:c r="D1443" s="8" t="n">
        <x:f>Source!D1437/100</x:f>
        <x:v>136.76</x:v>
      </x:c>
      <x:c r="E1443" s="8" t="n">
        <x:f>Source!E1437/100</x:f>
        <x:v>0</x:v>
      </x:c>
      <x:c r="F1443" s="8" t="n">
        <x:f>Source!F1437/100</x:f>
        <x:v>0</x:v>
      </x:c>
      <x:c r="G1443" s="8" t="n">
        <x:f>Source!G1437/100</x:f>
        <x:v>0</x:v>
      </x:c>
      <x:c r="H1443" s="8" t="n">
        <x:f>G1443-D1443</x:f>
        <x:v>-136.76</x:v>
      </x:c>
      <x:c r="I1443" s="1" t="str">
        <x:f>IF(H1443&gt;0,"Overbilled","Shortfall")</x:f>
        <x:v>Shortfall</x:v>
      </x:c>
      <x:c r="J1443" s="7"/>
      <x:c r="K1443" s="7" t="str">
        <x:v>Open</x:v>
      </x:c>
      <x:c r="L1443" s="7"/>
    </x:row>
    <x:row r="1444" ht="21" customHeight="1">
      <x:c r="A1444" s="1" t="str">
        <x:f>Source!A1438</x:f>
        <x:v>C0015103</x:v>
      </x:c>
      <x:c r="B1444" s="1" t="str">
        <x:f>_xlfn.IFNA(VLOOKUP(Source!B1438,Advertisers!$A$5:$B$34,2,FALSE),"Missing advertiser")</x:f>
        <x:v>Synthetic advertiser 14</x:v>
      </x:c>
      <x:c r="C1444" s="1" t="n">
        <x:f>Source!C1438</x:f>
        <x:v>14</x:v>
      </x:c>
      <x:c r="D1444" s="8" t="n">
        <x:f>Source!D1438/100</x:f>
        <x:v>136.42</x:v>
      </x:c>
      <x:c r="E1444" s="8" t="n">
        <x:f>Source!E1438/100</x:f>
        <x:v>0</x:v>
      </x:c>
      <x:c r="F1444" s="8" t="n">
        <x:f>Source!F1438/100</x:f>
        <x:v>0</x:v>
      </x:c>
      <x:c r="G1444" s="8" t="n">
        <x:f>Source!G1438/100</x:f>
        <x:v>0</x:v>
      </x:c>
      <x:c r="H1444" s="8" t="n">
        <x:f>G1444-D1444</x:f>
        <x:v>-136.42</x:v>
      </x:c>
      <x:c r="I1444" s="1" t="str">
        <x:f>IF(H1444&gt;0,"Overbilled","Shortfall")</x:f>
        <x:v>Shortfall</x:v>
      </x:c>
      <x:c r="J1444" s="7"/>
      <x:c r="K1444" s="7" t="str">
        <x:v>Open</x:v>
      </x:c>
      <x:c r="L1444" s="7"/>
    </x:row>
    <x:row r="1445" ht="21" customHeight="1">
      <x:c r="A1445" s="1" t="str">
        <x:f>Source!A1439</x:f>
        <x:v>C0008052</x:v>
      </x:c>
      <x:c r="B1445" s="1" t="str">
        <x:f>_xlfn.IFNA(VLOOKUP(Source!B1439,Advertisers!$A$5:$B$34,2,FALSE),"Missing advertiser")</x:f>
        <x:v>Synthetic advertiser 14</x:v>
      </x:c>
      <x:c r="C1445" s="1" t="n">
        <x:f>Source!C1439</x:f>
        <x:v>14</x:v>
      </x:c>
      <x:c r="D1445" s="8" t="n">
        <x:f>Source!D1439/100</x:f>
        <x:v>136.42</x:v>
      </x:c>
      <x:c r="E1445" s="8" t="n">
        <x:f>Source!E1439/100</x:f>
        <x:v>272.84</x:v>
      </x:c>
      <x:c r="F1445" s="8" t="n">
        <x:f>Source!F1439/100</x:f>
        <x:v>0</x:v>
      </x:c>
      <x:c r="G1445" s="8" t="n">
        <x:f>Source!G1439/100</x:f>
        <x:v>272.84</x:v>
      </x:c>
      <x:c r="H1445" s="8" t="n">
        <x:f>G1445-D1445</x:f>
        <x:v>136.42</x:v>
      </x:c>
      <x:c r="I1445" s="1" t="str">
        <x:f>IF(H1445&gt;0,"Overbilled","Shortfall")</x:f>
        <x:v>Overbilled</x:v>
      </x:c>
      <x:c r="J1445" s="7"/>
      <x:c r="K1445" s="7" t="str">
        <x:v>Open</x:v>
      </x:c>
      <x:c r="L1445" s="7"/>
    </x:row>
    <x:row r="1446" ht="21" customHeight="1">
      <x:c r="A1446" s="1" t="str">
        <x:f>Source!A1440</x:f>
        <x:v>C0006221</x:v>
      </x:c>
      <x:c r="B1446" s="1" t="str">
        <x:f>_xlfn.IFNA(VLOOKUP(Source!B1440,Advertisers!$A$5:$B$34,2,FALSE),"Missing advertiser")</x:f>
        <x:v>Synthetic advertiser 14</x:v>
      </x:c>
      <x:c r="C1446" s="1" t="n">
        <x:f>Source!C1440</x:f>
        <x:v>14</x:v>
      </x:c>
      <x:c r="D1446" s="8" t="n">
        <x:f>Source!D1440/100</x:f>
        <x:v>136.42</x:v>
      </x:c>
      <x:c r="E1446" s="8" t="n">
        <x:f>Source!E1440/100</x:f>
        <x:v>272.84</x:v>
      </x:c>
      <x:c r="F1446" s="8" t="n">
        <x:f>Source!F1440/100</x:f>
        <x:v>0</x:v>
      </x:c>
      <x:c r="G1446" s="8" t="n">
        <x:f>Source!G1440/100</x:f>
        <x:v>272.84</x:v>
      </x:c>
      <x:c r="H1446" s="8" t="n">
        <x:f>G1446-D1446</x:f>
        <x:v>136.42</x:v>
      </x:c>
      <x:c r="I1446" s="1" t="str">
        <x:f>IF(H1446&gt;0,"Overbilled","Shortfall")</x:f>
        <x:v>Overbilled</x:v>
      </x:c>
      <x:c r="J1446" s="7"/>
      <x:c r="K1446" s="7" t="str">
        <x:v>Open</x:v>
      </x:c>
      <x:c r="L1446" s="7"/>
    </x:row>
    <x:row r="1447" ht="21" customHeight="1">
      <x:c r="A1447" s="1" t="str">
        <x:f>Source!A1441</x:f>
        <x:v>C0002779</x:v>
      </x:c>
      <x:c r="B1447" s="1" t="str">
        <x:f>_xlfn.IFNA(VLOOKUP(Source!B1441,Advertisers!$A$5:$B$34,2,FALSE),"Missing advertiser")</x:f>
        <x:v>Synthetic advertiser 14</x:v>
      </x:c>
      <x:c r="C1447" s="1" t="n">
        <x:f>Source!C1441</x:f>
        <x:v>14</x:v>
      </x:c>
      <x:c r="D1447" s="8" t="n">
        <x:f>Source!D1441/100</x:f>
        <x:v>136.42</x:v>
      </x:c>
      <x:c r="E1447" s="8" t="n">
        <x:f>Source!E1441/100</x:f>
        <x:v>0</x:v>
      </x:c>
      <x:c r="F1447" s="8" t="n">
        <x:f>Source!F1441/100</x:f>
        <x:v>0</x:v>
      </x:c>
      <x:c r="G1447" s="8" t="n">
        <x:f>Source!G1441/100</x:f>
        <x:v>0</x:v>
      </x:c>
      <x:c r="H1447" s="8" t="n">
        <x:f>G1447-D1447</x:f>
        <x:v>-136.42</x:v>
      </x:c>
      <x:c r="I1447" s="1" t="str">
        <x:f>IF(H1447&gt;0,"Overbilled","Shortfall")</x:f>
        <x:v>Shortfall</x:v>
      </x:c>
      <x:c r="J1447" s="7"/>
      <x:c r="K1447" s="7" t="str">
        <x:v>Open</x:v>
      </x:c>
      <x:c r="L1447" s="7"/>
    </x:row>
    <x:row r="1448" ht="21" customHeight="1">
      <x:c r="A1448" s="1" t="str">
        <x:f>Source!A1442</x:f>
        <x:v>C0009903</x:v>
      </x:c>
      <x:c r="B1448" s="1" t="str">
        <x:f>_xlfn.IFNA(VLOOKUP(Source!B1442,Advertisers!$A$5:$B$34,2,FALSE),"Missing advertiser")</x:f>
        <x:v>Synthetic advertiser 14</x:v>
      </x:c>
      <x:c r="C1448" s="1" t="n">
        <x:f>Source!C1442</x:f>
        <x:v>14</x:v>
      </x:c>
      <x:c r="D1448" s="8" t="n">
        <x:f>Source!D1442/100</x:f>
        <x:v>136.42</x:v>
      </x:c>
      <x:c r="E1448" s="8" t="n">
        <x:f>Source!E1442/100</x:f>
        <x:v>272.84</x:v>
      </x:c>
      <x:c r="F1448" s="8" t="n">
        <x:f>Source!F1442/100</x:f>
        <x:v>0</x:v>
      </x:c>
      <x:c r="G1448" s="8" t="n">
        <x:f>Source!G1442/100</x:f>
        <x:v>272.84</x:v>
      </x:c>
      <x:c r="H1448" s="8" t="n">
        <x:f>G1448-D1448</x:f>
        <x:v>136.42</x:v>
      </x:c>
      <x:c r="I1448" s="1" t="str">
        <x:f>IF(H1448&gt;0,"Overbilled","Shortfall")</x:f>
        <x:v>Overbilled</x:v>
      </x:c>
      <x:c r="J1448" s="7"/>
      <x:c r="K1448" s="7" t="str">
        <x:v>Open</x:v>
      </x:c>
      <x:c r="L1448" s="7"/>
    </x:row>
    <x:row r="1449" ht="21" customHeight="1">
      <x:c r="A1449" s="1" t="str">
        <x:f>Source!A1443</x:f>
        <x:v>C0016299</x:v>
      </x:c>
      <x:c r="B1449" s="1" t="str">
        <x:f>_xlfn.IFNA(VLOOKUP(Source!B1443,Advertisers!$A$5:$B$34,2,FALSE),"Missing advertiser")</x:f>
        <x:v>Synthetic advertiser 14</x:v>
      </x:c>
      <x:c r="C1449" s="1" t="n">
        <x:f>Source!C1443</x:f>
        <x:v>14</x:v>
      </x:c>
      <x:c r="D1449" s="8" t="n">
        <x:f>Source!D1443/100</x:f>
        <x:v>136.42</x:v>
      </x:c>
      <x:c r="E1449" s="8" t="n">
        <x:f>Source!E1443/100</x:f>
        <x:v>272.84</x:v>
      </x:c>
      <x:c r="F1449" s="8" t="n">
        <x:f>Source!F1443/100</x:f>
        <x:v>0</x:v>
      </x:c>
      <x:c r="G1449" s="8" t="n">
        <x:f>Source!G1443/100</x:f>
        <x:v>272.84</x:v>
      </x:c>
      <x:c r="H1449" s="8" t="n">
        <x:f>G1449-D1449</x:f>
        <x:v>136.42</x:v>
      </x:c>
      <x:c r="I1449" s="1" t="str">
        <x:f>IF(H1449&gt;0,"Overbilled","Shortfall")</x:f>
        <x:v>Overbilled</x:v>
      </x:c>
      <x:c r="J1449" s="7"/>
      <x:c r="K1449" s="7" t="str">
        <x:v>Open</x:v>
      </x:c>
      <x:c r="L1449" s="7"/>
    </x:row>
    <x:row r="1450" ht="21" customHeight="1">
      <x:c r="A1450" s="1" t="str">
        <x:f>Source!A1444</x:f>
        <x:v>C0005249</x:v>
      </x:c>
      <x:c r="B1450" s="1" t="str">
        <x:f>_xlfn.IFNA(VLOOKUP(Source!B1444,Advertisers!$A$5:$B$34,2,FALSE),"Missing advertiser")</x:f>
        <x:v>Synthetic advertiser 28</x:v>
      </x:c>
      <x:c r="C1450" s="1" t="n">
        <x:f>Source!C1444</x:f>
        <x:v>88</x:v>
      </x:c>
      <x:c r="D1450" s="8" t="n">
        <x:f>Source!D1444/100</x:f>
        <x:v>136.26</x:v>
      </x:c>
      <x:c r="E1450" s="8" t="n">
        <x:f>Source!E1444/100</x:f>
        <x:v>272.52</x:v>
      </x:c>
      <x:c r="F1450" s="8" t="n">
        <x:f>Source!F1444/100</x:f>
        <x:v>0</x:v>
      </x:c>
      <x:c r="G1450" s="8" t="n">
        <x:f>Source!G1444/100</x:f>
        <x:v>272.52</x:v>
      </x:c>
      <x:c r="H1450" s="8" t="n">
        <x:f>G1450-D1450</x:f>
        <x:v>136.26</x:v>
      </x:c>
      <x:c r="I1450" s="1" t="str">
        <x:f>IF(H1450&gt;0,"Overbilled","Shortfall")</x:f>
        <x:v>Overbilled</x:v>
      </x:c>
      <x:c r="J1450" s="7"/>
      <x:c r="K1450" s="7" t="str">
        <x:v>Open</x:v>
      </x:c>
      <x:c r="L1450" s="7"/>
    </x:row>
    <x:row r="1451" ht="21" customHeight="1">
      <x:c r="A1451" s="1" t="str">
        <x:f>Source!A1445</x:f>
        <x:v>C0014858</x:v>
      </x:c>
      <x:c r="B1451" s="1" t="str">
        <x:f>_xlfn.IFNA(VLOOKUP(Source!B1445,Advertisers!$A$5:$B$34,2,FALSE),"Missing advertiser")</x:f>
        <x:v>Synthetic advertiser 28</x:v>
      </x:c>
      <x:c r="C1451" s="1" t="n">
        <x:f>Source!C1445</x:f>
        <x:v>88</x:v>
      </x:c>
      <x:c r="D1451" s="8" t="n">
        <x:f>Source!D1445/100</x:f>
        <x:v>136.26</x:v>
      </x:c>
      <x:c r="E1451" s="8" t="n">
        <x:f>Source!E1445/100</x:f>
        <x:v>0</x:v>
      </x:c>
      <x:c r="F1451" s="8" t="n">
        <x:f>Source!F1445/100</x:f>
        <x:v>0</x:v>
      </x:c>
      <x:c r="G1451" s="8" t="n">
        <x:f>Source!G1445/100</x:f>
        <x:v>0</x:v>
      </x:c>
      <x:c r="H1451" s="8" t="n">
        <x:f>G1451-D1451</x:f>
        <x:v>-136.26</x:v>
      </x:c>
      <x:c r="I1451" s="1" t="str">
        <x:f>IF(H1451&gt;0,"Overbilled","Shortfall")</x:f>
        <x:v>Shortfall</x:v>
      </x:c>
      <x:c r="J1451" s="7"/>
      <x:c r="K1451" s="7" t="str">
        <x:v>Open</x:v>
      </x:c>
      <x:c r="L1451" s="7"/>
    </x:row>
    <x:row r="1452" ht="21" customHeight="1">
      <x:c r="A1452" s="1" t="str">
        <x:f>Source!A1446</x:f>
        <x:v>C0004458</x:v>
      </x:c>
      <x:c r="B1452" s="1" t="str">
        <x:f>_xlfn.IFNA(VLOOKUP(Source!B1446,Advertisers!$A$5:$B$34,2,FALSE),"Missing advertiser")</x:f>
        <x:v>Synthetic advertiser 28</x:v>
      </x:c>
      <x:c r="C1452" s="1" t="n">
        <x:f>Source!C1446</x:f>
        <x:v>88</x:v>
      </x:c>
      <x:c r="D1452" s="8" t="n">
        <x:f>Source!D1446/100</x:f>
        <x:v>136.26</x:v>
      </x:c>
      <x:c r="E1452" s="8" t="n">
        <x:f>Source!E1446/100</x:f>
        <x:v>0</x:v>
      </x:c>
      <x:c r="F1452" s="8" t="n">
        <x:f>Source!F1446/100</x:f>
        <x:v>0</x:v>
      </x:c>
      <x:c r="G1452" s="8" t="n">
        <x:f>Source!G1446/100</x:f>
        <x:v>0</x:v>
      </x:c>
      <x:c r="H1452" s="8" t="n">
        <x:f>G1452-D1452</x:f>
        <x:v>-136.26</x:v>
      </x:c>
      <x:c r="I1452" s="1" t="str">
        <x:f>IF(H1452&gt;0,"Overbilled","Shortfall")</x:f>
        <x:v>Shortfall</x:v>
      </x:c>
      <x:c r="J1452" s="7"/>
      <x:c r="K1452" s="7" t="str">
        <x:v>Open</x:v>
      </x:c>
      <x:c r="L1452" s="7"/>
    </x:row>
    <x:row r="1453" ht="21" customHeight="1">
      <x:c r="A1453" s="1" t="str">
        <x:f>Source!A1447</x:f>
        <x:v>C0006786</x:v>
      </x:c>
      <x:c r="B1453" s="1" t="str">
        <x:f>_xlfn.IFNA(VLOOKUP(Source!B1447,Advertisers!$A$5:$B$34,2,FALSE),"Missing advertiser")</x:f>
        <x:v>Synthetic advertiser 28</x:v>
      </x:c>
      <x:c r="C1453" s="1" t="n">
        <x:f>Source!C1447</x:f>
        <x:v>88</x:v>
      </x:c>
      <x:c r="D1453" s="8" t="n">
        <x:f>Source!D1447/100</x:f>
        <x:v>136.26</x:v>
      </x:c>
      <x:c r="E1453" s="8" t="n">
        <x:f>Source!E1447/100</x:f>
        <x:v>272.52</x:v>
      </x:c>
      <x:c r="F1453" s="8" t="n">
        <x:f>Source!F1447/100</x:f>
        <x:v>0</x:v>
      </x:c>
      <x:c r="G1453" s="8" t="n">
        <x:f>Source!G1447/100</x:f>
        <x:v>272.52</x:v>
      </x:c>
      <x:c r="H1453" s="8" t="n">
        <x:f>G1453-D1453</x:f>
        <x:v>136.26</x:v>
      </x:c>
      <x:c r="I1453" s="1" t="str">
        <x:f>IF(H1453&gt;0,"Overbilled","Shortfall")</x:f>
        <x:v>Overbilled</x:v>
      </x:c>
      <x:c r="J1453" s="7"/>
      <x:c r="K1453" s="7" t="str">
        <x:v>Open</x:v>
      </x:c>
      <x:c r="L1453" s="7"/>
    </x:row>
    <x:row r="1454" ht="21" customHeight="1">
      <x:c r="A1454" s="1" t="str">
        <x:f>Source!A1448</x:f>
        <x:v>C0006582</x:v>
      </x:c>
      <x:c r="B1454" s="1" t="str">
        <x:f>_xlfn.IFNA(VLOOKUP(Source!B1448,Advertisers!$A$5:$B$34,2,FALSE),"Missing advertiser")</x:f>
        <x:v>Synthetic advertiser 28</x:v>
      </x:c>
      <x:c r="C1454" s="1" t="n">
        <x:f>Source!C1448</x:f>
        <x:v>88</x:v>
      </x:c>
      <x:c r="D1454" s="8" t="n">
        <x:f>Source!D1448/100</x:f>
        <x:v>136.26</x:v>
      </x:c>
      <x:c r="E1454" s="8" t="n">
        <x:f>Source!E1448/100</x:f>
        <x:v>0</x:v>
      </x:c>
      <x:c r="F1454" s="8" t="n">
        <x:f>Source!F1448/100</x:f>
        <x:v>0</x:v>
      </x:c>
      <x:c r="G1454" s="8" t="n">
        <x:f>Source!G1448/100</x:f>
        <x:v>0</x:v>
      </x:c>
      <x:c r="H1454" s="8" t="n">
        <x:f>G1454-D1454</x:f>
        <x:v>-136.26</x:v>
      </x:c>
      <x:c r="I1454" s="1" t="str">
        <x:f>IF(H1454&gt;0,"Overbilled","Shortfall")</x:f>
        <x:v>Shortfall</x:v>
      </x:c>
      <x:c r="J1454" s="7"/>
      <x:c r="K1454" s="7" t="str">
        <x:v>Open</x:v>
      </x:c>
      <x:c r="L1454" s="7"/>
    </x:row>
    <x:row r="1455" ht="21" customHeight="1">
      <x:c r="A1455" s="1" t="str">
        <x:f>Source!A1449</x:f>
        <x:v>C0000407</x:v>
      </x:c>
      <x:c r="B1455" s="1" t="str">
        <x:f>_xlfn.IFNA(VLOOKUP(Source!B1449,Advertisers!$A$5:$B$34,2,FALSE),"Missing advertiser")</x:f>
        <x:v>Synthetic advertiser 28</x:v>
      </x:c>
      <x:c r="C1455" s="1" t="n">
        <x:f>Source!C1449</x:f>
        <x:v>88</x:v>
      </x:c>
      <x:c r="D1455" s="8" t="n">
        <x:f>Source!D1449/100</x:f>
        <x:v>136.26</x:v>
      </x:c>
      <x:c r="E1455" s="8" t="n">
        <x:f>Source!E1449/100</x:f>
        <x:v>272.52</x:v>
      </x:c>
      <x:c r="F1455" s="8" t="n">
        <x:f>Source!F1449/100</x:f>
        <x:v>0</x:v>
      </x:c>
      <x:c r="G1455" s="8" t="n">
        <x:f>Source!G1449/100</x:f>
        <x:v>272.52</x:v>
      </x:c>
      <x:c r="H1455" s="8" t="n">
        <x:f>G1455-D1455</x:f>
        <x:v>136.26</x:v>
      </x:c>
      <x:c r="I1455" s="1" t="str">
        <x:f>IF(H1455&gt;0,"Overbilled","Shortfall")</x:f>
        <x:v>Overbilled</x:v>
      </x:c>
      <x:c r="J1455" s="7"/>
      <x:c r="K1455" s="7" t="str">
        <x:v>Open</x:v>
      </x:c>
      <x:c r="L1455" s="7"/>
    </x:row>
    <x:row r="1456" ht="21" customHeight="1">
      <x:c r="A1456" s="1" t="str">
        <x:f>Source!A1450</x:f>
        <x:v>C0017361</x:v>
      </x:c>
      <x:c r="B1456" s="1" t="str">
        <x:f>_xlfn.IFNA(VLOOKUP(Source!B1450,Advertisers!$A$5:$B$34,2,FALSE),"Missing advertiser")</x:f>
        <x:v>Synthetic advertiser 13</x:v>
      </x:c>
      <x:c r="C1456" s="1" t="n">
        <x:f>Source!C1450</x:f>
        <x:v>103</x:v>
      </x:c>
      <x:c r="D1456" s="8" t="n">
        <x:f>Source!D1450/100</x:f>
        <x:v>136.2</x:v>
      </x:c>
      <x:c r="E1456" s="8" t="n">
        <x:f>Source!E1450/100</x:f>
        <x:v>272.4</x:v>
      </x:c>
      <x:c r="F1456" s="8" t="n">
        <x:f>Source!F1450/100</x:f>
        <x:v>0</x:v>
      </x:c>
      <x:c r="G1456" s="8" t="n">
        <x:f>Source!G1450/100</x:f>
        <x:v>272.4</x:v>
      </x:c>
      <x:c r="H1456" s="8" t="n">
        <x:f>G1456-D1456</x:f>
        <x:v>136.2</x:v>
      </x:c>
      <x:c r="I1456" s="1" t="str">
        <x:f>IF(H1456&gt;0,"Overbilled","Shortfall")</x:f>
        <x:v>Overbilled</x:v>
      </x:c>
      <x:c r="J1456" s="7"/>
      <x:c r="K1456" s="7" t="str">
        <x:v>Open</x:v>
      </x:c>
      <x:c r="L1456" s="7"/>
    </x:row>
    <x:row r="1457" ht="21" customHeight="1">
      <x:c r="A1457" s="1" t="str">
        <x:f>Source!A1451</x:f>
        <x:v>C0005121</x:v>
      </x:c>
      <x:c r="B1457" s="1" t="str">
        <x:f>_xlfn.IFNA(VLOOKUP(Source!B1451,Advertisers!$A$5:$B$34,2,FALSE),"Missing advertiser")</x:f>
        <x:v>Synthetic advertiser 13</x:v>
      </x:c>
      <x:c r="C1457" s="1" t="n">
        <x:f>Source!C1451</x:f>
        <x:v>103</x:v>
      </x:c>
      <x:c r="D1457" s="8" t="n">
        <x:f>Source!D1451/100</x:f>
        <x:v>136.2</x:v>
      </x:c>
      <x:c r="E1457" s="8" t="n">
        <x:f>Source!E1451/100</x:f>
        <x:v>0</x:v>
      </x:c>
      <x:c r="F1457" s="8" t="n">
        <x:f>Source!F1451/100</x:f>
        <x:v>0</x:v>
      </x:c>
      <x:c r="G1457" s="8" t="n">
        <x:f>Source!G1451/100</x:f>
        <x:v>0</x:v>
      </x:c>
      <x:c r="H1457" s="8" t="n">
        <x:f>G1457-D1457</x:f>
        <x:v>-136.2</x:v>
      </x:c>
      <x:c r="I1457" s="1" t="str">
        <x:f>IF(H1457&gt;0,"Overbilled","Shortfall")</x:f>
        <x:v>Shortfall</x:v>
      </x:c>
      <x:c r="J1457" s="7"/>
      <x:c r="K1457" s="7" t="str">
        <x:v>Open</x:v>
      </x:c>
      <x:c r="L1457" s="7"/>
    </x:row>
    <x:row r="1458" ht="21" customHeight="1">
      <x:c r="A1458" s="1" t="str">
        <x:f>Source!A1452</x:f>
        <x:v>C0017081</x:v>
      </x:c>
      <x:c r="B1458" s="1" t="str">
        <x:f>_xlfn.IFNA(VLOOKUP(Source!B1452,Advertisers!$A$5:$B$34,2,FALSE),"Missing advertiser")</x:f>
        <x:v>Synthetic advertiser 13</x:v>
      </x:c>
      <x:c r="C1458" s="1" t="n">
        <x:f>Source!C1452</x:f>
        <x:v>103</x:v>
      </x:c>
      <x:c r="D1458" s="8" t="n">
        <x:f>Source!D1452/100</x:f>
        <x:v>136.2</x:v>
      </x:c>
      <x:c r="E1458" s="8" t="n">
        <x:f>Source!E1452/100</x:f>
        <x:v>272.4</x:v>
      </x:c>
      <x:c r="F1458" s="8" t="n">
        <x:f>Source!F1452/100</x:f>
        <x:v>0</x:v>
      </x:c>
      <x:c r="G1458" s="8" t="n">
        <x:f>Source!G1452/100</x:f>
        <x:v>272.4</x:v>
      </x:c>
      <x:c r="H1458" s="8" t="n">
        <x:f>G1458-D1458</x:f>
        <x:v>136.2</x:v>
      </x:c>
      <x:c r="I1458" s="1" t="str">
        <x:f>IF(H1458&gt;0,"Overbilled","Shortfall")</x:f>
        <x:v>Overbilled</x:v>
      </x:c>
      <x:c r="J1458" s="7"/>
      <x:c r="K1458" s="7" t="str">
        <x:v>Open</x:v>
      </x:c>
      <x:c r="L1458" s="7"/>
    </x:row>
    <x:row r="1459" ht="21" customHeight="1">
      <x:c r="A1459" s="1" t="str">
        <x:f>Source!A1453</x:f>
        <x:v>C0005160</x:v>
      </x:c>
      <x:c r="B1459" s="1" t="str">
        <x:f>_xlfn.IFNA(VLOOKUP(Source!B1453,Advertisers!$A$5:$B$34,2,FALSE),"Missing advertiser")</x:f>
        <x:v>Synthetic advertiser 13</x:v>
      </x:c>
      <x:c r="C1459" s="1" t="n">
        <x:f>Source!C1453</x:f>
        <x:v>103</x:v>
      </x:c>
      <x:c r="D1459" s="8" t="n">
        <x:f>Source!D1453/100</x:f>
        <x:v>136.2</x:v>
      </x:c>
      <x:c r="E1459" s="8" t="n">
        <x:f>Source!E1453/100</x:f>
        <x:v>272.4</x:v>
      </x:c>
      <x:c r="F1459" s="8" t="n">
        <x:f>Source!F1453/100</x:f>
        <x:v>0</x:v>
      </x:c>
      <x:c r="G1459" s="8" t="n">
        <x:f>Source!G1453/100</x:f>
        <x:v>272.4</x:v>
      </x:c>
      <x:c r="H1459" s="8" t="n">
        <x:f>G1459-D1459</x:f>
        <x:v>136.2</x:v>
      </x:c>
      <x:c r="I1459" s="1" t="str">
        <x:f>IF(H1459&gt;0,"Overbilled","Shortfall")</x:f>
        <x:v>Overbilled</x:v>
      </x:c>
      <x:c r="J1459" s="7"/>
      <x:c r="K1459" s="7" t="str">
        <x:v>Open</x:v>
      </x:c>
      <x:c r="L1459" s="7"/>
    </x:row>
    <x:row r="1460" ht="21" customHeight="1">
      <x:c r="A1460" s="1" t="str">
        <x:f>Source!A1454</x:f>
        <x:v>C0007753</x:v>
      </x:c>
      <x:c r="B1460" s="1" t="str">
        <x:f>_xlfn.IFNA(VLOOKUP(Source!B1454,Advertisers!$A$5:$B$34,2,FALSE),"Missing advertiser")</x:f>
        <x:v>Synthetic advertiser 13</x:v>
      </x:c>
      <x:c r="C1460" s="1" t="n">
        <x:f>Source!C1454</x:f>
        <x:v>103</x:v>
      </x:c>
      <x:c r="D1460" s="8" t="n">
        <x:f>Source!D1454/100</x:f>
        <x:v>136.2</x:v>
      </x:c>
      <x:c r="E1460" s="8" t="n">
        <x:f>Source!E1454/100</x:f>
        <x:v>272.4</x:v>
      </x:c>
      <x:c r="F1460" s="8" t="n">
        <x:f>Source!F1454/100</x:f>
        <x:v>0</x:v>
      </x:c>
      <x:c r="G1460" s="8" t="n">
        <x:f>Source!G1454/100</x:f>
        <x:v>272.4</x:v>
      </x:c>
      <x:c r="H1460" s="8" t="n">
        <x:f>G1460-D1460</x:f>
        <x:v>136.2</x:v>
      </x:c>
      <x:c r="I1460" s="1" t="str">
        <x:f>IF(H1460&gt;0,"Overbilled","Shortfall")</x:f>
        <x:v>Overbilled</x:v>
      </x:c>
      <x:c r="J1460" s="7"/>
      <x:c r="K1460" s="7" t="str">
        <x:v>Open</x:v>
      </x:c>
      <x:c r="L1460" s="7"/>
    </x:row>
    <x:row r="1461" ht="21" customHeight="1">
      <x:c r="A1461" s="1" t="str">
        <x:f>Source!A1455</x:f>
        <x:v>C0008965</x:v>
      </x:c>
      <x:c r="B1461" s="1" t="str">
        <x:f>_xlfn.IFNA(VLOOKUP(Source!B1455,Advertisers!$A$5:$B$34,2,FALSE),"Missing advertiser")</x:f>
        <x:v>Synthetic advertiser 13</x:v>
      </x:c>
      <x:c r="C1461" s="1" t="n">
        <x:f>Source!C1455</x:f>
        <x:v>103</x:v>
      </x:c>
      <x:c r="D1461" s="8" t="n">
        <x:f>Source!D1455/100</x:f>
        <x:v>136.2</x:v>
      </x:c>
      <x:c r="E1461" s="8" t="n">
        <x:f>Source!E1455/100</x:f>
        <x:v>272.4</x:v>
      </x:c>
      <x:c r="F1461" s="8" t="n">
        <x:f>Source!F1455/100</x:f>
        <x:v>0</x:v>
      </x:c>
      <x:c r="G1461" s="8" t="n">
        <x:f>Source!G1455/100</x:f>
        <x:v>272.4</x:v>
      </x:c>
      <x:c r="H1461" s="8" t="n">
        <x:f>G1461-D1461</x:f>
        <x:v>136.2</x:v>
      </x:c>
      <x:c r="I1461" s="1" t="str">
        <x:f>IF(H1461&gt;0,"Overbilled","Shortfall")</x:f>
        <x:v>Overbilled</x:v>
      </x:c>
      <x:c r="J1461" s="7"/>
      <x:c r="K1461" s="7" t="str">
        <x:v>Open</x:v>
      </x:c>
      <x:c r="L1461" s="7"/>
    </x:row>
    <x:row r="1462" ht="21" customHeight="1">
      <x:c r="A1462" s="1" t="str">
        <x:f>Source!A1456</x:f>
        <x:v>C0012350</x:v>
      </x:c>
      <x:c r="B1462" s="1" t="str">
        <x:f>_xlfn.IFNA(VLOOKUP(Source!B1456,Advertisers!$A$5:$B$34,2,FALSE),"Missing advertiser")</x:f>
        <x:v>Synthetic advertiser 30</x:v>
      </x:c>
      <x:c r="C1462" s="1" t="n">
        <x:f>Source!C1456</x:f>
        <x:v>30</x:v>
      </x:c>
      <x:c r="D1462" s="8" t="n">
        <x:f>Source!D1456/100</x:f>
        <x:v>135.18</x:v>
      </x:c>
      <x:c r="E1462" s="8" t="n">
        <x:f>Source!E1456/100</x:f>
        <x:v>0</x:v>
      </x:c>
      <x:c r="F1462" s="8" t="n">
        <x:f>Source!F1456/100</x:f>
        <x:v>0</x:v>
      </x:c>
      <x:c r="G1462" s="8" t="n">
        <x:f>Source!G1456/100</x:f>
        <x:v>0</x:v>
      </x:c>
      <x:c r="H1462" s="8" t="n">
        <x:f>G1462-D1462</x:f>
        <x:v>-135.18</x:v>
      </x:c>
      <x:c r="I1462" s="1" t="str">
        <x:f>IF(H1462&gt;0,"Overbilled","Shortfall")</x:f>
        <x:v>Shortfall</x:v>
      </x:c>
      <x:c r="J1462" s="7"/>
      <x:c r="K1462" s="7" t="str">
        <x:v>Open</x:v>
      </x:c>
      <x:c r="L1462" s="7"/>
    </x:row>
    <x:row r="1463" ht="21" customHeight="1">
      <x:c r="A1463" s="1" t="str">
        <x:f>Source!A1457</x:f>
        <x:v>C0004795</x:v>
      </x:c>
      <x:c r="B1463" s="1" t="str">
        <x:f>_xlfn.IFNA(VLOOKUP(Source!B1457,Advertisers!$A$5:$B$34,2,FALSE),"Missing advertiser")</x:f>
        <x:v>Synthetic advertiser 30</x:v>
      </x:c>
      <x:c r="C1463" s="1" t="n">
        <x:f>Source!C1457</x:f>
        <x:v>30</x:v>
      </x:c>
      <x:c r="D1463" s="8" t="n">
        <x:f>Source!D1457/100</x:f>
        <x:v>135.18</x:v>
      </x:c>
      <x:c r="E1463" s="8" t="n">
        <x:f>Source!E1457/100</x:f>
        <x:v>270.36</x:v>
      </x:c>
      <x:c r="F1463" s="8" t="n">
        <x:f>Source!F1457/100</x:f>
        <x:v>0</x:v>
      </x:c>
      <x:c r="G1463" s="8" t="n">
        <x:f>Source!G1457/100</x:f>
        <x:v>270.36</x:v>
      </x:c>
      <x:c r="H1463" s="8" t="n">
        <x:f>G1463-D1463</x:f>
        <x:v>135.18</x:v>
      </x:c>
      <x:c r="I1463" s="1" t="str">
        <x:f>IF(H1463&gt;0,"Overbilled","Shortfall")</x:f>
        <x:v>Overbilled</x:v>
      </x:c>
      <x:c r="J1463" s="7"/>
      <x:c r="K1463" s="7" t="str">
        <x:v>Open</x:v>
      </x:c>
      <x:c r="L1463" s="7"/>
    </x:row>
    <x:row r="1464" ht="21" customHeight="1">
      <x:c r="A1464" s="1" t="str">
        <x:f>Source!A1458</x:f>
        <x:v>C0002288</x:v>
      </x:c>
      <x:c r="B1464" s="1" t="str">
        <x:f>_xlfn.IFNA(VLOOKUP(Source!B1458,Advertisers!$A$5:$B$34,2,FALSE),"Missing advertiser")</x:f>
        <x:v>Synthetic advertiser 30</x:v>
      </x:c>
      <x:c r="C1464" s="1" t="n">
        <x:f>Source!C1458</x:f>
        <x:v>30</x:v>
      </x:c>
      <x:c r="D1464" s="8" t="n">
        <x:f>Source!D1458/100</x:f>
        <x:v>135.18</x:v>
      </x:c>
      <x:c r="E1464" s="8" t="n">
        <x:f>Source!E1458/100</x:f>
        <x:v>270.36</x:v>
      </x:c>
      <x:c r="F1464" s="8" t="n">
        <x:f>Source!F1458/100</x:f>
        <x:v>0</x:v>
      </x:c>
      <x:c r="G1464" s="8" t="n">
        <x:f>Source!G1458/100</x:f>
        <x:v>270.36</x:v>
      </x:c>
      <x:c r="H1464" s="8" t="n">
        <x:f>G1464-D1464</x:f>
        <x:v>135.18</x:v>
      </x:c>
      <x:c r="I1464" s="1" t="str">
        <x:f>IF(H1464&gt;0,"Overbilled","Shortfall")</x:f>
        <x:v>Overbilled</x:v>
      </x:c>
      <x:c r="J1464" s="7"/>
      <x:c r="K1464" s="7" t="str">
        <x:v>Open</x:v>
      </x:c>
      <x:c r="L1464" s="7"/>
    </x:row>
    <x:row r="1465" ht="21" customHeight="1">
      <x:c r="A1465" s="1" t="str">
        <x:f>Source!A1459</x:f>
        <x:v>C0011840</x:v>
      </x:c>
      <x:c r="B1465" s="1" t="str">
        <x:f>_xlfn.IFNA(VLOOKUP(Source!B1459,Advertisers!$A$5:$B$34,2,FALSE),"Missing advertiser")</x:f>
        <x:v>Synthetic advertiser 30</x:v>
      </x:c>
      <x:c r="C1465" s="1" t="n">
        <x:f>Source!C1459</x:f>
        <x:v>30</x:v>
      </x:c>
      <x:c r="D1465" s="8" t="n">
        <x:f>Source!D1459/100</x:f>
        <x:v>135.18</x:v>
      </x:c>
      <x:c r="E1465" s="8" t="n">
        <x:f>Source!E1459/100</x:f>
        <x:v>0</x:v>
      </x:c>
      <x:c r="F1465" s="8" t="n">
        <x:f>Source!F1459/100</x:f>
        <x:v>0</x:v>
      </x:c>
      <x:c r="G1465" s="8" t="n">
        <x:f>Source!G1459/100</x:f>
        <x:v>0</x:v>
      </x:c>
      <x:c r="H1465" s="8" t="n">
        <x:f>G1465-D1465</x:f>
        <x:v>-135.18</x:v>
      </x:c>
      <x:c r="I1465" s="1" t="str">
        <x:f>IF(H1465&gt;0,"Overbilled","Shortfall")</x:f>
        <x:v>Shortfall</x:v>
      </x:c>
      <x:c r="J1465" s="7"/>
      <x:c r="K1465" s="7" t="str">
        <x:v>Open</x:v>
      </x:c>
      <x:c r="L1465" s="7"/>
    </x:row>
    <x:row r="1466" ht="21" customHeight="1">
      <x:c r="A1466" s="1" t="str">
        <x:f>Source!A1460</x:f>
        <x:v>C0013914</x:v>
      </x:c>
      <x:c r="B1466" s="1" t="str">
        <x:f>_xlfn.IFNA(VLOOKUP(Source!B1460,Advertisers!$A$5:$B$34,2,FALSE),"Missing advertiser")</x:f>
        <x:v>Synthetic advertiser 30</x:v>
      </x:c>
      <x:c r="C1466" s="1" t="n">
        <x:f>Source!C1460</x:f>
        <x:v>30</x:v>
      </x:c>
      <x:c r="D1466" s="8" t="n">
        <x:f>Source!D1460/100</x:f>
        <x:v>135.18</x:v>
      </x:c>
      <x:c r="E1466" s="8" t="n">
        <x:f>Source!E1460/100</x:f>
        <x:v>270.36</x:v>
      </x:c>
      <x:c r="F1466" s="8" t="n">
        <x:f>Source!F1460/100</x:f>
        <x:v>0</x:v>
      </x:c>
      <x:c r="G1466" s="8" t="n">
        <x:f>Source!G1460/100</x:f>
        <x:v>270.36</x:v>
      </x:c>
      <x:c r="H1466" s="8" t="n">
        <x:f>G1466-D1466</x:f>
        <x:v>135.18</x:v>
      </x:c>
      <x:c r="I1466" s="1" t="str">
        <x:f>IF(H1466&gt;0,"Overbilled","Shortfall")</x:f>
        <x:v>Overbilled</x:v>
      </x:c>
      <x:c r="J1466" s="7"/>
      <x:c r="K1466" s="7" t="str">
        <x:v>Open</x:v>
      </x:c>
      <x:c r="L1466" s="7"/>
    </x:row>
    <x:row r="1467" ht="21" customHeight="1">
      <x:c r="A1467" s="1" t="str">
        <x:f>Source!A1461</x:f>
        <x:v>C0006339</x:v>
      </x:c>
      <x:c r="B1467" s="1" t="str">
        <x:f>_xlfn.IFNA(VLOOKUP(Source!B1461,Advertisers!$A$5:$B$34,2,FALSE),"Missing advertiser")</x:f>
        <x:v>Synthetic advertiser 30</x:v>
      </x:c>
      <x:c r="C1467" s="1" t="n">
        <x:f>Source!C1461</x:f>
        <x:v>30</x:v>
      </x:c>
      <x:c r="D1467" s="8" t="n">
        <x:f>Source!D1461/100</x:f>
        <x:v>135.18</x:v>
      </x:c>
      <x:c r="E1467" s="8" t="n">
        <x:f>Source!E1461/100</x:f>
        <x:v>270.36</x:v>
      </x:c>
      <x:c r="F1467" s="8" t="n">
        <x:f>Source!F1461/100</x:f>
        <x:v>0</x:v>
      </x:c>
      <x:c r="G1467" s="8" t="n">
        <x:f>Source!G1461/100</x:f>
        <x:v>270.36</x:v>
      </x:c>
      <x:c r="H1467" s="8" t="n">
        <x:f>G1467-D1467</x:f>
        <x:v>135.18</x:v>
      </x:c>
      <x:c r="I1467" s="1" t="str">
        <x:f>IF(H1467&gt;0,"Overbilled","Shortfall")</x:f>
        <x:v>Overbilled</x:v>
      </x:c>
      <x:c r="J1467" s="7"/>
      <x:c r="K1467" s="7" t="str">
        <x:v>Open</x:v>
      </x:c>
      <x:c r="L1467" s="7"/>
    </x:row>
    <x:row r="1468" ht="21" customHeight="1">
      <x:c r="A1468" s="1" t="str">
        <x:f>Source!A1462</x:f>
        <x:v>C0005419</x:v>
      </x:c>
      <x:c r="B1468" s="1" t="str">
        <x:f>_xlfn.IFNA(VLOOKUP(Source!B1462,Advertisers!$A$5:$B$34,2,FALSE),"Missing advertiser")</x:f>
        <x:v>Synthetic advertiser 30</x:v>
      </x:c>
      <x:c r="C1468" s="1" t="n">
        <x:f>Source!C1462</x:f>
        <x:v>30</x:v>
      </x:c>
      <x:c r="D1468" s="8" t="n">
        <x:f>Source!D1462/100</x:f>
        <x:v>135.18</x:v>
      </x:c>
      <x:c r="E1468" s="8" t="n">
        <x:f>Source!E1462/100</x:f>
        <x:v>0</x:v>
      </x:c>
      <x:c r="F1468" s="8" t="n">
        <x:f>Source!F1462/100</x:f>
        <x:v>0</x:v>
      </x:c>
      <x:c r="G1468" s="8" t="n">
        <x:f>Source!G1462/100</x:f>
        <x:v>0</x:v>
      </x:c>
      <x:c r="H1468" s="8" t="n">
        <x:f>G1468-D1468</x:f>
        <x:v>-135.18</x:v>
      </x:c>
      <x:c r="I1468" s="1" t="str">
        <x:f>IF(H1468&gt;0,"Overbilled","Shortfall")</x:f>
        <x:v>Shortfall</x:v>
      </x:c>
      <x:c r="J1468" s="7"/>
      <x:c r="K1468" s="7" t="str">
        <x:v>Open</x:v>
      </x:c>
      <x:c r="L1468" s="7"/>
    </x:row>
    <x:row r="1469" ht="21" customHeight="1">
      <x:c r="A1469" s="1" t="str">
        <x:f>Source!A1463</x:f>
        <x:v>C0000644</x:v>
      </x:c>
      <x:c r="B1469" s="1" t="str">
        <x:f>_xlfn.IFNA(VLOOKUP(Source!B1463,Advertisers!$A$5:$B$34,2,FALSE),"Missing advertiser")</x:f>
        <x:v>Synthetic advertiser 19</x:v>
      </x:c>
      <x:c r="C1469" s="1" t="n">
        <x:f>Source!C1463</x:f>
        <x:v>79</x:v>
      </x:c>
      <x:c r="D1469" s="8" t="n">
        <x:f>Source!D1463/100</x:f>
        <x:v>134.98</x:v>
      </x:c>
      <x:c r="E1469" s="8" t="n">
        <x:f>Source!E1463/100</x:f>
        <x:v>269.96</x:v>
      </x:c>
      <x:c r="F1469" s="8" t="n">
        <x:f>Source!F1463/100</x:f>
        <x:v>0</x:v>
      </x:c>
      <x:c r="G1469" s="8" t="n">
        <x:f>Source!G1463/100</x:f>
        <x:v>269.96</x:v>
      </x:c>
      <x:c r="H1469" s="8" t="n">
        <x:f>G1469-D1469</x:f>
        <x:v>134.98</x:v>
      </x:c>
      <x:c r="I1469" s="1" t="str">
        <x:f>IF(H1469&gt;0,"Overbilled","Shortfall")</x:f>
        <x:v>Overbilled</x:v>
      </x:c>
      <x:c r="J1469" s="7"/>
      <x:c r="K1469" s="7" t="str">
        <x:v>Open</x:v>
      </x:c>
      <x:c r="L1469" s="7"/>
    </x:row>
    <x:row r="1470" ht="21" customHeight="1">
      <x:c r="A1470" s="1" t="str">
        <x:f>Source!A1464</x:f>
        <x:v>C0009070</x:v>
      </x:c>
      <x:c r="B1470" s="1" t="str">
        <x:f>_xlfn.IFNA(VLOOKUP(Source!B1464,Advertisers!$A$5:$B$34,2,FALSE),"Missing advertiser")</x:f>
        <x:v>Synthetic advertiser 19</x:v>
      </x:c>
      <x:c r="C1470" s="1" t="n">
        <x:f>Source!C1464</x:f>
        <x:v>79</x:v>
      </x:c>
      <x:c r="D1470" s="8" t="n">
        <x:f>Source!D1464/100</x:f>
        <x:v>134.98</x:v>
      </x:c>
      <x:c r="E1470" s="8" t="n">
        <x:f>Source!E1464/100</x:f>
        <x:v>0</x:v>
      </x:c>
      <x:c r="F1470" s="8" t="n">
        <x:f>Source!F1464/100</x:f>
        <x:v>0</x:v>
      </x:c>
      <x:c r="G1470" s="8" t="n">
        <x:f>Source!G1464/100</x:f>
        <x:v>0</x:v>
      </x:c>
      <x:c r="H1470" s="8" t="n">
        <x:f>G1470-D1470</x:f>
        <x:v>-134.98</x:v>
      </x:c>
      <x:c r="I1470" s="1" t="str">
        <x:f>IF(H1470&gt;0,"Overbilled","Shortfall")</x:f>
        <x:v>Shortfall</x:v>
      </x:c>
      <x:c r="J1470" s="7"/>
      <x:c r="K1470" s="7" t="str">
        <x:v>Open</x:v>
      </x:c>
      <x:c r="L1470" s="7"/>
    </x:row>
    <x:row r="1471" ht="21" customHeight="1">
      <x:c r="A1471" s="1" t="str">
        <x:f>Source!A1465</x:f>
        <x:v>C0003506</x:v>
      </x:c>
      <x:c r="B1471" s="1" t="str">
        <x:f>_xlfn.IFNA(VLOOKUP(Source!B1465,Advertisers!$A$5:$B$34,2,FALSE),"Missing advertiser")</x:f>
        <x:v>Synthetic advertiser 19</x:v>
      </x:c>
      <x:c r="C1471" s="1" t="n">
        <x:f>Source!C1465</x:f>
        <x:v>79</x:v>
      </x:c>
      <x:c r="D1471" s="8" t="n">
        <x:f>Source!D1465/100</x:f>
        <x:v>134.98</x:v>
      </x:c>
      <x:c r="E1471" s="8" t="n">
        <x:f>Source!E1465/100</x:f>
        <x:v>269.96</x:v>
      </x:c>
      <x:c r="F1471" s="8" t="n">
        <x:f>Source!F1465/100</x:f>
        <x:v>0</x:v>
      </x:c>
      <x:c r="G1471" s="8" t="n">
        <x:f>Source!G1465/100</x:f>
        <x:v>269.96</x:v>
      </x:c>
      <x:c r="H1471" s="8" t="n">
        <x:f>G1471-D1471</x:f>
        <x:v>134.98</x:v>
      </x:c>
      <x:c r="I1471" s="1" t="str">
        <x:f>IF(H1471&gt;0,"Overbilled","Shortfall")</x:f>
        <x:v>Overbilled</x:v>
      </x:c>
      <x:c r="J1471" s="7"/>
      <x:c r="K1471" s="7" t="str">
        <x:v>Open</x:v>
      </x:c>
      <x:c r="L1471" s="7"/>
    </x:row>
    <x:row r="1472" ht="21" customHeight="1">
      <x:c r="A1472" s="1" t="str">
        <x:f>Source!A1466</x:f>
        <x:v>C0006275</x:v>
      </x:c>
      <x:c r="B1472" s="1" t="str">
        <x:f>_xlfn.IFNA(VLOOKUP(Source!B1466,Advertisers!$A$5:$B$34,2,FALSE),"Missing advertiser")</x:f>
        <x:v>Synthetic advertiser 19</x:v>
      </x:c>
      <x:c r="C1472" s="1" t="n">
        <x:f>Source!C1466</x:f>
        <x:v>79</x:v>
      </x:c>
      <x:c r="D1472" s="8" t="n">
        <x:f>Source!D1466/100</x:f>
        <x:v>134.98</x:v>
      </x:c>
      <x:c r="E1472" s="8" t="n">
        <x:f>Source!E1466/100</x:f>
        <x:v>0</x:v>
      </x:c>
      <x:c r="F1472" s="8" t="n">
        <x:f>Source!F1466/100</x:f>
        <x:v>0</x:v>
      </x:c>
      <x:c r="G1472" s="8" t="n">
        <x:f>Source!G1466/100</x:f>
        <x:v>0</x:v>
      </x:c>
      <x:c r="H1472" s="8" t="n">
        <x:f>G1472-D1472</x:f>
        <x:v>-134.98</x:v>
      </x:c>
      <x:c r="I1472" s="1" t="str">
        <x:f>IF(H1472&gt;0,"Overbilled","Shortfall")</x:f>
        <x:v>Shortfall</x:v>
      </x:c>
      <x:c r="J1472" s="7"/>
      <x:c r="K1472" s="7" t="str">
        <x:v>Open</x:v>
      </x:c>
      <x:c r="L1472" s="7"/>
    </x:row>
    <x:row r="1473" ht="21" customHeight="1">
      <x:c r="A1473" s="1" t="str">
        <x:f>Source!A1467</x:f>
        <x:v>C0011601</x:v>
      </x:c>
      <x:c r="B1473" s="1" t="str">
        <x:f>_xlfn.IFNA(VLOOKUP(Source!B1467,Advertisers!$A$5:$B$34,2,FALSE),"Missing advertiser")</x:f>
        <x:v>Synthetic advertiser 19</x:v>
      </x:c>
      <x:c r="C1473" s="1" t="n">
        <x:f>Source!C1467</x:f>
        <x:v>79</x:v>
      </x:c>
      <x:c r="D1473" s="8" t="n">
        <x:f>Source!D1467/100</x:f>
        <x:v>134.98</x:v>
      </x:c>
      <x:c r="E1473" s="8" t="n">
        <x:f>Source!E1467/100</x:f>
        <x:v>0</x:v>
      </x:c>
      <x:c r="F1473" s="8" t="n">
        <x:f>Source!F1467/100</x:f>
        <x:v>0</x:v>
      </x:c>
      <x:c r="G1473" s="8" t="n">
        <x:f>Source!G1467/100</x:f>
        <x:v>0</x:v>
      </x:c>
      <x:c r="H1473" s="8" t="n">
        <x:f>G1473-D1473</x:f>
        <x:v>-134.98</x:v>
      </x:c>
      <x:c r="I1473" s="1" t="str">
        <x:f>IF(H1473&gt;0,"Overbilled","Shortfall")</x:f>
        <x:v>Shortfall</x:v>
      </x:c>
      <x:c r="J1473" s="7"/>
      <x:c r="K1473" s="7" t="str">
        <x:v>Open</x:v>
      </x:c>
      <x:c r="L1473" s="7"/>
    </x:row>
    <x:row r="1474" ht="21" customHeight="1">
      <x:c r="A1474" s="1" t="str">
        <x:f>Source!A1468</x:f>
        <x:v>C0017751</x:v>
      </x:c>
      <x:c r="B1474" s="1" t="str">
        <x:f>_xlfn.IFNA(VLOOKUP(Source!B1468,Advertisers!$A$5:$B$34,2,FALSE),"Missing advertiser")</x:f>
        <x:v>Synthetic advertiser 19</x:v>
      </x:c>
      <x:c r="C1474" s="1" t="n">
        <x:f>Source!C1468</x:f>
        <x:v>79</x:v>
      </x:c>
      <x:c r="D1474" s="8" t="n">
        <x:f>Source!D1468/100</x:f>
        <x:v>134.98</x:v>
      </x:c>
      <x:c r="E1474" s="8" t="n">
        <x:f>Source!E1468/100</x:f>
        <x:v>269.96</x:v>
      </x:c>
      <x:c r="F1474" s="8" t="n">
        <x:f>Source!F1468/100</x:f>
        <x:v>0</x:v>
      </x:c>
      <x:c r="G1474" s="8" t="n">
        <x:f>Source!G1468/100</x:f>
        <x:v>269.96</x:v>
      </x:c>
      <x:c r="H1474" s="8" t="n">
        <x:f>G1474-D1474</x:f>
        <x:v>134.98</x:v>
      </x:c>
      <x:c r="I1474" s="1" t="str">
        <x:f>IF(H1474&gt;0,"Overbilled","Shortfall")</x:f>
        <x:v>Overbilled</x:v>
      </x:c>
      <x:c r="J1474" s="7"/>
      <x:c r="K1474" s="7" t="str">
        <x:v>Open</x:v>
      </x:c>
      <x:c r="L1474" s="7"/>
    </x:row>
    <x:row r="1475" ht="21" customHeight="1">
      <x:c r="A1475" s="1" t="str">
        <x:f>Source!A1469</x:f>
        <x:v>C0003403</x:v>
      </x:c>
      <x:c r="B1475" s="1" t="str">
        <x:f>_xlfn.IFNA(VLOOKUP(Source!B1469,Advertisers!$A$5:$B$34,2,FALSE),"Missing advertiser")</x:f>
        <x:v>Synthetic advertiser 1</x:v>
      </x:c>
      <x:c r="C1475" s="1" t="n">
        <x:f>Source!C1469</x:f>
        <x:v>1</x:v>
      </x:c>
      <x:c r="D1475" s="8" t="n">
        <x:f>Source!D1469/100</x:f>
        <x:v>134.36</x:v>
      </x:c>
      <x:c r="E1475" s="8" t="n">
        <x:f>Source!E1469/100</x:f>
        <x:v>0</x:v>
      </x:c>
      <x:c r="F1475" s="8" t="n">
        <x:f>Source!F1469/100</x:f>
        <x:v>0</x:v>
      </x:c>
      <x:c r="G1475" s="8" t="n">
        <x:f>Source!G1469/100</x:f>
        <x:v>0</x:v>
      </x:c>
      <x:c r="H1475" s="8" t="n">
        <x:f>G1475-D1475</x:f>
        <x:v>-134.36</x:v>
      </x:c>
      <x:c r="I1475" s="1" t="str">
        <x:f>IF(H1475&gt;0,"Overbilled","Shortfall")</x:f>
        <x:v>Shortfall</x:v>
      </x:c>
      <x:c r="J1475" s="7"/>
      <x:c r="K1475" s="7" t="str">
        <x:v>Open</x:v>
      </x:c>
      <x:c r="L1475" s="7"/>
    </x:row>
    <x:row r="1476" ht="21" customHeight="1">
      <x:c r="A1476" s="1" t="str">
        <x:f>Source!A1470</x:f>
        <x:v>C0004080</x:v>
      </x:c>
      <x:c r="B1476" s="1" t="str">
        <x:f>_xlfn.IFNA(VLOOKUP(Source!B1470,Advertisers!$A$5:$B$34,2,FALSE),"Missing advertiser")</x:f>
        <x:v>Synthetic advertiser 1</x:v>
      </x:c>
      <x:c r="C1476" s="1" t="n">
        <x:f>Source!C1470</x:f>
        <x:v>1</x:v>
      </x:c>
      <x:c r="D1476" s="8" t="n">
        <x:f>Source!D1470/100</x:f>
        <x:v>134.36</x:v>
      </x:c>
      <x:c r="E1476" s="8" t="n">
        <x:f>Source!E1470/100</x:f>
        <x:v>268.72</x:v>
      </x:c>
      <x:c r="F1476" s="8" t="n">
        <x:f>Source!F1470/100</x:f>
        <x:v>0</x:v>
      </x:c>
      <x:c r="G1476" s="8" t="n">
        <x:f>Source!G1470/100</x:f>
        <x:v>268.72</x:v>
      </x:c>
      <x:c r="H1476" s="8" t="n">
        <x:f>G1476-D1476</x:f>
        <x:v>134.36</x:v>
      </x:c>
      <x:c r="I1476" s="1" t="str">
        <x:f>IF(H1476&gt;0,"Overbilled","Shortfall")</x:f>
        <x:v>Overbilled</x:v>
      </x:c>
      <x:c r="J1476" s="7"/>
      <x:c r="K1476" s="7" t="str">
        <x:v>Open</x:v>
      </x:c>
      <x:c r="L1476" s="7"/>
    </x:row>
    <x:row r="1477" ht="21" customHeight="1">
      <x:c r="A1477" s="1" t="str">
        <x:f>Source!A1471</x:f>
        <x:v>C0017383</x:v>
      </x:c>
      <x:c r="B1477" s="1" t="str">
        <x:f>_xlfn.IFNA(VLOOKUP(Source!B1471,Advertisers!$A$5:$B$34,2,FALSE),"Missing advertiser")</x:f>
        <x:v>Synthetic advertiser 1</x:v>
      </x:c>
      <x:c r="C1477" s="1" t="n">
        <x:f>Source!C1471</x:f>
        <x:v>1</x:v>
      </x:c>
      <x:c r="D1477" s="8" t="n">
        <x:f>Source!D1471/100</x:f>
        <x:v>134.36</x:v>
      </x:c>
      <x:c r="E1477" s="8" t="n">
        <x:f>Source!E1471/100</x:f>
        <x:v>0</x:v>
      </x:c>
      <x:c r="F1477" s="8" t="n">
        <x:f>Source!F1471/100</x:f>
        <x:v>0</x:v>
      </x:c>
      <x:c r="G1477" s="8" t="n">
        <x:f>Source!G1471/100</x:f>
        <x:v>0</x:v>
      </x:c>
      <x:c r="H1477" s="8" t="n">
        <x:f>G1477-D1477</x:f>
        <x:v>-134.36</x:v>
      </x:c>
      <x:c r="I1477" s="1" t="str">
        <x:f>IF(H1477&gt;0,"Overbilled","Shortfall")</x:f>
        <x:v>Shortfall</x:v>
      </x:c>
      <x:c r="J1477" s="7"/>
      <x:c r="K1477" s="7" t="str">
        <x:v>Open</x:v>
      </x:c>
      <x:c r="L1477" s="7"/>
    </x:row>
    <x:row r="1478" ht="21" customHeight="1">
      <x:c r="A1478" s="1" t="str">
        <x:f>Source!A1472</x:f>
        <x:v>C0005304</x:v>
      </x:c>
      <x:c r="B1478" s="1" t="str">
        <x:f>_xlfn.IFNA(VLOOKUP(Source!B1472,Advertisers!$A$5:$B$34,2,FALSE),"Missing advertiser")</x:f>
        <x:v>Synthetic advertiser 1</x:v>
      </x:c>
      <x:c r="C1478" s="1" t="n">
        <x:f>Source!C1472</x:f>
        <x:v>1</x:v>
      </x:c>
      <x:c r="D1478" s="8" t="n">
        <x:f>Source!D1472/100</x:f>
        <x:v>134.36</x:v>
      </x:c>
      <x:c r="E1478" s="8" t="n">
        <x:f>Source!E1472/100</x:f>
        <x:v>0</x:v>
      </x:c>
      <x:c r="F1478" s="8" t="n">
        <x:f>Source!F1472/100</x:f>
        <x:v>0</x:v>
      </x:c>
      <x:c r="G1478" s="8" t="n">
        <x:f>Source!G1472/100</x:f>
        <x:v>0</x:v>
      </x:c>
      <x:c r="H1478" s="8" t="n">
        <x:f>G1478-D1478</x:f>
        <x:v>-134.36</x:v>
      </x:c>
      <x:c r="I1478" s="1" t="str">
        <x:f>IF(H1478&gt;0,"Overbilled","Shortfall")</x:f>
        <x:v>Shortfall</x:v>
      </x:c>
      <x:c r="J1478" s="7"/>
      <x:c r="K1478" s="7" t="str">
        <x:v>Open</x:v>
      </x:c>
      <x:c r="L1478" s="7"/>
    </x:row>
    <x:row r="1479" ht="21" customHeight="1">
      <x:c r="A1479" s="1" t="str">
        <x:f>Source!A1473</x:f>
        <x:v>C0007158</x:v>
      </x:c>
      <x:c r="B1479" s="1" t="str">
        <x:f>_xlfn.IFNA(VLOOKUP(Source!B1473,Advertisers!$A$5:$B$34,2,FALSE),"Missing advertiser")</x:f>
        <x:v>Synthetic advertiser 1</x:v>
      </x:c>
      <x:c r="C1479" s="1" t="n">
        <x:f>Source!C1473</x:f>
        <x:v>1</x:v>
      </x:c>
      <x:c r="D1479" s="8" t="n">
        <x:f>Source!D1473/100</x:f>
        <x:v>134.36</x:v>
      </x:c>
      <x:c r="E1479" s="8" t="n">
        <x:f>Source!E1473/100</x:f>
        <x:v>0</x:v>
      </x:c>
      <x:c r="F1479" s="8" t="n">
        <x:f>Source!F1473/100</x:f>
        <x:v>0</x:v>
      </x:c>
      <x:c r="G1479" s="8" t="n">
        <x:f>Source!G1473/100</x:f>
        <x:v>0</x:v>
      </x:c>
      <x:c r="H1479" s="8" t="n">
        <x:f>G1479-D1479</x:f>
        <x:v>-134.36</x:v>
      </x:c>
      <x:c r="I1479" s="1" t="str">
        <x:f>IF(H1479&gt;0,"Overbilled","Shortfall")</x:f>
        <x:v>Shortfall</x:v>
      </x:c>
      <x:c r="J1479" s="7"/>
      <x:c r="K1479" s="7" t="str">
        <x:v>Open</x:v>
      </x:c>
      <x:c r="L1479" s="7"/>
    </x:row>
    <x:row r="1480" ht="21" customHeight="1">
      <x:c r="A1480" s="1" t="str">
        <x:f>Source!A1474</x:f>
        <x:v>C0001994</x:v>
      </x:c>
      <x:c r="B1480" s="1" t="str">
        <x:f>_xlfn.IFNA(VLOOKUP(Source!B1474,Advertisers!$A$5:$B$34,2,FALSE),"Missing advertiser")</x:f>
        <x:v>Synthetic advertiser 1</x:v>
      </x:c>
      <x:c r="C1480" s="1" t="n">
        <x:f>Source!C1474</x:f>
        <x:v>1</x:v>
      </x:c>
      <x:c r="D1480" s="8" t="n">
        <x:f>Source!D1474/100</x:f>
        <x:v>134.36</x:v>
      </x:c>
      <x:c r="E1480" s="8" t="n">
        <x:f>Source!E1474/100</x:f>
        <x:v>0</x:v>
      </x:c>
      <x:c r="F1480" s="8" t="n">
        <x:f>Source!F1474/100</x:f>
        <x:v>0</x:v>
      </x:c>
      <x:c r="G1480" s="8" t="n">
        <x:f>Source!G1474/100</x:f>
        <x:v>0</x:v>
      </x:c>
      <x:c r="H1480" s="8" t="n">
        <x:f>G1480-D1480</x:f>
        <x:v>-134.36</x:v>
      </x:c>
      <x:c r="I1480" s="1" t="str">
        <x:f>IF(H1480&gt;0,"Overbilled","Shortfall")</x:f>
        <x:v>Shortfall</x:v>
      </x:c>
      <x:c r="J1480" s="7"/>
      <x:c r="K1480" s="7" t="str">
        <x:v>Open</x:v>
      </x:c>
      <x:c r="L1480" s="7"/>
    </x:row>
    <x:row r="1481" ht="21" customHeight="1">
      <x:c r="A1481" s="1" t="str">
        <x:f>Source!A1475</x:f>
        <x:v>C0009207</x:v>
      </x:c>
      <x:c r="B1481" s="1" t="str">
        <x:f>_xlfn.IFNA(VLOOKUP(Source!B1475,Advertisers!$A$5:$B$34,2,FALSE),"Missing advertiser")</x:f>
        <x:v>Synthetic advertiser 1</x:v>
      </x:c>
      <x:c r="C1481" s="1" t="n">
        <x:f>Source!C1475</x:f>
        <x:v>1</x:v>
      </x:c>
      <x:c r="D1481" s="8" t="n">
        <x:f>Source!D1475/100</x:f>
        <x:v>134.36</x:v>
      </x:c>
      <x:c r="E1481" s="8" t="n">
        <x:f>Source!E1475/100</x:f>
        <x:v>268.72</x:v>
      </x:c>
      <x:c r="F1481" s="8" t="n">
        <x:f>Source!F1475/100</x:f>
        <x:v>0</x:v>
      </x:c>
      <x:c r="G1481" s="8" t="n">
        <x:f>Source!G1475/100</x:f>
        <x:v>268.72</x:v>
      </x:c>
      <x:c r="H1481" s="8" t="n">
        <x:f>G1481-D1481</x:f>
        <x:v>134.36</x:v>
      </x:c>
      <x:c r="I1481" s="1" t="str">
        <x:f>IF(H1481&gt;0,"Overbilled","Shortfall")</x:f>
        <x:v>Overbilled</x:v>
      </x:c>
      <x:c r="J1481" s="7"/>
      <x:c r="K1481" s="7" t="str">
        <x:v>Open</x:v>
      </x:c>
      <x:c r="L1481" s="7"/>
    </x:row>
    <x:row r="1482" ht="21" customHeight="1">
      <x:c r="A1482" s="1" t="str">
        <x:f>Source!A1476</x:f>
        <x:v>C0009400</x:v>
      </x:c>
      <x:c r="B1482" s="1" t="str">
        <x:f>_xlfn.IFNA(VLOOKUP(Source!B1476,Advertisers!$A$5:$B$34,2,FALSE),"Missing advertiser")</x:f>
        <x:v>Synthetic advertiser 1</x:v>
      </x:c>
      <x:c r="C1482" s="1" t="n">
        <x:f>Source!C1476</x:f>
        <x:v>1</x:v>
      </x:c>
      <x:c r="D1482" s="8" t="n">
        <x:f>Source!D1476/100</x:f>
        <x:v>134.36</x:v>
      </x:c>
      <x:c r="E1482" s="8" t="n">
        <x:f>Source!E1476/100</x:f>
        <x:v>0</x:v>
      </x:c>
      <x:c r="F1482" s="8" t="n">
        <x:f>Source!F1476/100</x:f>
        <x:v>0</x:v>
      </x:c>
      <x:c r="G1482" s="8" t="n">
        <x:f>Source!G1476/100</x:f>
        <x:v>0</x:v>
      </x:c>
      <x:c r="H1482" s="8" t="n">
        <x:f>G1482-D1482</x:f>
        <x:v>-134.36</x:v>
      </x:c>
      <x:c r="I1482" s="1" t="str">
        <x:f>IF(H1482&gt;0,"Overbilled","Shortfall")</x:f>
        <x:v>Shortfall</x:v>
      </x:c>
      <x:c r="J1482" s="7"/>
      <x:c r="K1482" s="7" t="str">
        <x:v>Open</x:v>
      </x:c>
      <x:c r="L1482" s="7"/>
    </x:row>
    <x:row r="1483" ht="21" customHeight="1">
      <x:c r="A1483" s="1" t="str">
        <x:f>Source!A1477</x:f>
        <x:v>C0000001</x:v>
      </x:c>
      <x:c r="B1483" s="1" t="str">
        <x:f>_xlfn.IFNA(VLOOKUP(Source!B1477,Advertisers!$A$5:$B$34,2,FALSE),"Missing advertiser")</x:f>
        <x:v>Synthetic advertiser 1</x:v>
      </x:c>
      <x:c r="C1483" s="1" t="n">
        <x:f>Source!C1477</x:f>
        <x:v>1</x:v>
      </x:c>
      <x:c r="D1483" s="8" t="n">
        <x:f>Source!D1477/100</x:f>
        <x:v>134.36</x:v>
      </x:c>
      <x:c r="E1483" s="8" t="n">
        <x:f>Source!E1477/100</x:f>
        <x:v>0</x:v>
      </x:c>
      <x:c r="F1483" s="8" t="n">
        <x:f>Source!F1477/100</x:f>
        <x:v>0</x:v>
      </x:c>
      <x:c r="G1483" s="8" t="n">
        <x:f>Source!G1477/100</x:f>
        <x:v>0</x:v>
      </x:c>
      <x:c r="H1483" s="8" t="n">
        <x:f>G1483-D1483</x:f>
        <x:v>-134.36</x:v>
      </x:c>
      <x:c r="I1483" s="1" t="str">
        <x:f>IF(H1483&gt;0,"Overbilled","Shortfall")</x:f>
        <x:v>Shortfall</x:v>
      </x:c>
      <x:c r="J1483" s="7"/>
      <x:c r="K1483" s="7" t="str">
        <x:v>Open</x:v>
      </x:c>
      <x:c r="L1483" s="7"/>
    </x:row>
    <x:row r="1484" ht="21" customHeight="1">
      <x:c r="A1484" s="1" t="str">
        <x:f>Source!A1478</x:f>
        <x:v>C0016998</x:v>
      </x:c>
      <x:c r="B1484" s="1" t="str">
        <x:f>_xlfn.IFNA(VLOOKUP(Source!B1478,Advertisers!$A$5:$B$34,2,FALSE),"Missing advertiser")</x:f>
        <x:v>Synthetic advertiser 10</x:v>
      </x:c>
      <x:c r="C1484" s="1" t="n">
        <x:f>Source!C1478</x:f>
        <x:v>70</x:v>
      </x:c>
      <x:c r="D1484" s="8" t="n">
        <x:f>Source!D1478/100</x:f>
        <x:v>134.05</x:v>
      </x:c>
      <x:c r="E1484" s="8" t="n">
        <x:f>Source!E1478/100</x:f>
        <x:v>268.1</x:v>
      </x:c>
      <x:c r="F1484" s="8" t="n">
        <x:f>Source!F1478/100</x:f>
        <x:v>0</x:v>
      </x:c>
      <x:c r="G1484" s="8" t="n">
        <x:f>Source!G1478/100</x:f>
        <x:v>268.1</x:v>
      </x:c>
      <x:c r="H1484" s="8" t="n">
        <x:f>G1484-D1484</x:f>
        <x:v>134.05</x:v>
      </x:c>
      <x:c r="I1484" s="1" t="str">
        <x:f>IF(H1484&gt;0,"Overbilled","Shortfall")</x:f>
        <x:v>Overbilled</x:v>
      </x:c>
      <x:c r="J1484" s="7"/>
      <x:c r="K1484" s="7" t="str">
        <x:v>Open</x:v>
      </x:c>
      <x:c r="L1484" s="7"/>
    </x:row>
    <x:row r="1485" ht="21" customHeight="1">
      <x:c r="A1485" s="1" t="str">
        <x:f>Source!A1479</x:f>
        <x:v>C0003912</x:v>
      </x:c>
      <x:c r="B1485" s="1" t="str">
        <x:f>_xlfn.IFNA(VLOOKUP(Source!B1479,Advertisers!$A$5:$B$34,2,FALSE),"Missing advertiser")</x:f>
        <x:v>Synthetic advertiser 10</x:v>
      </x:c>
      <x:c r="C1485" s="1" t="n">
        <x:f>Source!C1479</x:f>
        <x:v>70</x:v>
      </x:c>
      <x:c r="D1485" s="8" t="n">
        <x:f>Source!D1479/100</x:f>
        <x:v>134.05</x:v>
      </x:c>
      <x:c r="E1485" s="8" t="n">
        <x:f>Source!E1479/100</x:f>
        <x:v>268.1</x:v>
      </x:c>
      <x:c r="F1485" s="8" t="n">
        <x:f>Source!F1479/100</x:f>
        <x:v>0</x:v>
      </x:c>
      <x:c r="G1485" s="8" t="n">
        <x:f>Source!G1479/100</x:f>
        <x:v>268.1</x:v>
      </x:c>
      <x:c r="H1485" s="8" t="n">
        <x:f>G1485-D1485</x:f>
        <x:v>134.05</x:v>
      </x:c>
      <x:c r="I1485" s="1" t="str">
        <x:f>IF(H1485&gt;0,"Overbilled","Shortfall")</x:f>
        <x:v>Overbilled</x:v>
      </x:c>
      <x:c r="J1485" s="7"/>
      <x:c r="K1485" s="7" t="str">
        <x:v>Open</x:v>
      </x:c>
      <x:c r="L1485" s="7"/>
    </x:row>
    <x:row r="1486" ht="21" customHeight="1">
      <x:c r="A1486" s="1" t="str">
        <x:f>Source!A1480</x:f>
        <x:v>C0007650</x:v>
      </x:c>
      <x:c r="B1486" s="1" t="str">
        <x:f>_xlfn.IFNA(VLOOKUP(Source!B1480,Advertisers!$A$5:$B$34,2,FALSE),"Missing advertiser")</x:f>
        <x:v>Synthetic advertiser 10</x:v>
      </x:c>
      <x:c r="C1486" s="1" t="n">
        <x:f>Source!C1480</x:f>
        <x:v>70</x:v>
      </x:c>
      <x:c r="D1486" s="8" t="n">
        <x:f>Source!D1480/100</x:f>
        <x:v>134.05</x:v>
      </x:c>
      <x:c r="E1486" s="8" t="n">
        <x:f>Source!E1480/100</x:f>
        <x:v>0</x:v>
      </x:c>
      <x:c r="F1486" s="8" t="n">
        <x:f>Source!F1480/100</x:f>
        <x:v>0</x:v>
      </x:c>
      <x:c r="G1486" s="8" t="n">
        <x:f>Source!G1480/100</x:f>
        <x:v>0</x:v>
      </x:c>
      <x:c r="H1486" s="8" t="n">
        <x:f>G1486-D1486</x:f>
        <x:v>-134.05</x:v>
      </x:c>
      <x:c r="I1486" s="1" t="str">
        <x:f>IF(H1486&gt;0,"Overbilled","Shortfall")</x:f>
        <x:v>Shortfall</x:v>
      </x:c>
      <x:c r="J1486" s="7"/>
      <x:c r="K1486" s="7" t="str">
        <x:v>Open</x:v>
      </x:c>
      <x:c r="L1486" s="7"/>
    </x:row>
    <x:row r="1487" ht="21" customHeight="1">
      <x:c r="A1487" s="1" t="str">
        <x:f>Source!A1481</x:f>
        <x:v>C0009673</x:v>
      </x:c>
      <x:c r="B1487" s="1" t="str">
        <x:f>_xlfn.IFNA(VLOOKUP(Source!B1481,Advertisers!$A$5:$B$34,2,FALSE),"Missing advertiser")</x:f>
        <x:v>Synthetic advertiser 10</x:v>
      </x:c>
      <x:c r="C1487" s="1" t="n">
        <x:f>Source!C1481</x:f>
        <x:v>70</x:v>
      </x:c>
      <x:c r="D1487" s="8" t="n">
        <x:f>Source!D1481/100</x:f>
        <x:v>0</x:v>
      </x:c>
      <x:c r="E1487" s="8" t="n">
        <x:f>Source!E1481/100</x:f>
        <x:v>134.05</x:v>
      </x:c>
      <x:c r="F1487" s="8" t="n">
        <x:f>Source!F1481/100</x:f>
        <x:v>0</x:v>
      </x:c>
      <x:c r="G1487" s="8" t="n">
        <x:f>Source!G1481/100</x:f>
        <x:v>134.05</x:v>
      </x:c>
      <x:c r="H1487" s="8" t="n">
        <x:f>G1487-D1487</x:f>
        <x:v>134.05</x:v>
      </x:c>
      <x:c r="I1487" s="1" t="str">
        <x:f>IF(H1487&gt;0,"Overbilled","Shortfall")</x:f>
        <x:v>Overbilled</x:v>
      </x:c>
      <x:c r="J1487" s="7"/>
      <x:c r="K1487" s="7" t="str">
        <x:v>Open</x:v>
      </x:c>
      <x:c r="L1487" s="7"/>
    </x:row>
    <x:row r="1488" ht="21" customHeight="1">
      <x:c r="A1488" s="1" t="str">
        <x:f>Source!A1482</x:f>
        <x:v>C0004906</x:v>
      </x:c>
      <x:c r="B1488" s="1" t="str">
        <x:f>_xlfn.IFNA(VLOOKUP(Source!B1482,Advertisers!$A$5:$B$34,2,FALSE),"Missing advertiser")</x:f>
        <x:v>Synthetic advertiser 10</x:v>
      </x:c>
      <x:c r="C1488" s="1" t="n">
        <x:f>Source!C1482</x:f>
        <x:v>70</x:v>
      </x:c>
      <x:c r="D1488" s="8" t="n">
        <x:f>Source!D1482/100</x:f>
        <x:v>134.05</x:v>
      </x:c>
      <x:c r="E1488" s="8" t="n">
        <x:f>Source!E1482/100</x:f>
        <x:v>0</x:v>
      </x:c>
      <x:c r="F1488" s="8" t="n">
        <x:f>Source!F1482/100</x:f>
        <x:v>0</x:v>
      </x:c>
      <x:c r="G1488" s="8" t="n">
        <x:f>Source!G1482/100</x:f>
        <x:v>0</x:v>
      </x:c>
      <x:c r="H1488" s="8" t="n">
        <x:f>G1488-D1488</x:f>
        <x:v>-134.05</x:v>
      </x:c>
      <x:c r="I1488" s="1" t="str">
        <x:f>IF(H1488&gt;0,"Overbilled","Shortfall")</x:f>
        <x:v>Shortfall</x:v>
      </x:c>
      <x:c r="J1488" s="7"/>
      <x:c r="K1488" s="7" t="str">
        <x:v>Open</x:v>
      </x:c>
      <x:c r="L1488" s="7"/>
    </x:row>
    <x:row r="1489" ht="21" customHeight="1">
      <x:c r="A1489" s="1" t="str">
        <x:f>Source!A1483</x:f>
        <x:v>C0005819</x:v>
      </x:c>
      <x:c r="B1489" s="1" t="str">
        <x:f>_xlfn.IFNA(VLOOKUP(Source!B1483,Advertisers!$A$5:$B$34,2,FALSE),"Missing advertiser")</x:f>
        <x:v>Synthetic advertiser 10</x:v>
      </x:c>
      <x:c r="C1489" s="1" t="n">
        <x:f>Source!C1483</x:f>
        <x:v>70</x:v>
      </x:c>
      <x:c r="D1489" s="8" t="n">
        <x:f>Source!D1483/100</x:f>
        <x:v>134.05</x:v>
      </x:c>
      <x:c r="E1489" s="8" t="n">
        <x:f>Source!E1483/100</x:f>
        <x:v>0</x:v>
      </x:c>
      <x:c r="F1489" s="8" t="n">
        <x:f>Source!F1483/100</x:f>
        <x:v>0</x:v>
      </x:c>
      <x:c r="G1489" s="8" t="n">
        <x:f>Source!G1483/100</x:f>
        <x:v>0</x:v>
      </x:c>
      <x:c r="H1489" s="8" t="n">
        <x:f>G1489-D1489</x:f>
        <x:v>-134.05</x:v>
      </x:c>
      <x:c r="I1489" s="1" t="str">
        <x:f>IF(H1489&gt;0,"Overbilled","Shortfall")</x:f>
        <x:v>Shortfall</x:v>
      </x:c>
      <x:c r="J1489" s="7"/>
      <x:c r="K1489" s="7" t="str">
        <x:v>Open</x:v>
      </x:c>
      <x:c r="L1489" s="7"/>
    </x:row>
    <x:row r="1490" ht="21" customHeight="1">
      <x:c r="A1490" s="1" t="str">
        <x:f>Source!A1484</x:f>
        <x:v>C0011307</x:v>
      </x:c>
      <x:c r="B1490" s="1" t="str">
        <x:f>_xlfn.IFNA(VLOOKUP(Source!B1484,Advertisers!$A$5:$B$34,2,FALSE),"Missing advertiser")</x:f>
        <x:v>Synthetic advertiser 10</x:v>
      </x:c>
      <x:c r="C1490" s="1" t="n">
        <x:f>Source!C1484</x:f>
        <x:v>70</x:v>
      </x:c>
      <x:c r="D1490" s="8" t="n">
        <x:f>Source!D1484/100</x:f>
        <x:v>134.05</x:v>
      </x:c>
      <x:c r="E1490" s="8" t="n">
        <x:f>Source!E1484/100</x:f>
        <x:v>0</x:v>
      </x:c>
      <x:c r="F1490" s="8" t="n">
        <x:f>Source!F1484/100</x:f>
        <x:v>0</x:v>
      </x:c>
      <x:c r="G1490" s="8" t="n">
        <x:f>Source!G1484/100</x:f>
        <x:v>0</x:v>
      </x:c>
      <x:c r="H1490" s="8" t="n">
        <x:f>G1490-D1490</x:f>
        <x:v>-134.05</x:v>
      </x:c>
      <x:c r="I1490" s="1" t="str">
        <x:f>IF(H1490&gt;0,"Overbilled","Shortfall")</x:f>
        <x:v>Shortfall</x:v>
      </x:c>
      <x:c r="J1490" s="7"/>
      <x:c r="K1490" s="7" t="str">
        <x:v>Open</x:v>
      </x:c>
      <x:c r="L1490" s="7"/>
    </x:row>
    <x:row r="1491" ht="21" customHeight="1">
      <x:c r="A1491" s="1" t="str">
        <x:f>Source!A1485</x:f>
        <x:v>C0000946</x:v>
      </x:c>
      <x:c r="B1491" s="1" t="str">
        <x:f>_xlfn.IFNA(VLOOKUP(Source!B1485,Advertisers!$A$5:$B$34,2,FALSE),"Missing advertiser")</x:f>
        <x:v>Synthetic advertiser 10</x:v>
      </x:c>
      <x:c r="C1491" s="1" t="n">
        <x:f>Source!C1485</x:f>
        <x:v>70</x:v>
      </x:c>
      <x:c r="D1491" s="8" t="n">
        <x:f>Source!D1485/100</x:f>
        <x:v>134.05</x:v>
      </x:c>
      <x:c r="E1491" s="8" t="n">
        <x:f>Source!E1485/100</x:f>
        <x:v>268.1</x:v>
      </x:c>
      <x:c r="F1491" s="8" t="n">
        <x:f>Source!F1485/100</x:f>
        <x:v>0</x:v>
      </x:c>
      <x:c r="G1491" s="8" t="n">
        <x:f>Source!G1485/100</x:f>
        <x:v>268.1</x:v>
      </x:c>
      <x:c r="H1491" s="8" t="n">
        <x:f>G1491-D1491</x:f>
        <x:v>134.05</x:v>
      </x:c>
      <x:c r="I1491" s="1" t="str">
        <x:f>IF(H1491&gt;0,"Overbilled","Shortfall")</x:f>
        <x:v>Overbilled</x:v>
      </x:c>
      <x:c r="J1491" s="7"/>
      <x:c r="K1491" s="7" t="str">
        <x:v>Open</x:v>
      </x:c>
      <x:c r="L1491" s="7"/>
    </x:row>
    <x:row r="1492" ht="21" customHeight="1">
      <x:c r="A1492" s="1" t="str">
        <x:f>Source!A1486</x:f>
        <x:v>C0004692</x:v>
      </x:c>
      <x:c r="B1492" s="1" t="str">
        <x:f>_xlfn.IFNA(VLOOKUP(Source!B1486,Advertisers!$A$5:$B$34,2,FALSE),"Missing advertiser")</x:f>
        <x:v>Synthetic advertiser 10</x:v>
      </x:c>
      <x:c r="C1492" s="1" t="n">
        <x:f>Source!C1486</x:f>
        <x:v>10</x:v>
      </x:c>
      <x:c r="D1492" s="8" t="n">
        <x:f>Source!D1486/100</x:f>
        <x:v>133.59</x:v>
      </x:c>
      <x:c r="E1492" s="8" t="n">
        <x:f>Source!E1486/100</x:f>
        <x:v>267.18</x:v>
      </x:c>
      <x:c r="F1492" s="8" t="n">
        <x:f>Source!F1486/100</x:f>
        <x:v>0</x:v>
      </x:c>
      <x:c r="G1492" s="8" t="n">
        <x:f>Source!G1486/100</x:f>
        <x:v>267.18</x:v>
      </x:c>
      <x:c r="H1492" s="8" t="n">
        <x:f>G1492-D1492</x:f>
        <x:v>133.59</x:v>
      </x:c>
      <x:c r="I1492" s="1" t="str">
        <x:f>IF(H1492&gt;0,"Overbilled","Shortfall")</x:f>
        <x:v>Overbilled</x:v>
      </x:c>
      <x:c r="J1492" s="7"/>
      <x:c r="K1492" s="7" t="str">
        <x:v>Open</x:v>
      </x:c>
      <x:c r="L1492" s="7"/>
    </x:row>
    <x:row r="1493" ht="21" customHeight="1">
      <x:c r="A1493" s="1" t="str">
        <x:f>Source!A1487</x:f>
        <x:v>C0010243</x:v>
      </x:c>
      <x:c r="B1493" s="1" t="str">
        <x:f>_xlfn.IFNA(VLOOKUP(Source!B1487,Advertisers!$A$5:$B$34,2,FALSE),"Missing advertiser")</x:f>
        <x:v>Synthetic advertiser 10</x:v>
      </x:c>
      <x:c r="C1493" s="1" t="n">
        <x:f>Source!C1487</x:f>
        <x:v>10</x:v>
      </x:c>
      <x:c r="D1493" s="8" t="n">
        <x:f>Source!D1487/100</x:f>
        <x:v>133.59</x:v>
      </x:c>
      <x:c r="E1493" s="8" t="n">
        <x:f>Source!E1487/100</x:f>
        <x:v>0</x:v>
      </x:c>
      <x:c r="F1493" s="8" t="n">
        <x:f>Source!F1487/100</x:f>
        <x:v>0</x:v>
      </x:c>
      <x:c r="G1493" s="8" t="n">
        <x:f>Source!G1487/100</x:f>
        <x:v>0</x:v>
      </x:c>
      <x:c r="H1493" s="8" t="n">
        <x:f>G1493-D1493</x:f>
        <x:v>-133.59</x:v>
      </x:c>
      <x:c r="I1493" s="1" t="str">
        <x:f>IF(H1493&gt;0,"Overbilled","Shortfall")</x:f>
        <x:v>Shortfall</x:v>
      </x:c>
      <x:c r="J1493" s="7"/>
      <x:c r="K1493" s="7" t="str">
        <x:v>Open</x:v>
      </x:c>
      <x:c r="L1493" s="7"/>
    </x:row>
    <x:row r="1494" ht="21" customHeight="1">
      <x:c r="A1494" s="1" t="str">
        <x:f>Source!A1488</x:f>
        <x:v>C0015860</x:v>
      </x:c>
      <x:c r="B1494" s="1" t="str">
        <x:f>_xlfn.IFNA(VLOOKUP(Source!B1488,Advertisers!$A$5:$B$34,2,FALSE),"Missing advertiser")</x:f>
        <x:v>Synthetic advertiser 10</x:v>
      </x:c>
      <x:c r="C1494" s="1" t="n">
        <x:f>Source!C1488</x:f>
        <x:v>10</x:v>
      </x:c>
      <x:c r="D1494" s="8" t="n">
        <x:f>Source!D1488/100</x:f>
        <x:v>133.59</x:v>
      </x:c>
      <x:c r="E1494" s="8" t="n">
        <x:f>Source!E1488/100</x:f>
        <x:v>0</x:v>
      </x:c>
      <x:c r="F1494" s="8" t="n">
        <x:f>Source!F1488/100</x:f>
        <x:v>0</x:v>
      </x:c>
      <x:c r="G1494" s="8" t="n">
        <x:f>Source!G1488/100</x:f>
        <x:v>0</x:v>
      </x:c>
      <x:c r="H1494" s="8" t="n">
        <x:f>G1494-D1494</x:f>
        <x:v>-133.59</x:v>
      </x:c>
      <x:c r="I1494" s="1" t="str">
        <x:f>IF(H1494&gt;0,"Overbilled","Shortfall")</x:f>
        <x:v>Shortfall</x:v>
      </x:c>
      <x:c r="J1494" s="7"/>
      <x:c r="K1494" s="7" t="str">
        <x:v>Open</x:v>
      </x:c>
      <x:c r="L1494" s="7"/>
    </x:row>
    <x:row r="1495" ht="21" customHeight="1">
      <x:c r="A1495" s="1" t="str">
        <x:f>Source!A1489</x:f>
        <x:v>C0011531</x:v>
      </x:c>
      <x:c r="B1495" s="1" t="str">
        <x:f>_xlfn.IFNA(VLOOKUP(Source!B1489,Advertisers!$A$5:$B$34,2,FALSE),"Missing advertiser")</x:f>
        <x:v>Synthetic advertiser 10</x:v>
      </x:c>
      <x:c r="C1495" s="1" t="n">
        <x:f>Source!C1489</x:f>
        <x:v>10</x:v>
      </x:c>
      <x:c r="D1495" s="8" t="n">
        <x:f>Source!D1489/100</x:f>
        <x:v>133.59</x:v>
      </x:c>
      <x:c r="E1495" s="8" t="n">
        <x:f>Source!E1489/100</x:f>
        <x:v>267.18</x:v>
      </x:c>
      <x:c r="F1495" s="8" t="n">
        <x:f>Source!F1489/100</x:f>
        <x:v>0</x:v>
      </x:c>
      <x:c r="G1495" s="8" t="n">
        <x:f>Source!G1489/100</x:f>
        <x:v>267.18</x:v>
      </x:c>
      <x:c r="H1495" s="8" t="n">
        <x:f>G1495-D1495</x:f>
        <x:v>133.59</x:v>
      </x:c>
      <x:c r="I1495" s="1" t="str">
        <x:f>IF(H1495&gt;0,"Overbilled","Shortfall")</x:f>
        <x:v>Overbilled</x:v>
      </x:c>
      <x:c r="J1495" s="7"/>
      <x:c r="K1495" s="7" t="str">
        <x:v>Open</x:v>
      </x:c>
      <x:c r="L1495" s="7"/>
    </x:row>
    <x:row r="1496" ht="21" customHeight="1">
      <x:c r="A1496" s="1" t="str">
        <x:f>Source!A1490</x:f>
        <x:v>C0007933</x:v>
      </x:c>
      <x:c r="B1496" s="1" t="str">
        <x:f>_xlfn.IFNA(VLOOKUP(Source!B1490,Advertisers!$A$5:$B$34,2,FALSE),"Missing advertiser")</x:f>
        <x:v>Synthetic advertiser 10</x:v>
      </x:c>
      <x:c r="C1496" s="1" t="n">
        <x:f>Source!C1490</x:f>
        <x:v>10</x:v>
      </x:c>
      <x:c r="D1496" s="8" t="n">
        <x:f>Source!D1490/100</x:f>
        <x:v>133.59</x:v>
      </x:c>
      <x:c r="E1496" s="8" t="n">
        <x:f>Source!E1490/100</x:f>
        <x:v>267.18</x:v>
      </x:c>
      <x:c r="F1496" s="8" t="n">
        <x:f>Source!F1490/100</x:f>
        <x:v>0</x:v>
      </x:c>
      <x:c r="G1496" s="8" t="n">
        <x:f>Source!G1490/100</x:f>
        <x:v>267.18</x:v>
      </x:c>
      <x:c r="H1496" s="8" t="n">
        <x:f>G1496-D1496</x:f>
        <x:v>133.59</x:v>
      </x:c>
      <x:c r="I1496" s="1" t="str">
        <x:f>IF(H1496&gt;0,"Overbilled","Shortfall")</x:f>
        <x:v>Overbilled</x:v>
      </x:c>
      <x:c r="J1496" s="7"/>
      <x:c r="K1496" s="7" t="str">
        <x:v>Open</x:v>
      </x:c>
      <x:c r="L1496" s="7"/>
    </x:row>
    <x:row r="1497" ht="21" customHeight="1">
      <x:c r="A1497" s="1" t="str">
        <x:f>Source!A1491</x:f>
        <x:v>C0007943</x:v>
      </x:c>
      <x:c r="B1497" s="1" t="str">
        <x:f>_xlfn.IFNA(VLOOKUP(Source!B1491,Advertisers!$A$5:$B$34,2,FALSE),"Missing advertiser")</x:f>
        <x:v>Synthetic advertiser 25</x:v>
      </x:c>
      <x:c r="C1497" s="1" t="n">
        <x:f>Source!C1491</x:f>
        <x:v>25</x:v>
      </x:c>
      <x:c r="D1497" s="8" t="n">
        <x:f>Source!D1491/100</x:f>
        <x:v>133.41</x:v>
      </x:c>
      <x:c r="E1497" s="8" t="n">
        <x:f>Source!E1491/100</x:f>
        <x:v>0</x:v>
      </x:c>
      <x:c r="F1497" s="8" t="n">
        <x:f>Source!F1491/100</x:f>
        <x:v>0</x:v>
      </x:c>
      <x:c r="G1497" s="8" t="n">
        <x:f>Source!G1491/100</x:f>
        <x:v>0</x:v>
      </x:c>
      <x:c r="H1497" s="8" t="n">
        <x:f>G1497-D1497</x:f>
        <x:v>-133.41</x:v>
      </x:c>
      <x:c r="I1497" s="1" t="str">
        <x:f>IF(H1497&gt;0,"Overbilled","Shortfall")</x:f>
        <x:v>Shortfall</x:v>
      </x:c>
      <x:c r="J1497" s="7"/>
      <x:c r="K1497" s="7" t="str">
        <x:v>Open</x:v>
      </x:c>
      <x:c r="L1497" s="7"/>
    </x:row>
    <x:row r="1498" ht="21" customHeight="1">
      <x:c r="A1498" s="1" t="str">
        <x:f>Source!A1492</x:f>
        <x:v>C0003814</x:v>
      </x:c>
      <x:c r="B1498" s="1" t="str">
        <x:f>_xlfn.IFNA(VLOOKUP(Source!B1492,Advertisers!$A$5:$B$34,2,FALSE),"Missing advertiser")</x:f>
        <x:v>Synthetic advertiser 25</x:v>
      </x:c>
      <x:c r="C1498" s="1" t="n">
        <x:f>Source!C1492</x:f>
        <x:v>25</x:v>
      </x:c>
      <x:c r="D1498" s="8" t="n">
        <x:f>Source!D1492/100</x:f>
        <x:v>133.41</x:v>
      </x:c>
      <x:c r="E1498" s="8" t="n">
        <x:f>Source!E1492/100</x:f>
        <x:v>266.82</x:v>
      </x:c>
      <x:c r="F1498" s="8" t="n">
        <x:f>Source!F1492/100</x:f>
        <x:v>0</x:v>
      </x:c>
      <x:c r="G1498" s="8" t="n">
        <x:f>Source!G1492/100</x:f>
        <x:v>266.82</x:v>
      </x:c>
      <x:c r="H1498" s="8" t="n">
        <x:f>G1498-D1498</x:f>
        <x:v>133.41</x:v>
      </x:c>
      <x:c r="I1498" s="1" t="str">
        <x:f>IF(H1498&gt;0,"Overbilled","Shortfall")</x:f>
        <x:v>Overbilled</x:v>
      </x:c>
      <x:c r="J1498" s="7"/>
      <x:c r="K1498" s="7" t="str">
        <x:v>Open</x:v>
      </x:c>
      <x:c r="L1498" s="7"/>
    </x:row>
    <x:row r="1499" ht="21" customHeight="1">
      <x:c r="A1499" s="1" t="str">
        <x:f>Source!A1493</x:f>
        <x:v>C0015827</x:v>
      </x:c>
      <x:c r="B1499" s="1" t="str">
        <x:f>_xlfn.IFNA(VLOOKUP(Source!B1493,Advertisers!$A$5:$B$34,2,FALSE),"Missing advertiser")</x:f>
        <x:v>Synthetic advertiser 25</x:v>
      </x:c>
      <x:c r="C1499" s="1" t="n">
        <x:f>Source!C1493</x:f>
        <x:v>25</x:v>
      </x:c>
      <x:c r="D1499" s="8" t="n">
        <x:f>Source!D1493/100</x:f>
        <x:v>133.41</x:v>
      </x:c>
      <x:c r="E1499" s="8" t="n">
        <x:f>Source!E1493/100</x:f>
        <x:v>266.82</x:v>
      </x:c>
      <x:c r="F1499" s="8" t="n">
        <x:f>Source!F1493/100</x:f>
        <x:v>0</x:v>
      </x:c>
      <x:c r="G1499" s="8" t="n">
        <x:f>Source!G1493/100</x:f>
        <x:v>266.82</x:v>
      </x:c>
      <x:c r="H1499" s="8" t="n">
        <x:f>G1499-D1499</x:f>
        <x:v>133.41</x:v>
      </x:c>
      <x:c r="I1499" s="1" t="str">
        <x:f>IF(H1499&gt;0,"Overbilled","Shortfall")</x:f>
        <x:v>Overbilled</x:v>
      </x:c>
      <x:c r="J1499" s="7"/>
      <x:c r="K1499" s="7" t="str">
        <x:v>Open</x:v>
      </x:c>
      <x:c r="L1499" s="7"/>
    </x:row>
    <x:row r="1500" ht="21" customHeight="1">
      <x:c r="A1500" s="1" t="str">
        <x:f>Source!A1494</x:f>
        <x:v>C0006913</x:v>
      </x:c>
      <x:c r="B1500" s="1" t="str">
        <x:f>_xlfn.IFNA(VLOOKUP(Source!B1494,Advertisers!$A$5:$B$34,2,FALSE),"Missing advertiser")</x:f>
        <x:v>Synthetic advertiser 25</x:v>
      </x:c>
      <x:c r="C1500" s="1" t="n">
        <x:f>Source!C1494</x:f>
        <x:v>25</x:v>
      </x:c>
      <x:c r="D1500" s="8" t="n">
        <x:f>Source!D1494/100</x:f>
        <x:v>133.41</x:v>
      </x:c>
      <x:c r="E1500" s="8" t="n">
        <x:f>Source!E1494/100</x:f>
        <x:v>0</x:v>
      </x:c>
      <x:c r="F1500" s="8" t="n">
        <x:f>Source!F1494/100</x:f>
        <x:v>0</x:v>
      </x:c>
      <x:c r="G1500" s="8" t="n">
        <x:f>Source!G1494/100</x:f>
        <x:v>0</x:v>
      </x:c>
      <x:c r="H1500" s="8" t="n">
        <x:f>G1500-D1500</x:f>
        <x:v>-133.41</x:v>
      </x:c>
      <x:c r="I1500" s="1" t="str">
        <x:f>IF(H1500&gt;0,"Overbilled","Shortfall")</x:f>
        <x:v>Shortfall</x:v>
      </x:c>
      <x:c r="J1500" s="7"/>
      <x:c r="K1500" s="7" t="str">
        <x:v>Open</x:v>
      </x:c>
      <x:c r="L1500" s="7"/>
    </x:row>
    <x:row r="1501" ht="21" customHeight="1">
      <x:c r="A1501" s="1" t="str">
        <x:f>Source!A1495</x:f>
        <x:v>C0013154</x:v>
      </x:c>
      <x:c r="B1501" s="1" t="str">
        <x:f>_xlfn.IFNA(VLOOKUP(Source!B1495,Advertisers!$A$5:$B$34,2,FALSE),"Missing advertiser")</x:f>
        <x:v>Synthetic advertiser 25</x:v>
      </x:c>
      <x:c r="C1501" s="1" t="n">
        <x:f>Source!C1495</x:f>
        <x:v>25</x:v>
      </x:c>
      <x:c r="D1501" s="8" t="n">
        <x:f>Source!D1495/100</x:f>
        <x:v>133.41</x:v>
      </x:c>
      <x:c r="E1501" s="8" t="n">
        <x:f>Source!E1495/100</x:f>
        <x:v>266.82</x:v>
      </x:c>
      <x:c r="F1501" s="8" t="n">
        <x:f>Source!F1495/100</x:f>
        <x:v>0</x:v>
      </x:c>
      <x:c r="G1501" s="8" t="n">
        <x:f>Source!G1495/100</x:f>
        <x:v>266.82</x:v>
      </x:c>
      <x:c r="H1501" s="8" t="n">
        <x:f>G1501-D1501</x:f>
        <x:v>133.41</x:v>
      </x:c>
      <x:c r="I1501" s="1" t="str">
        <x:f>IF(H1501&gt;0,"Overbilled","Shortfall")</x:f>
        <x:v>Overbilled</x:v>
      </x:c>
      <x:c r="J1501" s="7"/>
      <x:c r="K1501" s="7" t="str">
        <x:v>Open</x:v>
      </x:c>
      <x:c r="L1501" s="7"/>
    </x:row>
    <x:row r="1502" ht="21" customHeight="1">
      <x:c r="A1502" s="1" t="str">
        <x:f>Source!A1496</x:f>
        <x:v>C0017184</x:v>
      </x:c>
      <x:c r="B1502" s="1" t="str">
        <x:f>_xlfn.IFNA(VLOOKUP(Source!B1496,Advertisers!$A$5:$B$34,2,FALSE),"Missing advertiser")</x:f>
        <x:v>Synthetic advertiser 25</x:v>
      </x:c>
      <x:c r="C1502" s="1" t="n">
        <x:f>Source!C1496</x:f>
        <x:v>25</x:v>
      </x:c>
      <x:c r="D1502" s="8" t="n">
        <x:f>Source!D1496/100</x:f>
        <x:v>133.41</x:v>
      </x:c>
      <x:c r="E1502" s="8" t="n">
        <x:f>Source!E1496/100</x:f>
        <x:v>266.82</x:v>
      </x:c>
      <x:c r="F1502" s="8" t="n">
        <x:f>Source!F1496/100</x:f>
        <x:v>0</x:v>
      </x:c>
      <x:c r="G1502" s="8" t="n">
        <x:f>Source!G1496/100</x:f>
        <x:v>266.82</x:v>
      </x:c>
      <x:c r="H1502" s="8" t="n">
        <x:f>G1502-D1502</x:f>
        <x:v>133.41</x:v>
      </x:c>
      <x:c r="I1502" s="1" t="str">
        <x:f>IF(H1502&gt;0,"Overbilled","Shortfall")</x:f>
        <x:v>Overbilled</x:v>
      </x:c>
      <x:c r="J1502" s="7"/>
      <x:c r="K1502" s="7" t="str">
        <x:v>Open</x:v>
      </x:c>
      <x:c r="L1502" s="7"/>
    </x:row>
    <x:row r="1503" ht="21" customHeight="1">
      <x:c r="A1503" s="1" t="str">
        <x:f>Source!A1497</x:f>
        <x:v>C0015066</x:v>
      </x:c>
      <x:c r="B1503" s="1" t="str">
        <x:f>_xlfn.IFNA(VLOOKUP(Source!B1497,Advertisers!$A$5:$B$34,2,FALSE),"Missing advertiser")</x:f>
        <x:v>Synthetic advertiser 25</x:v>
      </x:c>
      <x:c r="C1503" s="1" t="n">
        <x:f>Source!C1497</x:f>
        <x:v>25</x:v>
      </x:c>
      <x:c r="D1503" s="8" t="n">
        <x:f>Source!D1497/100</x:f>
        <x:v>133.41</x:v>
      </x:c>
      <x:c r="E1503" s="8" t="n">
        <x:f>Source!E1497/100</x:f>
        <x:v>0</x:v>
      </x:c>
      <x:c r="F1503" s="8" t="n">
        <x:f>Source!F1497/100</x:f>
        <x:v>0</x:v>
      </x:c>
      <x:c r="G1503" s="8" t="n">
        <x:f>Source!G1497/100</x:f>
        <x:v>0</x:v>
      </x:c>
      <x:c r="H1503" s="8" t="n">
        <x:f>G1503-D1503</x:f>
        <x:v>-133.41</x:v>
      </x:c>
      <x:c r="I1503" s="1" t="str">
        <x:f>IF(H1503&gt;0,"Overbilled","Shortfall")</x:f>
        <x:v>Shortfall</x:v>
      </x:c>
      <x:c r="J1503" s="7"/>
      <x:c r="K1503" s="7" t="str">
        <x:v>Open</x:v>
      </x:c>
      <x:c r="L1503" s="7"/>
    </x:row>
    <x:row r="1504" ht="21" customHeight="1">
      <x:c r="A1504" s="1" t="str">
        <x:f>Source!A1498</x:f>
        <x:v>C0005924</x:v>
      </x:c>
      <x:c r="B1504" s="1" t="str">
        <x:f>_xlfn.IFNA(VLOOKUP(Source!B1498,Advertisers!$A$5:$B$34,2,FALSE),"Missing advertiser")</x:f>
        <x:v>Synthetic advertiser 25</x:v>
      </x:c>
      <x:c r="C1504" s="1" t="n">
        <x:f>Source!C1498</x:f>
        <x:v>25</x:v>
      </x:c>
      <x:c r="D1504" s="8" t="n">
        <x:f>Source!D1498/100</x:f>
        <x:v>133.41</x:v>
      </x:c>
      <x:c r="E1504" s="8" t="n">
        <x:f>Source!E1498/100</x:f>
        <x:v>0</x:v>
      </x:c>
      <x:c r="F1504" s="8" t="n">
        <x:f>Source!F1498/100</x:f>
        <x:v>0</x:v>
      </x:c>
      <x:c r="G1504" s="8" t="n">
        <x:f>Source!G1498/100</x:f>
        <x:v>0</x:v>
      </x:c>
      <x:c r="H1504" s="8" t="n">
        <x:f>G1504-D1504</x:f>
        <x:v>-133.41</x:v>
      </x:c>
      <x:c r="I1504" s="1" t="str">
        <x:f>IF(H1504&gt;0,"Overbilled","Shortfall")</x:f>
        <x:v>Shortfall</x:v>
      </x:c>
      <x:c r="J1504" s="7"/>
      <x:c r="K1504" s="7" t="str">
        <x:v>Open</x:v>
      </x:c>
      <x:c r="L1504" s="7"/>
    </x:row>
    <x:row r="1505" ht="21" customHeight="1">
      <x:c r="A1505" s="1" t="str">
        <x:f>Source!A1499</x:f>
        <x:v>C0006152</x:v>
      </x:c>
      <x:c r="B1505" s="1" t="str">
        <x:f>_xlfn.IFNA(VLOOKUP(Source!B1499,Advertisers!$A$5:$B$34,2,FALSE),"Missing advertiser")</x:f>
        <x:v>Synthetic advertiser 7</x:v>
      </x:c>
      <x:c r="C1505" s="1" t="n">
        <x:f>Source!C1499</x:f>
        <x:v>37</x:v>
      </x:c>
      <x:c r="D1505" s="8" t="n">
        <x:f>Source!D1499/100</x:f>
        <x:v>0</x:v>
      </x:c>
      <x:c r="E1505" s="8" t="n">
        <x:f>Source!E1499/100</x:f>
        <x:v>133.38</x:v>
      </x:c>
      <x:c r="F1505" s="8" t="n">
        <x:f>Source!F1499/100</x:f>
        <x:v>0</x:v>
      </x:c>
      <x:c r="G1505" s="8" t="n">
        <x:f>Source!G1499/100</x:f>
        <x:v>133.38</x:v>
      </x:c>
      <x:c r="H1505" s="8" t="n">
        <x:f>G1505-D1505</x:f>
        <x:v>133.38</x:v>
      </x:c>
      <x:c r="I1505" s="1" t="str">
        <x:f>IF(H1505&gt;0,"Overbilled","Shortfall")</x:f>
        <x:v>Overbilled</x:v>
      </x:c>
      <x:c r="J1505" s="7"/>
      <x:c r="K1505" s="7" t="str">
        <x:v>Open</x:v>
      </x:c>
      <x:c r="L1505" s="7"/>
    </x:row>
    <x:row r="1506" ht="21" customHeight="1">
      <x:c r="A1506" s="1" t="str">
        <x:f>Source!A1500</x:f>
        <x:v>C0000110</x:v>
      </x:c>
      <x:c r="B1506" s="1" t="str">
        <x:f>_xlfn.IFNA(VLOOKUP(Source!B1500,Advertisers!$A$5:$B$34,2,FALSE),"Missing advertiser")</x:f>
        <x:v>Synthetic advertiser 7</x:v>
      </x:c>
      <x:c r="C1506" s="1" t="n">
        <x:f>Source!C1500</x:f>
        <x:v>37</x:v>
      </x:c>
      <x:c r="D1506" s="8" t="n">
        <x:f>Source!D1500/100</x:f>
        <x:v>133.38</x:v>
      </x:c>
      <x:c r="E1506" s="8" t="n">
        <x:f>Source!E1500/100</x:f>
        <x:v>0</x:v>
      </x:c>
      <x:c r="F1506" s="8" t="n">
        <x:f>Source!F1500/100</x:f>
        <x:v>0</x:v>
      </x:c>
      <x:c r="G1506" s="8" t="n">
        <x:f>Source!G1500/100</x:f>
        <x:v>0</x:v>
      </x:c>
      <x:c r="H1506" s="8" t="n">
        <x:f>G1506-D1506</x:f>
        <x:v>-133.38</x:v>
      </x:c>
      <x:c r="I1506" s="1" t="str">
        <x:f>IF(H1506&gt;0,"Overbilled","Shortfall")</x:f>
        <x:v>Shortfall</x:v>
      </x:c>
      <x:c r="J1506" s="7"/>
      <x:c r="K1506" s="7" t="str">
        <x:v>Open</x:v>
      </x:c>
      <x:c r="L1506" s="7"/>
    </x:row>
    <x:row r="1507" ht="21" customHeight="1">
      <x:c r="A1507" s="1" t="str">
        <x:f>Source!A1501</x:f>
        <x:v>C0017015</x:v>
      </x:c>
      <x:c r="B1507" s="1" t="str">
        <x:f>_xlfn.IFNA(VLOOKUP(Source!B1501,Advertisers!$A$5:$B$34,2,FALSE),"Missing advertiser")</x:f>
        <x:v>Synthetic advertiser 7</x:v>
      </x:c>
      <x:c r="C1507" s="1" t="n">
        <x:f>Source!C1501</x:f>
        <x:v>37</x:v>
      </x:c>
      <x:c r="D1507" s="8" t="n">
        <x:f>Source!D1501/100</x:f>
        <x:v>0</x:v>
      </x:c>
      <x:c r="E1507" s="8" t="n">
        <x:f>Source!E1501/100</x:f>
        <x:v>133.38</x:v>
      </x:c>
      <x:c r="F1507" s="8" t="n">
        <x:f>Source!F1501/100</x:f>
        <x:v>0</x:v>
      </x:c>
      <x:c r="G1507" s="8" t="n">
        <x:f>Source!G1501/100</x:f>
        <x:v>133.38</x:v>
      </x:c>
      <x:c r="H1507" s="8" t="n">
        <x:f>G1507-D1507</x:f>
        <x:v>133.38</x:v>
      </x:c>
      <x:c r="I1507" s="1" t="str">
        <x:f>IF(H1507&gt;0,"Overbilled","Shortfall")</x:f>
        <x:v>Overbilled</x:v>
      </x:c>
      <x:c r="J1507" s="7"/>
      <x:c r="K1507" s="7" t="str">
        <x:v>Open</x:v>
      </x:c>
      <x:c r="L1507" s="7"/>
    </x:row>
    <x:row r="1508" ht="21" customHeight="1">
      <x:c r="A1508" s="1" t="str">
        <x:f>Source!A1502</x:f>
        <x:v>C0015013</x:v>
      </x:c>
      <x:c r="B1508" s="1" t="str">
        <x:f>_xlfn.IFNA(VLOOKUP(Source!B1502,Advertisers!$A$5:$B$34,2,FALSE),"Missing advertiser")</x:f>
        <x:v>Synthetic advertiser 7</x:v>
      </x:c>
      <x:c r="C1508" s="1" t="n">
        <x:f>Source!C1502</x:f>
        <x:v>37</x:v>
      </x:c>
      <x:c r="D1508" s="8" t="n">
        <x:f>Source!D1502/100</x:f>
        <x:v>133.38</x:v>
      </x:c>
      <x:c r="E1508" s="8" t="n">
        <x:f>Source!E1502/100</x:f>
        <x:v>0</x:v>
      </x:c>
      <x:c r="F1508" s="8" t="n">
        <x:f>Source!F1502/100</x:f>
        <x:v>0</x:v>
      </x:c>
      <x:c r="G1508" s="8" t="n">
        <x:f>Source!G1502/100</x:f>
        <x:v>0</x:v>
      </x:c>
      <x:c r="H1508" s="8" t="n">
        <x:f>G1508-D1508</x:f>
        <x:v>-133.38</x:v>
      </x:c>
      <x:c r="I1508" s="1" t="str">
        <x:f>IF(H1508&gt;0,"Overbilled","Shortfall")</x:f>
        <x:v>Shortfall</x:v>
      </x:c>
      <x:c r="J1508" s="7"/>
      <x:c r="K1508" s="7" t="str">
        <x:v>Open</x:v>
      </x:c>
      <x:c r="L1508" s="7"/>
    </x:row>
    <x:row r="1509" ht="21" customHeight="1">
      <x:c r="A1509" s="1" t="str">
        <x:f>Source!A1503</x:f>
        <x:v>C0011539</x:v>
      </x:c>
      <x:c r="B1509" s="1" t="str">
        <x:f>_xlfn.IFNA(VLOOKUP(Source!B1503,Advertisers!$A$5:$B$34,2,FALSE),"Missing advertiser")</x:f>
        <x:v>Synthetic advertiser 7</x:v>
      </x:c>
      <x:c r="C1509" s="1" t="n">
        <x:f>Source!C1503</x:f>
        <x:v>37</x:v>
      </x:c>
      <x:c r="D1509" s="8" t="n">
        <x:f>Source!D1503/100</x:f>
        <x:v>133.38</x:v>
      </x:c>
      <x:c r="E1509" s="8" t="n">
        <x:f>Source!E1503/100</x:f>
        <x:v>266.76</x:v>
      </x:c>
      <x:c r="F1509" s="8" t="n">
        <x:f>Source!F1503/100</x:f>
        <x:v>0</x:v>
      </x:c>
      <x:c r="G1509" s="8" t="n">
        <x:f>Source!G1503/100</x:f>
        <x:v>266.76</x:v>
      </x:c>
      <x:c r="H1509" s="8" t="n">
        <x:f>G1509-D1509</x:f>
        <x:v>133.38</x:v>
      </x:c>
      <x:c r="I1509" s="1" t="str">
        <x:f>IF(H1509&gt;0,"Overbilled","Shortfall")</x:f>
        <x:v>Overbilled</x:v>
      </x:c>
      <x:c r="J1509" s="7"/>
      <x:c r="K1509" s="7" t="str">
        <x:v>Open</x:v>
      </x:c>
      <x:c r="L1509" s="7"/>
    </x:row>
    <x:row r="1510" ht="21" customHeight="1">
      <x:c r="A1510" s="1" t="str">
        <x:f>Source!A1504</x:f>
        <x:v>C0007462</x:v>
      </x:c>
      <x:c r="B1510" s="1" t="str">
        <x:f>_xlfn.IFNA(VLOOKUP(Source!B1504,Advertisers!$A$5:$B$34,2,FALSE),"Missing advertiser")</x:f>
        <x:v>Synthetic advertiser 7</x:v>
      </x:c>
      <x:c r="C1510" s="1" t="n">
        <x:f>Source!C1504</x:f>
        <x:v>37</x:v>
      </x:c>
      <x:c r="D1510" s="8" t="n">
        <x:f>Source!D1504/100</x:f>
        <x:v>133.38</x:v>
      </x:c>
      <x:c r="E1510" s="8" t="n">
        <x:f>Source!E1504/100</x:f>
        <x:v>266.76</x:v>
      </x:c>
      <x:c r="F1510" s="8" t="n">
        <x:f>Source!F1504/100</x:f>
        <x:v>0</x:v>
      </x:c>
      <x:c r="G1510" s="8" t="n">
        <x:f>Source!G1504/100</x:f>
        <x:v>266.76</x:v>
      </x:c>
      <x:c r="H1510" s="8" t="n">
        <x:f>G1510-D1510</x:f>
        <x:v>133.38</x:v>
      </x:c>
      <x:c r="I1510" s="1" t="str">
        <x:f>IF(H1510&gt;0,"Overbilled","Shortfall")</x:f>
        <x:v>Overbilled</x:v>
      </x:c>
      <x:c r="J1510" s="7"/>
      <x:c r="K1510" s="7" t="str">
        <x:v>Open</x:v>
      </x:c>
      <x:c r="L1510" s="7"/>
    </x:row>
    <x:row r="1511" ht="21" customHeight="1">
      <x:c r="A1511" s="1" t="str">
        <x:f>Source!A1505</x:f>
        <x:v>C0002062</x:v>
      </x:c>
      <x:c r="B1511" s="1" t="str">
        <x:f>_xlfn.IFNA(VLOOKUP(Source!B1505,Advertisers!$A$5:$B$34,2,FALSE),"Missing advertiser")</x:f>
        <x:v>Synthetic advertiser 7</x:v>
      </x:c>
      <x:c r="C1511" s="1" t="n">
        <x:f>Source!C1505</x:f>
        <x:v>37</x:v>
      </x:c>
      <x:c r="D1511" s="8" t="n">
        <x:f>Source!D1505/100</x:f>
        <x:v>133.38</x:v>
      </x:c>
      <x:c r="E1511" s="8" t="n">
        <x:f>Source!E1505/100</x:f>
        <x:v>0</x:v>
      </x:c>
      <x:c r="F1511" s="8" t="n">
        <x:f>Source!F1505/100</x:f>
        <x:v>0</x:v>
      </x:c>
      <x:c r="G1511" s="8" t="n">
        <x:f>Source!G1505/100</x:f>
        <x:v>0</x:v>
      </x:c>
      <x:c r="H1511" s="8" t="n">
        <x:f>G1511-D1511</x:f>
        <x:v>-133.38</x:v>
      </x:c>
      <x:c r="I1511" s="1" t="str">
        <x:f>IF(H1511&gt;0,"Overbilled","Shortfall")</x:f>
        <x:v>Shortfall</x:v>
      </x:c>
      <x:c r="J1511" s="7"/>
      <x:c r="K1511" s="7" t="str">
        <x:v>Open</x:v>
      </x:c>
      <x:c r="L1511" s="7"/>
    </x:row>
    <x:row r="1512" ht="21" customHeight="1">
      <x:c r="A1512" s="1" t="str">
        <x:f>Source!A1506</x:f>
        <x:v>C0004530</x:v>
      </x:c>
      <x:c r="B1512" s="1" t="str">
        <x:f>_xlfn.IFNA(VLOOKUP(Source!B1506,Advertisers!$A$5:$B$34,2,FALSE),"Missing advertiser")</x:f>
        <x:v>Synthetic advertiser 17</x:v>
      </x:c>
      <x:c r="C1512" s="1" t="n">
        <x:f>Source!C1506</x:f>
        <x:v>77</x:v>
      </x:c>
      <x:c r="D1512" s="8" t="n">
        <x:f>Source!D1506/100</x:f>
        <x:v>133</x:v>
      </x:c>
      <x:c r="E1512" s="8" t="n">
        <x:f>Source!E1506/100</x:f>
        <x:v>266</x:v>
      </x:c>
      <x:c r="F1512" s="8" t="n">
        <x:f>Source!F1506/100</x:f>
        <x:v>0</x:v>
      </x:c>
      <x:c r="G1512" s="8" t="n">
        <x:f>Source!G1506/100</x:f>
        <x:v>266</x:v>
      </x:c>
      <x:c r="H1512" s="8" t="n">
        <x:f>G1512-D1512</x:f>
        <x:v>133</x:v>
      </x:c>
      <x:c r="I1512" s="1" t="str">
        <x:f>IF(H1512&gt;0,"Overbilled","Shortfall")</x:f>
        <x:v>Overbilled</x:v>
      </x:c>
      <x:c r="J1512" s="7"/>
      <x:c r="K1512" s="7" t="str">
        <x:v>Open</x:v>
      </x:c>
      <x:c r="L1512" s="7"/>
    </x:row>
    <x:row r="1513" ht="21" customHeight="1">
      <x:c r="A1513" s="1" t="str">
        <x:f>Source!A1507</x:f>
        <x:v>C0004866</x:v>
      </x:c>
      <x:c r="B1513" s="1" t="str">
        <x:f>_xlfn.IFNA(VLOOKUP(Source!B1507,Advertisers!$A$5:$B$34,2,FALSE),"Missing advertiser")</x:f>
        <x:v>Synthetic advertiser 17</x:v>
      </x:c>
      <x:c r="C1513" s="1" t="n">
        <x:f>Source!C1507</x:f>
        <x:v>77</x:v>
      </x:c>
      <x:c r="D1513" s="8" t="n">
        <x:f>Source!D1507/100</x:f>
        <x:v>133</x:v>
      </x:c>
      <x:c r="E1513" s="8" t="n">
        <x:f>Source!E1507/100</x:f>
        <x:v>0</x:v>
      </x:c>
      <x:c r="F1513" s="8" t="n">
        <x:f>Source!F1507/100</x:f>
        <x:v>0</x:v>
      </x:c>
      <x:c r="G1513" s="8" t="n">
        <x:f>Source!G1507/100</x:f>
        <x:v>0</x:v>
      </x:c>
      <x:c r="H1513" s="8" t="n">
        <x:f>G1513-D1513</x:f>
        <x:v>-133</x:v>
      </x:c>
      <x:c r="I1513" s="1" t="str">
        <x:f>IF(H1513&gt;0,"Overbilled","Shortfall")</x:f>
        <x:v>Shortfall</x:v>
      </x:c>
      <x:c r="J1513" s="7"/>
      <x:c r="K1513" s="7" t="str">
        <x:v>Open</x:v>
      </x:c>
      <x:c r="L1513" s="7"/>
    </x:row>
    <x:row r="1514" ht="21" customHeight="1">
      <x:c r="A1514" s="1" t="str">
        <x:f>Source!A1508</x:f>
        <x:v>C0011044</x:v>
      </x:c>
      <x:c r="B1514" s="1" t="str">
        <x:f>_xlfn.IFNA(VLOOKUP(Source!B1508,Advertisers!$A$5:$B$34,2,FALSE),"Missing advertiser")</x:f>
        <x:v>Synthetic advertiser 17</x:v>
      </x:c>
      <x:c r="C1514" s="1" t="n">
        <x:f>Source!C1508</x:f>
        <x:v>77</x:v>
      </x:c>
      <x:c r="D1514" s="8" t="n">
        <x:f>Source!D1508/100</x:f>
        <x:v>133</x:v>
      </x:c>
      <x:c r="E1514" s="8" t="n">
        <x:f>Source!E1508/100</x:f>
        <x:v>0</x:v>
      </x:c>
      <x:c r="F1514" s="8" t="n">
        <x:f>Source!F1508/100</x:f>
        <x:v>0</x:v>
      </x:c>
      <x:c r="G1514" s="8" t="n">
        <x:f>Source!G1508/100</x:f>
        <x:v>0</x:v>
      </x:c>
      <x:c r="H1514" s="8" t="n">
        <x:f>G1514-D1514</x:f>
        <x:v>-133</x:v>
      </x:c>
      <x:c r="I1514" s="1" t="str">
        <x:f>IF(H1514&gt;0,"Overbilled","Shortfall")</x:f>
        <x:v>Shortfall</x:v>
      </x:c>
      <x:c r="J1514" s="7"/>
      <x:c r="K1514" s="7" t="str">
        <x:v>Open</x:v>
      </x:c>
      <x:c r="L1514" s="7"/>
    </x:row>
    <x:row r="1515" ht="21" customHeight="1">
      <x:c r="A1515" s="1" t="str">
        <x:f>Source!A1509</x:f>
        <x:v>C0009566</x:v>
      </x:c>
      <x:c r="B1515" s="1" t="str">
        <x:f>_xlfn.IFNA(VLOOKUP(Source!B1509,Advertisers!$A$5:$B$34,2,FALSE),"Missing advertiser")</x:f>
        <x:v>Synthetic advertiser 17</x:v>
      </x:c>
      <x:c r="C1515" s="1" t="n">
        <x:f>Source!C1509</x:f>
        <x:v>77</x:v>
      </x:c>
      <x:c r="D1515" s="8" t="n">
        <x:f>Source!D1509/100</x:f>
        <x:v>133</x:v>
      </x:c>
      <x:c r="E1515" s="8" t="n">
        <x:f>Source!E1509/100</x:f>
        <x:v>266</x:v>
      </x:c>
      <x:c r="F1515" s="8" t="n">
        <x:f>Source!F1509/100</x:f>
        <x:v>0</x:v>
      </x:c>
      <x:c r="G1515" s="8" t="n">
        <x:f>Source!G1509/100</x:f>
        <x:v>266</x:v>
      </x:c>
      <x:c r="H1515" s="8" t="n">
        <x:f>G1515-D1515</x:f>
        <x:v>133</x:v>
      </x:c>
      <x:c r="I1515" s="1" t="str">
        <x:f>IF(H1515&gt;0,"Overbilled","Shortfall")</x:f>
        <x:v>Overbilled</x:v>
      </x:c>
      <x:c r="J1515" s="7"/>
      <x:c r="K1515" s="7" t="str">
        <x:v>Open</x:v>
      </x:c>
      <x:c r="L1515" s="7"/>
    </x:row>
    <x:row r="1516" ht="21" customHeight="1">
      <x:c r="A1516" s="1" t="str">
        <x:f>Source!A1510</x:f>
        <x:v>C0017317</x:v>
      </x:c>
      <x:c r="B1516" s="1" t="str">
        <x:f>_xlfn.IFNA(VLOOKUP(Source!B1510,Advertisers!$A$5:$B$34,2,FALSE),"Missing advertiser")</x:f>
        <x:v>Synthetic advertiser 3</x:v>
      </x:c>
      <x:c r="C1516" s="1" t="n">
        <x:f>Source!C1510</x:f>
        <x:v>93</x:v>
      </x:c>
      <x:c r="D1516" s="8" t="n">
        <x:f>Source!D1510/100</x:f>
        <x:v>131.76</x:v>
      </x:c>
      <x:c r="E1516" s="8" t="n">
        <x:f>Source!E1510/100</x:f>
        <x:v>263.52</x:v>
      </x:c>
      <x:c r="F1516" s="8" t="n">
        <x:f>Source!F1510/100</x:f>
        <x:v>0</x:v>
      </x:c>
      <x:c r="G1516" s="8" t="n">
        <x:f>Source!G1510/100</x:f>
        <x:v>263.52</x:v>
      </x:c>
      <x:c r="H1516" s="8" t="n">
        <x:f>G1516-D1516</x:f>
        <x:v>131.76</x:v>
      </x:c>
      <x:c r="I1516" s="1" t="str">
        <x:f>IF(H1516&gt;0,"Overbilled","Shortfall")</x:f>
        <x:v>Overbilled</x:v>
      </x:c>
      <x:c r="J1516" s="7"/>
      <x:c r="K1516" s="7" t="str">
        <x:v>Open</x:v>
      </x:c>
      <x:c r="L1516" s="7"/>
    </x:row>
    <x:row r="1517" ht="21" customHeight="1">
      <x:c r="A1517" s="1" t="str">
        <x:f>Source!A1511</x:f>
        <x:v>C0001567</x:v>
      </x:c>
      <x:c r="B1517" s="1" t="str">
        <x:f>_xlfn.IFNA(VLOOKUP(Source!B1511,Advertisers!$A$5:$B$34,2,FALSE),"Missing advertiser")</x:f>
        <x:v>Synthetic advertiser 3</x:v>
      </x:c>
      <x:c r="C1517" s="1" t="n">
        <x:f>Source!C1511</x:f>
        <x:v>93</x:v>
      </x:c>
      <x:c r="D1517" s="8" t="n">
        <x:f>Source!D1511/100</x:f>
        <x:v>131.76</x:v>
      </x:c>
      <x:c r="E1517" s="8" t="n">
        <x:f>Source!E1511/100</x:f>
        <x:v>0</x:v>
      </x:c>
      <x:c r="F1517" s="8" t="n">
        <x:f>Source!F1511/100</x:f>
        <x:v>0</x:v>
      </x:c>
      <x:c r="G1517" s="8" t="n">
        <x:f>Source!G1511/100</x:f>
        <x:v>0</x:v>
      </x:c>
      <x:c r="H1517" s="8" t="n">
        <x:f>G1517-D1517</x:f>
        <x:v>-131.76</x:v>
      </x:c>
      <x:c r="I1517" s="1" t="str">
        <x:f>IF(H1517&gt;0,"Overbilled","Shortfall")</x:f>
        <x:v>Shortfall</x:v>
      </x:c>
      <x:c r="J1517" s="7"/>
      <x:c r="K1517" s="7" t="str">
        <x:v>Open</x:v>
      </x:c>
      <x:c r="L1517" s="7"/>
    </x:row>
    <x:row r="1518" ht="21" customHeight="1">
      <x:c r="A1518" s="1" t="str">
        <x:f>Source!A1512</x:f>
        <x:v>C0008277</x:v>
      </x:c>
      <x:c r="B1518" s="1" t="str">
        <x:f>_xlfn.IFNA(VLOOKUP(Source!B1512,Advertisers!$A$5:$B$34,2,FALSE),"Missing advertiser")</x:f>
        <x:v>Synthetic advertiser 3</x:v>
      </x:c>
      <x:c r="C1518" s="1" t="n">
        <x:f>Source!C1512</x:f>
        <x:v>93</x:v>
      </x:c>
      <x:c r="D1518" s="8" t="n">
        <x:f>Source!D1512/100</x:f>
        <x:v>131.76</x:v>
      </x:c>
      <x:c r="E1518" s="8" t="n">
        <x:f>Source!E1512/100</x:f>
        <x:v>263.52</x:v>
      </x:c>
      <x:c r="F1518" s="8" t="n">
        <x:f>Source!F1512/100</x:f>
        <x:v>0</x:v>
      </x:c>
      <x:c r="G1518" s="8" t="n">
        <x:f>Source!G1512/100</x:f>
        <x:v>263.52</x:v>
      </x:c>
      <x:c r="H1518" s="8" t="n">
        <x:f>G1518-D1518</x:f>
        <x:v>131.76</x:v>
      </x:c>
      <x:c r="I1518" s="1" t="str">
        <x:f>IF(H1518&gt;0,"Overbilled","Shortfall")</x:f>
        <x:v>Overbilled</x:v>
      </x:c>
      <x:c r="J1518" s="7"/>
      <x:c r="K1518" s="7" t="str">
        <x:v>Open</x:v>
      </x:c>
      <x:c r="L1518" s="7"/>
    </x:row>
    <x:row r="1519" ht="21" customHeight="1">
      <x:c r="A1519" s="1" t="str">
        <x:f>Source!A1513</x:f>
        <x:v>C0010139</x:v>
      </x:c>
      <x:c r="B1519" s="1" t="str">
        <x:f>_xlfn.IFNA(VLOOKUP(Source!B1513,Advertisers!$A$5:$B$34,2,FALSE),"Missing advertiser")</x:f>
        <x:v>Synthetic advertiser 3</x:v>
      </x:c>
      <x:c r="C1519" s="1" t="n">
        <x:f>Source!C1513</x:f>
        <x:v>93</x:v>
      </x:c>
      <x:c r="D1519" s="8" t="n">
        <x:f>Source!D1513/100</x:f>
        <x:v>0</x:v>
      </x:c>
      <x:c r="E1519" s="8" t="n">
        <x:f>Source!E1513/100</x:f>
        <x:v>131.76</x:v>
      </x:c>
      <x:c r="F1519" s="8" t="n">
        <x:f>Source!F1513/100</x:f>
        <x:v>0</x:v>
      </x:c>
      <x:c r="G1519" s="8" t="n">
        <x:f>Source!G1513/100</x:f>
        <x:v>131.76</x:v>
      </x:c>
      <x:c r="H1519" s="8" t="n">
        <x:f>G1519-D1519</x:f>
        <x:v>131.76</x:v>
      </x:c>
      <x:c r="I1519" s="1" t="str">
        <x:f>IF(H1519&gt;0,"Overbilled","Shortfall")</x:f>
        <x:v>Overbilled</x:v>
      </x:c>
      <x:c r="J1519" s="7"/>
      <x:c r="K1519" s="7" t="str">
        <x:v>Open</x:v>
      </x:c>
      <x:c r="L1519" s="7"/>
    </x:row>
    <x:row r="1520" ht="21" customHeight="1">
      <x:c r="A1520" s="1" t="str">
        <x:f>Source!A1514</x:f>
        <x:v>C0004018</x:v>
      </x:c>
      <x:c r="B1520" s="1" t="str">
        <x:f>_xlfn.IFNA(VLOOKUP(Source!B1514,Advertisers!$A$5:$B$34,2,FALSE),"Missing advertiser")</x:f>
        <x:v>Synthetic advertiser 3</x:v>
      </x:c>
      <x:c r="C1520" s="1" t="n">
        <x:f>Source!C1514</x:f>
        <x:v>93</x:v>
      </x:c>
      <x:c r="D1520" s="8" t="n">
        <x:f>Source!D1514/100</x:f>
        <x:v>131.76</x:v>
      </x:c>
      <x:c r="E1520" s="8" t="n">
        <x:f>Source!E1514/100</x:f>
        <x:v>263.52</x:v>
      </x:c>
      <x:c r="F1520" s="8" t="n">
        <x:f>Source!F1514/100</x:f>
        <x:v>0</x:v>
      </x:c>
      <x:c r="G1520" s="8" t="n">
        <x:f>Source!G1514/100</x:f>
        <x:v>263.52</x:v>
      </x:c>
      <x:c r="H1520" s="8" t="n">
        <x:f>G1520-D1520</x:f>
        <x:v>131.76</x:v>
      </x:c>
      <x:c r="I1520" s="1" t="str">
        <x:f>IF(H1520&gt;0,"Overbilled","Shortfall")</x:f>
        <x:v>Overbilled</x:v>
      </x:c>
      <x:c r="J1520" s="7"/>
      <x:c r="K1520" s="7" t="str">
        <x:v>Open</x:v>
      </x:c>
      <x:c r="L1520" s="7"/>
    </x:row>
    <x:row r="1521" ht="21" customHeight="1">
      <x:c r="A1521" s="1" t="str">
        <x:f>Source!A1515</x:f>
        <x:v>C0006550</x:v>
      </x:c>
      <x:c r="B1521" s="1" t="str">
        <x:f>_xlfn.IFNA(VLOOKUP(Source!B1515,Advertisers!$A$5:$B$34,2,FALSE),"Missing advertiser")</x:f>
        <x:v>Synthetic advertiser 3</x:v>
      </x:c>
      <x:c r="C1521" s="1" t="n">
        <x:f>Source!C1515</x:f>
        <x:v>93</x:v>
      </x:c>
      <x:c r="D1521" s="8" t="n">
        <x:f>Source!D1515/100</x:f>
        <x:v>131.76</x:v>
      </x:c>
      <x:c r="E1521" s="8" t="n">
        <x:f>Source!E1515/100</x:f>
        <x:v>0</x:v>
      </x:c>
      <x:c r="F1521" s="8" t="n">
        <x:f>Source!F1515/100</x:f>
        <x:v>0</x:v>
      </x:c>
      <x:c r="G1521" s="8" t="n">
        <x:f>Source!G1515/100</x:f>
        <x:v>0</x:v>
      </x:c>
      <x:c r="H1521" s="8" t="n">
        <x:f>G1521-D1521</x:f>
        <x:v>-131.76</x:v>
      </x:c>
      <x:c r="I1521" s="1" t="str">
        <x:f>IF(H1521&gt;0,"Overbilled","Shortfall")</x:f>
        <x:v>Shortfall</x:v>
      </x:c>
      <x:c r="J1521" s="7"/>
      <x:c r="K1521" s="7" t="str">
        <x:v>Open</x:v>
      </x:c>
      <x:c r="L1521" s="7"/>
    </x:row>
    <x:row r="1522" ht="21" customHeight="1">
      <x:c r="A1522" s="1" t="str">
        <x:f>Source!A1516</x:f>
        <x:v>C0007062</x:v>
      </x:c>
      <x:c r="B1522" s="1" t="str">
        <x:f>_xlfn.IFNA(VLOOKUP(Source!B1516,Advertisers!$A$5:$B$34,2,FALSE),"Missing advertiser")</x:f>
        <x:v>Synthetic advertiser 5</x:v>
      </x:c>
      <x:c r="C1522" s="1" t="n">
        <x:f>Source!C1516</x:f>
        <x:v>35</x:v>
      </x:c>
      <x:c r="D1522" s="8" t="n">
        <x:f>Source!D1516/100</x:f>
        <x:v>130.82</x:v>
      </x:c>
      <x:c r="E1522" s="8" t="n">
        <x:f>Source!E1516/100</x:f>
        <x:v>261.64</x:v>
      </x:c>
      <x:c r="F1522" s="8" t="n">
        <x:f>Source!F1516/100</x:f>
        <x:v>0</x:v>
      </x:c>
      <x:c r="G1522" s="8" t="n">
        <x:f>Source!G1516/100</x:f>
        <x:v>261.64</x:v>
      </x:c>
      <x:c r="H1522" s="8" t="n">
        <x:f>G1522-D1522</x:f>
        <x:v>130.82</x:v>
      </x:c>
      <x:c r="I1522" s="1" t="str">
        <x:f>IF(H1522&gt;0,"Overbilled","Shortfall")</x:f>
        <x:v>Overbilled</x:v>
      </x:c>
      <x:c r="J1522" s="7"/>
      <x:c r="K1522" s="7" t="str">
        <x:v>Open</x:v>
      </x:c>
      <x:c r="L1522" s="7"/>
    </x:row>
    <x:row r="1523" ht="21" customHeight="1">
      <x:c r="A1523" s="1" t="str">
        <x:f>Source!A1517</x:f>
        <x:v>C0001740</x:v>
      </x:c>
      <x:c r="B1523" s="1" t="str">
        <x:f>_xlfn.IFNA(VLOOKUP(Source!B1517,Advertisers!$A$5:$B$34,2,FALSE),"Missing advertiser")</x:f>
        <x:v>Synthetic advertiser 5</x:v>
      </x:c>
      <x:c r="C1523" s="1" t="n">
        <x:f>Source!C1517</x:f>
        <x:v>35</x:v>
      </x:c>
      <x:c r="D1523" s="8" t="n">
        <x:f>Source!D1517/100</x:f>
        <x:v>130.82</x:v>
      </x:c>
      <x:c r="E1523" s="8" t="n">
        <x:f>Source!E1517/100</x:f>
        <x:v>261.64</x:v>
      </x:c>
      <x:c r="F1523" s="8" t="n">
        <x:f>Source!F1517/100</x:f>
        <x:v>0</x:v>
      </x:c>
      <x:c r="G1523" s="8" t="n">
        <x:f>Source!G1517/100</x:f>
        <x:v>261.64</x:v>
      </x:c>
      <x:c r="H1523" s="8" t="n">
        <x:f>G1523-D1523</x:f>
        <x:v>130.82</x:v>
      </x:c>
      <x:c r="I1523" s="1" t="str">
        <x:f>IF(H1523&gt;0,"Overbilled","Shortfall")</x:f>
        <x:v>Overbilled</x:v>
      </x:c>
      <x:c r="J1523" s="7"/>
      <x:c r="K1523" s="7" t="str">
        <x:v>Open</x:v>
      </x:c>
      <x:c r="L1523" s="7"/>
    </x:row>
    <x:row r="1524" ht="21" customHeight="1">
      <x:c r="A1524" s="1" t="str">
        <x:f>Source!A1518</x:f>
        <x:v>C0017435</x:v>
      </x:c>
      <x:c r="B1524" s="1" t="str">
        <x:f>_xlfn.IFNA(VLOOKUP(Source!B1518,Advertisers!$A$5:$B$34,2,FALSE),"Missing advertiser")</x:f>
        <x:v>Synthetic advertiser 5</x:v>
      </x:c>
      <x:c r="C1524" s="1" t="n">
        <x:f>Source!C1518</x:f>
        <x:v>35</x:v>
      </x:c>
      <x:c r="D1524" s="8" t="n">
        <x:f>Source!D1518/100</x:f>
        <x:v>130.82</x:v>
      </x:c>
      <x:c r="E1524" s="8" t="n">
        <x:f>Source!E1518/100</x:f>
        <x:v>261.64</x:v>
      </x:c>
      <x:c r="F1524" s="8" t="n">
        <x:f>Source!F1518/100</x:f>
        <x:v>0</x:v>
      </x:c>
      <x:c r="G1524" s="8" t="n">
        <x:f>Source!G1518/100</x:f>
        <x:v>261.64</x:v>
      </x:c>
      <x:c r="H1524" s="8" t="n">
        <x:f>G1524-D1524</x:f>
        <x:v>130.82</x:v>
      </x:c>
      <x:c r="I1524" s="1" t="str">
        <x:f>IF(H1524&gt;0,"Overbilled","Shortfall")</x:f>
        <x:v>Overbilled</x:v>
      </x:c>
      <x:c r="J1524" s="7"/>
      <x:c r="K1524" s="7" t="str">
        <x:v>Open</x:v>
      </x:c>
      <x:c r="L1524" s="7"/>
    </x:row>
    <x:row r="1525" ht="21" customHeight="1">
      <x:c r="A1525" s="1" t="str">
        <x:f>Source!A1519</x:f>
        <x:v>C0011173</x:v>
      </x:c>
      <x:c r="B1525" s="1" t="str">
        <x:f>_xlfn.IFNA(VLOOKUP(Source!B1519,Advertisers!$A$5:$B$34,2,FALSE),"Missing advertiser")</x:f>
        <x:v>Synthetic advertiser 5</x:v>
      </x:c>
      <x:c r="C1525" s="1" t="n">
        <x:f>Source!C1519</x:f>
        <x:v>35</x:v>
      </x:c>
      <x:c r="D1525" s="8" t="n">
        <x:f>Source!D1519/100</x:f>
        <x:v>130.82</x:v>
      </x:c>
      <x:c r="E1525" s="8" t="n">
        <x:f>Source!E1519/100</x:f>
        <x:v>261.64</x:v>
      </x:c>
      <x:c r="F1525" s="8" t="n">
        <x:f>Source!F1519/100</x:f>
        <x:v>0</x:v>
      </x:c>
      <x:c r="G1525" s="8" t="n">
        <x:f>Source!G1519/100</x:f>
        <x:v>261.64</x:v>
      </x:c>
      <x:c r="H1525" s="8" t="n">
        <x:f>G1525-D1525</x:f>
        <x:v>130.82</x:v>
      </x:c>
      <x:c r="I1525" s="1" t="str">
        <x:f>IF(H1525&gt;0,"Overbilled","Shortfall")</x:f>
        <x:v>Overbilled</x:v>
      </x:c>
      <x:c r="J1525" s="7"/>
      <x:c r="K1525" s="7" t="str">
        <x:v>Open</x:v>
      </x:c>
      <x:c r="L1525" s="7"/>
    </x:row>
    <x:row r="1526" ht="21" customHeight="1">
      <x:c r="A1526" s="1" t="str">
        <x:f>Source!A1520</x:f>
        <x:v>C0017803</x:v>
      </x:c>
      <x:c r="B1526" s="1" t="str">
        <x:f>_xlfn.IFNA(VLOOKUP(Source!B1520,Advertisers!$A$5:$B$34,2,FALSE),"Missing advertiser")</x:f>
        <x:v>Synthetic advertiser 26</x:v>
      </x:c>
      <x:c r="C1526" s="1" t="n">
        <x:f>Source!C1520</x:f>
        <x:v>56</x:v>
      </x:c>
      <x:c r="D1526" s="8" t="n">
        <x:f>Source!D1520/100</x:f>
        <x:v>130.81</x:v>
      </x:c>
      <x:c r="E1526" s="8" t="n">
        <x:f>Source!E1520/100</x:f>
        <x:v>261.62</x:v>
      </x:c>
      <x:c r="F1526" s="8" t="n">
        <x:f>Source!F1520/100</x:f>
        <x:v>0</x:v>
      </x:c>
      <x:c r="G1526" s="8" t="n">
        <x:f>Source!G1520/100</x:f>
        <x:v>261.62</x:v>
      </x:c>
      <x:c r="H1526" s="8" t="n">
        <x:f>G1526-D1526</x:f>
        <x:v>130.81</x:v>
      </x:c>
      <x:c r="I1526" s="1" t="str">
        <x:f>IF(H1526&gt;0,"Overbilled","Shortfall")</x:f>
        <x:v>Overbilled</x:v>
      </x:c>
      <x:c r="J1526" s="7"/>
      <x:c r="K1526" s="7" t="str">
        <x:v>Open</x:v>
      </x:c>
      <x:c r="L1526" s="7"/>
    </x:row>
    <x:row r="1527" ht="21" customHeight="1">
      <x:c r="A1527" s="1" t="str">
        <x:f>Source!A1521</x:f>
        <x:v>C0010718</x:v>
      </x:c>
      <x:c r="B1527" s="1" t="str">
        <x:f>_xlfn.IFNA(VLOOKUP(Source!B1521,Advertisers!$A$5:$B$34,2,FALSE),"Missing advertiser")</x:f>
        <x:v>Synthetic advertiser 26</x:v>
      </x:c>
      <x:c r="C1527" s="1" t="n">
        <x:f>Source!C1521</x:f>
        <x:v>56</x:v>
      </x:c>
      <x:c r="D1527" s="8" t="n">
        <x:f>Source!D1521/100</x:f>
        <x:v>0</x:v>
      </x:c>
      <x:c r="E1527" s="8" t="n">
        <x:f>Source!E1521/100</x:f>
        <x:v>130.81</x:v>
      </x:c>
      <x:c r="F1527" s="8" t="n">
        <x:f>Source!F1521/100</x:f>
        <x:v>0</x:v>
      </x:c>
      <x:c r="G1527" s="8" t="n">
        <x:f>Source!G1521/100</x:f>
        <x:v>130.81</x:v>
      </x:c>
      <x:c r="H1527" s="8" t="n">
        <x:f>G1527-D1527</x:f>
        <x:v>130.81</x:v>
      </x:c>
      <x:c r="I1527" s="1" t="str">
        <x:f>IF(H1527&gt;0,"Overbilled","Shortfall")</x:f>
        <x:v>Overbilled</x:v>
      </x:c>
      <x:c r="J1527" s="7"/>
      <x:c r="K1527" s="7" t="str">
        <x:v>Open</x:v>
      </x:c>
      <x:c r="L1527" s="7"/>
    </x:row>
    <x:row r="1528" ht="21" customHeight="1">
      <x:c r="A1528" s="1" t="str">
        <x:f>Source!A1522</x:f>
        <x:v>C0011113</x:v>
      </x:c>
      <x:c r="B1528" s="1" t="str">
        <x:f>_xlfn.IFNA(VLOOKUP(Source!B1522,Advertisers!$A$5:$B$34,2,FALSE),"Missing advertiser")</x:f>
        <x:v>Synthetic advertiser 26</x:v>
      </x:c>
      <x:c r="C1528" s="1" t="n">
        <x:f>Source!C1522</x:f>
        <x:v>56</x:v>
      </x:c>
      <x:c r="D1528" s="8" t="n">
        <x:f>Source!D1522/100</x:f>
        <x:v>130.81</x:v>
      </x:c>
      <x:c r="E1528" s="8" t="n">
        <x:f>Source!E1522/100</x:f>
        <x:v>261.62</x:v>
      </x:c>
      <x:c r="F1528" s="8" t="n">
        <x:f>Source!F1522/100</x:f>
        <x:v>0</x:v>
      </x:c>
      <x:c r="G1528" s="8" t="n">
        <x:f>Source!G1522/100</x:f>
        <x:v>261.62</x:v>
      </x:c>
      <x:c r="H1528" s="8" t="n">
        <x:f>G1528-D1528</x:f>
        <x:v>130.81</x:v>
      </x:c>
      <x:c r="I1528" s="1" t="str">
        <x:f>IF(H1528&gt;0,"Overbilled","Shortfall")</x:f>
        <x:v>Overbilled</x:v>
      </x:c>
      <x:c r="J1528" s="7"/>
      <x:c r="K1528" s="7" t="str">
        <x:v>Open</x:v>
      </x:c>
      <x:c r="L1528" s="7"/>
    </x:row>
    <x:row r="1529" ht="21" customHeight="1">
      <x:c r="A1529" s="1" t="str">
        <x:f>Source!A1523</x:f>
        <x:v>C0012576</x:v>
      </x:c>
      <x:c r="B1529" s="1" t="str">
        <x:f>_xlfn.IFNA(VLOOKUP(Source!B1523,Advertisers!$A$5:$B$34,2,FALSE),"Missing advertiser")</x:f>
        <x:v>Synthetic advertiser 26</x:v>
      </x:c>
      <x:c r="C1529" s="1" t="n">
        <x:f>Source!C1523</x:f>
        <x:v>56</x:v>
      </x:c>
      <x:c r="D1529" s="8" t="n">
        <x:f>Source!D1523/100</x:f>
        <x:v>0</x:v>
      </x:c>
      <x:c r="E1529" s="8" t="n">
        <x:f>Source!E1523/100</x:f>
        <x:v>130.81</x:v>
      </x:c>
      <x:c r="F1529" s="8" t="n">
        <x:f>Source!F1523/100</x:f>
        <x:v>0</x:v>
      </x:c>
      <x:c r="G1529" s="8" t="n">
        <x:f>Source!G1523/100</x:f>
        <x:v>130.81</x:v>
      </x:c>
      <x:c r="H1529" s="8" t="n">
        <x:f>G1529-D1529</x:f>
        <x:v>130.81</x:v>
      </x:c>
      <x:c r="I1529" s="1" t="str">
        <x:f>IF(H1529&gt;0,"Overbilled","Shortfall")</x:f>
        <x:v>Overbilled</x:v>
      </x:c>
      <x:c r="J1529" s="7"/>
      <x:c r="K1529" s="7" t="str">
        <x:v>Open</x:v>
      </x:c>
      <x:c r="L1529" s="7"/>
    </x:row>
    <x:row r="1530" ht="21" customHeight="1">
      <x:c r="A1530" s="1" t="str">
        <x:f>Source!A1524</x:f>
        <x:v>C0014906</x:v>
      </x:c>
      <x:c r="B1530" s="1" t="str">
        <x:f>_xlfn.IFNA(VLOOKUP(Source!B1524,Advertisers!$A$5:$B$34,2,FALSE),"Missing advertiser")</x:f>
        <x:v>Synthetic advertiser 26</x:v>
      </x:c>
      <x:c r="C1530" s="1" t="n">
        <x:f>Source!C1524</x:f>
        <x:v>56</x:v>
      </x:c>
      <x:c r="D1530" s="8" t="n">
        <x:f>Source!D1524/100</x:f>
        <x:v>130.81</x:v>
      </x:c>
      <x:c r="E1530" s="8" t="n">
        <x:f>Source!E1524/100</x:f>
        <x:v>0</x:v>
      </x:c>
      <x:c r="F1530" s="8" t="n">
        <x:f>Source!F1524/100</x:f>
        <x:v>0</x:v>
      </x:c>
      <x:c r="G1530" s="8" t="n">
        <x:f>Source!G1524/100</x:f>
        <x:v>0</x:v>
      </x:c>
      <x:c r="H1530" s="8" t="n">
        <x:f>G1530-D1530</x:f>
        <x:v>-130.81</x:v>
      </x:c>
      <x:c r="I1530" s="1" t="str">
        <x:f>IF(H1530&gt;0,"Overbilled","Shortfall")</x:f>
        <x:v>Shortfall</x:v>
      </x:c>
      <x:c r="J1530" s="7"/>
      <x:c r="K1530" s="7" t="str">
        <x:v>Open</x:v>
      </x:c>
      <x:c r="L1530" s="7"/>
    </x:row>
    <x:row r="1531" ht="21" customHeight="1">
      <x:c r="A1531" s="1" t="str">
        <x:f>Source!A1525</x:f>
        <x:v>C0000778</x:v>
      </x:c>
      <x:c r="B1531" s="1" t="str">
        <x:f>_xlfn.IFNA(VLOOKUP(Source!B1525,Advertisers!$A$5:$B$34,2,FALSE),"Missing advertiser")</x:f>
        <x:v>Synthetic advertiser 23</x:v>
      </x:c>
      <x:c r="C1531" s="1" t="n">
        <x:f>Source!C1525</x:f>
        <x:v>113</x:v>
      </x:c>
      <x:c r="D1531" s="8" t="n">
        <x:f>Source!D1525/100</x:f>
        <x:v>129.72</x:v>
      </x:c>
      <x:c r="E1531" s="8" t="n">
        <x:f>Source!E1525/100</x:f>
        <x:v>259.44</x:v>
      </x:c>
      <x:c r="F1531" s="8" t="n">
        <x:f>Source!F1525/100</x:f>
        <x:v>0</x:v>
      </x:c>
      <x:c r="G1531" s="8" t="n">
        <x:f>Source!G1525/100</x:f>
        <x:v>259.44</x:v>
      </x:c>
      <x:c r="H1531" s="8" t="n">
        <x:f>G1531-D1531</x:f>
        <x:v>129.72</x:v>
      </x:c>
      <x:c r="I1531" s="1" t="str">
        <x:f>IF(H1531&gt;0,"Overbilled","Shortfall")</x:f>
        <x:v>Overbilled</x:v>
      </x:c>
      <x:c r="J1531" s="7"/>
      <x:c r="K1531" s="7" t="str">
        <x:v>Open</x:v>
      </x:c>
      <x:c r="L1531" s="7"/>
    </x:row>
    <x:row r="1532" ht="21" customHeight="1">
      <x:c r="A1532" s="1" t="str">
        <x:f>Source!A1526</x:f>
        <x:v>C0008548</x:v>
      </x:c>
      <x:c r="B1532" s="1" t="str">
        <x:f>_xlfn.IFNA(VLOOKUP(Source!B1526,Advertisers!$A$5:$B$34,2,FALSE),"Missing advertiser")</x:f>
        <x:v>Synthetic advertiser 23</x:v>
      </x:c>
      <x:c r="C1532" s="1" t="n">
        <x:f>Source!C1526</x:f>
        <x:v>113</x:v>
      </x:c>
      <x:c r="D1532" s="8" t="n">
        <x:f>Source!D1526/100</x:f>
        <x:v>0</x:v>
      </x:c>
      <x:c r="E1532" s="8" t="n">
        <x:f>Source!E1526/100</x:f>
        <x:v>129.72</x:v>
      </x:c>
      <x:c r="F1532" s="8" t="n">
        <x:f>Source!F1526/100</x:f>
        <x:v>0</x:v>
      </x:c>
      <x:c r="G1532" s="8" t="n">
        <x:f>Source!G1526/100</x:f>
        <x:v>129.72</x:v>
      </x:c>
      <x:c r="H1532" s="8" t="n">
        <x:f>G1532-D1532</x:f>
        <x:v>129.72</x:v>
      </x:c>
      <x:c r="I1532" s="1" t="str">
        <x:f>IF(H1532&gt;0,"Overbilled","Shortfall")</x:f>
        <x:v>Overbilled</x:v>
      </x:c>
      <x:c r="J1532" s="7"/>
      <x:c r="K1532" s="7" t="str">
        <x:v>Open</x:v>
      </x:c>
      <x:c r="L1532" s="7"/>
    </x:row>
    <x:row r="1533" ht="21" customHeight="1">
      <x:c r="A1533" s="1" t="str">
        <x:f>Source!A1527</x:f>
        <x:v>C0014430</x:v>
      </x:c>
      <x:c r="B1533" s="1" t="str">
        <x:f>_xlfn.IFNA(VLOOKUP(Source!B1527,Advertisers!$A$5:$B$34,2,FALSE),"Missing advertiser")</x:f>
        <x:v>Synthetic advertiser 23</x:v>
      </x:c>
      <x:c r="C1533" s="1" t="n">
        <x:f>Source!C1527</x:f>
        <x:v>113</x:v>
      </x:c>
      <x:c r="D1533" s="8" t="n">
        <x:f>Source!D1527/100</x:f>
        <x:v>129.72</x:v>
      </x:c>
      <x:c r="E1533" s="8" t="n">
        <x:f>Source!E1527/100</x:f>
        <x:v>259.44</x:v>
      </x:c>
      <x:c r="F1533" s="8" t="n">
        <x:f>Source!F1527/100</x:f>
        <x:v>0</x:v>
      </x:c>
      <x:c r="G1533" s="8" t="n">
        <x:f>Source!G1527/100</x:f>
        <x:v>259.44</x:v>
      </x:c>
      <x:c r="H1533" s="8" t="n">
        <x:f>G1533-D1533</x:f>
        <x:v>129.72</x:v>
      </x:c>
      <x:c r="I1533" s="1" t="str">
        <x:f>IF(H1533&gt;0,"Overbilled","Shortfall")</x:f>
        <x:v>Overbilled</x:v>
      </x:c>
      <x:c r="J1533" s="7"/>
      <x:c r="K1533" s="7" t="str">
        <x:v>Open</x:v>
      </x:c>
      <x:c r="L1533" s="7"/>
    </x:row>
    <x:row r="1534" ht="21" customHeight="1">
      <x:c r="A1534" s="1" t="str">
        <x:f>Source!A1528</x:f>
        <x:v>C0010627</x:v>
      </x:c>
      <x:c r="B1534" s="1" t="str">
        <x:f>_xlfn.IFNA(VLOOKUP(Source!B1528,Advertisers!$A$5:$B$34,2,FALSE),"Missing advertiser")</x:f>
        <x:v>Synthetic advertiser 23</x:v>
      </x:c>
      <x:c r="C1534" s="1" t="n">
        <x:f>Source!C1528</x:f>
        <x:v>113</x:v>
      </x:c>
      <x:c r="D1534" s="8" t="n">
        <x:f>Source!D1528/100</x:f>
        <x:v>129.72</x:v>
      </x:c>
      <x:c r="E1534" s="8" t="n">
        <x:f>Source!E1528/100</x:f>
        <x:v>259.44</x:v>
      </x:c>
      <x:c r="F1534" s="8" t="n">
        <x:f>Source!F1528/100</x:f>
        <x:v>0</x:v>
      </x:c>
      <x:c r="G1534" s="8" t="n">
        <x:f>Source!G1528/100</x:f>
        <x:v>259.44</x:v>
      </x:c>
      <x:c r="H1534" s="8" t="n">
        <x:f>G1534-D1534</x:f>
        <x:v>129.72</x:v>
      </x:c>
      <x:c r="I1534" s="1" t="str">
        <x:f>IF(H1534&gt;0,"Overbilled","Shortfall")</x:f>
        <x:v>Overbilled</x:v>
      </x:c>
      <x:c r="J1534" s="7"/>
      <x:c r="K1534" s="7" t="str">
        <x:v>Open</x:v>
      </x:c>
      <x:c r="L1534" s="7"/>
    </x:row>
    <x:row r="1535" ht="21" customHeight="1">
      <x:c r="A1535" s="1" t="str">
        <x:f>Source!A1529</x:f>
        <x:v>C0003570</x:v>
      </x:c>
      <x:c r="B1535" s="1" t="str">
        <x:f>_xlfn.IFNA(VLOOKUP(Source!B1529,Advertisers!$A$5:$B$34,2,FALSE),"Missing advertiser")</x:f>
        <x:v>Synthetic advertiser 9</x:v>
      </x:c>
      <x:c r="C1535" s="1" t="n">
        <x:f>Source!C1529</x:f>
        <x:v>69</x:v>
      </x:c>
      <x:c r="D1535" s="8" t="n">
        <x:f>Source!D1529/100</x:f>
        <x:v>129.71</x:v>
      </x:c>
      <x:c r="E1535" s="8" t="n">
        <x:f>Source!E1529/100</x:f>
        <x:v>259.42</x:v>
      </x:c>
      <x:c r="F1535" s="8" t="n">
        <x:f>Source!F1529/100</x:f>
        <x:v>0</x:v>
      </x:c>
      <x:c r="G1535" s="8" t="n">
        <x:f>Source!G1529/100</x:f>
        <x:v>259.42</x:v>
      </x:c>
      <x:c r="H1535" s="8" t="n">
        <x:f>G1535-D1535</x:f>
        <x:v>129.71</x:v>
      </x:c>
      <x:c r="I1535" s="1" t="str">
        <x:f>IF(H1535&gt;0,"Overbilled","Shortfall")</x:f>
        <x:v>Overbilled</x:v>
      </x:c>
      <x:c r="J1535" s="7"/>
      <x:c r="K1535" s="7" t="str">
        <x:v>Open</x:v>
      </x:c>
      <x:c r="L1535" s="7"/>
    </x:row>
    <x:row r="1536" ht="21" customHeight="1">
      <x:c r="A1536" s="1" t="str">
        <x:f>Source!A1530</x:f>
        <x:v>C0013373</x:v>
      </x:c>
      <x:c r="B1536" s="1" t="str">
        <x:f>_xlfn.IFNA(VLOOKUP(Source!B1530,Advertisers!$A$5:$B$34,2,FALSE),"Missing advertiser")</x:f>
        <x:v>Synthetic advertiser 9</x:v>
      </x:c>
      <x:c r="C1536" s="1" t="n">
        <x:f>Source!C1530</x:f>
        <x:v>69</x:v>
      </x:c>
      <x:c r="D1536" s="8" t="n">
        <x:f>Source!D1530/100</x:f>
        <x:v>129.71</x:v>
      </x:c>
      <x:c r="E1536" s="8" t="n">
        <x:f>Source!E1530/100</x:f>
        <x:v>0</x:v>
      </x:c>
      <x:c r="F1536" s="8" t="n">
        <x:f>Source!F1530/100</x:f>
        <x:v>0</x:v>
      </x:c>
      <x:c r="G1536" s="8" t="n">
        <x:f>Source!G1530/100</x:f>
        <x:v>0</x:v>
      </x:c>
      <x:c r="H1536" s="8" t="n">
        <x:f>G1536-D1536</x:f>
        <x:v>-129.71</x:v>
      </x:c>
      <x:c r="I1536" s="1" t="str">
        <x:f>IF(H1536&gt;0,"Overbilled","Shortfall")</x:f>
        <x:v>Shortfall</x:v>
      </x:c>
      <x:c r="J1536" s="7"/>
      <x:c r="K1536" s="7" t="str">
        <x:v>Open</x:v>
      </x:c>
      <x:c r="L1536" s="7"/>
    </x:row>
    <x:row r="1537" ht="21" customHeight="1">
      <x:c r="A1537" s="1" t="str">
        <x:f>Source!A1531</x:f>
        <x:v>C0017594</x:v>
      </x:c>
      <x:c r="B1537" s="1" t="str">
        <x:f>_xlfn.IFNA(VLOOKUP(Source!B1531,Advertisers!$A$5:$B$34,2,FALSE),"Missing advertiser")</x:f>
        <x:v>Synthetic advertiser 9</x:v>
      </x:c>
      <x:c r="C1537" s="1" t="n">
        <x:f>Source!C1531</x:f>
        <x:v>69</x:v>
      </x:c>
      <x:c r="D1537" s="8" t="n">
        <x:f>Source!D1531/100</x:f>
        <x:v>129.71</x:v>
      </x:c>
      <x:c r="E1537" s="8" t="n">
        <x:f>Source!E1531/100</x:f>
        <x:v>0</x:v>
      </x:c>
      <x:c r="F1537" s="8" t="n">
        <x:f>Source!F1531/100</x:f>
        <x:v>0</x:v>
      </x:c>
      <x:c r="G1537" s="8" t="n">
        <x:f>Source!G1531/100</x:f>
        <x:v>0</x:v>
      </x:c>
      <x:c r="H1537" s="8" t="n">
        <x:f>G1537-D1537</x:f>
        <x:v>-129.71</x:v>
      </x:c>
      <x:c r="I1537" s="1" t="str">
        <x:f>IF(H1537&gt;0,"Overbilled","Shortfall")</x:f>
        <x:v>Shortfall</x:v>
      </x:c>
      <x:c r="J1537" s="7"/>
      <x:c r="K1537" s="7" t="str">
        <x:v>Open</x:v>
      </x:c>
      <x:c r="L1537" s="7"/>
    </x:row>
    <x:row r="1538" ht="21" customHeight="1">
      <x:c r="A1538" s="1" t="str">
        <x:f>Source!A1532</x:f>
        <x:v>C0013485</x:v>
      </x:c>
      <x:c r="B1538" s="1" t="str">
        <x:f>_xlfn.IFNA(VLOOKUP(Source!B1532,Advertisers!$A$5:$B$34,2,FALSE),"Missing advertiser")</x:f>
        <x:v>Synthetic advertiser 9</x:v>
      </x:c>
      <x:c r="C1538" s="1" t="n">
        <x:f>Source!C1532</x:f>
        <x:v>69</x:v>
      </x:c>
      <x:c r="D1538" s="8" t="n">
        <x:f>Source!D1532/100</x:f>
        <x:v>129.71</x:v>
      </x:c>
      <x:c r="E1538" s="8" t="n">
        <x:f>Source!E1532/100</x:f>
        <x:v>0</x:v>
      </x:c>
      <x:c r="F1538" s="8" t="n">
        <x:f>Source!F1532/100</x:f>
        <x:v>0</x:v>
      </x:c>
      <x:c r="G1538" s="8" t="n">
        <x:f>Source!G1532/100</x:f>
        <x:v>0</x:v>
      </x:c>
      <x:c r="H1538" s="8" t="n">
        <x:f>G1538-D1538</x:f>
        <x:v>-129.71</x:v>
      </x:c>
      <x:c r="I1538" s="1" t="str">
        <x:f>IF(H1538&gt;0,"Overbilled","Shortfall")</x:f>
        <x:v>Shortfall</x:v>
      </x:c>
      <x:c r="J1538" s="7"/>
      <x:c r="K1538" s="7" t="str">
        <x:v>Open</x:v>
      </x:c>
      <x:c r="L1538" s="7"/>
    </x:row>
    <x:row r="1539" ht="21" customHeight="1">
      <x:c r="A1539" s="1" t="str">
        <x:f>Source!A1533</x:f>
        <x:v>C0017037</x:v>
      </x:c>
      <x:c r="B1539" s="1" t="str">
        <x:f>_xlfn.IFNA(VLOOKUP(Source!B1533,Advertisers!$A$5:$B$34,2,FALSE),"Missing advertiser")</x:f>
        <x:v>Synthetic advertiser 9</x:v>
      </x:c>
      <x:c r="C1539" s="1" t="n">
        <x:f>Source!C1533</x:f>
        <x:v>69</x:v>
      </x:c>
      <x:c r="D1539" s="8" t="n">
        <x:f>Source!D1533/100</x:f>
        <x:v>129.71</x:v>
      </x:c>
      <x:c r="E1539" s="8" t="n">
        <x:f>Source!E1533/100</x:f>
        <x:v>0</x:v>
      </x:c>
      <x:c r="F1539" s="8" t="n">
        <x:f>Source!F1533/100</x:f>
        <x:v>0</x:v>
      </x:c>
      <x:c r="G1539" s="8" t="n">
        <x:f>Source!G1533/100</x:f>
        <x:v>0</x:v>
      </x:c>
      <x:c r="H1539" s="8" t="n">
        <x:f>G1539-D1539</x:f>
        <x:v>-129.71</x:v>
      </x:c>
      <x:c r="I1539" s="1" t="str">
        <x:f>IF(H1539&gt;0,"Overbilled","Shortfall")</x:f>
        <x:v>Shortfall</x:v>
      </x:c>
      <x:c r="J1539" s="7"/>
      <x:c r="K1539" s="7" t="str">
        <x:v>Open</x:v>
      </x:c>
      <x:c r="L1539" s="7"/>
    </x:row>
    <x:row r="1540" ht="21" customHeight="1">
      <x:c r="A1540" s="1" t="str">
        <x:f>Source!A1534</x:f>
        <x:v>C0013969</x:v>
      </x:c>
      <x:c r="B1540" s="1" t="str">
        <x:f>_xlfn.IFNA(VLOOKUP(Source!B1534,Advertisers!$A$5:$B$34,2,FALSE),"Missing advertiser")</x:f>
        <x:v>Synthetic advertiser 9</x:v>
      </x:c>
      <x:c r="C1540" s="1" t="n">
        <x:f>Source!C1534</x:f>
        <x:v>69</x:v>
      </x:c>
      <x:c r="D1540" s="8" t="n">
        <x:f>Source!D1534/100</x:f>
        <x:v>129.71</x:v>
      </x:c>
      <x:c r="E1540" s="8" t="n">
        <x:f>Source!E1534/100</x:f>
        <x:v>259.42</x:v>
      </x:c>
      <x:c r="F1540" s="8" t="n">
        <x:f>Source!F1534/100</x:f>
        <x:v>0</x:v>
      </x:c>
      <x:c r="G1540" s="8" t="n">
        <x:f>Source!G1534/100</x:f>
        <x:v>259.42</x:v>
      </x:c>
      <x:c r="H1540" s="8" t="n">
        <x:f>G1540-D1540</x:f>
        <x:v>129.71</x:v>
      </x:c>
      <x:c r="I1540" s="1" t="str">
        <x:f>IF(H1540&gt;0,"Overbilled","Shortfall")</x:f>
        <x:v>Overbilled</x:v>
      </x:c>
      <x:c r="J1540" s="7"/>
      <x:c r="K1540" s="7" t="str">
        <x:v>Open</x:v>
      </x:c>
      <x:c r="L1540" s="7"/>
    </x:row>
    <x:row r="1541" ht="21" customHeight="1">
      <x:c r="A1541" s="1" t="str">
        <x:f>Source!A1535</x:f>
        <x:v>C0004105</x:v>
      </x:c>
      <x:c r="B1541" s="1" t="str">
        <x:f>_xlfn.IFNA(VLOOKUP(Source!B1535,Advertisers!$A$5:$B$34,2,FALSE),"Missing advertiser")</x:f>
        <x:v>Synthetic advertiser 9</x:v>
      </x:c>
      <x:c r="C1541" s="1" t="n">
        <x:f>Source!C1535</x:f>
        <x:v>69</x:v>
      </x:c>
      <x:c r="D1541" s="8" t="n">
        <x:f>Source!D1535/100</x:f>
        <x:v>129.71</x:v>
      </x:c>
      <x:c r="E1541" s="8" t="n">
        <x:f>Source!E1535/100</x:f>
        <x:v>0</x:v>
      </x:c>
      <x:c r="F1541" s="8" t="n">
        <x:f>Source!F1535/100</x:f>
        <x:v>0</x:v>
      </x:c>
      <x:c r="G1541" s="8" t="n">
        <x:f>Source!G1535/100</x:f>
        <x:v>0</x:v>
      </x:c>
      <x:c r="H1541" s="8" t="n">
        <x:f>G1541-D1541</x:f>
        <x:v>-129.71</x:v>
      </x:c>
      <x:c r="I1541" s="1" t="str">
        <x:f>IF(H1541&gt;0,"Overbilled","Shortfall")</x:f>
        <x:v>Shortfall</x:v>
      </x:c>
      <x:c r="J1541" s="7"/>
      <x:c r="K1541" s="7" t="str">
        <x:v>Open</x:v>
      </x:c>
      <x:c r="L1541" s="7"/>
    </x:row>
    <x:row r="1542" ht="21" customHeight="1">
      <x:c r="A1542" s="1" t="str">
        <x:f>Source!A1536</x:f>
        <x:v>C0004368</x:v>
      </x:c>
      <x:c r="B1542" s="1" t="str">
        <x:f>_xlfn.IFNA(VLOOKUP(Source!B1536,Advertisers!$A$5:$B$34,2,FALSE),"Missing advertiser")</x:f>
        <x:v>Synthetic advertiser 9</x:v>
      </x:c>
      <x:c r="C1542" s="1" t="n">
        <x:f>Source!C1536</x:f>
        <x:v>69</x:v>
      </x:c>
      <x:c r="D1542" s="8" t="n">
        <x:f>Source!D1536/100</x:f>
        <x:v>129.71</x:v>
      </x:c>
      <x:c r="E1542" s="8" t="n">
        <x:f>Source!E1536/100</x:f>
        <x:v>0</x:v>
      </x:c>
      <x:c r="F1542" s="8" t="n">
        <x:f>Source!F1536/100</x:f>
        <x:v>0</x:v>
      </x:c>
      <x:c r="G1542" s="8" t="n">
        <x:f>Source!G1536/100</x:f>
        <x:v>0</x:v>
      </x:c>
      <x:c r="H1542" s="8" t="n">
        <x:f>G1542-D1542</x:f>
        <x:v>-129.71</x:v>
      </x:c>
      <x:c r="I1542" s="1" t="str">
        <x:f>IF(H1542&gt;0,"Overbilled","Shortfall")</x:f>
        <x:v>Shortfall</x:v>
      </x:c>
      <x:c r="J1542" s="7"/>
      <x:c r="K1542" s="7" t="str">
        <x:v>Open</x:v>
      </x:c>
      <x:c r="L1542" s="7"/>
    </x:row>
    <x:row r="1543" ht="21" customHeight="1">
      <x:c r="A1543" s="1" t="str">
        <x:f>Source!A1537</x:f>
        <x:v>C0014676</x:v>
      </x:c>
      <x:c r="B1543" s="1" t="str">
        <x:f>_xlfn.IFNA(VLOOKUP(Source!B1537,Advertisers!$A$5:$B$34,2,FALSE),"Missing advertiser")</x:f>
        <x:v>Synthetic advertiser 9</x:v>
      </x:c>
      <x:c r="C1543" s="1" t="n">
        <x:f>Source!C1537</x:f>
        <x:v>69</x:v>
      </x:c>
      <x:c r="D1543" s="8" t="n">
        <x:f>Source!D1537/100</x:f>
        <x:v>129.71</x:v>
      </x:c>
      <x:c r="E1543" s="8" t="n">
        <x:f>Source!E1537/100</x:f>
        <x:v>259.42</x:v>
      </x:c>
      <x:c r="F1543" s="8" t="n">
        <x:f>Source!F1537/100</x:f>
        <x:v>0</x:v>
      </x:c>
      <x:c r="G1543" s="8" t="n">
        <x:f>Source!G1537/100</x:f>
        <x:v>259.42</x:v>
      </x:c>
      <x:c r="H1543" s="8" t="n">
        <x:f>G1543-D1543</x:f>
        <x:v>129.71</x:v>
      </x:c>
      <x:c r="I1543" s="1" t="str">
        <x:f>IF(H1543&gt;0,"Overbilled","Shortfall")</x:f>
        <x:v>Overbilled</x:v>
      </x:c>
      <x:c r="J1543" s="7"/>
      <x:c r="K1543" s="7" t="str">
        <x:v>Open</x:v>
      </x:c>
      <x:c r="L1543" s="7"/>
    </x:row>
    <x:row r="1544" ht="21" customHeight="1">
      <x:c r="A1544" s="1" t="str">
        <x:f>Source!A1538</x:f>
        <x:v>C0010043</x:v>
      </x:c>
      <x:c r="B1544" s="1" t="str">
        <x:f>_xlfn.IFNA(VLOOKUP(Source!B1538,Advertisers!$A$5:$B$34,2,FALSE),"Missing advertiser")</x:f>
        <x:v>Synthetic advertiser 9</x:v>
      </x:c>
      <x:c r="C1544" s="1" t="n">
        <x:f>Source!C1538</x:f>
        <x:v>69</x:v>
      </x:c>
      <x:c r="D1544" s="8" t="n">
        <x:f>Source!D1538/100</x:f>
        <x:v>0</x:v>
      </x:c>
      <x:c r="E1544" s="8" t="n">
        <x:f>Source!E1538/100</x:f>
        <x:v>129.71</x:v>
      </x:c>
      <x:c r="F1544" s="8" t="n">
        <x:f>Source!F1538/100</x:f>
        <x:v>0</x:v>
      </x:c>
      <x:c r="G1544" s="8" t="n">
        <x:f>Source!G1538/100</x:f>
        <x:v>129.71</x:v>
      </x:c>
      <x:c r="H1544" s="8" t="n">
        <x:f>G1544-D1544</x:f>
        <x:v>129.71</x:v>
      </x:c>
      <x:c r="I1544" s="1" t="str">
        <x:f>IF(H1544&gt;0,"Overbilled","Shortfall")</x:f>
        <x:v>Overbilled</x:v>
      </x:c>
      <x:c r="J1544" s="7"/>
      <x:c r="K1544" s="7" t="str">
        <x:v>Open</x:v>
      </x:c>
      <x:c r="L1544" s="7"/>
    </x:row>
    <x:row r="1545" ht="21" customHeight="1">
      <x:c r="A1545" s="1" t="str">
        <x:f>Source!A1539</x:f>
        <x:v>C0000206</x:v>
      </x:c>
      <x:c r="B1545" s="1" t="str">
        <x:f>_xlfn.IFNA(VLOOKUP(Source!B1539,Advertisers!$A$5:$B$34,2,FALSE),"Missing advertiser")</x:f>
        <x:v>Synthetic advertiser 9</x:v>
      </x:c>
      <x:c r="C1545" s="1" t="n">
        <x:f>Source!C1539</x:f>
        <x:v>69</x:v>
      </x:c>
      <x:c r="D1545" s="8" t="n">
        <x:f>Source!D1539/100</x:f>
        <x:v>129.71</x:v>
      </x:c>
      <x:c r="E1545" s="8" t="n">
        <x:f>Source!E1539/100</x:f>
        <x:v>0</x:v>
      </x:c>
      <x:c r="F1545" s="8" t="n">
        <x:f>Source!F1539/100</x:f>
        <x:v>0</x:v>
      </x:c>
      <x:c r="G1545" s="8" t="n">
        <x:f>Source!G1539/100</x:f>
        <x:v>0</x:v>
      </x:c>
      <x:c r="H1545" s="8" t="n">
        <x:f>G1545-D1545</x:f>
        <x:v>-129.71</x:v>
      </x:c>
      <x:c r="I1545" s="1" t="str">
        <x:f>IF(H1545&gt;0,"Overbilled","Shortfall")</x:f>
        <x:v>Shortfall</x:v>
      </x:c>
      <x:c r="J1545" s="7"/>
      <x:c r="K1545" s="7" t="str">
        <x:v>Open</x:v>
      </x:c>
      <x:c r="L1545" s="7"/>
    </x:row>
    <x:row r="1546" ht="21" customHeight="1">
      <x:c r="A1546" s="1" t="str">
        <x:f>Source!A1540</x:f>
        <x:v>C0013264</x:v>
      </x:c>
      <x:c r="B1546" s="1" t="str">
        <x:f>_xlfn.IFNA(VLOOKUP(Source!B1540,Advertisers!$A$5:$B$34,2,FALSE),"Missing advertiser")</x:f>
        <x:v>Synthetic advertiser 8</x:v>
      </x:c>
      <x:c r="C1546" s="1" t="n">
        <x:f>Source!C1540</x:f>
        <x:v>98</x:v>
      </x:c>
      <x:c r="D1546" s="8" t="n">
        <x:f>Source!D1540/100</x:f>
        <x:v>129.23</x:v>
      </x:c>
      <x:c r="E1546" s="8" t="n">
        <x:f>Source!E1540/100</x:f>
        <x:v>0</x:v>
      </x:c>
      <x:c r="F1546" s="8" t="n">
        <x:f>Source!F1540/100</x:f>
        <x:v>0</x:v>
      </x:c>
      <x:c r="G1546" s="8" t="n">
        <x:f>Source!G1540/100</x:f>
        <x:v>0</x:v>
      </x:c>
      <x:c r="H1546" s="8" t="n">
        <x:f>G1546-D1546</x:f>
        <x:v>-129.23</x:v>
      </x:c>
      <x:c r="I1546" s="1" t="str">
        <x:f>IF(H1546&gt;0,"Overbilled","Shortfall")</x:f>
        <x:v>Shortfall</x:v>
      </x:c>
      <x:c r="J1546" s="7"/>
      <x:c r="K1546" s="7" t="str">
        <x:v>Open</x:v>
      </x:c>
      <x:c r="L1546" s="7"/>
    </x:row>
    <x:row r="1547" ht="21" customHeight="1">
      <x:c r="A1547" s="1" t="str">
        <x:f>Source!A1541</x:f>
        <x:v>C0014157</x:v>
      </x:c>
      <x:c r="B1547" s="1" t="str">
        <x:f>_xlfn.IFNA(VLOOKUP(Source!B1541,Advertisers!$A$5:$B$34,2,FALSE),"Missing advertiser")</x:f>
        <x:v>Synthetic advertiser 8</x:v>
      </x:c>
      <x:c r="C1547" s="1" t="n">
        <x:f>Source!C1541</x:f>
        <x:v>98</x:v>
      </x:c>
      <x:c r="D1547" s="8" t="n">
        <x:f>Source!D1541/100</x:f>
        <x:v>129.23</x:v>
      </x:c>
      <x:c r="E1547" s="8" t="n">
        <x:f>Source!E1541/100</x:f>
        <x:v>258.46</x:v>
      </x:c>
      <x:c r="F1547" s="8" t="n">
        <x:f>Source!F1541/100</x:f>
        <x:v>0</x:v>
      </x:c>
      <x:c r="G1547" s="8" t="n">
        <x:f>Source!G1541/100</x:f>
        <x:v>258.46</x:v>
      </x:c>
      <x:c r="H1547" s="8" t="n">
        <x:f>G1547-D1547</x:f>
        <x:v>129.23</x:v>
      </x:c>
      <x:c r="I1547" s="1" t="str">
        <x:f>IF(H1547&gt;0,"Overbilled","Shortfall")</x:f>
        <x:v>Overbilled</x:v>
      </x:c>
      <x:c r="J1547" s="7"/>
      <x:c r="K1547" s="7" t="str">
        <x:v>Open</x:v>
      </x:c>
      <x:c r="L1547" s="7"/>
    </x:row>
    <x:row r="1548" ht="21" customHeight="1">
      <x:c r="A1548" s="1" t="str">
        <x:f>Source!A1542</x:f>
        <x:v>C0016333</x:v>
      </x:c>
      <x:c r="B1548" s="1" t="str">
        <x:f>_xlfn.IFNA(VLOOKUP(Source!B1542,Advertisers!$A$5:$B$34,2,FALSE),"Missing advertiser")</x:f>
        <x:v>Synthetic advertiser 8</x:v>
      </x:c>
      <x:c r="C1548" s="1" t="n">
        <x:f>Source!C1542</x:f>
        <x:v>98</x:v>
      </x:c>
      <x:c r="D1548" s="8" t="n">
        <x:f>Source!D1542/100</x:f>
        <x:v>129.23</x:v>
      </x:c>
      <x:c r="E1548" s="8" t="n">
        <x:f>Source!E1542/100</x:f>
        <x:v>258.46</x:v>
      </x:c>
      <x:c r="F1548" s="8" t="n">
        <x:f>Source!F1542/100</x:f>
        <x:v>0</x:v>
      </x:c>
      <x:c r="G1548" s="8" t="n">
        <x:f>Source!G1542/100</x:f>
        <x:v>258.46</x:v>
      </x:c>
      <x:c r="H1548" s="8" t="n">
        <x:f>G1548-D1548</x:f>
        <x:v>129.23</x:v>
      </x:c>
      <x:c r="I1548" s="1" t="str">
        <x:f>IF(H1548&gt;0,"Overbilled","Shortfall")</x:f>
        <x:v>Overbilled</x:v>
      </x:c>
      <x:c r="J1548" s="7"/>
      <x:c r="K1548" s="7" t="str">
        <x:v>Open</x:v>
      </x:c>
      <x:c r="L1548" s="7"/>
    </x:row>
    <x:row r="1549" ht="21" customHeight="1">
      <x:c r="A1549" s="1" t="str">
        <x:f>Source!A1543</x:f>
        <x:v>C0004026</x:v>
      </x:c>
      <x:c r="B1549" s="1" t="str">
        <x:f>_xlfn.IFNA(VLOOKUP(Source!B1543,Advertisers!$A$5:$B$34,2,FALSE),"Missing advertiser")</x:f>
        <x:v>Synthetic advertiser 8</x:v>
      </x:c>
      <x:c r="C1549" s="1" t="n">
        <x:f>Source!C1543</x:f>
        <x:v>98</x:v>
      </x:c>
      <x:c r="D1549" s="8" t="n">
        <x:f>Source!D1543/100</x:f>
        <x:v>129.23</x:v>
      </x:c>
      <x:c r="E1549" s="8" t="n">
        <x:f>Source!E1543/100</x:f>
        <x:v>258.46</x:v>
      </x:c>
      <x:c r="F1549" s="8" t="n">
        <x:f>Source!F1543/100</x:f>
        <x:v>0</x:v>
      </x:c>
      <x:c r="G1549" s="8" t="n">
        <x:f>Source!G1543/100</x:f>
        <x:v>258.46</x:v>
      </x:c>
      <x:c r="H1549" s="8" t="n">
        <x:f>G1549-D1549</x:f>
        <x:v>129.23</x:v>
      </x:c>
      <x:c r="I1549" s="1" t="str">
        <x:f>IF(H1549&gt;0,"Overbilled","Shortfall")</x:f>
        <x:v>Overbilled</x:v>
      </x:c>
      <x:c r="J1549" s="7"/>
      <x:c r="K1549" s="7" t="str">
        <x:v>Open</x:v>
      </x:c>
      <x:c r="L1549" s="7"/>
    </x:row>
    <x:row r="1550" ht="21" customHeight="1">
      <x:c r="A1550" s="1" t="str">
        <x:f>Source!A1544</x:f>
        <x:v>C0006079</x:v>
      </x:c>
      <x:c r="B1550" s="1" t="str">
        <x:f>_xlfn.IFNA(VLOOKUP(Source!B1544,Advertisers!$A$5:$B$34,2,FALSE),"Missing advertiser")</x:f>
        <x:v>Synthetic advertiser 8</x:v>
      </x:c>
      <x:c r="C1550" s="1" t="n">
        <x:f>Source!C1544</x:f>
        <x:v>98</x:v>
      </x:c>
      <x:c r="D1550" s="8" t="n">
        <x:f>Source!D1544/100</x:f>
        <x:v>129.23</x:v>
      </x:c>
      <x:c r="E1550" s="8" t="n">
        <x:f>Source!E1544/100</x:f>
        <x:v>0</x:v>
      </x:c>
      <x:c r="F1550" s="8" t="n">
        <x:f>Source!F1544/100</x:f>
        <x:v>0</x:v>
      </x:c>
      <x:c r="G1550" s="8" t="n">
        <x:f>Source!G1544/100</x:f>
        <x:v>0</x:v>
      </x:c>
      <x:c r="H1550" s="8" t="n">
        <x:f>G1550-D1550</x:f>
        <x:v>-129.23</x:v>
      </x:c>
      <x:c r="I1550" s="1" t="str">
        <x:f>IF(H1550&gt;0,"Overbilled","Shortfall")</x:f>
        <x:v>Shortfall</x:v>
      </x:c>
      <x:c r="J1550" s="7"/>
      <x:c r="K1550" s="7" t="str">
        <x:v>Open</x:v>
      </x:c>
      <x:c r="L1550" s="7"/>
    </x:row>
    <x:row r="1551" ht="21" customHeight="1">
      <x:c r="A1551" s="1" t="str">
        <x:f>Source!A1545</x:f>
        <x:v>C0006471</x:v>
      </x:c>
      <x:c r="B1551" s="1" t="str">
        <x:f>_xlfn.IFNA(VLOOKUP(Source!B1545,Advertisers!$A$5:$B$34,2,FALSE),"Missing advertiser")</x:f>
        <x:v>Synthetic advertiser 8</x:v>
      </x:c>
      <x:c r="C1551" s="1" t="n">
        <x:f>Source!C1545</x:f>
        <x:v>98</x:v>
      </x:c>
      <x:c r="D1551" s="8" t="n">
        <x:f>Source!D1545/100</x:f>
        <x:v>129.23</x:v>
      </x:c>
      <x:c r="E1551" s="8" t="n">
        <x:f>Source!E1545/100</x:f>
        <x:v>0</x:v>
      </x:c>
      <x:c r="F1551" s="8" t="n">
        <x:f>Source!F1545/100</x:f>
        <x:v>0</x:v>
      </x:c>
      <x:c r="G1551" s="8" t="n">
        <x:f>Source!G1545/100</x:f>
        <x:v>0</x:v>
      </x:c>
      <x:c r="H1551" s="8" t="n">
        <x:f>G1551-D1551</x:f>
        <x:v>-129.23</x:v>
      </x:c>
      <x:c r="I1551" s="1" t="str">
        <x:f>IF(H1551&gt;0,"Overbilled","Shortfall")</x:f>
        <x:v>Shortfall</x:v>
      </x:c>
      <x:c r="J1551" s="7"/>
      <x:c r="K1551" s="7" t="str">
        <x:v>Open</x:v>
      </x:c>
      <x:c r="L1551" s="7"/>
    </x:row>
    <x:row r="1552" ht="21" customHeight="1">
      <x:c r="A1552" s="1" t="str">
        <x:f>Source!A1546</x:f>
        <x:v>C0015677</x:v>
      </x:c>
      <x:c r="B1552" s="1" t="str">
        <x:f>_xlfn.IFNA(VLOOKUP(Source!B1546,Advertisers!$A$5:$B$34,2,FALSE),"Missing advertiser")</x:f>
        <x:v>Synthetic advertiser 8</x:v>
      </x:c>
      <x:c r="C1552" s="1" t="n">
        <x:f>Source!C1546</x:f>
        <x:v>98</x:v>
      </x:c>
      <x:c r="D1552" s="8" t="n">
        <x:f>Source!D1546/100</x:f>
        <x:v>129.23</x:v>
      </x:c>
      <x:c r="E1552" s="8" t="n">
        <x:f>Source!E1546/100</x:f>
        <x:v>258.46</x:v>
      </x:c>
      <x:c r="F1552" s="8" t="n">
        <x:f>Source!F1546/100</x:f>
        <x:v>0</x:v>
      </x:c>
      <x:c r="G1552" s="8" t="n">
        <x:f>Source!G1546/100</x:f>
        <x:v>258.46</x:v>
      </x:c>
      <x:c r="H1552" s="8" t="n">
        <x:f>G1552-D1552</x:f>
        <x:v>129.23</x:v>
      </x:c>
      <x:c r="I1552" s="1" t="str">
        <x:f>IF(H1552&gt;0,"Overbilled","Shortfall")</x:f>
        <x:v>Overbilled</x:v>
      </x:c>
      <x:c r="J1552" s="7"/>
      <x:c r="K1552" s="7" t="str">
        <x:v>Open</x:v>
      </x:c>
      <x:c r="L1552" s="7"/>
    </x:row>
    <x:row r="1553" ht="21" customHeight="1">
      <x:c r="A1553" s="1" t="str">
        <x:f>Source!A1547</x:f>
        <x:v>C0009385</x:v>
      </x:c>
      <x:c r="B1553" s="1" t="str">
        <x:f>_xlfn.IFNA(VLOOKUP(Source!B1547,Advertisers!$A$5:$B$34,2,FALSE),"Missing advertiser")</x:f>
        <x:v>Synthetic advertiser 8</x:v>
      </x:c>
      <x:c r="C1553" s="1" t="n">
        <x:f>Source!C1547</x:f>
        <x:v>98</x:v>
      </x:c>
      <x:c r="D1553" s="8" t="n">
        <x:f>Source!D1547/100</x:f>
        <x:v>129.23</x:v>
      </x:c>
      <x:c r="E1553" s="8" t="n">
        <x:f>Source!E1547/100</x:f>
        <x:v>0</x:v>
      </x:c>
      <x:c r="F1553" s="8" t="n">
        <x:f>Source!F1547/100</x:f>
        <x:v>0</x:v>
      </x:c>
      <x:c r="G1553" s="8" t="n">
        <x:f>Source!G1547/100</x:f>
        <x:v>0</x:v>
      </x:c>
      <x:c r="H1553" s="8" t="n">
        <x:f>G1553-D1553</x:f>
        <x:v>-129.23</x:v>
      </x:c>
      <x:c r="I1553" s="1" t="str">
        <x:f>IF(H1553&gt;0,"Overbilled","Shortfall")</x:f>
        <x:v>Shortfall</x:v>
      </x:c>
      <x:c r="J1553" s="7"/>
      <x:c r="K1553" s="7" t="str">
        <x:v>Open</x:v>
      </x:c>
      <x:c r="L1553" s="7"/>
    </x:row>
    <x:row r="1554" ht="21" customHeight="1">
      <x:c r="A1554" s="1" t="str">
        <x:f>Source!A1548</x:f>
        <x:v>C0013267</x:v>
      </x:c>
      <x:c r="B1554" s="1" t="str">
        <x:f>_xlfn.IFNA(VLOOKUP(Source!B1548,Advertisers!$A$5:$B$34,2,FALSE),"Missing advertiser")</x:f>
        <x:v>Synthetic advertiser 8</x:v>
      </x:c>
      <x:c r="C1554" s="1" t="n">
        <x:f>Source!C1548</x:f>
        <x:v>98</x:v>
      </x:c>
      <x:c r="D1554" s="8" t="n">
        <x:f>Source!D1548/100</x:f>
        <x:v>129.23</x:v>
      </x:c>
      <x:c r="E1554" s="8" t="n">
        <x:f>Source!E1548/100</x:f>
        <x:v>258.46</x:v>
      </x:c>
      <x:c r="F1554" s="8" t="n">
        <x:f>Source!F1548/100</x:f>
        <x:v>0</x:v>
      </x:c>
      <x:c r="G1554" s="8" t="n">
        <x:f>Source!G1548/100</x:f>
        <x:v>258.46</x:v>
      </x:c>
      <x:c r="H1554" s="8" t="n">
        <x:f>G1554-D1554</x:f>
        <x:v>129.23</x:v>
      </x:c>
      <x:c r="I1554" s="1" t="str">
        <x:f>IF(H1554&gt;0,"Overbilled","Shortfall")</x:f>
        <x:v>Overbilled</x:v>
      </x:c>
      <x:c r="J1554" s="7"/>
      <x:c r="K1554" s="7" t="str">
        <x:v>Open</x:v>
      </x:c>
      <x:c r="L1554" s="7"/>
    </x:row>
    <x:row r="1555" ht="21" customHeight="1">
      <x:c r="A1555" s="1" t="str">
        <x:f>Source!A1549</x:f>
        <x:v>C0004693</x:v>
      </x:c>
      <x:c r="B1555" s="1" t="str">
        <x:f>_xlfn.IFNA(VLOOKUP(Source!B1549,Advertisers!$A$5:$B$34,2,FALSE),"Missing advertiser")</x:f>
        <x:v>Synthetic advertiser 23</x:v>
      </x:c>
      <x:c r="C1555" s="1" t="n">
        <x:f>Source!C1549</x:f>
        <x:v>113</x:v>
      </x:c>
      <x:c r="D1555" s="8" t="n">
        <x:f>Source!D1549/100</x:f>
        <x:v>128.66</x:v>
      </x:c>
      <x:c r="E1555" s="8" t="n">
        <x:f>Source!E1549/100</x:f>
        <x:v>0</x:v>
      </x:c>
      <x:c r="F1555" s="8" t="n">
        <x:f>Source!F1549/100</x:f>
        <x:v>0</x:v>
      </x:c>
      <x:c r="G1555" s="8" t="n">
        <x:f>Source!G1549/100</x:f>
        <x:v>0</x:v>
      </x:c>
      <x:c r="H1555" s="8" t="n">
        <x:f>G1555-D1555</x:f>
        <x:v>-128.66</x:v>
      </x:c>
      <x:c r="I1555" s="1" t="str">
        <x:f>IF(H1555&gt;0,"Overbilled","Shortfall")</x:f>
        <x:v>Shortfall</x:v>
      </x:c>
      <x:c r="J1555" s="7"/>
      <x:c r="K1555" s="7" t="str">
        <x:v>Open</x:v>
      </x:c>
      <x:c r="L1555" s="7"/>
    </x:row>
    <x:row r="1556" ht="21" customHeight="1">
      <x:c r="A1556" s="1" t="str">
        <x:f>Source!A1550</x:f>
        <x:v>C0014719</x:v>
      </x:c>
      <x:c r="B1556" s="1" t="str">
        <x:f>_xlfn.IFNA(VLOOKUP(Source!B1550,Advertisers!$A$5:$B$34,2,FALSE),"Missing advertiser")</x:f>
        <x:v>Synthetic advertiser 23</x:v>
      </x:c>
      <x:c r="C1556" s="1" t="n">
        <x:f>Source!C1550</x:f>
        <x:v>113</x:v>
      </x:c>
      <x:c r="D1556" s="8" t="n">
        <x:f>Source!D1550/100</x:f>
        <x:v>128.66</x:v>
      </x:c>
      <x:c r="E1556" s="8" t="n">
        <x:f>Source!E1550/100</x:f>
        <x:v>257.32</x:v>
      </x:c>
      <x:c r="F1556" s="8" t="n">
        <x:f>Source!F1550/100</x:f>
        <x:v>0</x:v>
      </x:c>
      <x:c r="G1556" s="8" t="n">
        <x:f>Source!G1550/100</x:f>
        <x:v>257.32</x:v>
      </x:c>
      <x:c r="H1556" s="8" t="n">
        <x:f>G1556-D1556</x:f>
        <x:v>128.66</x:v>
      </x:c>
      <x:c r="I1556" s="1" t="str">
        <x:f>IF(H1556&gt;0,"Overbilled","Shortfall")</x:f>
        <x:v>Overbilled</x:v>
      </x:c>
      <x:c r="J1556" s="7"/>
      <x:c r="K1556" s="7" t="str">
        <x:v>Open</x:v>
      </x:c>
      <x:c r="L1556" s="7"/>
    </x:row>
    <x:row r="1557" ht="21" customHeight="1">
      <x:c r="A1557" s="1" t="str">
        <x:f>Source!A1551</x:f>
        <x:v>C0002701</x:v>
      </x:c>
      <x:c r="B1557" s="1" t="str">
        <x:f>_xlfn.IFNA(VLOOKUP(Source!B1551,Advertisers!$A$5:$B$34,2,FALSE),"Missing advertiser")</x:f>
        <x:v>Synthetic advertiser 23</x:v>
      </x:c>
      <x:c r="C1557" s="1" t="n">
        <x:f>Source!C1551</x:f>
        <x:v>113</x:v>
      </x:c>
      <x:c r="D1557" s="8" t="n">
        <x:f>Source!D1551/100</x:f>
        <x:v>128.66</x:v>
      </x:c>
      <x:c r="E1557" s="8" t="n">
        <x:f>Source!E1551/100</x:f>
        <x:v>257.32</x:v>
      </x:c>
      <x:c r="F1557" s="8" t="n">
        <x:f>Source!F1551/100</x:f>
        <x:v>0</x:v>
      </x:c>
      <x:c r="G1557" s="8" t="n">
        <x:f>Source!G1551/100</x:f>
        <x:v>257.32</x:v>
      </x:c>
      <x:c r="H1557" s="8" t="n">
        <x:f>G1557-D1557</x:f>
        <x:v>128.66</x:v>
      </x:c>
      <x:c r="I1557" s="1" t="str">
        <x:f>IF(H1557&gt;0,"Overbilled","Shortfall")</x:f>
        <x:v>Overbilled</x:v>
      </x:c>
      <x:c r="J1557" s="7"/>
      <x:c r="K1557" s="7" t="str">
        <x:v>Open</x:v>
      </x:c>
      <x:c r="L1557" s="7"/>
    </x:row>
    <x:row r="1558" ht="21" customHeight="1">
      <x:c r="A1558" s="1" t="str">
        <x:f>Source!A1552</x:f>
        <x:v>C0014848</x:v>
      </x:c>
      <x:c r="B1558" s="1" t="str">
        <x:f>_xlfn.IFNA(VLOOKUP(Source!B1552,Advertisers!$A$5:$B$34,2,FALSE),"Missing advertiser")</x:f>
        <x:v>Synthetic advertiser 23</x:v>
      </x:c>
      <x:c r="C1558" s="1" t="n">
        <x:f>Source!C1552</x:f>
        <x:v>113</x:v>
      </x:c>
      <x:c r="D1558" s="8" t="n">
        <x:f>Source!D1552/100</x:f>
        <x:v>128.66</x:v>
      </x:c>
      <x:c r="E1558" s="8" t="n">
        <x:f>Source!E1552/100</x:f>
        <x:v>0</x:v>
      </x:c>
      <x:c r="F1558" s="8" t="n">
        <x:f>Source!F1552/100</x:f>
        <x:v>0</x:v>
      </x:c>
      <x:c r="G1558" s="8" t="n">
        <x:f>Source!G1552/100</x:f>
        <x:v>0</x:v>
      </x:c>
      <x:c r="H1558" s="8" t="n">
        <x:f>G1558-D1558</x:f>
        <x:v>-128.66</x:v>
      </x:c>
      <x:c r="I1558" s="1" t="str">
        <x:f>IF(H1558&gt;0,"Overbilled","Shortfall")</x:f>
        <x:v>Shortfall</x:v>
      </x:c>
      <x:c r="J1558" s="7"/>
      <x:c r="K1558" s="7" t="str">
        <x:v>Open</x:v>
      </x:c>
      <x:c r="L1558" s="7"/>
    </x:row>
    <x:row r="1559" ht="21" customHeight="1">
      <x:c r="A1559" s="1" t="str">
        <x:f>Source!A1553</x:f>
        <x:v>C0014397</x:v>
      </x:c>
      <x:c r="B1559" s="1" t="str">
        <x:f>_xlfn.IFNA(VLOOKUP(Source!B1553,Advertisers!$A$5:$B$34,2,FALSE),"Missing advertiser")</x:f>
        <x:v>Synthetic advertiser 23</x:v>
      </x:c>
      <x:c r="C1559" s="1" t="n">
        <x:f>Source!C1553</x:f>
        <x:v>113</x:v>
      </x:c>
      <x:c r="D1559" s="8" t="n">
        <x:f>Source!D1553/100</x:f>
        <x:v>128.66</x:v>
      </x:c>
      <x:c r="E1559" s="8" t="n">
        <x:f>Source!E1553/100</x:f>
        <x:v>0</x:v>
      </x:c>
      <x:c r="F1559" s="8" t="n">
        <x:f>Source!F1553/100</x:f>
        <x:v>0</x:v>
      </x:c>
      <x:c r="G1559" s="8" t="n">
        <x:f>Source!G1553/100</x:f>
        <x:v>0</x:v>
      </x:c>
      <x:c r="H1559" s="8" t="n">
        <x:f>G1559-D1559</x:f>
        <x:v>-128.66</x:v>
      </x:c>
      <x:c r="I1559" s="1" t="str">
        <x:f>IF(H1559&gt;0,"Overbilled","Shortfall")</x:f>
        <x:v>Shortfall</x:v>
      </x:c>
      <x:c r="J1559" s="7"/>
      <x:c r="K1559" s="7" t="str">
        <x:v>Open</x:v>
      </x:c>
      <x:c r="L1559" s="7"/>
    </x:row>
    <x:row r="1560" ht="21" customHeight="1">
      <x:c r="A1560" s="1" t="str">
        <x:f>Source!A1554</x:f>
        <x:v>C0007683</x:v>
      </x:c>
      <x:c r="B1560" s="1" t="str">
        <x:f>_xlfn.IFNA(VLOOKUP(Source!B1554,Advertisers!$A$5:$B$34,2,FALSE),"Missing advertiser")</x:f>
        <x:v>Synthetic advertiser 23</x:v>
      </x:c>
      <x:c r="C1560" s="1" t="n">
        <x:f>Source!C1554</x:f>
        <x:v>113</x:v>
      </x:c>
      <x:c r="D1560" s="8" t="n">
        <x:f>Source!D1554/100</x:f>
        <x:v>128.66</x:v>
      </x:c>
      <x:c r="E1560" s="8" t="n">
        <x:f>Source!E1554/100</x:f>
        <x:v>257.32</x:v>
      </x:c>
      <x:c r="F1560" s="8" t="n">
        <x:f>Source!F1554/100</x:f>
        <x:v>0</x:v>
      </x:c>
      <x:c r="G1560" s="8" t="n">
        <x:f>Source!G1554/100</x:f>
        <x:v>257.32</x:v>
      </x:c>
      <x:c r="H1560" s="8" t="n">
        <x:f>G1560-D1560</x:f>
        <x:v>128.66</x:v>
      </x:c>
      <x:c r="I1560" s="1" t="str">
        <x:f>IF(H1560&gt;0,"Overbilled","Shortfall")</x:f>
        <x:v>Overbilled</x:v>
      </x:c>
      <x:c r="J1560" s="7"/>
      <x:c r="K1560" s="7" t="str">
        <x:v>Open</x:v>
      </x:c>
      <x:c r="L1560" s="7"/>
    </x:row>
    <x:row r="1561" ht="21" customHeight="1">
      <x:c r="A1561" s="1" t="str">
        <x:f>Source!A1555</x:f>
        <x:v>C0009224</x:v>
      </x:c>
      <x:c r="B1561" s="1" t="str">
        <x:f>_xlfn.IFNA(VLOOKUP(Source!B1555,Advertisers!$A$5:$B$34,2,FALSE),"Missing advertiser")</x:f>
        <x:v>Synthetic advertiser 9</x:v>
      </x:c>
      <x:c r="C1561" s="1" t="n">
        <x:f>Source!C1555</x:f>
        <x:v>69</x:v>
      </x:c>
      <x:c r="D1561" s="8" t="n">
        <x:f>Source!D1555/100</x:f>
        <x:v>128.3</x:v>
      </x:c>
      <x:c r="E1561" s="8" t="n">
        <x:f>Source!E1555/100</x:f>
        <x:v>0</x:v>
      </x:c>
      <x:c r="F1561" s="8" t="n">
        <x:f>Source!F1555/100</x:f>
        <x:v>0</x:v>
      </x:c>
      <x:c r="G1561" s="8" t="n">
        <x:f>Source!G1555/100</x:f>
        <x:v>0</x:v>
      </x:c>
      <x:c r="H1561" s="8" t="n">
        <x:f>G1561-D1561</x:f>
        <x:v>-128.3</x:v>
      </x:c>
      <x:c r="I1561" s="1" t="str">
        <x:f>IF(H1561&gt;0,"Overbilled","Shortfall")</x:f>
        <x:v>Shortfall</x:v>
      </x:c>
      <x:c r="J1561" s="7"/>
      <x:c r="K1561" s="7" t="str">
        <x:v>Open</x:v>
      </x:c>
      <x:c r="L1561" s="7"/>
    </x:row>
    <x:row r="1562" ht="21" customHeight="1">
      <x:c r="A1562" s="1" t="str">
        <x:f>Source!A1556</x:f>
        <x:v>C0006505</x:v>
      </x:c>
      <x:c r="B1562" s="1" t="str">
        <x:f>_xlfn.IFNA(VLOOKUP(Source!B1556,Advertisers!$A$5:$B$34,2,FALSE),"Missing advertiser")</x:f>
        <x:v>Synthetic advertiser 9</x:v>
      </x:c>
      <x:c r="C1562" s="1" t="n">
        <x:f>Source!C1556</x:f>
        <x:v>69</x:v>
      </x:c>
      <x:c r="D1562" s="8" t="n">
        <x:f>Source!D1556/100</x:f>
        <x:v>128.3</x:v>
      </x:c>
      <x:c r="E1562" s="8" t="n">
        <x:f>Source!E1556/100</x:f>
        <x:v>0</x:v>
      </x:c>
      <x:c r="F1562" s="8" t="n">
        <x:f>Source!F1556/100</x:f>
        <x:v>0</x:v>
      </x:c>
      <x:c r="G1562" s="8" t="n">
        <x:f>Source!G1556/100</x:f>
        <x:v>0</x:v>
      </x:c>
      <x:c r="H1562" s="8" t="n">
        <x:f>G1562-D1562</x:f>
        <x:v>-128.3</x:v>
      </x:c>
      <x:c r="I1562" s="1" t="str">
        <x:f>IF(H1562&gt;0,"Overbilled","Shortfall")</x:f>
        <x:v>Shortfall</x:v>
      </x:c>
      <x:c r="J1562" s="7"/>
      <x:c r="K1562" s="7" t="str">
        <x:v>Open</x:v>
      </x:c>
      <x:c r="L1562" s="7"/>
    </x:row>
    <x:row r="1563" ht="21" customHeight="1">
      <x:c r="A1563" s="1" t="str">
        <x:f>Source!A1557</x:f>
        <x:v>C0013183</x:v>
      </x:c>
      <x:c r="B1563" s="1" t="str">
        <x:f>_xlfn.IFNA(VLOOKUP(Source!B1557,Advertisers!$A$5:$B$34,2,FALSE),"Missing advertiser")</x:f>
        <x:v>Synthetic advertiser 9</x:v>
      </x:c>
      <x:c r="C1563" s="1" t="n">
        <x:f>Source!C1557</x:f>
        <x:v>69</x:v>
      </x:c>
      <x:c r="D1563" s="8" t="n">
        <x:f>Source!D1557/100</x:f>
        <x:v>128.3</x:v>
      </x:c>
      <x:c r="E1563" s="8" t="n">
        <x:f>Source!E1557/100</x:f>
        <x:v>0</x:v>
      </x:c>
      <x:c r="F1563" s="8" t="n">
        <x:f>Source!F1557/100</x:f>
        <x:v>0</x:v>
      </x:c>
      <x:c r="G1563" s="8" t="n">
        <x:f>Source!G1557/100</x:f>
        <x:v>0</x:v>
      </x:c>
      <x:c r="H1563" s="8" t="n">
        <x:f>G1563-D1563</x:f>
        <x:v>-128.3</x:v>
      </x:c>
      <x:c r="I1563" s="1" t="str">
        <x:f>IF(H1563&gt;0,"Overbilled","Shortfall")</x:f>
        <x:v>Shortfall</x:v>
      </x:c>
      <x:c r="J1563" s="7"/>
      <x:c r="K1563" s="7" t="str">
        <x:v>Open</x:v>
      </x:c>
      <x:c r="L1563" s="7"/>
    </x:row>
    <x:row r="1564" ht="21" customHeight="1">
      <x:c r="A1564" s="1" t="str">
        <x:f>Source!A1558</x:f>
        <x:v>C0017682</x:v>
      </x:c>
      <x:c r="B1564" s="1" t="str">
        <x:f>_xlfn.IFNA(VLOOKUP(Source!B1558,Advertisers!$A$5:$B$34,2,FALSE),"Missing advertiser")</x:f>
        <x:v>Synthetic advertiser 9</x:v>
      </x:c>
      <x:c r="C1564" s="1" t="n">
        <x:f>Source!C1558</x:f>
        <x:v>69</x:v>
      </x:c>
      <x:c r="D1564" s="8" t="n">
        <x:f>Source!D1558/100</x:f>
        <x:v>128.3</x:v>
      </x:c>
      <x:c r="E1564" s="8" t="n">
        <x:f>Source!E1558/100</x:f>
        <x:v>0</x:v>
      </x:c>
      <x:c r="F1564" s="8" t="n">
        <x:f>Source!F1558/100</x:f>
        <x:v>0</x:v>
      </x:c>
      <x:c r="G1564" s="8" t="n">
        <x:f>Source!G1558/100</x:f>
        <x:v>0</x:v>
      </x:c>
      <x:c r="H1564" s="8" t="n">
        <x:f>G1564-D1564</x:f>
        <x:v>-128.3</x:v>
      </x:c>
      <x:c r="I1564" s="1" t="str">
        <x:f>IF(H1564&gt;0,"Overbilled","Shortfall")</x:f>
        <x:v>Shortfall</x:v>
      </x:c>
      <x:c r="J1564" s="7"/>
      <x:c r="K1564" s="7" t="str">
        <x:v>Open</x:v>
      </x:c>
      <x:c r="L1564" s="7"/>
    </x:row>
    <x:row r="1565" ht="21" customHeight="1">
      <x:c r="A1565" s="1" t="str">
        <x:f>Source!A1559</x:f>
        <x:v>C0012898</x:v>
      </x:c>
      <x:c r="B1565" s="1" t="str">
        <x:f>_xlfn.IFNA(VLOOKUP(Source!B1559,Advertisers!$A$5:$B$34,2,FALSE),"Missing advertiser")</x:f>
        <x:v>Synthetic advertiser 9</x:v>
      </x:c>
      <x:c r="C1565" s="1" t="n">
        <x:f>Source!C1559</x:f>
        <x:v>69</x:v>
      </x:c>
      <x:c r="D1565" s="8" t="n">
        <x:f>Source!D1559/100</x:f>
        <x:v>128.3</x:v>
      </x:c>
      <x:c r="E1565" s="8" t="n">
        <x:f>Source!E1559/100</x:f>
        <x:v>256.6</x:v>
      </x:c>
      <x:c r="F1565" s="8" t="n">
        <x:f>Source!F1559/100</x:f>
        <x:v>0</x:v>
      </x:c>
      <x:c r="G1565" s="8" t="n">
        <x:f>Source!G1559/100</x:f>
        <x:v>256.6</x:v>
      </x:c>
      <x:c r="H1565" s="8" t="n">
        <x:f>G1565-D1565</x:f>
        <x:v>128.3</x:v>
      </x:c>
      <x:c r="I1565" s="1" t="str">
        <x:f>IF(H1565&gt;0,"Overbilled","Shortfall")</x:f>
        <x:v>Overbilled</x:v>
      </x:c>
      <x:c r="J1565" s="7"/>
      <x:c r="K1565" s="7" t="str">
        <x:v>Open</x:v>
      </x:c>
      <x:c r="L1565" s="7"/>
    </x:row>
    <x:row r="1566" ht="21" customHeight="1">
      <x:c r="A1566" s="1" t="str">
        <x:f>Source!A1560</x:f>
        <x:v>C0009278</x:v>
      </x:c>
      <x:c r="B1566" s="1" t="str">
        <x:f>_xlfn.IFNA(VLOOKUP(Source!B1560,Advertisers!$A$5:$B$34,2,FALSE),"Missing advertiser")</x:f>
        <x:v>Synthetic advertiser 9</x:v>
      </x:c>
      <x:c r="C1566" s="1" t="n">
        <x:f>Source!C1560</x:f>
        <x:v>69</x:v>
      </x:c>
      <x:c r="D1566" s="8" t="n">
        <x:f>Source!D1560/100</x:f>
        <x:v>128.3</x:v>
      </x:c>
      <x:c r="E1566" s="8" t="n">
        <x:f>Source!E1560/100</x:f>
        <x:v>256.6</x:v>
      </x:c>
      <x:c r="F1566" s="8" t="n">
        <x:f>Source!F1560/100</x:f>
        <x:v>0</x:v>
      </x:c>
      <x:c r="G1566" s="8" t="n">
        <x:f>Source!G1560/100</x:f>
        <x:v>256.6</x:v>
      </x:c>
      <x:c r="H1566" s="8" t="n">
        <x:f>G1566-D1566</x:f>
        <x:v>128.3</x:v>
      </x:c>
      <x:c r="I1566" s="1" t="str">
        <x:f>IF(H1566&gt;0,"Overbilled","Shortfall")</x:f>
        <x:v>Overbilled</x:v>
      </x:c>
      <x:c r="J1566" s="7"/>
      <x:c r="K1566" s="7" t="str">
        <x:v>Open</x:v>
      </x:c>
      <x:c r="L1566" s="7"/>
    </x:row>
    <x:row r="1567" ht="21" customHeight="1">
      <x:c r="A1567" s="1" t="str">
        <x:f>Source!A1561</x:f>
        <x:v>C0006263</x:v>
      </x:c>
      <x:c r="B1567" s="1" t="str">
        <x:f>_xlfn.IFNA(VLOOKUP(Source!B1561,Advertisers!$A$5:$B$34,2,FALSE),"Missing advertiser")</x:f>
        <x:v>Synthetic advertiser 9</x:v>
      </x:c>
      <x:c r="C1567" s="1" t="n">
        <x:f>Source!C1561</x:f>
        <x:v>69</x:v>
      </x:c>
      <x:c r="D1567" s="8" t="n">
        <x:f>Source!D1561/100</x:f>
        <x:v>128.3</x:v>
      </x:c>
      <x:c r="E1567" s="8" t="n">
        <x:f>Source!E1561/100</x:f>
        <x:v>256.6</x:v>
      </x:c>
      <x:c r="F1567" s="8" t="n">
        <x:f>Source!F1561/100</x:f>
        <x:v>0</x:v>
      </x:c>
      <x:c r="G1567" s="8" t="n">
        <x:f>Source!G1561/100</x:f>
        <x:v>256.6</x:v>
      </x:c>
      <x:c r="H1567" s="8" t="n">
        <x:f>G1567-D1567</x:f>
        <x:v>128.3</x:v>
      </x:c>
      <x:c r="I1567" s="1" t="str">
        <x:f>IF(H1567&gt;0,"Overbilled","Shortfall")</x:f>
        <x:v>Overbilled</x:v>
      </x:c>
      <x:c r="J1567" s="7"/>
      <x:c r="K1567" s="7" t="str">
        <x:v>Open</x:v>
      </x:c>
      <x:c r="L1567" s="7"/>
    </x:row>
    <x:row r="1568" ht="21" customHeight="1">
      <x:c r="A1568" s="1" t="str">
        <x:f>Source!A1562</x:f>
        <x:v>C0013737</x:v>
      </x:c>
      <x:c r="B1568" s="1" t="str">
        <x:f>_xlfn.IFNA(VLOOKUP(Source!B1562,Advertisers!$A$5:$B$34,2,FALSE),"Missing advertiser")</x:f>
        <x:v>Synthetic advertiser 9</x:v>
      </x:c>
      <x:c r="C1568" s="1" t="n">
        <x:f>Source!C1562</x:f>
        <x:v>69</x:v>
      </x:c>
      <x:c r="D1568" s="8" t="n">
        <x:f>Source!D1562/100</x:f>
        <x:v>128.3</x:v>
      </x:c>
      <x:c r="E1568" s="8" t="n">
        <x:f>Source!E1562/100</x:f>
        <x:v>256.6</x:v>
      </x:c>
      <x:c r="F1568" s="8" t="n">
        <x:f>Source!F1562/100</x:f>
        <x:v>0</x:v>
      </x:c>
      <x:c r="G1568" s="8" t="n">
        <x:f>Source!G1562/100</x:f>
        <x:v>256.6</x:v>
      </x:c>
      <x:c r="H1568" s="8" t="n">
        <x:f>G1568-D1568</x:f>
        <x:v>128.3</x:v>
      </x:c>
      <x:c r="I1568" s="1" t="str">
        <x:f>IF(H1568&gt;0,"Overbilled","Shortfall")</x:f>
        <x:v>Overbilled</x:v>
      </x:c>
      <x:c r="J1568" s="7"/>
      <x:c r="K1568" s="7" t="str">
        <x:v>Open</x:v>
      </x:c>
      <x:c r="L1568" s="7"/>
    </x:row>
    <x:row r="1569" ht="21" customHeight="1">
      <x:c r="A1569" s="1" t="str">
        <x:f>Source!A1563</x:f>
        <x:v>C0015999</x:v>
      </x:c>
      <x:c r="B1569" s="1" t="str">
        <x:f>_xlfn.IFNA(VLOOKUP(Source!B1563,Advertisers!$A$5:$B$34,2,FALSE),"Missing advertiser")</x:f>
        <x:v>Synthetic advertiser 9</x:v>
      </x:c>
      <x:c r="C1569" s="1" t="n">
        <x:f>Source!C1563</x:f>
        <x:v>69</x:v>
      </x:c>
      <x:c r="D1569" s="8" t="n">
        <x:f>Source!D1563/100</x:f>
        <x:v>0</x:v>
      </x:c>
      <x:c r="E1569" s="8" t="n">
        <x:f>Source!E1563/100</x:f>
        <x:v>128.3</x:v>
      </x:c>
      <x:c r="F1569" s="8" t="n">
        <x:f>Source!F1563/100</x:f>
        <x:v>0</x:v>
      </x:c>
      <x:c r="G1569" s="8" t="n">
        <x:f>Source!G1563/100</x:f>
        <x:v>128.3</x:v>
      </x:c>
      <x:c r="H1569" s="8" t="n">
        <x:f>G1569-D1569</x:f>
        <x:v>128.3</x:v>
      </x:c>
      <x:c r="I1569" s="1" t="str">
        <x:f>IF(H1569&gt;0,"Overbilled","Shortfall")</x:f>
        <x:v>Overbilled</x:v>
      </x:c>
      <x:c r="J1569" s="7"/>
      <x:c r="K1569" s="7" t="str">
        <x:v>Open</x:v>
      </x:c>
      <x:c r="L1569" s="7"/>
    </x:row>
    <x:row r="1570" ht="21" customHeight="1">
      <x:c r="A1570" s="1" t="str">
        <x:f>Source!A1564</x:f>
        <x:v>C0003606</x:v>
      </x:c>
      <x:c r="B1570" s="1" t="str">
        <x:f>_xlfn.IFNA(VLOOKUP(Source!B1564,Advertisers!$A$5:$B$34,2,FALSE),"Missing advertiser")</x:f>
        <x:v>Synthetic advertiser 9</x:v>
      </x:c>
      <x:c r="C1570" s="1" t="n">
        <x:f>Source!C1564</x:f>
        <x:v>69</x:v>
      </x:c>
      <x:c r="D1570" s="8" t="n">
        <x:f>Source!D1564/100</x:f>
        <x:v>128.3</x:v>
      </x:c>
      <x:c r="E1570" s="8" t="n">
        <x:f>Source!E1564/100</x:f>
        <x:v>256.6</x:v>
      </x:c>
      <x:c r="F1570" s="8" t="n">
        <x:f>Source!F1564/100</x:f>
        <x:v>0</x:v>
      </x:c>
      <x:c r="G1570" s="8" t="n">
        <x:f>Source!G1564/100</x:f>
        <x:v>256.6</x:v>
      </x:c>
      <x:c r="H1570" s="8" t="n">
        <x:f>G1570-D1570</x:f>
        <x:v>128.3</x:v>
      </x:c>
      <x:c r="I1570" s="1" t="str">
        <x:f>IF(H1570&gt;0,"Overbilled","Shortfall")</x:f>
        <x:v>Overbilled</x:v>
      </x:c>
      <x:c r="J1570" s="7"/>
      <x:c r="K1570" s="7" t="str">
        <x:v>Open</x:v>
      </x:c>
      <x:c r="L1570" s="7"/>
    </x:row>
    <x:row r="1571" ht="21" customHeight="1">
      <x:c r="A1571" s="1" t="str">
        <x:f>Source!A1565</x:f>
        <x:v>C0009507</x:v>
      </x:c>
      <x:c r="B1571" s="1" t="str">
        <x:f>_xlfn.IFNA(VLOOKUP(Source!B1565,Advertisers!$A$5:$B$34,2,FALSE),"Missing advertiser")</x:f>
        <x:v>Synthetic advertiser 9</x:v>
      </x:c>
      <x:c r="C1571" s="1" t="n">
        <x:f>Source!C1565</x:f>
        <x:v>69</x:v>
      </x:c>
      <x:c r="D1571" s="8" t="n">
        <x:f>Source!D1565/100</x:f>
        <x:v>128.3</x:v>
      </x:c>
      <x:c r="E1571" s="8" t="n">
        <x:f>Source!E1565/100</x:f>
        <x:v>0</x:v>
      </x:c>
      <x:c r="F1571" s="8" t="n">
        <x:f>Source!F1565/100</x:f>
        <x:v>0</x:v>
      </x:c>
      <x:c r="G1571" s="8" t="n">
        <x:f>Source!G1565/100</x:f>
        <x:v>0</x:v>
      </x:c>
      <x:c r="H1571" s="8" t="n">
        <x:f>G1571-D1571</x:f>
        <x:v>-128.3</x:v>
      </x:c>
      <x:c r="I1571" s="1" t="str">
        <x:f>IF(H1571&gt;0,"Overbilled","Shortfall")</x:f>
        <x:v>Shortfall</x:v>
      </x:c>
      <x:c r="J1571" s="7"/>
      <x:c r="K1571" s="7" t="str">
        <x:v>Open</x:v>
      </x:c>
      <x:c r="L1571" s="7"/>
    </x:row>
    <x:row r="1572" ht="21" customHeight="1">
      <x:c r="A1572" s="1" t="str">
        <x:f>Source!A1566</x:f>
        <x:v>C0000453</x:v>
      </x:c>
      <x:c r="B1572" s="1" t="str">
        <x:f>_xlfn.IFNA(VLOOKUP(Source!B1566,Advertisers!$A$5:$B$34,2,FALSE),"Missing advertiser")</x:f>
        <x:v>Synthetic advertiser 3</x:v>
      </x:c>
      <x:c r="C1572" s="1" t="n">
        <x:f>Source!C1566</x:f>
        <x:v>63</x:v>
      </x:c>
      <x:c r="D1572" s="8" t="n">
        <x:f>Source!D1566/100</x:f>
        <x:v>127.57</x:v>
      </x:c>
      <x:c r="E1572" s="8" t="n">
        <x:f>Source!E1566/100</x:f>
        <x:v>255.14</x:v>
      </x:c>
      <x:c r="F1572" s="8" t="n">
        <x:f>Source!F1566/100</x:f>
        <x:v>0</x:v>
      </x:c>
      <x:c r="G1572" s="8" t="n">
        <x:f>Source!G1566/100</x:f>
        <x:v>255.14</x:v>
      </x:c>
      <x:c r="H1572" s="8" t="n">
        <x:f>G1572-D1572</x:f>
        <x:v>127.57</x:v>
      </x:c>
      <x:c r="I1572" s="1" t="str">
        <x:f>IF(H1572&gt;0,"Overbilled","Shortfall")</x:f>
        <x:v>Overbilled</x:v>
      </x:c>
      <x:c r="J1572" s="7"/>
      <x:c r="K1572" s="7" t="str">
        <x:v>Open</x:v>
      </x:c>
      <x:c r="L1572" s="7"/>
    </x:row>
    <x:row r="1573" ht="21" customHeight="1">
      <x:c r="A1573" s="1" t="str">
        <x:f>Source!A1567</x:f>
        <x:v>C0005000</x:v>
      </x:c>
      <x:c r="B1573" s="1" t="str">
        <x:f>_xlfn.IFNA(VLOOKUP(Source!B1567,Advertisers!$A$5:$B$34,2,FALSE),"Missing advertiser")</x:f>
        <x:v>Synthetic advertiser 3</x:v>
      </x:c>
      <x:c r="C1573" s="1" t="n">
        <x:f>Source!C1567</x:f>
        <x:v>63</x:v>
      </x:c>
      <x:c r="D1573" s="8" t="n">
        <x:f>Source!D1567/100</x:f>
        <x:v>127.57</x:v>
      </x:c>
      <x:c r="E1573" s="8" t="n">
        <x:f>Source!E1567/100</x:f>
        <x:v>255.14</x:v>
      </x:c>
      <x:c r="F1573" s="8" t="n">
        <x:f>Source!F1567/100</x:f>
        <x:v>0</x:v>
      </x:c>
      <x:c r="G1573" s="8" t="n">
        <x:f>Source!G1567/100</x:f>
        <x:v>255.14</x:v>
      </x:c>
      <x:c r="H1573" s="8" t="n">
        <x:f>G1573-D1573</x:f>
        <x:v>127.57</x:v>
      </x:c>
      <x:c r="I1573" s="1" t="str">
        <x:f>IF(H1573&gt;0,"Overbilled","Shortfall")</x:f>
        <x:v>Overbilled</x:v>
      </x:c>
      <x:c r="J1573" s="7"/>
      <x:c r="K1573" s="7" t="str">
        <x:v>Open</x:v>
      </x:c>
      <x:c r="L1573" s="7"/>
    </x:row>
    <x:row r="1574" ht="21" customHeight="1">
      <x:c r="A1574" s="1" t="str">
        <x:f>Source!A1568</x:f>
        <x:v>C0016974</x:v>
      </x:c>
      <x:c r="B1574" s="1" t="str">
        <x:f>_xlfn.IFNA(VLOOKUP(Source!B1568,Advertisers!$A$5:$B$34,2,FALSE),"Missing advertiser")</x:f>
        <x:v>Synthetic advertiser 3</x:v>
      </x:c>
      <x:c r="C1574" s="1" t="n">
        <x:f>Source!C1568</x:f>
        <x:v>63</x:v>
      </x:c>
      <x:c r="D1574" s="8" t="n">
        <x:f>Source!D1568/100</x:f>
        <x:v>127.57</x:v>
      </x:c>
      <x:c r="E1574" s="8" t="n">
        <x:f>Source!E1568/100</x:f>
        <x:v>255.14</x:v>
      </x:c>
      <x:c r="F1574" s="8" t="n">
        <x:f>Source!F1568/100</x:f>
        <x:v>0</x:v>
      </x:c>
      <x:c r="G1574" s="8" t="n">
        <x:f>Source!G1568/100</x:f>
        <x:v>255.14</x:v>
      </x:c>
      <x:c r="H1574" s="8" t="n">
        <x:f>G1574-D1574</x:f>
        <x:v>127.57</x:v>
      </x:c>
      <x:c r="I1574" s="1" t="str">
        <x:f>IF(H1574&gt;0,"Overbilled","Shortfall")</x:f>
        <x:v>Overbilled</x:v>
      </x:c>
      <x:c r="J1574" s="7"/>
      <x:c r="K1574" s="7" t="str">
        <x:v>Open</x:v>
      </x:c>
      <x:c r="L1574" s="7"/>
    </x:row>
    <x:row r="1575" ht="21" customHeight="1">
      <x:c r="A1575" s="1" t="str">
        <x:f>Source!A1569</x:f>
        <x:v>C0010493</x:v>
      </x:c>
      <x:c r="B1575" s="1" t="str">
        <x:f>_xlfn.IFNA(VLOOKUP(Source!B1569,Advertisers!$A$5:$B$34,2,FALSE),"Missing advertiser")</x:f>
        <x:v>Synthetic advertiser 3</x:v>
      </x:c>
      <x:c r="C1575" s="1" t="n">
        <x:f>Source!C1569</x:f>
        <x:v>63</x:v>
      </x:c>
      <x:c r="D1575" s="8" t="n">
        <x:f>Source!D1569/100</x:f>
        <x:v>127.57</x:v>
      </x:c>
      <x:c r="E1575" s="8" t="n">
        <x:f>Source!E1569/100</x:f>
        <x:v>255.14</x:v>
      </x:c>
      <x:c r="F1575" s="8" t="n">
        <x:f>Source!F1569/100</x:f>
        <x:v>0</x:v>
      </x:c>
      <x:c r="G1575" s="8" t="n">
        <x:f>Source!G1569/100</x:f>
        <x:v>255.14</x:v>
      </x:c>
      <x:c r="H1575" s="8" t="n">
        <x:f>G1575-D1575</x:f>
        <x:v>127.57</x:v>
      </x:c>
      <x:c r="I1575" s="1" t="str">
        <x:f>IF(H1575&gt;0,"Overbilled","Shortfall")</x:f>
        <x:v>Overbilled</x:v>
      </x:c>
      <x:c r="J1575" s="7"/>
      <x:c r="K1575" s="7" t="str">
        <x:v>Open</x:v>
      </x:c>
      <x:c r="L1575" s="7"/>
    </x:row>
    <x:row r="1576" ht="21" customHeight="1">
      <x:c r="A1576" s="1" t="str">
        <x:f>Source!A1570</x:f>
        <x:v>C0005362</x:v>
      </x:c>
      <x:c r="B1576" s="1" t="str">
        <x:f>_xlfn.IFNA(VLOOKUP(Source!B1570,Advertisers!$A$5:$B$34,2,FALSE),"Missing advertiser")</x:f>
        <x:v>Synthetic advertiser 3</x:v>
      </x:c>
      <x:c r="C1576" s="1" t="n">
        <x:f>Source!C1570</x:f>
        <x:v>63</x:v>
      </x:c>
      <x:c r="D1576" s="8" t="n">
        <x:f>Source!D1570/100</x:f>
        <x:v>127.57</x:v>
      </x:c>
      <x:c r="E1576" s="8" t="n">
        <x:f>Source!E1570/100</x:f>
        <x:v>255.14</x:v>
      </x:c>
      <x:c r="F1576" s="8" t="n">
        <x:f>Source!F1570/100</x:f>
        <x:v>0</x:v>
      </x:c>
      <x:c r="G1576" s="8" t="n">
        <x:f>Source!G1570/100</x:f>
        <x:v>255.14</x:v>
      </x:c>
      <x:c r="H1576" s="8" t="n">
        <x:f>G1576-D1576</x:f>
        <x:v>127.57</x:v>
      </x:c>
      <x:c r="I1576" s="1" t="str">
        <x:f>IF(H1576&gt;0,"Overbilled","Shortfall")</x:f>
        <x:v>Overbilled</x:v>
      </x:c>
      <x:c r="J1576" s="7"/>
      <x:c r="K1576" s="7" t="str">
        <x:v>Open</x:v>
      </x:c>
      <x:c r="L1576" s="7"/>
    </x:row>
    <x:row r="1577" ht="21" customHeight="1">
      <x:c r="A1577" s="1" t="str">
        <x:f>Source!A1571</x:f>
        <x:v>C0003953</x:v>
      </x:c>
      <x:c r="B1577" s="1" t="str">
        <x:f>_xlfn.IFNA(VLOOKUP(Source!B1571,Advertisers!$A$5:$B$34,2,FALSE),"Missing advertiser")</x:f>
        <x:v>Synthetic advertiser 3</x:v>
      </x:c>
      <x:c r="C1577" s="1" t="n">
        <x:f>Source!C1571</x:f>
        <x:v>63</x:v>
      </x:c>
      <x:c r="D1577" s="8" t="n">
        <x:f>Source!D1571/100</x:f>
        <x:v>127.57</x:v>
      </x:c>
      <x:c r="E1577" s="8" t="n">
        <x:f>Source!E1571/100</x:f>
        <x:v>255.14</x:v>
      </x:c>
      <x:c r="F1577" s="8" t="n">
        <x:f>Source!F1571/100</x:f>
        <x:v>0</x:v>
      </x:c>
      <x:c r="G1577" s="8" t="n">
        <x:f>Source!G1571/100</x:f>
        <x:v>255.14</x:v>
      </x:c>
      <x:c r="H1577" s="8" t="n">
        <x:f>G1577-D1577</x:f>
        <x:v>127.57</x:v>
      </x:c>
      <x:c r="I1577" s="1" t="str">
        <x:f>IF(H1577&gt;0,"Overbilled","Shortfall")</x:f>
        <x:v>Overbilled</x:v>
      </x:c>
      <x:c r="J1577" s="7"/>
      <x:c r="K1577" s="7" t="str">
        <x:v>Open</x:v>
      </x:c>
      <x:c r="L1577" s="7"/>
    </x:row>
    <x:row r="1578" ht="21" customHeight="1">
      <x:c r="A1578" s="1" t="str">
        <x:f>Source!A1572</x:f>
        <x:v>C0006559</x:v>
      </x:c>
      <x:c r="B1578" s="1" t="str">
        <x:f>_xlfn.IFNA(VLOOKUP(Source!B1572,Advertisers!$A$5:$B$34,2,FALSE),"Missing advertiser")</x:f>
        <x:v>Synthetic advertiser 3</x:v>
      </x:c>
      <x:c r="C1578" s="1" t="n">
        <x:f>Source!C1572</x:f>
        <x:v>63</x:v>
      </x:c>
      <x:c r="D1578" s="8" t="n">
        <x:f>Source!D1572/100</x:f>
        <x:v>127.57</x:v>
      </x:c>
      <x:c r="E1578" s="8" t="n">
        <x:f>Source!E1572/100</x:f>
        <x:v>255.14</x:v>
      </x:c>
      <x:c r="F1578" s="8" t="n">
        <x:f>Source!F1572/100</x:f>
        <x:v>0</x:v>
      </x:c>
      <x:c r="G1578" s="8" t="n">
        <x:f>Source!G1572/100</x:f>
        <x:v>255.14</x:v>
      </x:c>
      <x:c r="H1578" s="8" t="n">
        <x:f>G1578-D1578</x:f>
        <x:v>127.57</x:v>
      </x:c>
      <x:c r="I1578" s="1" t="str">
        <x:f>IF(H1578&gt;0,"Overbilled","Shortfall")</x:f>
        <x:v>Overbilled</x:v>
      </x:c>
      <x:c r="J1578" s="7"/>
      <x:c r="K1578" s="7" t="str">
        <x:v>Open</x:v>
      </x:c>
      <x:c r="L1578" s="7"/>
    </x:row>
    <x:row r="1579" ht="21" customHeight="1">
      <x:c r="A1579" s="1" t="str">
        <x:f>Source!A1573</x:f>
        <x:v>C0007082</x:v>
      </x:c>
      <x:c r="B1579" s="1" t="str">
        <x:f>_xlfn.IFNA(VLOOKUP(Source!B1573,Advertisers!$A$5:$B$34,2,FALSE),"Missing advertiser")</x:f>
        <x:v>Synthetic advertiser 3</x:v>
      </x:c>
      <x:c r="C1579" s="1" t="n">
        <x:f>Source!C1573</x:f>
        <x:v>63</x:v>
      </x:c>
      <x:c r="D1579" s="8" t="n">
        <x:f>Source!D1573/100</x:f>
        <x:v>127.57</x:v>
      </x:c>
      <x:c r="E1579" s="8" t="n">
        <x:f>Source!E1573/100</x:f>
        <x:v>0</x:v>
      </x:c>
      <x:c r="F1579" s="8" t="n">
        <x:f>Source!F1573/100</x:f>
        <x:v>0</x:v>
      </x:c>
      <x:c r="G1579" s="8" t="n">
        <x:f>Source!G1573/100</x:f>
        <x:v>0</x:v>
      </x:c>
      <x:c r="H1579" s="8" t="n">
        <x:f>G1579-D1579</x:f>
        <x:v>-127.57</x:v>
      </x:c>
      <x:c r="I1579" s="1" t="str">
        <x:f>IF(H1579&gt;0,"Overbilled","Shortfall")</x:f>
        <x:v>Shortfall</x:v>
      </x:c>
      <x:c r="J1579" s="7"/>
      <x:c r="K1579" s="7" t="str">
        <x:v>Open</x:v>
      </x:c>
      <x:c r="L1579" s="7"/>
    </x:row>
    <x:row r="1580" ht="21" customHeight="1">
      <x:c r="A1580" s="1" t="str">
        <x:f>Source!A1574</x:f>
        <x:v>C0013272</x:v>
      </x:c>
      <x:c r="B1580" s="1" t="str">
        <x:f>_xlfn.IFNA(VLOOKUP(Source!B1574,Advertisers!$A$5:$B$34,2,FALSE),"Missing advertiser")</x:f>
        <x:v>Synthetic advertiser 3</x:v>
      </x:c>
      <x:c r="C1580" s="1" t="n">
        <x:f>Source!C1574</x:f>
        <x:v>63</x:v>
      </x:c>
      <x:c r="D1580" s="8" t="n">
        <x:f>Source!D1574/100</x:f>
        <x:v>127.57</x:v>
      </x:c>
      <x:c r="E1580" s="8" t="n">
        <x:f>Source!E1574/100</x:f>
        <x:v>255.14</x:v>
      </x:c>
      <x:c r="F1580" s="8" t="n">
        <x:f>Source!F1574/100</x:f>
        <x:v>0</x:v>
      </x:c>
      <x:c r="G1580" s="8" t="n">
        <x:f>Source!G1574/100</x:f>
        <x:v>255.14</x:v>
      </x:c>
      <x:c r="H1580" s="8" t="n">
        <x:f>G1580-D1580</x:f>
        <x:v>127.57</x:v>
      </x:c>
      <x:c r="I1580" s="1" t="str">
        <x:f>IF(H1580&gt;0,"Overbilled","Shortfall")</x:f>
        <x:v>Overbilled</x:v>
      </x:c>
      <x:c r="J1580" s="7"/>
      <x:c r="K1580" s="7" t="str">
        <x:v>Open</x:v>
      </x:c>
      <x:c r="L1580" s="7"/>
    </x:row>
    <x:row r="1581" ht="21" customHeight="1">
      <x:c r="A1581" s="1" t="str">
        <x:f>Source!A1575</x:f>
        <x:v>C0001034</x:v>
      </x:c>
      <x:c r="B1581" s="1" t="str">
        <x:f>_xlfn.IFNA(VLOOKUP(Source!B1575,Advertisers!$A$5:$B$34,2,FALSE),"Missing advertiser")</x:f>
        <x:v>Synthetic advertiser 3</x:v>
      </x:c>
      <x:c r="C1581" s="1" t="n">
        <x:f>Source!C1575</x:f>
        <x:v>63</x:v>
      </x:c>
      <x:c r="D1581" s="8" t="n">
        <x:f>Source!D1575/100</x:f>
        <x:v>127.57</x:v>
      </x:c>
      <x:c r="E1581" s="8" t="n">
        <x:f>Source!E1575/100</x:f>
        <x:v>255.14</x:v>
      </x:c>
      <x:c r="F1581" s="8" t="n">
        <x:f>Source!F1575/100</x:f>
        <x:v>0</x:v>
      </x:c>
      <x:c r="G1581" s="8" t="n">
        <x:f>Source!G1575/100</x:f>
        <x:v>255.14</x:v>
      </x:c>
      <x:c r="H1581" s="8" t="n">
        <x:f>G1581-D1581</x:f>
        <x:v>127.57</x:v>
      </x:c>
      <x:c r="I1581" s="1" t="str">
        <x:f>IF(H1581&gt;0,"Overbilled","Shortfall")</x:f>
        <x:v>Overbilled</x:v>
      </x:c>
      <x:c r="J1581" s="7"/>
      <x:c r="K1581" s="7" t="str">
        <x:v>Open</x:v>
      </x:c>
      <x:c r="L1581" s="7"/>
    </x:row>
    <x:row r="1582" ht="21" customHeight="1">
      <x:c r="A1582" s="1" t="str">
        <x:f>Source!A1576</x:f>
        <x:v>C0014796</x:v>
      </x:c>
      <x:c r="B1582" s="1" t="str">
        <x:f>_xlfn.IFNA(VLOOKUP(Source!B1576,Advertisers!$A$5:$B$34,2,FALSE),"Missing advertiser")</x:f>
        <x:v>Synthetic advertiser 3</x:v>
      </x:c>
      <x:c r="C1582" s="1" t="n">
        <x:f>Source!C1576</x:f>
        <x:v>63</x:v>
      </x:c>
      <x:c r="D1582" s="8" t="n">
        <x:f>Source!D1576/100</x:f>
        <x:v>127.57</x:v>
      </x:c>
      <x:c r="E1582" s="8" t="n">
        <x:f>Source!E1576/100</x:f>
        <x:v>0</x:v>
      </x:c>
      <x:c r="F1582" s="8" t="n">
        <x:f>Source!F1576/100</x:f>
        <x:v>0</x:v>
      </x:c>
      <x:c r="G1582" s="8" t="n">
        <x:f>Source!G1576/100</x:f>
        <x:v>0</x:v>
      </x:c>
      <x:c r="H1582" s="8" t="n">
        <x:f>G1582-D1582</x:f>
        <x:v>-127.57</x:v>
      </x:c>
      <x:c r="I1582" s="1" t="str">
        <x:f>IF(H1582&gt;0,"Overbilled","Shortfall")</x:f>
        <x:v>Shortfall</x:v>
      </x:c>
      <x:c r="J1582" s="7"/>
      <x:c r="K1582" s="7" t="str">
        <x:v>Open</x:v>
      </x:c>
      <x:c r="L1582" s="7"/>
    </x:row>
    <x:row r="1583" ht="21" customHeight="1">
      <x:c r="A1583" s="1" t="str">
        <x:f>Source!A1577</x:f>
        <x:v>C0013744</x:v>
      </x:c>
      <x:c r="B1583" s="1" t="str">
        <x:f>_xlfn.IFNA(VLOOKUP(Source!B1577,Advertisers!$A$5:$B$34,2,FALSE),"Missing advertiser")</x:f>
        <x:v>Synthetic advertiser 4</x:v>
      </x:c>
      <x:c r="C1583" s="1" t="n">
        <x:f>Source!C1577</x:f>
        <x:v>94</x:v>
      </x:c>
      <x:c r="D1583" s="8" t="n">
        <x:f>Source!D1577/100</x:f>
        <x:v>126.67</x:v>
      </x:c>
      <x:c r="E1583" s="8" t="n">
        <x:f>Source!E1577/100</x:f>
        <x:v>0</x:v>
      </x:c>
      <x:c r="F1583" s="8" t="n">
        <x:f>Source!F1577/100</x:f>
        <x:v>0</x:v>
      </x:c>
      <x:c r="G1583" s="8" t="n">
        <x:f>Source!G1577/100</x:f>
        <x:v>0</x:v>
      </x:c>
      <x:c r="H1583" s="8" t="n">
        <x:f>G1583-D1583</x:f>
        <x:v>-126.67</x:v>
      </x:c>
      <x:c r="I1583" s="1" t="str">
        <x:f>IF(H1583&gt;0,"Overbilled","Shortfall")</x:f>
        <x:v>Shortfall</x:v>
      </x:c>
      <x:c r="J1583" s="7"/>
      <x:c r="K1583" s="7" t="str">
        <x:v>Open</x:v>
      </x:c>
      <x:c r="L1583" s="7"/>
    </x:row>
    <x:row r="1584" ht="21" customHeight="1">
      <x:c r="A1584" s="1" t="str">
        <x:f>Source!A1578</x:f>
        <x:v>C0017151</x:v>
      </x:c>
      <x:c r="B1584" s="1" t="str">
        <x:f>_xlfn.IFNA(VLOOKUP(Source!B1578,Advertisers!$A$5:$B$34,2,FALSE),"Missing advertiser")</x:f>
        <x:v>Synthetic advertiser 4</x:v>
      </x:c>
      <x:c r="C1584" s="1" t="n">
        <x:f>Source!C1578</x:f>
        <x:v>94</x:v>
      </x:c>
      <x:c r="D1584" s="8" t="n">
        <x:f>Source!D1578/100</x:f>
        <x:v>126.67</x:v>
      </x:c>
      <x:c r="E1584" s="8" t="n">
        <x:f>Source!E1578/100</x:f>
        <x:v>253.34</x:v>
      </x:c>
      <x:c r="F1584" s="8" t="n">
        <x:f>Source!F1578/100</x:f>
        <x:v>0</x:v>
      </x:c>
      <x:c r="G1584" s="8" t="n">
        <x:f>Source!G1578/100</x:f>
        <x:v>253.34</x:v>
      </x:c>
      <x:c r="H1584" s="8" t="n">
        <x:f>G1584-D1584</x:f>
        <x:v>126.67</x:v>
      </x:c>
      <x:c r="I1584" s="1" t="str">
        <x:f>IF(H1584&gt;0,"Overbilled","Shortfall")</x:f>
        <x:v>Overbilled</x:v>
      </x:c>
      <x:c r="J1584" s="7"/>
      <x:c r="K1584" s="7" t="str">
        <x:v>Open</x:v>
      </x:c>
      <x:c r="L1584" s="7"/>
    </x:row>
    <x:row r="1585" ht="21" customHeight="1">
      <x:c r="A1585" s="1" t="str">
        <x:f>Source!A1579</x:f>
        <x:v>C0000343</x:v>
      </x:c>
      <x:c r="B1585" s="1" t="str">
        <x:f>_xlfn.IFNA(VLOOKUP(Source!B1579,Advertisers!$A$5:$B$34,2,FALSE),"Missing advertiser")</x:f>
        <x:v>Synthetic advertiser 25</x:v>
      </x:c>
      <x:c r="C1585" s="1" t="n">
        <x:f>Source!C1579</x:f>
        <x:v>115</x:v>
      </x:c>
      <x:c r="D1585" s="8" t="n">
        <x:f>Source!D1579/100</x:f>
        <x:v>0</x:v>
      </x:c>
      <x:c r="E1585" s="8" t="n">
        <x:f>Source!E1579/100</x:f>
        <x:v>126.03</x:v>
      </x:c>
      <x:c r="F1585" s="8" t="n">
        <x:f>Source!F1579/100</x:f>
        <x:v>0</x:v>
      </x:c>
      <x:c r="G1585" s="8" t="n">
        <x:f>Source!G1579/100</x:f>
        <x:v>126.03</x:v>
      </x:c>
      <x:c r="H1585" s="8" t="n">
        <x:f>G1585-D1585</x:f>
        <x:v>126.03</x:v>
      </x:c>
      <x:c r="I1585" s="1" t="str">
        <x:f>IF(H1585&gt;0,"Overbilled","Shortfall")</x:f>
        <x:v>Overbilled</x:v>
      </x:c>
      <x:c r="J1585" s="7"/>
      <x:c r="K1585" s="7" t="str">
        <x:v>Open</x:v>
      </x:c>
      <x:c r="L1585" s="7"/>
    </x:row>
    <x:row r="1586" ht="21" customHeight="1">
      <x:c r="A1586" s="1" t="str">
        <x:f>Source!A1580</x:f>
        <x:v>C0011919</x:v>
      </x:c>
      <x:c r="B1586" s="1" t="str">
        <x:f>_xlfn.IFNA(VLOOKUP(Source!B1580,Advertisers!$A$5:$B$34,2,FALSE),"Missing advertiser")</x:f>
        <x:v>Synthetic advertiser 25</x:v>
      </x:c>
      <x:c r="C1586" s="1" t="n">
        <x:f>Source!C1580</x:f>
        <x:v>115</x:v>
      </x:c>
      <x:c r="D1586" s="8" t="n">
        <x:f>Source!D1580/100</x:f>
        <x:v>126.03</x:v>
      </x:c>
      <x:c r="E1586" s="8" t="n">
        <x:f>Source!E1580/100</x:f>
        <x:v>0</x:v>
      </x:c>
      <x:c r="F1586" s="8" t="n">
        <x:f>Source!F1580/100</x:f>
        <x:v>0</x:v>
      </x:c>
      <x:c r="G1586" s="8" t="n">
        <x:f>Source!G1580/100</x:f>
        <x:v>0</x:v>
      </x:c>
      <x:c r="H1586" s="8" t="n">
        <x:f>G1586-D1586</x:f>
        <x:v>-126.03</x:v>
      </x:c>
      <x:c r="I1586" s="1" t="str">
        <x:f>IF(H1586&gt;0,"Overbilled","Shortfall")</x:f>
        <x:v>Shortfall</x:v>
      </x:c>
      <x:c r="J1586" s="7"/>
      <x:c r="K1586" s="7" t="str">
        <x:v>Open</x:v>
      </x:c>
      <x:c r="L1586" s="7"/>
    </x:row>
    <x:row r="1587" ht="21" customHeight="1">
      <x:c r="A1587" s="1" t="str">
        <x:f>Source!A1581</x:f>
        <x:v>C0003428</x:v>
      </x:c>
      <x:c r="B1587" s="1" t="str">
        <x:f>_xlfn.IFNA(VLOOKUP(Source!B1581,Advertisers!$A$5:$B$34,2,FALSE),"Missing advertiser")</x:f>
        <x:v>Synthetic advertiser 25</x:v>
      </x:c>
      <x:c r="C1587" s="1" t="n">
        <x:f>Source!C1581</x:f>
        <x:v>115</x:v>
      </x:c>
      <x:c r="D1587" s="8" t="n">
        <x:f>Source!D1581/100</x:f>
        <x:v>126.03</x:v>
      </x:c>
      <x:c r="E1587" s="8" t="n">
        <x:f>Source!E1581/100</x:f>
        <x:v>0</x:v>
      </x:c>
      <x:c r="F1587" s="8" t="n">
        <x:f>Source!F1581/100</x:f>
        <x:v>0</x:v>
      </x:c>
      <x:c r="G1587" s="8" t="n">
        <x:f>Source!G1581/100</x:f>
        <x:v>0</x:v>
      </x:c>
      <x:c r="H1587" s="8" t="n">
        <x:f>G1587-D1587</x:f>
        <x:v>-126.03</x:v>
      </x:c>
      <x:c r="I1587" s="1" t="str">
        <x:f>IF(H1587&gt;0,"Overbilled","Shortfall")</x:f>
        <x:v>Shortfall</x:v>
      </x:c>
      <x:c r="J1587" s="7"/>
      <x:c r="K1587" s="7" t="str">
        <x:v>Open</x:v>
      </x:c>
      <x:c r="L1587" s="7"/>
    </x:row>
    <x:row r="1588" ht="21" customHeight="1">
      <x:c r="A1588" s="1" t="str">
        <x:f>Source!A1582</x:f>
        <x:v>C0007034</x:v>
      </x:c>
      <x:c r="B1588" s="1" t="str">
        <x:f>_xlfn.IFNA(VLOOKUP(Source!B1582,Advertisers!$A$5:$B$34,2,FALSE),"Missing advertiser")</x:f>
        <x:v>Synthetic advertiser 25</x:v>
      </x:c>
      <x:c r="C1588" s="1" t="n">
        <x:f>Source!C1582</x:f>
        <x:v>115</x:v>
      </x:c>
      <x:c r="D1588" s="8" t="n">
        <x:f>Source!D1582/100</x:f>
        <x:v>126.03</x:v>
      </x:c>
      <x:c r="E1588" s="8" t="n">
        <x:f>Source!E1582/100</x:f>
        <x:v>0</x:v>
      </x:c>
      <x:c r="F1588" s="8" t="n">
        <x:f>Source!F1582/100</x:f>
        <x:v>0</x:v>
      </x:c>
      <x:c r="G1588" s="8" t="n">
        <x:f>Source!G1582/100</x:f>
        <x:v>0</x:v>
      </x:c>
      <x:c r="H1588" s="8" t="n">
        <x:f>G1588-D1588</x:f>
        <x:v>-126.03</x:v>
      </x:c>
      <x:c r="I1588" s="1" t="str">
        <x:f>IF(H1588&gt;0,"Overbilled","Shortfall")</x:f>
        <x:v>Shortfall</x:v>
      </x:c>
      <x:c r="J1588" s="7"/>
      <x:c r="K1588" s="7" t="str">
        <x:v>Open</x:v>
      </x:c>
      <x:c r="L1588" s="7"/>
    </x:row>
    <x:row r="1589" ht="21" customHeight="1">
      <x:c r="A1589" s="1" t="str">
        <x:f>Source!A1583</x:f>
        <x:v>C0002222</x:v>
      </x:c>
      <x:c r="B1589" s="1" t="str">
        <x:f>_xlfn.IFNA(VLOOKUP(Source!B1583,Advertisers!$A$5:$B$34,2,FALSE),"Missing advertiser")</x:f>
        <x:v>Synthetic advertiser 25</x:v>
      </x:c>
      <x:c r="C1589" s="1" t="n">
        <x:f>Source!C1583</x:f>
        <x:v>115</x:v>
      </x:c>
      <x:c r="D1589" s="8" t="n">
        <x:f>Source!D1583/100</x:f>
        <x:v>126.03</x:v>
      </x:c>
      <x:c r="E1589" s="8" t="n">
        <x:f>Source!E1583/100</x:f>
        <x:v>252.06</x:v>
      </x:c>
      <x:c r="F1589" s="8" t="n">
        <x:f>Source!F1583/100</x:f>
        <x:v>0</x:v>
      </x:c>
      <x:c r="G1589" s="8" t="n">
        <x:f>Source!G1583/100</x:f>
        <x:v>252.06</x:v>
      </x:c>
      <x:c r="H1589" s="8" t="n">
        <x:f>G1589-D1589</x:f>
        <x:v>126.03</x:v>
      </x:c>
      <x:c r="I1589" s="1" t="str">
        <x:f>IF(H1589&gt;0,"Overbilled","Shortfall")</x:f>
        <x:v>Overbilled</x:v>
      </x:c>
      <x:c r="J1589" s="7"/>
      <x:c r="K1589" s="7" t="str">
        <x:v>Open</x:v>
      </x:c>
      <x:c r="L1589" s="7"/>
    </x:row>
    <x:row r="1590" ht="21" customHeight="1">
      <x:c r="A1590" s="1" t="str">
        <x:f>Source!A1584</x:f>
        <x:v>C0015980</x:v>
      </x:c>
      <x:c r="B1590" s="1" t="str">
        <x:f>_xlfn.IFNA(VLOOKUP(Source!B1584,Advertisers!$A$5:$B$34,2,FALSE),"Missing advertiser")</x:f>
        <x:v>Synthetic advertiser 25</x:v>
      </x:c>
      <x:c r="C1590" s="1" t="n">
        <x:f>Source!C1584</x:f>
        <x:v>115</x:v>
      </x:c>
      <x:c r="D1590" s="8" t="n">
        <x:f>Source!D1584/100</x:f>
        <x:v>0</x:v>
      </x:c>
      <x:c r="E1590" s="8" t="n">
        <x:f>Source!E1584/100</x:f>
        <x:v>126.03</x:v>
      </x:c>
      <x:c r="F1590" s="8" t="n">
        <x:f>Source!F1584/100</x:f>
        <x:v>0</x:v>
      </x:c>
      <x:c r="G1590" s="8" t="n">
        <x:f>Source!G1584/100</x:f>
        <x:v>126.03</x:v>
      </x:c>
      <x:c r="H1590" s="8" t="n">
        <x:f>G1590-D1590</x:f>
        <x:v>126.03</x:v>
      </x:c>
      <x:c r="I1590" s="1" t="str">
        <x:f>IF(H1590&gt;0,"Overbilled","Shortfall")</x:f>
        <x:v>Overbilled</x:v>
      </x:c>
      <x:c r="J1590" s="7"/>
      <x:c r="K1590" s="7" t="str">
        <x:v>Open</x:v>
      </x:c>
      <x:c r="L1590" s="7"/>
    </x:row>
    <x:row r="1591" ht="21" customHeight="1">
      <x:c r="A1591" s="1" t="str">
        <x:f>Source!A1585</x:f>
        <x:v>C0014320</x:v>
      </x:c>
      <x:c r="B1591" s="1" t="str">
        <x:f>_xlfn.IFNA(VLOOKUP(Source!B1585,Advertisers!$A$5:$B$34,2,FALSE),"Missing advertiser")</x:f>
        <x:v>Synthetic advertiser 25</x:v>
      </x:c>
      <x:c r="C1591" s="1" t="n">
        <x:f>Source!C1585</x:f>
        <x:v>115</x:v>
      </x:c>
      <x:c r="D1591" s="8" t="n">
        <x:f>Source!D1585/100</x:f>
        <x:v>126.03</x:v>
      </x:c>
      <x:c r="E1591" s="8" t="n">
        <x:f>Source!E1585/100</x:f>
        <x:v>0</x:v>
      </x:c>
      <x:c r="F1591" s="8" t="n">
        <x:f>Source!F1585/100</x:f>
        <x:v>0</x:v>
      </x:c>
      <x:c r="G1591" s="8" t="n">
        <x:f>Source!G1585/100</x:f>
        <x:v>0</x:v>
      </x:c>
      <x:c r="H1591" s="8" t="n">
        <x:f>G1591-D1591</x:f>
        <x:v>-126.03</x:v>
      </x:c>
      <x:c r="I1591" s="1" t="str">
        <x:f>IF(H1591&gt;0,"Overbilled","Shortfall")</x:f>
        <x:v>Shortfall</x:v>
      </x:c>
      <x:c r="J1591" s="7"/>
      <x:c r="K1591" s="7" t="str">
        <x:v>Open</x:v>
      </x:c>
      <x:c r="L1591" s="7"/>
    </x:row>
    <x:row r="1592" ht="21" customHeight="1">
      <x:c r="A1592" s="1" t="str">
        <x:f>Source!A1586</x:f>
        <x:v>C0015861</x:v>
      </x:c>
      <x:c r="B1592" s="1" t="str">
        <x:f>_xlfn.IFNA(VLOOKUP(Source!B1586,Advertisers!$A$5:$B$34,2,FALSE),"Missing advertiser")</x:f>
        <x:v>Synthetic advertiser 25</x:v>
      </x:c>
      <x:c r="C1592" s="1" t="n">
        <x:f>Source!C1586</x:f>
        <x:v>115</x:v>
      </x:c>
      <x:c r="D1592" s="8" t="n">
        <x:f>Source!D1586/100</x:f>
        <x:v>126.03</x:v>
      </x:c>
      <x:c r="E1592" s="8" t="n">
        <x:f>Source!E1586/100</x:f>
        <x:v>0</x:v>
      </x:c>
      <x:c r="F1592" s="8" t="n">
        <x:f>Source!F1586/100</x:f>
        <x:v>0</x:v>
      </x:c>
      <x:c r="G1592" s="8" t="n">
        <x:f>Source!G1586/100</x:f>
        <x:v>0</x:v>
      </x:c>
      <x:c r="H1592" s="8" t="n">
        <x:f>G1592-D1592</x:f>
        <x:v>-126.03</x:v>
      </x:c>
      <x:c r="I1592" s="1" t="str">
        <x:f>IF(H1592&gt;0,"Overbilled","Shortfall")</x:f>
        <x:v>Shortfall</x:v>
      </x:c>
      <x:c r="J1592" s="7"/>
      <x:c r="K1592" s="7" t="str">
        <x:v>Open</x:v>
      </x:c>
      <x:c r="L1592" s="7"/>
    </x:row>
    <x:row r="1593" ht="21" customHeight="1">
      <x:c r="A1593" s="1" t="str">
        <x:f>Source!A1587</x:f>
        <x:v>C0003326</x:v>
      </x:c>
      <x:c r="B1593" s="1" t="str">
        <x:f>_xlfn.IFNA(VLOOKUP(Source!B1587,Advertisers!$A$5:$B$34,2,FALSE),"Missing advertiser")</x:f>
        <x:v>Synthetic advertiser 25</x:v>
      </x:c>
      <x:c r="C1593" s="1" t="n">
        <x:f>Source!C1587</x:f>
        <x:v>115</x:v>
      </x:c>
      <x:c r="D1593" s="8" t="n">
        <x:f>Source!D1587/100</x:f>
        <x:v>0</x:v>
      </x:c>
      <x:c r="E1593" s="8" t="n">
        <x:f>Source!E1587/100</x:f>
        <x:v>126.03</x:v>
      </x:c>
      <x:c r="F1593" s="8" t="n">
        <x:f>Source!F1587/100</x:f>
        <x:v>0</x:v>
      </x:c>
      <x:c r="G1593" s="8" t="n">
        <x:f>Source!G1587/100</x:f>
        <x:v>126.03</x:v>
      </x:c>
      <x:c r="H1593" s="8" t="n">
        <x:f>G1593-D1593</x:f>
        <x:v>126.03</x:v>
      </x:c>
      <x:c r="I1593" s="1" t="str">
        <x:f>IF(H1593&gt;0,"Overbilled","Shortfall")</x:f>
        <x:v>Overbilled</x:v>
      </x:c>
      <x:c r="J1593" s="7"/>
      <x:c r="K1593" s="7" t="str">
        <x:v>Open</x:v>
      </x:c>
      <x:c r="L1593" s="7"/>
    </x:row>
    <x:row r="1594" ht="21" customHeight="1">
      <x:c r="A1594" s="1" t="str">
        <x:f>Source!A1588</x:f>
        <x:v>C0015779</x:v>
      </x:c>
      <x:c r="B1594" s="1" t="str">
        <x:f>_xlfn.IFNA(VLOOKUP(Source!B1588,Advertisers!$A$5:$B$34,2,FALSE),"Missing advertiser")</x:f>
        <x:v>Synthetic advertiser 25</x:v>
      </x:c>
      <x:c r="C1594" s="1" t="n">
        <x:f>Source!C1588</x:f>
        <x:v>115</x:v>
      </x:c>
      <x:c r="D1594" s="8" t="n">
        <x:f>Source!D1588/100</x:f>
        <x:v>126.03</x:v>
      </x:c>
      <x:c r="E1594" s="8" t="n">
        <x:f>Source!E1588/100</x:f>
        <x:v>0</x:v>
      </x:c>
      <x:c r="F1594" s="8" t="n">
        <x:f>Source!F1588/100</x:f>
        <x:v>0</x:v>
      </x:c>
      <x:c r="G1594" s="8" t="n">
        <x:f>Source!G1588/100</x:f>
        <x:v>0</x:v>
      </x:c>
      <x:c r="H1594" s="8" t="n">
        <x:f>G1594-D1594</x:f>
        <x:v>-126.03</x:v>
      </x:c>
      <x:c r="I1594" s="1" t="str">
        <x:f>IF(H1594&gt;0,"Overbilled","Shortfall")</x:f>
        <x:v>Shortfall</x:v>
      </x:c>
      <x:c r="J1594" s="7"/>
      <x:c r="K1594" s="7" t="str">
        <x:v>Open</x:v>
      </x:c>
      <x:c r="L1594" s="7"/>
    </x:row>
    <x:row r="1595" ht="21" customHeight="1">
      <x:c r="A1595" s="1" t="str">
        <x:f>Source!A1589</x:f>
        <x:v>C0007584</x:v>
      </x:c>
      <x:c r="B1595" s="1" t="str">
        <x:f>_xlfn.IFNA(VLOOKUP(Source!B1589,Advertisers!$A$5:$B$34,2,FALSE),"Missing advertiser")</x:f>
        <x:v>Synthetic advertiser 24</x:v>
      </x:c>
      <x:c r="C1595" s="1" t="n">
        <x:f>Source!C1589</x:f>
        <x:v>54</x:v>
      </x:c>
      <x:c r="D1595" s="8" t="n">
        <x:f>Source!D1589/100</x:f>
        <x:v>125.27</x:v>
      </x:c>
      <x:c r="E1595" s="8" t="n">
        <x:f>Source!E1589/100</x:f>
        <x:v>0</x:v>
      </x:c>
      <x:c r="F1595" s="8" t="n">
        <x:f>Source!F1589/100</x:f>
        <x:v>0</x:v>
      </x:c>
      <x:c r="G1595" s="8" t="n">
        <x:f>Source!G1589/100</x:f>
        <x:v>0</x:v>
      </x:c>
      <x:c r="H1595" s="8" t="n">
        <x:f>G1595-D1595</x:f>
        <x:v>-125.27</x:v>
      </x:c>
      <x:c r="I1595" s="1" t="str">
        <x:f>IF(H1595&gt;0,"Overbilled","Shortfall")</x:f>
        <x:v>Shortfall</x:v>
      </x:c>
      <x:c r="J1595" s="7"/>
      <x:c r="K1595" s="7" t="str">
        <x:v>Open</x:v>
      </x:c>
      <x:c r="L1595" s="7"/>
    </x:row>
    <x:row r="1596" ht="21" customHeight="1">
      <x:c r="A1596" s="1" t="str">
        <x:f>Source!A1590</x:f>
        <x:v>C0009624</x:v>
      </x:c>
      <x:c r="B1596" s="1" t="str">
        <x:f>_xlfn.IFNA(VLOOKUP(Source!B1590,Advertisers!$A$5:$B$34,2,FALSE),"Missing advertiser")</x:f>
        <x:v>Synthetic advertiser 24</x:v>
      </x:c>
      <x:c r="C1596" s="1" t="n">
        <x:f>Source!C1590</x:f>
        <x:v>54</x:v>
      </x:c>
      <x:c r="D1596" s="8" t="n">
        <x:f>Source!D1590/100</x:f>
        <x:v>125.27</x:v>
      </x:c>
      <x:c r="E1596" s="8" t="n">
        <x:f>Source!E1590/100</x:f>
        <x:v>0</x:v>
      </x:c>
      <x:c r="F1596" s="8" t="n">
        <x:f>Source!F1590/100</x:f>
        <x:v>0</x:v>
      </x:c>
      <x:c r="G1596" s="8" t="n">
        <x:f>Source!G1590/100</x:f>
        <x:v>0</x:v>
      </x:c>
      <x:c r="H1596" s="8" t="n">
        <x:f>G1596-D1596</x:f>
        <x:v>-125.27</x:v>
      </x:c>
      <x:c r="I1596" s="1" t="str">
        <x:f>IF(H1596&gt;0,"Overbilled","Shortfall")</x:f>
        <x:v>Shortfall</x:v>
      </x:c>
      <x:c r="J1596" s="7"/>
      <x:c r="K1596" s="7" t="str">
        <x:v>Open</x:v>
      </x:c>
      <x:c r="L1596" s="7"/>
    </x:row>
    <x:row r="1597" ht="21" customHeight="1">
      <x:c r="A1597" s="1" t="str">
        <x:f>Source!A1591</x:f>
        <x:v>C0002785</x:v>
      </x:c>
      <x:c r="B1597" s="1" t="str">
        <x:f>_xlfn.IFNA(VLOOKUP(Source!B1591,Advertisers!$A$5:$B$34,2,FALSE),"Missing advertiser")</x:f>
        <x:v>Synthetic advertiser 24</x:v>
      </x:c>
      <x:c r="C1597" s="1" t="n">
        <x:f>Source!C1591</x:f>
        <x:v>54</x:v>
      </x:c>
      <x:c r="D1597" s="8" t="n">
        <x:f>Source!D1591/100</x:f>
        <x:v>125.27</x:v>
      </x:c>
      <x:c r="E1597" s="8" t="n">
        <x:f>Source!E1591/100</x:f>
        <x:v>250.54</x:v>
      </x:c>
      <x:c r="F1597" s="8" t="n">
        <x:f>Source!F1591/100</x:f>
        <x:v>0</x:v>
      </x:c>
      <x:c r="G1597" s="8" t="n">
        <x:f>Source!G1591/100</x:f>
        <x:v>250.54</x:v>
      </x:c>
      <x:c r="H1597" s="8" t="n">
        <x:f>G1597-D1597</x:f>
        <x:v>125.27</x:v>
      </x:c>
      <x:c r="I1597" s="1" t="str">
        <x:f>IF(H1597&gt;0,"Overbilled","Shortfall")</x:f>
        <x:v>Overbilled</x:v>
      </x:c>
      <x:c r="J1597" s="7"/>
      <x:c r="K1597" s="7" t="str">
        <x:v>Open</x:v>
      </x:c>
      <x:c r="L1597" s="7"/>
    </x:row>
    <x:row r="1598" ht="21" customHeight="1">
      <x:c r="A1598" s="1" t="str">
        <x:f>Source!A1592</x:f>
        <x:v>C0014455</x:v>
      </x:c>
      <x:c r="B1598" s="1" t="str">
        <x:f>_xlfn.IFNA(VLOOKUP(Source!B1592,Advertisers!$A$5:$B$34,2,FALSE),"Missing advertiser")</x:f>
        <x:v>Synthetic advertiser 24</x:v>
      </x:c>
      <x:c r="C1598" s="1" t="n">
        <x:f>Source!C1592</x:f>
        <x:v>54</x:v>
      </x:c>
      <x:c r="D1598" s="8" t="n">
        <x:f>Source!D1592/100</x:f>
        <x:v>125.27</x:v>
      </x:c>
      <x:c r="E1598" s="8" t="n">
        <x:f>Source!E1592/100</x:f>
        <x:v>0</x:v>
      </x:c>
      <x:c r="F1598" s="8" t="n">
        <x:f>Source!F1592/100</x:f>
        <x:v>0</x:v>
      </x:c>
      <x:c r="G1598" s="8" t="n">
        <x:f>Source!G1592/100</x:f>
        <x:v>0</x:v>
      </x:c>
      <x:c r="H1598" s="8" t="n">
        <x:f>G1598-D1598</x:f>
        <x:v>-125.27</x:v>
      </x:c>
      <x:c r="I1598" s="1" t="str">
        <x:f>IF(H1598&gt;0,"Overbilled","Shortfall")</x:f>
        <x:v>Shortfall</x:v>
      </x:c>
      <x:c r="J1598" s="7"/>
      <x:c r="K1598" s="7" t="str">
        <x:v>Open</x:v>
      </x:c>
      <x:c r="L1598" s="7"/>
    </x:row>
    <x:row r="1599" ht="21" customHeight="1">
      <x:c r="A1599" s="1" t="str">
        <x:f>Source!A1593</x:f>
        <x:v>C0000161</x:v>
      </x:c>
      <x:c r="B1599" s="1" t="str">
        <x:f>_xlfn.IFNA(VLOOKUP(Source!B1593,Advertisers!$A$5:$B$34,2,FALSE),"Missing advertiser")</x:f>
        <x:v>Synthetic advertiser 24</x:v>
      </x:c>
      <x:c r="C1599" s="1" t="n">
        <x:f>Source!C1593</x:f>
        <x:v>54</x:v>
      </x:c>
      <x:c r="D1599" s="8" t="n">
        <x:f>Source!D1593/100</x:f>
        <x:v>125.27</x:v>
      </x:c>
      <x:c r="E1599" s="8" t="n">
        <x:f>Source!E1593/100</x:f>
        <x:v>250.54</x:v>
      </x:c>
      <x:c r="F1599" s="8" t="n">
        <x:f>Source!F1593/100</x:f>
        <x:v>0</x:v>
      </x:c>
      <x:c r="G1599" s="8" t="n">
        <x:f>Source!G1593/100</x:f>
        <x:v>250.54</x:v>
      </x:c>
      <x:c r="H1599" s="8" t="n">
        <x:f>G1599-D1599</x:f>
        <x:v>125.27</x:v>
      </x:c>
      <x:c r="I1599" s="1" t="str">
        <x:f>IF(H1599&gt;0,"Overbilled","Shortfall")</x:f>
        <x:v>Overbilled</x:v>
      </x:c>
      <x:c r="J1599" s="7"/>
      <x:c r="K1599" s="7" t="str">
        <x:v>Open</x:v>
      </x:c>
      <x:c r="L1599" s="7"/>
    </x:row>
    <x:row r="1600" ht="21" customHeight="1">
      <x:c r="A1600" s="1" t="str">
        <x:f>Source!A1594</x:f>
        <x:v>C0005407</x:v>
      </x:c>
      <x:c r="B1600" s="1" t="str">
        <x:f>_xlfn.IFNA(VLOOKUP(Source!B1594,Advertisers!$A$5:$B$34,2,FALSE),"Missing advertiser")</x:f>
        <x:v>Synthetic advertiser 24</x:v>
      </x:c>
      <x:c r="C1600" s="1" t="n">
        <x:f>Source!C1594</x:f>
        <x:v>54</x:v>
      </x:c>
      <x:c r="D1600" s="8" t="n">
        <x:f>Source!D1594/100</x:f>
        <x:v>125.27</x:v>
      </x:c>
      <x:c r="E1600" s="8" t="n">
        <x:f>Source!E1594/100</x:f>
        <x:v>250.54</x:v>
      </x:c>
      <x:c r="F1600" s="8" t="n">
        <x:f>Source!F1594/100</x:f>
        <x:v>0</x:v>
      </x:c>
      <x:c r="G1600" s="8" t="n">
        <x:f>Source!G1594/100</x:f>
        <x:v>250.54</x:v>
      </x:c>
      <x:c r="H1600" s="8" t="n">
        <x:f>G1600-D1600</x:f>
        <x:v>125.27</x:v>
      </x:c>
      <x:c r="I1600" s="1" t="str">
        <x:f>IF(H1600&gt;0,"Overbilled","Shortfall")</x:f>
        <x:v>Overbilled</x:v>
      </x:c>
      <x:c r="J1600" s="7"/>
      <x:c r="K1600" s="7" t="str">
        <x:v>Open</x:v>
      </x:c>
      <x:c r="L1600" s="7"/>
    </x:row>
    <x:row r="1601" ht="21" customHeight="1">
      <x:c r="A1601" s="1" t="str">
        <x:f>Source!A1595</x:f>
        <x:v>C0004452</x:v>
      </x:c>
      <x:c r="B1601" s="1" t="str">
        <x:f>_xlfn.IFNA(VLOOKUP(Source!B1595,Advertisers!$A$5:$B$34,2,FALSE),"Missing advertiser")</x:f>
        <x:v>Synthetic advertiser 24</x:v>
      </x:c>
      <x:c r="C1601" s="1" t="n">
        <x:f>Source!C1595</x:f>
        <x:v>54</x:v>
      </x:c>
      <x:c r="D1601" s="8" t="n">
        <x:f>Source!D1595/100</x:f>
        <x:v>0</x:v>
      </x:c>
      <x:c r="E1601" s="8" t="n">
        <x:f>Source!E1595/100</x:f>
        <x:v>125.27</x:v>
      </x:c>
      <x:c r="F1601" s="8" t="n">
        <x:f>Source!F1595/100</x:f>
        <x:v>0</x:v>
      </x:c>
      <x:c r="G1601" s="8" t="n">
        <x:f>Source!G1595/100</x:f>
        <x:v>125.27</x:v>
      </x:c>
      <x:c r="H1601" s="8" t="n">
        <x:f>G1601-D1601</x:f>
        <x:v>125.27</x:v>
      </x:c>
      <x:c r="I1601" s="1" t="str">
        <x:f>IF(H1601&gt;0,"Overbilled","Shortfall")</x:f>
        <x:v>Overbilled</x:v>
      </x:c>
      <x:c r="J1601" s="7"/>
      <x:c r="K1601" s="7" t="str">
        <x:v>Open</x:v>
      </x:c>
      <x:c r="L1601" s="7"/>
    </x:row>
    <x:row r="1602" ht="21" customHeight="1">
      <x:c r="A1602" s="1" t="str">
        <x:f>Source!A1596</x:f>
        <x:v>C0017321</x:v>
      </x:c>
      <x:c r="B1602" s="1" t="str">
        <x:f>_xlfn.IFNA(VLOOKUP(Source!B1596,Advertisers!$A$5:$B$34,2,FALSE),"Missing advertiser")</x:f>
        <x:v>Synthetic advertiser 24</x:v>
      </x:c>
      <x:c r="C1602" s="1" t="n">
        <x:f>Source!C1596</x:f>
        <x:v>54</x:v>
      </x:c>
      <x:c r="D1602" s="8" t="n">
        <x:f>Source!D1596/100</x:f>
        <x:v>125.27</x:v>
      </x:c>
      <x:c r="E1602" s="8" t="n">
        <x:f>Source!E1596/100</x:f>
        <x:v>250.54</x:v>
      </x:c>
      <x:c r="F1602" s="8" t="n">
        <x:f>Source!F1596/100</x:f>
        <x:v>0</x:v>
      </x:c>
      <x:c r="G1602" s="8" t="n">
        <x:f>Source!G1596/100</x:f>
        <x:v>250.54</x:v>
      </x:c>
      <x:c r="H1602" s="8" t="n">
        <x:f>G1602-D1602</x:f>
        <x:v>125.27</x:v>
      </x:c>
      <x:c r="I1602" s="1" t="str">
        <x:f>IF(H1602&gt;0,"Overbilled","Shortfall")</x:f>
        <x:v>Overbilled</x:v>
      </x:c>
      <x:c r="J1602" s="7"/>
      <x:c r="K1602" s="7" t="str">
        <x:v>Open</x:v>
      </x:c>
      <x:c r="L1602" s="7"/>
    </x:row>
    <x:row r="1603" ht="21" customHeight="1">
      <x:c r="A1603" s="1" t="str">
        <x:f>Source!A1597</x:f>
        <x:v>C0002617</x:v>
      </x:c>
      <x:c r="B1603" s="1" t="str">
        <x:f>_xlfn.IFNA(VLOOKUP(Source!B1597,Advertisers!$A$5:$B$34,2,FALSE),"Missing advertiser")</x:f>
        <x:v>Synthetic advertiser 24</x:v>
      </x:c>
      <x:c r="C1603" s="1" t="n">
        <x:f>Source!C1597</x:f>
        <x:v>54</x:v>
      </x:c>
      <x:c r="D1603" s="8" t="n">
        <x:f>Source!D1597/100</x:f>
        <x:v>125.27</x:v>
      </x:c>
      <x:c r="E1603" s="8" t="n">
        <x:f>Source!E1597/100</x:f>
        <x:v>0</x:v>
      </x:c>
      <x:c r="F1603" s="8" t="n">
        <x:f>Source!F1597/100</x:f>
        <x:v>0</x:v>
      </x:c>
      <x:c r="G1603" s="8" t="n">
        <x:f>Source!G1597/100</x:f>
        <x:v>0</x:v>
      </x:c>
      <x:c r="H1603" s="8" t="n">
        <x:f>G1603-D1603</x:f>
        <x:v>-125.27</x:v>
      </x:c>
      <x:c r="I1603" s="1" t="str">
        <x:f>IF(H1603&gt;0,"Overbilled","Shortfall")</x:f>
        <x:v>Shortfall</x:v>
      </x:c>
      <x:c r="J1603" s="7"/>
      <x:c r="K1603" s="7" t="str">
        <x:v>Open</x:v>
      </x:c>
      <x:c r="L1603" s="7"/>
    </x:row>
    <x:row r="1604" ht="21" customHeight="1">
      <x:c r="A1604" s="1" t="str">
        <x:f>Source!A1598</x:f>
        <x:v>C0001407</x:v>
      </x:c>
      <x:c r="B1604" s="1" t="str">
        <x:f>_xlfn.IFNA(VLOOKUP(Source!B1598,Advertisers!$A$5:$B$34,2,FALSE),"Missing advertiser")</x:f>
        <x:v>Synthetic advertiser 22</x:v>
      </x:c>
      <x:c r="C1604" s="1" t="n">
        <x:f>Source!C1598</x:f>
        <x:v>22</x:v>
      </x:c>
      <x:c r="D1604" s="8" t="n">
        <x:f>Source!D1598/100</x:f>
        <x:v>124.73</x:v>
      </x:c>
      <x:c r="E1604" s="8" t="n">
        <x:f>Source!E1598/100</x:f>
        <x:v>0</x:v>
      </x:c>
      <x:c r="F1604" s="8" t="n">
        <x:f>Source!F1598/100</x:f>
        <x:v>0</x:v>
      </x:c>
      <x:c r="G1604" s="8" t="n">
        <x:f>Source!G1598/100</x:f>
        <x:v>0</x:v>
      </x:c>
      <x:c r="H1604" s="8" t="n">
        <x:f>G1604-D1604</x:f>
        <x:v>-124.73</x:v>
      </x:c>
      <x:c r="I1604" s="1" t="str">
        <x:f>IF(H1604&gt;0,"Overbilled","Shortfall")</x:f>
        <x:v>Shortfall</x:v>
      </x:c>
      <x:c r="J1604" s="7"/>
      <x:c r="K1604" s="7" t="str">
        <x:v>Open</x:v>
      </x:c>
      <x:c r="L1604" s="7"/>
    </x:row>
    <x:row r="1605" ht="21" customHeight="1">
      <x:c r="A1605" s="1" t="str">
        <x:f>Source!A1599</x:f>
        <x:v>C0011555</x:v>
      </x:c>
      <x:c r="B1605" s="1" t="str">
        <x:f>_xlfn.IFNA(VLOOKUP(Source!B1599,Advertisers!$A$5:$B$34,2,FALSE),"Missing advertiser")</x:f>
        <x:v>Synthetic advertiser 22</x:v>
      </x:c>
      <x:c r="C1605" s="1" t="n">
        <x:f>Source!C1599</x:f>
        <x:v>22</x:v>
      </x:c>
      <x:c r="D1605" s="8" t="n">
        <x:f>Source!D1599/100</x:f>
        <x:v>124.73</x:v>
      </x:c>
      <x:c r="E1605" s="8" t="n">
        <x:f>Source!E1599/100</x:f>
        <x:v>249.46</x:v>
      </x:c>
      <x:c r="F1605" s="8" t="n">
        <x:f>Source!F1599/100</x:f>
        <x:v>0</x:v>
      </x:c>
      <x:c r="G1605" s="8" t="n">
        <x:f>Source!G1599/100</x:f>
        <x:v>249.46</x:v>
      </x:c>
      <x:c r="H1605" s="8" t="n">
        <x:f>G1605-D1605</x:f>
        <x:v>124.73</x:v>
      </x:c>
      <x:c r="I1605" s="1" t="str">
        <x:f>IF(H1605&gt;0,"Overbilled","Shortfall")</x:f>
        <x:v>Overbilled</x:v>
      </x:c>
      <x:c r="J1605" s="7"/>
      <x:c r="K1605" s="7" t="str">
        <x:v>Open</x:v>
      </x:c>
      <x:c r="L1605" s="7"/>
    </x:row>
    <x:row r="1606" ht="21" customHeight="1">
      <x:c r="A1606" s="1" t="str">
        <x:f>Source!A1600</x:f>
        <x:v>C0001988</x:v>
      </x:c>
      <x:c r="B1606" s="1" t="str">
        <x:f>_xlfn.IFNA(VLOOKUP(Source!B1600,Advertisers!$A$5:$B$34,2,FALSE),"Missing advertiser")</x:f>
        <x:v>Synthetic advertiser 22</x:v>
      </x:c>
      <x:c r="C1606" s="1" t="n">
        <x:f>Source!C1600</x:f>
        <x:v>22</x:v>
      </x:c>
      <x:c r="D1606" s="8" t="n">
        <x:f>Source!D1600/100</x:f>
        <x:v>124.73</x:v>
      </x:c>
      <x:c r="E1606" s="8" t="n">
        <x:f>Source!E1600/100</x:f>
        <x:v>249.46</x:v>
      </x:c>
      <x:c r="F1606" s="8" t="n">
        <x:f>Source!F1600/100</x:f>
        <x:v>0</x:v>
      </x:c>
      <x:c r="G1606" s="8" t="n">
        <x:f>Source!G1600/100</x:f>
        <x:v>249.46</x:v>
      </x:c>
      <x:c r="H1606" s="8" t="n">
        <x:f>G1606-D1606</x:f>
        <x:v>124.73</x:v>
      </x:c>
      <x:c r="I1606" s="1" t="str">
        <x:f>IF(H1606&gt;0,"Overbilled","Shortfall")</x:f>
        <x:v>Overbilled</x:v>
      </x:c>
      <x:c r="J1606" s="7"/>
      <x:c r="K1606" s="7" t="str">
        <x:v>Open</x:v>
      </x:c>
      <x:c r="L1606" s="7"/>
    </x:row>
    <x:row r="1607" ht="21" customHeight="1">
      <x:c r="A1607" s="1" t="str">
        <x:f>Source!A1601</x:f>
        <x:v>C0007516</x:v>
      </x:c>
      <x:c r="B1607" s="1" t="str">
        <x:f>_xlfn.IFNA(VLOOKUP(Source!B1601,Advertisers!$A$5:$B$34,2,FALSE),"Missing advertiser")</x:f>
        <x:v>Synthetic advertiser 22</x:v>
      </x:c>
      <x:c r="C1607" s="1" t="n">
        <x:f>Source!C1601</x:f>
        <x:v>22</x:v>
      </x:c>
      <x:c r="D1607" s="8" t="n">
        <x:f>Source!D1601/100</x:f>
        <x:v>0</x:v>
      </x:c>
      <x:c r="E1607" s="8" t="n">
        <x:f>Source!E1601/100</x:f>
        <x:v>124.73</x:v>
      </x:c>
      <x:c r="F1607" s="8" t="n">
        <x:f>Source!F1601/100</x:f>
        <x:v>0</x:v>
      </x:c>
      <x:c r="G1607" s="8" t="n">
        <x:f>Source!G1601/100</x:f>
        <x:v>124.73</x:v>
      </x:c>
      <x:c r="H1607" s="8" t="n">
        <x:f>G1607-D1607</x:f>
        <x:v>124.73</x:v>
      </x:c>
      <x:c r="I1607" s="1" t="str">
        <x:f>IF(H1607&gt;0,"Overbilled","Shortfall")</x:f>
        <x:v>Overbilled</x:v>
      </x:c>
      <x:c r="J1607" s="7"/>
      <x:c r="K1607" s="7" t="str">
        <x:v>Open</x:v>
      </x:c>
      <x:c r="L1607" s="7"/>
    </x:row>
    <x:row r="1608" ht="21" customHeight="1">
      <x:c r="A1608" s="1" t="str">
        <x:f>Source!A1602</x:f>
        <x:v>C0016899</x:v>
      </x:c>
      <x:c r="B1608" s="1" t="str">
        <x:f>_xlfn.IFNA(VLOOKUP(Source!B1602,Advertisers!$A$5:$B$34,2,FALSE),"Missing advertiser")</x:f>
        <x:v>Synthetic advertiser 22</x:v>
      </x:c>
      <x:c r="C1608" s="1" t="n">
        <x:f>Source!C1602</x:f>
        <x:v>22</x:v>
      </x:c>
      <x:c r="D1608" s="8" t="n">
        <x:f>Source!D1602/100</x:f>
        <x:v>0</x:v>
      </x:c>
      <x:c r="E1608" s="8" t="n">
        <x:f>Source!E1602/100</x:f>
        <x:v>124.73</x:v>
      </x:c>
      <x:c r="F1608" s="8" t="n">
        <x:f>Source!F1602/100</x:f>
        <x:v>0</x:v>
      </x:c>
      <x:c r="G1608" s="8" t="n">
        <x:f>Source!G1602/100</x:f>
        <x:v>124.73</x:v>
      </x:c>
      <x:c r="H1608" s="8" t="n">
        <x:f>G1608-D1608</x:f>
        <x:v>124.73</x:v>
      </x:c>
      <x:c r="I1608" s="1" t="str">
        <x:f>IF(H1608&gt;0,"Overbilled","Shortfall")</x:f>
        <x:v>Overbilled</x:v>
      </x:c>
      <x:c r="J1608" s="7"/>
      <x:c r="K1608" s="7" t="str">
        <x:v>Open</x:v>
      </x:c>
      <x:c r="L1608" s="7"/>
    </x:row>
    <x:row r="1609" ht="21" customHeight="1">
      <x:c r="A1609" s="1" t="str">
        <x:f>Source!A1603</x:f>
        <x:v>C0017001</x:v>
      </x:c>
      <x:c r="B1609" s="1" t="str">
        <x:f>_xlfn.IFNA(VLOOKUP(Source!B1603,Advertisers!$A$5:$B$34,2,FALSE),"Missing advertiser")</x:f>
        <x:v>Synthetic advertiser 22</x:v>
      </x:c>
      <x:c r="C1609" s="1" t="n">
        <x:f>Source!C1603</x:f>
        <x:v>22</x:v>
      </x:c>
      <x:c r="D1609" s="8" t="n">
        <x:f>Source!D1603/100</x:f>
        <x:v>124.73</x:v>
      </x:c>
      <x:c r="E1609" s="8" t="n">
        <x:f>Source!E1603/100</x:f>
        <x:v>249.46</x:v>
      </x:c>
      <x:c r="F1609" s="8" t="n">
        <x:f>Source!F1603/100</x:f>
        <x:v>0</x:v>
      </x:c>
      <x:c r="G1609" s="8" t="n">
        <x:f>Source!G1603/100</x:f>
        <x:v>249.46</x:v>
      </x:c>
      <x:c r="H1609" s="8" t="n">
        <x:f>G1609-D1609</x:f>
        <x:v>124.73</x:v>
      </x:c>
      <x:c r="I1609" s="1" t="str">
        <x:f>IF(H1609&gt;0,"Overbilled","Shortfall")</x:f>
        <x:v>Overbilled</x:v>
      </x:c>
      <x:c r="J1609" s="7"/>
      <x:c r="K1609" s="7" t="str">
        <x:v>Open</x:v>
      </x:c>
      <x:c r="L1609" s="7"/>
    </x:row>
    <x:row r="1610" ht="21" customHeight="1">
      <x:c r="A1610" s="1" t="str">
        <x:f>Source!A1604</x:f>
        <x:v>C0011549</x:v>
      </x:c>
      <x:c r="B1610" s="1" t="str">
        <x:f>_xlfn.IFNA(VLOOKUP(Source!B1604,Advertisers!$A$5:$B$34,2,FALSE),"Missing advertiser")</x:f>
        <x:v>Synthetic advertiser 22</x:v>
      </x:c>
      <x:c r="C1610" s="1" t="n">
        <x:f>Source!C1604</x:f>
        <x:v>22</x:v>
      </x:c>
      <x:c r="D1610" s="8" t="n">
        <x:f>Source!D1604/100</x:f>
        <x:v>124.73</x:v>
      </x:c>
      <x:c r="E1610" s="8" t="n">
        <x:f>Source!E1604/100</x:f>
        <x:v>0</x:v>
      </x:c>
      <x:c r="F1610" s="8" t="n">
        <x:f>Source!F1604/100</x:f>
        <x:v>0</x:v>
      </x:c>
      <x:c r="G1610" s="8" t="n">
        <x:f>Source!G1604/100</x:f>
        <x:v>0</x:v>
      </x:c>
      <x:c r="H1610" s="8" t="n">
        <x:f>G1610-D1610</x:f>
        <x:v>-124.73</x:v>
      </x:c>
      <x:c r="I1610" s="1" t="str">
        <x:f>IF(H1610&gt;0,"Overbilled","Shortfall")</x:f>
        <x:v>Shortfall</x:v>
      </x:c>
      <x:c r="J1610" s="7"/>
      <x:c r="K1610" s="7" t="str">
        <x:v>Open</x:v>
      </x:c>
      <x:c r="L1610" s="7"/>
    </x:row>
    <x:row r="1611" ht="21" customHeight="1">
      <x:c r="A1611" s="1" t="str">
        <x:f>Source!A1605</x:f>
        <x:v>C0011134</x:v>
      </x:c>
      <x:c r="B1611" s="1" t="str">
        <x:f>_xlfn.IFNA(VLOOKUP(Source!B1605,Advertisers!$A$5:$B$34,2,FALSE),"Missing advertiser")</x:f>
        <x:v>Synthetic advertiser 26</x:v>
      </x:c>
      <x:c r="C1611" s="1" t="n">
        <x:f>Source!C1605</x:f>
        <x:v>116</x:v>
      </x:c>
      <x:c r="D1611" s="8" t="n">
        <x:f>Source!D1605/100</x:f>
        <x:v>124.17</x:v>
      </x:c>
      <x:c r="E1611" s="8" t="n">
        <x:f>Source!E1605/100</x:f>
        <x:v>0</x:v>
      </x:c>
      <x:c r="F1611" s="8" t="n">
        <x:f>Source!F1605/100</x:f>
        <x:v>0</x:v>
      </x:c>
      <x:c r="G1611" s="8" t="n">
        <x:f>Source!G1605/100</x:f>
        <x:v>0</x:v>
      </x:c>
      <x:c r="H1611" s="8" t="n">
        <x:f>G1611-D1611</x:f>
        <x:v>-124.17</x:v>
      </x:c>
      <x:c r="I1611" s="1" t="str">
        <x:f>IF(H1611&gt;0,"Overbilled","Shortfall")</x:f>
        <x:v>Shortfall</x:v>
      </x:c>
      <x:c r="J1611" s="7"/>
      <x:c r="K1611" s="7" t="str">
        <x:v>Open</x:v>
      </x:c>
      <x:c r="L1611" s="7"/>
    </x:row>
    <x:row r="1612" ht="21" customHeight="1">
      <x:c r="A1612" s="1" t="str">
        <x:f>Source!A1606</x:f>
        <x:v>C0000997</x:v>
      </x:c>
      <x:c r="B1612" s="1" t="str">
        <x:f>_xlfn.IFNA(VLOOKUP(Source!B1606,Advertisers!$A$5:$B$34,2,FALSE),"Missing advertiser")</x:f>
        <x:v>Synthetic advertiser 26</x:v>
      </x:c>
      <x:c r="C1612" s="1" t="n">
        <x:f>Source!C1606</x:f>
        <x:v>116</x:v>
      </x:c>
      <x:c r="D1612" s="8" t="n">
        <x:f>Source!D1606/100</x:f>
        <x:v>0</x:v>
      </x:c>
      <x:c r="E1612" s="8" t="n">
        <x:f>Source!E1606/100</x:f>
        <x:v>124.17</x:v>
      </x:c>
      <x:c r="F1612" s="8" t="n">
        <x:f>Source!F1606/100</x:f>
        <x:v>0</x:v>
      </x:c>
      <x:c r="G1612" s="8" t="n">
        <x:f>Source!G1606/100</x:f>
        <x:v>124.17</x:v>
      </x:c>
      <x:c r="H1612" s="8" t="n">
        <x:f>G1612-D1612</x:f>
        <x:v>124.17</x:v>
      </x:c>
      <x:c r="I1612" s="1" t="str">
        <x:f>IF(H1612&gt;0,"Overbilled","Shortfall")</x:f>
        <x:v>Overbilled</x:v>
      </x:c>
      <x:c r="J1612" s="7"/>
      <x:c r="K1612" s="7" t="str">
        <x:v>Open</x:v>
      </x:c>
      <x:c r="L1612" s="7"/>
    </x:row>
    <x:row r="1613" ht="21" customHeight="1">
      <x:c r="A1613" s="1" t="str">
        <x:f>Source!A1607</x:f>
        <x:v>C0015948</x:v>
      </x:c>
      <x:c r="B1613" s="1" t="str">
        <x:f>_xlfn.IFNA(VLOOKUP(Source!B1607,Advertisers!$A$5:$B$34,2,FALSE),"Missing advertiser")</x:f>
        <x:v>Synthetic advertiser 26</x:v>
      </x:c>
      <x:c r="C1613" s="1" t="n">
        <x:f>Source!C1607</x:f>
        <x:v>116</x:v>
      </x:c>
      <x:c r="D1613" s="8" t="n">
        <x:f>Source!D1607/100</x:f>
        <x:v>124.17</x:v>
      </x:c>
      <x:c r="E1613" s="8" t="n">
        <x:f>Source!E1607/100</x:f>
        <x:v>0</x:v>
      </x:c>
      <x:c r="F1613" s="8" t="n">
        <x:f>Source!F1607/100</x:f>
        <x:v>0</x:v>
      </x:c>
      <x:c r="G1613" s="8" t="n">
        <x:f>Source!G1607/100</x:f>
        <x:v>0</x:v>
      </x:c>
      <x:c r="H1613" s="8" t="n">
        <x:f>G1613-D1613</x:f>
        <x:v>-124.17</x:v>
      </x:c>
      <x:c r="I1613" s="1" t="str">
        <x:f>IF(H1613&gt;0,"Overbilled","Shortfall")</x:f>
        <x:v>Shortfall</x:v>
      </x:c>
      <x:c r="J1613" s="7"/>
      <x:c r="K1613" s="7" t="str">
        <x:v>Open</x:v>
      </x:c>
      <x:c r="L1613" s="7"/>
    </x:row>
    <x:row r="1614" ht="21" customHeight="1">
      <x:c r="A1614" s="1" t="str">
        <x:f>Source!A1608</x:f>
        <x:v>C0014683</x:v>
      </x:c>
      <x:c r="B1614" s="1" t="str">
        <x:f>_xlfn.IFNA(VLOOKUP(Source!B1608,Advertisers!$A$5:$B$34,2,FALSE),"Missing advertiser")</x:f>
        <x:v>Synthetic advertiser 26</x:v>
      </x:c>
      <x:c r="C1614" s="1" t="n">
        <x:f>Source!C1608</x:f>
        <x:v>116</x:v>
      </x:c>
      <x:c r="D1614" s="8" t="n">
        <x:f>Source!D1608/100</x:f>
        <x:v>124.17</x:v>
      </x:c>
      <x:c r="E1614" s="8" t="n">
        <x:f>Source!E1608/100</x:f>
        <x:v>248.34</x:v>
      </x:c>
      <x:c r="F1614" s="8" t="n">
        <x:f>Source!F1608/100</x:f>
        <x:v>0</x:v>
      </x:c>
      <x:c r="G1614" s="8" t="n">
        <x:f>Source!G1608/100</x:f>
        <x:v>248.34</x:v>
      </x:c>
      <x:c r="H1614" s="8" t="n">
        <x:f>G1614-D1614</x:f>
        <x:v>124.17</x:v>
      </x:c>
      <x:c r="I1614" s="1" t="str">
        <x:f>IF(H1614&gt;0,"Overbilled","Shortfall")</x:f>
        <x:v>Overbilled</x:v>
      </x:c>
      <x:c r="J1614" s="7"/>
      <x:c r="K1614" s="7" t="str">
        <x:v>Open</x:v>
      </x:c>
      <x:c r="L1614" s="7"/>
    </x:row>
    <x:row r="1615" ht="21" customHeight="1">
      <x:c r="A1615" s="1" t="str">
        <x:f>Source!A1609</x:f>
        <x:v>C0015499</x:v>
      </x:c>
      <x:c r="B1615" s="1" t="str">
        <x:f>_xlfn.IFNA(VLOOKUP(Source!B1609,Advertisers!$A$5:$B$34,2,FALSE),"Missing advertiser")</x:f>
        <x:v>Synthetic advertiser 26</x:v>
      </x:c>
      <x:c r="C1615" s="1" t="n">
        <x:f>Source!C1609</x:f>
        <x:v>116</x:v>
      </x:c>
      <x:c r="D1615" s="8" t="n">
        <x:f>Source!D1609/100</x:f>
        <x:v>0</x:v>
      </x:c>
      <x:c r="E1615" s="8" t="n">
        <x:f>Source!E1609/100</x:f>
        <x:v>124.17</x:v>
      </x:c>
      <x:c r="F1615" s="8" t="n">
        <x:f>Source!F1609/100</x:f>
        <x:v>0</x:v>
      </x:c>
      <x:c r="G1615" s="8" t="n">
        <x:f>Source!G1609/100</x:f>
        <x:v>124.17</x:v>
      </x:c>
      <x:c r="H1615" s="8" t="n">
        <x:f>G1615-D1615</x:f>
        <x:v>124.17</x:v>
      </x:c>
      <x:c r="I1615" s="1" t="str">
        <x:f>IF(H1615&gt;0,"Overbilled","Shortfall")</x:f>
        <x:v>Overbilled</x:v>
      </x:c>
      <x:c r="J1615" s="7"/>
      <x:c r="K1615" s="7" t="str">
        <x:v>Open</x:v>
      </x:c>
      <x:c r="L1615" s="7"/>
    </x:row>
    <x:row r="1616" ht="21" customHeight="1">
      <x:c r="A1616" s="1" t="str">
        <x:f>Source!A1610</x:f>
        <x:v>C0017386</x:v>
      </x:c>
      <x:c r="B1616" s="1" t="str">
        <x:f>_xlfn.IFNA(VLOOKUP(Source!B1610,Advertisers!$A$5:$B$34,2,FALSE),"Missing advertiser")</x:f>
        <x:v>Synthetic advertiser 26</x:v>
      </x:c>
      <x:c r="C1616" s="1" t="n">
        <x:f>Source!C1610</x:f>
        <x:v>116</x:v>
      </x:c>
      <x:c r="D1616" s="8" t="n">
        <x:f>Source!D1610/100</x:f>
        <x:v>124.17</x:v>
      </x:c>
      <x:c r="E1616" s="8" t="n">
        <x:f>Source!E1610/100</x:f>
        <x:v>0</x:v>
      </x:c>
      <x:c r="F1616" s="8" t="n">
        <x:f>Source!F1610/100</x:f>
        <x:v>0</x:v>
      </x:c>
      <x:c r="G1616" s="8" t="n">
        <x:f>Source!G1610/100</x:f>
        <x:v>0</x:v>
      </x:c>
      <x:c r="H1616" s="8" t="n">
        <x:f>G1616-D1616</x:f>
        <x:v>-124.17</x:v>
      </x:c>
      <x:c r="I1616" s="1" t="str">
        <x:f>IF(H1616&gt;0,"Overbilled","Shortfall")</x:f>
        <x:v>Shortfall</x:v>
      </x:c>
      <x:c r="J1616" s="7"/>
      <x:c r="K1616" s="7" t="str">
        <x:v>Open</x:v>
      </x:c>
      <x:c r="L1616" s="7"/>
    </x:row>
    <x:row r="1617" ht="21" customHeight="1">
      <x:c r="A1617" s="1" t="str">
        <x:f>Source!A1611</x:f>
        <x:v>C0005880</x:v>
      </x:c>
      <x:c r="B1617" s="1" t="str">
        <x:f>_xlfn.IFNA(VLOOKUP(Source!B1611,Advertisers!$A$5:$B$34,2,FALSE),"Missing advertiser")</x:f>
        <x:v>Synthetic advertiser 26</x:v>
      </x:c>
      <x:c r="C1617" s="1" t="n">
        <x:f>Source!C1611</x:f>
        <x:v>116</x:v>
      </x:c>
      <x:c r="D1617" s="8" t="n">
        <x:f>Source!D1611/100</x:f>
        <x:v>124.17</x:v>
      </x:c>
      <x:c r="E1617" s="8" t="n">
        <x:f>Source!E1611/100</x:f>
        <x:v>248.34</x:v>
      </x:c>
      <x:c r="F1617" s="8" t="n">
        <x:f>Source!F1611/100</x:f>
        <x:v>0</x:v>
      </x:c>
      <x:c r="G1617" s="8" t="n">
        <x:f>Source!G1611/100</x:f>
        <x:v>248.34</x:v>
      </x:c>
      <x:c r="H1617" s="8" t="n">
        <x:f>G1617-D1617</x:f>
        <x:v>124.17</x:v>
      </x:c>
      <x:c r="I1617" s="1" t="str">
        <x:f>IF(H1617&gt;0,"Overbilled","Shortfall")</x:f>
        <x:v>Overbilled</x:v>
      </x:c>
      <x:c r="J1617" s="7"/>
      <x:c r="K1617" s="7" t="str">
        <x:v>Open</x:v>
      </x:c>
      <x:c r="L1617" s="7"/>
    </x:row>
    <x:row r="1618" ht="21" customHeight="1">
      <x:c r="A1618" s="1" t="str">
        <x:f>Source!A1612</x:f>
        <x:v>C0017561</x:v>
      </x:c>
      <x:c r="B1618" s="1" t="str">
        <x:f>_xlfn.IFNA(VLOOKUP(Source!B1612,Advertisers!$A$5:$B$34,2,FALSE),"Missing advertiser")</x:f>
        <x:v>Synthetic advertiser 4</x:v>
      </x:c>
      <x:c r="C1618" s="1" t="n">
        <x:f>Source!C1612</x:f>
        <x:v>4</x:v>
      </x:c>
      <x:c r="D1618" s="8" t="n">
        <x:f>Source!D1612/100</x:f>
        <x:v>124.09</x:v>
      </x:c>
      <x:c r="E1618" s="8" t="n">
        <x:f>Source!E1612/100</x:f>
        <x:v>248.18</x:v>
      </x:c>
      <x:c r="F1618" s="8" t="n">
        <x:f>Source!F1612/100</x:f>
        <x:v>0</x:v>
      </x:c>
      <x:c r="G1618" s="8" t="n">
        <x:f>Source!G1612/100</x:f>
        <x:v>248.18</x:v>
      </x:c>
      <x:c r="H1618" s="8" t="n">
        <x:f>G1618-D1618</x:f>
        <x:v>124.09</x:v>
      </x:c>
      <x:c r="I1618" s="1" t="str">
        <x:f>IF(H1618&gt;0,"Overbilled","Shortfall")</x:f>
        <x:v>Overbilled</x:v>
      </x:c>
      <x:c r="J1618" s="7"/>
      <x:c r="K1618" s="7" t="str">
        <x:v>Open</x:v>
      </x:c>
      <x:c r="L1618" s="7"/>
    </x:row>
    <x:row r="1619" ht="21" customHeight="1">
      <x:c r="A1619" s="1" t="str">
        <x:f>Source!A1613</x:f>
        <x:v>C0010742</x:v>
      </x:c>
      <x:c r="B1619" s="1" t="str">
        <x:f>_xlfn.IFNA(VLOOKUP(Source!B1613,Advertisers!$A$5:$B$34,2,FALSE),"Missing advertiser")</x:f>
        <x:v>Synthetic advertiser 4</x:v>
      </x:c>
      <x:c r="C1619" s="1" t="n">
        <x:f>Source!C1613</x:f>
        <x:v>4</x:v>
      </x:c>
      <x:c r="D1619" s="8" t="n">
        <x:f>Source!D1613/100</x:f>
        <x:v>124.09</x:v>
      </x:c>
      <x:c r="E1619" s="8" t="n">
        <x:f>Source!E1613/100</x:f>
        <x:v>0</x:v>
      </x:c>
      <x:c r="F1619" s="8" t="n">
        <x:f>Source!F1613/100</x:f>
        <x:v>0</x:v>
      </x:c>
      <x:c r="G1619" s="8" t="n">
        <x:f>Source!G1613/100</x:f>
        <x:v>0</x:v>
      </x:c>
      <x:c r="H1619" s="8" t="n">
        <x:f>G1619-D1619</x:f>
        <x:v>-124.09</x:v>
      </x:c>
      <x:c r="I1619" s="1" t="str">
        <x:f>IF(H1619&gt;0,"Overbilled","Shortfall")</x:f>
        <x:v>Shortfall</x:v>
      </x:c>
      <x:c r="J1619" s="7"/>
      <x:c r="K1619" s="7" t="str">
        <x:v>Open</x:v>
      </x:c>
      <x:c r="L1619" s="7"/>
    </x:row>
    <x:row r="1620" ht="21" customHeight="1">
      <x:c r="A1620" s="1" t="str">
        <x:f>Source!A1614</x:f>
        <x:v>C0002356</x:v>
      </x:c>
      <x:c r="B1620" s="1" t="str">
        <x:f>_xlfn.IFNA(VLOOKUP(Source!B1614,Advertisers!$A$5:$B$34,2,FALSE),"Missing advertiser")</x:f>
        <x:v>Synthetic advertiser 4</x:v>
      </x:c>
      <x:c r="C1620" s="1" t="n">
        <x:f>Source!C1614</x:f>
        <x:v>4</x:v>
      </x:c>
      <x:c r="D1620" s="8" t="n">
        <x:f>Source!D1614/100</x:f>
        <x:v>124.09</x:v>
      </x:c>
      <x:c r="E1620" s="8" t="n">
        <x:f>Source!E1614/100</x:f>
        <x:v>0</x:v>
      </x:c>
      <x:c r="F1620" s="8" t="n">
        <x:f>Source!F1614/100</x:f>
        <x:v>0</x:v>
      </x:c>
      <x:c r="G1620" s="8" t="n">
        <x:f>Source!G1614/100</x:f>
        <x:v>0</x:v>
      </x:c>
      <x:c r="H1620" s="8" t="n">
        <x:f>G1620-D1620</x:f>
        <x:v>-124.09</x:v>
      </x:c>
      <x:c r="I1620" s="1" t="str">
        <x:f>IF(H1620&gt;0,"Overbilled","Shortfall")</x:f>
        <x:v>Shortfall</x:v>
      </x:c>
      <x:c r="J1620" s="7"/>
      <x:c r="K1620" s="7" t="str">
        <x:v>Open</x:v>
      </x:c>
      <x:c r="L1620" s="7"/>
    </x:row>
    <x:row r="1621" ht="21" customHeight="1">
      <x:c r="A1621" s="1" t="str">
        <x:f>Source!A1615</x:f>
        <x:v>C0012809</x:v>
      </x:c>
      <x:c r="B1621" s="1" t="str">
        <x:f>_xlfn.IFNA(VLOOKUP(Source!B1615,Advertisers!$A$5:$B$34,2,FALSE),"Missing advertiser")</x:f>
        <x:v>Synthetic advertiser 4</x:v>
      </x:c>
      <x:c r="C1621" s="1" t="n">
        <x:f>Source!C1615</x:f>
        <x:v>4</x:v>
      </x:c>
      <x:c r="D1621" s="8" t="n">
        <x:f>Source!D1615/100</x:f>
        <x:v>123.33</x:v>
      </x:c>
      <x:c r="E1621" s="8" t="n">
        <x:f>Source!E1615/100</x:f>
        <x:v>0</x:v>
      </x:c>
      <x:c r="F1621" s="8" t="n">
        <x:f>Source!F1615/100</x:f>
        <x:v>0</x:v>
      </x:c>
      <x:c r="G1621" s="8" t="n">
        <x:f>Source!G1615/100</x:f>
        <x:v>0</x:v>
      </x:c>
      <x:c r="H1621" s="8" t="n">
        <x:f>G1621-D1621</x:f>
        <x:v>-123.33</x:v>
      </x:c>
      <x:c r="I1621" s="1" t="str">
        <x:f>IF(H1621&gt;0,"Overbilled","Shortfall")</x:f>
        <x:v>Shortfall</x:v>
      </x:c>
      <x:c r="J1621" s="7"/>
      <x:c r="K1621" s="7" t="str">
        <x:v>Open</x:v>
      </x:c>
      <x:c r="L1621" s="7"/>
    </x:row>
    <x:row r="1622" ht="21" customHeight="1">
      <x:c r="A1622" s="1" t="str">
        <x:f>Source!A1616</x:f>
        <x:v>C0007951</x:v>
      </x:c>
      <x:c r="B1622" s="1" t="str">
        <x:f>_xlfn.IFNA(VLOOKUP(Source!B1616,Advertisers!$A$5:$B$34,2,FALSE),"Missing advertiser")</x:f>
        <x:v>Synthetic advertiser 4</x:v>
      </x:c>
      <x:c r="C1622" s="1" t="n">
        <x:f>Source!C1616</x:f>
        <x:v>4</x:v>
      </x:c>
      <x:c r="D1622" s="8" t="n">
        <x:f>Source!D1616/100</x:f>
        <x:v>0</x:v>
      </x:c>
      <x:c r="E1622" s="8" t="n">
        <x:f>Source!E1616/100</x:f>
        <x:v>123.33</x:v>
      </x:c>
      <x:c r="F1622" s="8" t="n">
        <x:f>Source!F1616/100</x:f>
        <x:v>0</x:v>
      </x:c>
      <x:c r="G1622" s="8" t="n">
        <x:f>Source!G1616/100</x:f>
        <x:v>123.33</x:v>
      </x:c>
      <x:c r="H1622" s="8" t="n">
        <x:f>G1622-D1622</x:f>
        <x:v>123.33</x:v>
      </x:c>
      <x:c r="I1622" s="1" t="str">
        <x:f>IF(H1622&gt;0,"Overbilled","Shortfall")</x:f>
        <x:v>Overbilled</x:v>
      </x:c>
      <x:c r="J1622" s="7"/>
      <x:c r="K1622" s="7" t="str">
        <x:v>Open</x:v>
      </x:c>
      <x:c r="L1622" s="7"/>
    </x:row>
    <x:row r="1623" ht="21" customHeight="1">
      <x:c r="A1623" s="1" t="str">
        <x:f>Source!A1617</x:f>
        <x:v>C0012625</x:v>
      </x:c>
      <x:c r="B1623" s="1" t="str">
        <x:f>_xlfn.IFNA(VLOOKUP(Source!B1617,Advertisers!$A$5:$B$34,2,FALSE),"Missing advertiser")</x:f>
        <x:v>Synthetic advertiser 4</x:v>
      </x:c>
      <x:c r="C1623" s="1" t="n">
        <x:f>Source!C1617</x:f>
        <x:v>4</x:v>
      </x:c>
      <x:c r="D1623" s="8" t="n">
        <x:f>Source!D1617/100</x:f>
        <x:v>123.33</x:v>
      </x:c>
      <x:c r="E1623" s="8" t="n">
        <x:f>Source!E1617/100</x:f>
        <x:v>246.66</x:v>
      </x:c>
      <x:c r="F1623" s="8" t="n">
        <x:f>Source!F1617/100</x:f>
        <x:v>0</x:v>
      </x:c>
      <x:c r="G1623" s="8" t="n">
        <x:f>Source!G1617/100</x:f>
        <x:v>246.66</x:v>
      </x:c>
      <x:c r="H1623" s="8" t="n">
        <x:f>G1623-D1623</x:f>
        <x:v>123.33</x:v>
      </x:c>
      <x:c r="I1623" s="1" t="str">
        <x:f>IF(H1623&gt;0,"Overbilled","Shortfall")</x:f>
        <x:v>Overbilled</x:v>
      </x:c>
      <x:c r="J1623" s="7"/>
      <x:c r="K1623" s="7" t="str">
        <x:v>Open</x:v>
      </x:c>
      <x:c r="L1623" s="7"/>
    </x:row>
    <x:row r="1624" ht="21" customHeight="1">
      <x:c r="A1624" s="1" t="str">
        <x:f>Source!A1618</x:f>
        <x:v>C0002855</x:v>
      </x:c>
      <x:c r="B1624" s="1" t="str">
        <x:f>_xlfn.IFNA(VLOOKUP(Source!B1618,Advertisers!$A$5:$B$34,2,FALSE),"Missing advertiser")</x:f>
        <x:v>Synthetic advertiser 4</x:v>
      </x:c>
      <x:c r="C1624" s="1" t="n">
        <x:f>Source!C1618</x:f>
        <x:v>4</x:v>
      </x:c>
      <x:c r="D1624" s="8" t="n">
        <x:f>Source!D1618/100</x:f>
        <x:v>123.33</x:v>
      </x:c>
      <x:c r="E1624" s="8" t="n">
        <x:f>Source!E1618/100</x:f>
        <x:v>0</x:v>
      </x:c>
      <x:c r="F1624" s="8" t="n">
        <x:f>Source!F1618/100</x:f>
        <x:v>0</x:v>
      </x:c>
      <x:c r="G1624" s="8" t="n">
        <x:f>Source!G1618/100</x:f>
        <x:v>0</x:v>
      </x:c>
      <x:c r="H1624" s="8" t="n">
        <x:f>G1624-D1624</x:f>
        <x:v>-123.33</x:v>
      </x:c>
      <x:c r="I1624" s="1" t="str">
        <x:f>IF(H1624&gt;0,"Overbilled","Shortfall")</x:f>
        <x:v>Shortfall</x:v>
      </x:c>
      <x:c r="J1624" s="7"/>
      <x:c r="K1624" s="7" t="str">
        <x:v>Open</x:v>
      </x:c>
      <x:c r="L1624" s="7"/>
    </x:row>
    <x:row r="1625" ht="21" customHeight="1">
      <x:c r="A1625" s="1" t="str">
        <x:f>Source!A1619</x:f>
        <x:v>C0010467</x:v>
      </x:c>
      <x:c r="B1625" s="1" t="str">
        <x:f>_xlfn.IFNA(VLOOKUP(Source!B1619,Advertisers!$A$5:$B$34,2,FALSE),"Missing advertiser")</x:f>
        <x:v>Synthetic advertiser 4</x:v>
      </x:c>
      <x:c r="C1625" s="1" t="n">
        <x:f>Source!C1619</x:f>
        <x:v>4</x:v>
      </x:c>
      <x:c r="D1625" s="8" t="n">
        <x:f>Source!D1619/100</x:f>
        <x:v>123.33</x:v>
      </x:c>
      <x:c r="E1625" s="8" t="n">
        <x:f>Source!E1619/100</x:f>
        <x:v>246.66</x:v>
      </x:c>
      <x:c r="F1625" s="8" t="n">
        <x:f>Source!F1619/100</x:f>
        <x:v>0</x:v>
      </x:c>
      <x:c r="G1625" s="8" t="n">
        <x:f>Source!G1619/100</x:f>
        <x:v>246.66</x:v>
      </x:c>
      <x:c r="H1625" s="8" t="n">
        <x:f>G1625-D1625</x:f>
        <x:v>123.33</x:v>
      </x:c>
      <x:c r="I1625" s="1" t="str">
        <x:f>IF(H1625&gt;0,"Overbilled","Shortfall")</x:f>
        <x:v>Overbilled</x:v>
      </x:c>
      <x:c r="J1625" s="7"/>
      <x:c r="K1625" s="7" t="str">
        <x:v>Open</x:v>
      </x:c>
      <x:c r="L1625" s="7"/>
    </x:row>
    <x:row r="1626" ht="21" customHeight="1">
      <x:c r="A1626" s="1" t="str">
        <x:f>Source!A1620</x:f>
        <x:v>C0016328</x:v>
      </x:c>
      <x:c r="B1626" s="1" t="str">
        <x:f>_xlfn.IFNA(VLOOKUP(Source!B1620,Advertisers!$A$5:$B$34,2,FALSE),"Missing advertiser")</x:f>
        <x:v>Synthetic advertiser 4</x:v>
      </x:c>
      <x:c r="C1626" s="1" t="n">
        <x:f>Source!C1620</x:f>
        <x:v>4</x:v>
      </x:c>
      <x:c r="D1626" s="8" t="n">
        <x:f>Source!D1620/100</x:f>
        <x:v>123.33</x:v>
      </x:c>
      <x:c r="E1626" s="8" t="n">
        <x:f>Source!E1620/100</x:f>
        <x:v>0</x:v>
      </x:c>
      <x:c r="F1626" s="8" t="n">
        <x:f>Source!F1620/100</x:f>
        <x:v>0</x:v>
      </x:c>
      <x:c r="G1626" s="8" t="n">
        <x:f>Source!G1620/100</x:f>
        <x:v>0</x:v>
      </x:c>
      <x:c r="H1626" s="8" t="n">
        <x:f>G1626-D1626</x:f>
        <x:v>-123.33</x:v>
      </x:c>
      <x:c r="I1626" s="1" t="str">
        <x:f>IF(H1626&gt;0,"Overbilled","Shortfall")</x:f>
        <x:v>Shortfall</x:v>
      </x:c>
      <x:c r="J1626" s="7"/>
      <x:c r="K1626" s="7" t="str">
        <x:v>Open</x:v>
      </x:c>
      <x:c r="L1626" s="7"/>
    </x:row>
    <x:row r="1627" ht="21" customHeight="1">
      <x:c r="A1627" s="1" t="str">
        <x:f>Source!A1621</x:f>
        <x:v>C0012933</x:v>
      </x:c>
      <x:c r="B1627" s="1" t="str">
        <x:f>_xlfn.IFNA(VLOOKUP(Source!B1621,Advertisers!$A$5:$B$34,2,FALSE),"Missing advertiser")</x:f>
        <x:v>Synthetic advertiser 4</x:v>
      </x:c>
      <x:c r="C1627" s="1" t="n">
        <x:f>Source!C1621</x:f>
        <x:v>4</x:v>
      </x:c>
      <x:c r="D1627" s="8" t="n">
        <x:f>Source!D1621/100</x:f>
        <x:v>123.33</x:v>
      </x:c>
      <x:c r="E1627" s="8" t="n">
        <x:f>Source!E1621/100</x:f>
        <x:v>0</x:v>
      </x:c>
      <x:c r="F1627" s="8" t="n">
        <x:f>Source!F1621/100</x:f>
        <x:v>0</x:v>
      </x:c>
      <x:c r="G1627" s="8" t="n">
        <x:f>Source!G1621/100</x:f>
        <x:v>0</x:v>
      </x:c>
      <x:c r="H1627" s="8" t="n">
        <x:f>G1627-D1627</x:f>
        <x:v>-123.33</x:v>
      </x:c>
      <x:c r="I1627" s="1" t="str">
        <x:f>IF(H1627&gt;0,"Overbilled","Shortfall")</x:f>
        <x:v>Shortfall</x:v>
      </x:c>
      <x:c r="J1627" s="7"/>
      <x:c r="K1627" s="7" t="str">
        <x:v>Open</x:v>
      </x:c>
      <x:c r="L1627" s="7"/>
    </x:row>
    <x:row r="1628" ht="21" customHeight="1">
      <x:c r="A1628" s="1" t="str">
        <x:f>Source!A1622</x:f>
        <x:v>C0006470</x:v>
      </x:c>
      <x:c r="B1628" s="1" t="str">
        <x:f>_xlfn.IFNA(VLOOKUP(Source!B1622,Advertisers!$A$5:$B$34,2,FALSE),"Missing advertiser")</x:f>
        <x:v>Synthetic advertiser 4</x:v>
      </x:c>
      <x:c r="C1628" s="1" t="n">
        <x:f>Source!C1622</x:f>
        <x:v>4</x:v>
      </x:c>
      <x:c r="D1628" s="8" t="n">
        <x:f>Source!D1622/100</x:f>
        <x:v>123.33</x:v>
      </x:c>
      <x:c r="E1628" s="8" t="n">
        <x:f>Source!E1622/100</x:f>
        <x:v>246.66</x:v>
      </x:c>
      <x:c r="F1628" s="8" t="n">
        <x:f>Source!F1622/100</x:f>
        <x:v>0</x:v>
      </x:c>
      <x:c r="G1628" s="8" t="n">
        <x:f>Source!G1622/100</x:f>
        <x:v>246.66</x:v>
      </x:c>
      <x:c r="H1628" s="8" t="n">
        <x:f>G1628-D1628</x:f>
        <x:v>123.33</x:v>
      </x:c>
      <x:c r="I1628" s="1" t="str">
        <x:f>IF(H1628&gt;0,"Overbilled","Shortfall")</x:f>
        <x:v>Overbilled</x:v>
      </x:c>
      <x:c r="J1628" s="7"/>
      <x:c r="K1628" s="7" t="str">
        <x:v>Open</x:v>
      </x:c>
      <x:c r="L1628" s="7"/>
    </x:row>
    <x:row r="1629" ht="21" customHeight="1">
      <x:c r="A1629" s="1" t="str">
        <x:f>Source!A1623</x:f>
        <x:v>C0002809</x:v>
      </x:c>
      <x:c r="B1629" s="1" t="str">
        <x:f>_xlfn.IFNA(VLOOKUP(Source!B1623,Advertisers!$A$5:$B$34,2,FALSE),"Missing advertiser")</x:f>
        <x:v>Synthetic advertiser 20</x:v>
      </x:c>
      <x:c r="C1629" s="1" t="n">
        <x:f>Source!C1623</x:f>
        <x:v>80</x:v>
      </x:c>
      <x:c r="D1629" s="8" t="n">
        <x:f>Source!D1623/100</x:f>
        <x:v>123.07</x:v>
      </x:c>
      <x:c r="E1629" s="8" t="n">
        <x:f>Source!E1623/100</x:f>
        <x:v>0</x:v>
      </x:c>
      <x:c r="F1629" s="8" t="n">
        <x:f>Source!F1623/100</x:f>
        <x:v>0</x:v>
      </x:c>
      <x:c r="G1629" s="8" t="n">
        <x:f>Source!G1623/100</x:f>
        <x:v>0</x:v>
      </x:c>
      <x:c r="H1629" s="8" t="n">
        <x:f>G1629-D1629</x:f>
        <x:v>-123.07</x:v>
      </x:c>
      <x:c r="I1629" s="1" t="str">
        <x:f>IF(H1629&gt;0,"Overbilled","Shortfall")</x:f>
        <x:v>Shortfall</x:v>
      </x:c>
      <x:c r="J1629" s="7"/>
      <x:c r="K1629" s="7" t="str">
        <x:v>Open</x:v>
      </x:c>
      <x:c r="L1629" s="7"/>
    </x:row>
    <x:row r="1630" ht="21" customHeight="1">
      <x:c r="A1630" s="1" t="str">
        <x:f>Source!A1624</x:f>
        <x:v>C0012584</x:v>
      </x:c>
      <x:c r="B1630" s="1" t="str">
        <x:f>_xlfn.IFNA(VLOOKUP(Source!B1624,Advertisers!$A$5:$B$34,2,FALSE),"Missing advertiser")</x:f>
        <x:v>Synthetic advertiser 20</x:v>
      </x:c>
      <x:c r="C1630" s="1" t="n">
        <x:f>Source!C1624</x:f>
        <x:v>80</x:v>
      </x:c>
      <x:c r="D1630" s="8" t="n">
        <x:f>Source!D1624/100</x:f>
        <x:v>123.07</x:v>
      </x:c>
      <x:c r="E1630" s="8" t="n">
        <x:f>Source!E1624/100</x:f>
        <x:v>246.14</x:v>
      </x:c>
      <x:c r="F1630" s="8" t="n">
        <x:f>Source!F1624/100</x:f>
        <x:v>0</x:v>
      </x:c>
      <x:c r="G1630" s="8" t="n">
        <x:f>Source!G1624/100</x:f>
        <x:v>246.14</x:v>
      </x:c>
      <x:c r="H1630" s="8" t="n">
        <x:f>G1630-D1630</x:f>
        <x:v>123.07</x:v>
      </x:c>
      <x:c r="I1630" s="1" t="str">
        <x:f>IF(H1630&gt;0,"Overbilled","Shortfall")</x:f>
        <x:v>Overbilled</x:v>
      </x:c>
      <x:c r="J1630" s="7"/>
      <x:c r="K1630" s="7" t="str">
        <x:v>Open</x:v>
      </x:c>
      <x:c r="L1630" s="7"/>
    </x:row>
    <x:row r="1631" ht="21" customHeight="1">
      <x:c r="A1631" s="1" t="str">
        <x:f>Source!A1625</x:f>
        <x:v>C0012146</x:v>
      </x:c>
      <x:c r="B1631" s="1" t="str">
        <x:f>_xlfn.IFNA(VLOOKUP(Source!B1625,Advertisers!$A$5:$B$34,2,FALSE),"Missing advertiser")</x:f>
        <x:v>Synthetic advertiser 20</x:v>
      </x:c>
      <x:c r="C1631" s="1" t="n">
        <x:f>Source!C1625</x:f>
        <x:v>80</x:v>
      </x:c>
      <x:c r="D1631" s="8" t="n">
        <x:f>Source!D1625/100</x:f>
        <x:v>123.07</x:v>
      </x:c>
      <x:c r="E1631" s="8" t="n">
        <x:f>Source!E1625/100</x:f>
        <x:v>246.14</x:v>
      </x:c>
      <x:c r="F1631" s="8" t="n">
        <x:f>Source!F1625/100</x:f>
        <x:v>0</x:v>
      </x:c>
      <x:c r="G1631" s="8" t="n">
        <x:f>Source!G1625/100</x:f>
        <x:v>246.14</x:v>
      </x:c>
      <x:c r="H1631" s="8" t="n">
        <x:f>G1631-D1631</x:f>
        <x:v>123.07</x:v>
      </x:c>
      <x:c r="I1631" s="1" t="str">
        <x:f>IF(H1631&gt;0,"Overbilled","Shortfall")</x:f>
        <x:v>Overbilled</x:v>
      </x:c>
      <x:c r="J1631" s="7"/>
      <x:c r="K1631" s="7" t="str">
        <x:v>Open</x:v>
      </x:c>
      <x:c r="L1631" s="7"/>
    </x:row>
    <x:row r="1632" ht="21" customHeight="1">
      <x:c r="A1632" s="1" t="str">
        <x:f>Source!A1626</x:f>
        <x:v>C0013513</x:v>
      </x:c>
      <x:c r="B1632" s="1" t="str">
        <x:f>_xlfn.IFNA(VLOOKUP(Source!B1626,Advertisers!$A$5:$B$34,2,FALSE),"Missing advertiser")</x:f>
        <x:v>Synthetic advertiser 20</x:v>
      </x:c>
      <x:c r="C1632" s="1" t="n">
        <x:f>Source!C1626</x:f>
        <x:v>80</x:v>
      </x:c>
      <x:c r="D1632" s="8" t="n">
        <x:f>Source!D1626/100</x:f>
        <x:v>0</x:v>
      </x:c>
      <x:c r="E1632" s="8" t="n">
        <x:f>Source!E1626/100</x:f>
        <x:v>123.07</x:v>
      </x:c>
      <x:c r="F1632" s="8" t="n">
        <x:f>Source!F1626/100</x:f>
        <x:v>0</x:v>
      </x:c>
      <x:c r="G1632" s="8" t="n">
        <x:f>Source!G1626/100</x:f>
        <x:v>123.07</x:v>
      </x:c>
      <x:c r="H1632" s="8" t="n">
        <x:f>G1632-D1632</x:f>
        <x:v>123.07</x:v>
      </x:c>
      <x:c r="I1632" s="1" t="str">
        <x:f>IF(H1632&gt;0,"Overbilled","Shortfall")</x:f>
        <x:v>Overbilled</x:v>
      </x:c>
      <x:c r="J1632" s="7"/>
      <x:c r="K1632" s="7" t="str">
        <x:v>Open</x:v>
      </x:c>
      <x:c r="L1632" s="7"/>
    </x:row>
    <x:row r="1633" ht="21" customHeight="1">
      <x:c r="A1633" s="1" t="str">
        <x:f>Source!A1627</x:f>
        <x:v>C0002381</x:v>
      </x:c>
      <x:c r="B1633" s="1" t="str">
        <x:f>_xlfn.IFNA(VLOOKUP(Source!B1627,Advertisers!$A$5:$B$34,2,FALSE),"Missing advertiser")</x:f>
        <x:v>Synthetic advertiser 18</x:v>
      </x:c>
      <x:c r="C1633" s="1" t="n">
        <x:f>Source!C1627</x:f>
        <x:v>18</x:v>
      </x:c>
      <x:c r="D1633" s="8" t="n">
        <x:f>Source!D1627/100</x:f>
        <x:v>122.73</x:v>
      </x:c>
      <x:c r="E1633" s="8" t="n">
        <x:f>Source!E1627/100</x:f>
        <x:v>245.46</x:v>
      </x:c>
      <x:c r="F1633" s="8" t="n">
        <x:f>Source!F1627/100</x:f>
        <x:v>0</x:v>
      </x:c>
      <x:c r="G1633" s="8" t="n">
        <x:f>Source!G1627/100</x:f>
        <x:v>245.46</x:v>
      </x:c>
      <x:c r="H1633" s="8" t="n">
        <x:f>G1633-D1633</x:f>
        <x:v>122.73</x:v>
      </x:c>
      <x:c r="I1633" s="1" t="str">
        <x:f>IF(H1633&gt;0,"Overbilled","Shortfall")</x:f>
        <x:v>Overbilled</x:v>
      </x:c>
      <x:c r="J1633" s="7"/>
      <x:c r="K1633" s="7" t="str">
        <x:v>Open</x:v>
      </x:c>
      <x:c r="L1633" s="7"/>
    </x:row>
    <x:row r="1634" ht="21" customHeight="1">
      <x:c r="A1634" s="1" t="str">
        <x:f>Source!A1628</x:f>
        <x:v>C0012889</x:v>
      </x:c>
      <x:c r="B1634" s="1" t="str">
        <x:f>_xlfn.IFNA(VLOOKUP(Source!B1628,Advertisers!$A$5:$B$34,2,FALSE),"Missing advertiser")</x:f>
        <x:v>Synthetic advertiser 18</x:v>
      </x:c>
      <x:c r="C1634" s="1" t="n">
        <x:f>Source!C1628</x:f>
        <x:v>18</x:v>
      </x:c>
      <x:c r="D1634" s="8" t="n">
        <x:f>Source!D1628/100</x:f>
        <x:v>122.73</x:v>
      </x:c>
      <x:c r="E1634" s="8" t="n">
        <x:f>Source!E1628/100</x:f>
        <x:v>0</x:v>
      </x:c>
      <x:c r="F1634" s="8" t="n">
        <x:f>Source!F1628/100</x:f>
        <x:v>0</x:v>
      </x:c>
      <x:c r="G1634" s="8" t="n">
        <x:f>Source!G1628/100</x:f>
        <x:v>0</x:v>
      </x:c>
      <x:c r="H1634" s="8" t="n">
        <x:f>G1634-D1634</x:f>
        <x:v>-122.73</x:v>
      </x:c>
      <x:c r="I1634" s="1" t="str">
        <x:f>IF(H1634&gt;0,"Overbilled","Shortfall")</x:f>
        <x:v>Shortfall</x:v>
      </x:c>
      <x:c r="J1634" s="7"/>
      <x:c r="K1634" s="7" t="str">
        <x:v>Open</x:v>
      </x:c>
      <x:c r="L1634" s="7"/>
    </x:row>
    <x:row r="1635" ht="21" customHeight="1">
      <x:c r="A1635" s="1" t="str">
        <x:f>Source!A1629</x:f>
        <x:v>C0006264</x:v>
      </x:c>
      <x:c r="B1635" s="1" t="str">
        <x:f>_xlfn.IFNA(VLOOKUP(Source!B1629,Advertisers!$A$5:$B$34,2,FALSE),"Missing advertiser")</x:f>
        <x:v>Synthetic advertiser 18</x:v>
      </x:c>
      <x:c r="C1635" s="1" t="n">
        <x:f>Source!C1629</x:f>
        <x:v>18</x:v>
      </x:c>
      <x:c r="D1635" s="8" t="n">
        <x:f>Source!D1629/100</x:f>
        <x:v>122.73</x:v>
      </x:c>
      <x:c r="E1635" s="8" t="n">
        <x:f>Source!E1629/100</x:f>
        <x:v>245.46</x:v>
      </x:c>
      <x:c r="F1635" s="8" t="n">
        <x:f>Source!F1629/100</x:f>
        <x:v>0</x:v>
      </x:c>
      <x:c r="G1635" s="8" t="n">
        <x:f>Source!G1629/100</x:f>
        <x:v>245.46</x:v>
      </x:c>
      <x:c r="H1635" s="8" t="n">
        <x:f>G1635-D1635</x:f>
        <x:v>122.73</x:v>
      </x:c>
      <x:c r="I1635" s="1" t="str">
        <x:f>IF(H1635&gt;0,"Overbilled","Shortfall")</x:f>
        <x:v>Overbilled</x:v>
      </x:c>
      <x:c r="J1635" s="7"/>
      <x:c r="K1635" s="7" t="str">
        <x:v>Open</x:v>
      </x:c>
      <x:c r="L1635" s="7"/>
    </x:row>
    <x:row r="1636" ht="21" customHeight="1">
      <x:c r="A1636" s="1" t="str">
        <x:f>Source!A1630</x:f>
        <x:v>C0006035</x:v>
      </x:c>
      <x:c r="B1636" s="1" t="str">
        <x:f>_xlfn.IFNA(VLOOKUP(Source!B1630,Advertisers!$A$5:$B$34,2,FALSE),"Missing advertiser")</x:f>
        <x:v>Synthetic advertiser 18</x:v>
      </x:c>
      <x:c r="C1636" s="1" t="n">
        <x:f>Source!C1630</x:f>
        <x:v>18</x:v>
      </x:c>
      <x:c r="D1636" s="8" t="n">
        <x:f>Source!D1630/100</x:f>
        <x:v>122.73</x:v>
      </x:c>
      <x:c r="E1636" s="8" t="n">
        <x:f>Source!E1630/100</x:f>
        <x:v>0</x:v>
      </x:c>
      <x:c r="F1636" s="8" t="n">
        <x:f>Source!F1630/100</x:f>
        <x:v>0</x:v>
      </x:c>
      <x:c r="G1636" s="8" t="n">
        <x:f>Source!G1630/100</x:f>
        <x:v>0</x:v>
      </x:c>
      <x:c r="H1636" s="8" t="n">
        <x:f>G1636-D1636</x:f>
        <x:v>-122.73</x:v>
      </x:c>
      <x:c r="I1636" s="1" t="str">
        <x:f>IF(H1636&gt;0,"Overbilled","Shortfall")</x:f>
        <x:v>Shortfall</x:v>
      </x:c>
      <x:c r="J1636" s="7"/>
      <x:c r="K1636" s="7" t="str">
        <x:v>Open</x:v>
      </x:c>
      <x:c r="L1636" s="7"/>
    </x:row>
    <x:row r="1637" ht="21" customHeight="1">
      <x:c r="A1637" s="1" t="str">
        <x:f>Source!A1631</x:f>
        <x:v>C0010739</x:v>
      </x:c>
      <x:c r="B1637" s="1" t="str">
        <x:f>_xlfn.IFNA(VLOOKUP(Source!B1631,Advertisers!$A$5:$B$34,2,FALSE),"Missing advertiser")</x:f>
        <x:v>Synthetic advertiser 18</x:v>
      </x:c>
      <x:c r="C1637" s="1" t="n">
        <x:f>Source!C1631</x:f>
        <x:v>18</x:v>
      </x:c>
      <x:c r="D1637" s="8" t="n">
        <x:f>Source!D1631/100</x:f>
        <x:v>122.73</x:v>
      </x:c>
      <x:c r="E1637" s="8" t="n">
        <x:f>Source!E1631/100</x:f>
        <x:v>0</x:v>
      </x:c>
      <x:c r="F1637" s="8" t="n">
        <x:f>Source!F1631/100</x:f>
        <x:v>0</x:v>
      </x:c>
      <x:c r="G1637" s="8" t="n">
        <x:f>Source!G1631/100</x:f>
        <x:v>0</x:v>
      </x:c>
      <x:c r="H1637" s="8" t="n">
        <x:f>G1637-D1637</x:f>
        <x:v>-122.73</x:v>
      </x:c>
      <x:c r="I1637" s="1" t="str">
        <x:f>IF(H1637&gt;0,"Overbilled","Shortfall")</x:f>
        <x:v>Shortfall</x:v>
      </x:c>
      <x:c r="J1637" s="7"/>
      <x:c r="K1637" s="7" t="str">
        <x:v>Open</x:v>
      </x:c>
      <x:c r="L1637" s="7"/>
    </x:row>
    <x:row r="1638" ht="21" customHeight="1">
      <x:c r="A1638" s="1" t="str">
        <x:f>Source!A1632</x:f>
        <x:v>C0012461</x:v>
      </x:c>
      <x:c r="B1638" s="1" t="str">
        <x:f>_xlfn.IFNA(VLOOKUP(Source!B1632,Advertisers!$A$5:$B$34,2,FALSE),"Missing advertiser")</x:f>
        <x:v>Synthetic advertiser 12</x:v>
      </x:c>
      <x:c r="C1638" s="1" t="n">
        <x:f>Source!C1632</x:f>
        <x:v>12</x:v>
      </x:c>
      <x:c r="D1638" s="8" t="n">
        <x:f>Source!D1632/100</x:f>
        <x:v>122.36</x:v>
      </x:c>
      <x:c r="E1638" s="8" t="n">
        <x:f>Source!E1632/100</x:f>
        <x:v>244.72</x:v>
      </x:c>
      <x:c r="F1638" s="8" t="n">
        <x:f>Source!F1632/100</x:f>
        <x:v>0</x:v>
      </x:c>
      <x:c r="G1638" s="8" t="n">
        <x:f>Source!G1632/100</x:f>
        <x:v>244.72</x:v>
      </x:c>
      <x:c r="H1638" s="8" t="n">
        <x:f>G1638-D1638</x:f>
        <x:v>122.36</x:v>
      </x:c>
      <x:c r="I1638" s="1" t="str">
        <x:f>IF(H1638&gt;0,"Overbilled","Shortfall")</x:f>
        <x:v>Overbilled</x:v>
      </x:c>
      <x:c r="J1638" s="7"/>
      <x:c r="K1638" s="7" t="str">
        <x:v>Open</x:v>
      </x:c>
      <x:c r="L1638" s="7"/>
    </x:row>
    <x:row r="1639" ht="21" customHeight="1">
      <x:c r="A1639" s="1" t="str">
        <x:f>Source!A1633</x:f>
        <x:v>C0003802</x:v>
      </x:c>
      <x:c r="B1639" s="1" t="str">
        <x:f>_xlfn.IFNA(VLOOKUP(Source!B1633,Advertisers!$A$5:$B$34,2,FALSE),"Missing advertiser")</x:f>
        <x:v>Synthetic advertiser 12</x:v>
      </x:c>
      <x:c r="C1639" s="1" t="n">
        <x:f>Source!C1633</x:f>
        <x:v>12</x:v>
      </x:c>
      <x:c r="D1639" s="8" t="n">
        <x:f>Source!D1633/100</x:f>
        <x:v>122.36</x:v>
      </x:c>
      <x:c r="E1639" s="8" t="n">
        <x:f>Source!E1633/100</x:f>
        <x:v>244.72</x:v>
      </x:c>
      <x:c r="F1639" s="8" t="n">
        <x:f>Source!F1633/100</x:f>
        <x:v>0</x:v>
      </x:c>
      <x:c r="G1639" s="8" t="n">
        <x:f>Source!G1633/100</x:f>
        <x:v>244.72</x:v>
      </x:c>
      <x:c r="H1639" s="8" t="n">
        <x:f>G1639-D1639</x:f>
        <x:v>122.36</x:v>
      </x:c>
      <x:c r="I1639" s="1" t="str">
        <x:f>IF(H1639&gt;0,"Overbilled","Shortfall")</x:f>
        <x:v>Overbilled</x:v>
      </x:c>
      <x:c r="J1639" s="7"/>
      <x:c r="K1639" s="7" t="str">
        <x:v>Open</x:v>
      </x:c>
      <x:c r="L1639" s="7"/>
    </x:row>
    <x:row r="1640" ht="21" customHeight="1">
      <x:c r="A1640" s="1" t="str">
        <x:f>Source!A1634</x:f>
        <x:v>C0011611</x:v>
      </x:c>
      <x:c r="B1640" s="1" t="str">
        <x:f>_xlfn.IFNA(VLOOKUP(Source!B1634,Advertisers!$A$5:$B$34,2,FALSE),"Missing advertiser")</x:f>
        <x:v>Synthetic advertiser 12</x:v>
      </x:c>
      <x:c r="C1640" s="1" t="n">
        <x:f>Source!C1634</x:f>
        <x:v>12</x:v>
      </x:c>
      <x:c r="D1640" s="8" t="n">
        <x:f>Source!D1634/100</x:f>
        <x:v>122.36</x:v>
      </x:c>
      <x:c r="E1640" s="8" t="n">
        <x:f>Source!E1634/100</x:f>
        <x:v>244.72</x:v>
      </x:c>
      <x:c r="F1640" s="8" t="n">
        <x:f>Source!F1634/100</x:f>
        <x:v>0</x:v>
      </x:c>
      <x:c r="G1640" s="8" t="n">
        <x:f>Source!G1634/100</x:f>
        <x:v>244.72</x:v>
      </x:c>
      <x:c r="H1640" s="8" t="n">
        <x:f>G1640-D1640</x:f>
        <x:v>122.36</x:v>
      </x:c>
      <x:c r="I1640" s="1" t="str">
        <x:f>IF(H1640&gt;0,"Overbilled","Shortfall")</x:f>
        <x:v>Overbilled</x:v>
      </x:c>
      <x:c r="J1640" s="7"/>
      <x:c r="K1640" s="7" t="str">
        <x:v>Open</x:v>
      </x:c>
      <x:c r="L1640" s="7"/>
    </x:row>
    <x:row r="1641" ht="21" customHeight="1">
      <x:c r="A1641" s="1" t="str">
        <x:f>Source!A1635</x:f>
        <x:v>C0003885</x:v>
      </x:c>
      <x:c r="B1641" s="1" t="str">
        <x:f>_xlfn.IFNA(VLOOKUP(Source!B1635,Advertisers!$A$5:$B$34,2,FALSE),"Missing advertiser")</x:f>
        <x:v>Synthetic advertiser 12</x:v>
      </x:c>
      <x:c r="C1641" s="1" t="n">
        <x:f>Source!C1635</x:f>
        <x:v>12</x:v>
      </x:c>
      <x:c r="D1641" s="8" t="n">
        <x:f>Source!D1635/100</x:f>
        <x:v>122.36</x:v>
      </x:c>
      <x:c r="E1641" s="8" t="n">
        <x:f>Source!E1635/100</x:f>
        <x:v>0</x:v>
      </x:c>
      <x:c r="F1641" s="8" t="n">
        <x:f>Source!F1635/100</x:f>
        <x:v>0</x:v>
      </x:c>
      <x:c r="G1641" s="8" t="n">
        <x:f>Source!G1635/100</x:f>
        <x:v>0</x:v>
      </x:c>
      <x:c r="H1641" s="8" t="n">
        <x:f>G1641-D1641</x:f>
        <x:v>-122.36</x:v>
      </x:c>
      <x:c r="I1641" s="1" t="str">
        <x:f>IF(H1641&gt;0,"Overbilled","Shortfall")</x:f>
        <x:v>Shortfall</x:v>
      </x:c>
      <x:c r="J1641" s="7"/>
      <x:c r="K1641" s="7" t="str">
        <x:v>Open</x:v>
      </x:c>
      <x:c r="L1641" s="7"/>
    </x:row>
    <x:row r="1642" ht="21" customHeight="1">
      <x:c r="A1642" s="1" t="str">
        <x:f>Source!A1636</x:f>
        <x:v>C0015160</x:v>
      </x:c>
      <x:c r="B1642" s="1" t="str">
        <x:f>_xlfn.IFNA(VLOOKUP(Source!B1636,Advertisers!$A$5:$B$34,2,FALSE),"Missing advertiser")</x:f>
        <x:v>Synthetic advertiser 12</x:v>
      </x:c>
      <x:c r="C1642" s="1" t="n">
        <x:f>Source!C1636</x:f>
        <x:v>12</x:v>
      </x:c>
      <x:c r="D1642" s="8" t="n">
        <x:f>Source!D1636/100</x:f>
        <x:v>122.36</x:v>
      </x:c>
      <x:c r="E1642" s="8" t="n">
        <x:f>Source!E1636/100</x:f>
        <x:v>0</x:v>
      </x:c>
      <x:c r="F1642" s="8" t="n">
        <x:f>Source!F1636/100</x:f>
        <x:v>0</x:v>
      </x:c>
      <x:c r="G1642" s="8" t="n">
        <x:f>Source!G1636/100</x:f>
        <x:v>0</x:v>
      </x:c>
      <x:c r="H1642" s="8" t="n">
        <x:f>G1642-D1642</x:f>
        <x:v>-122.36</x:v>
      </x:c>
      <x:c r="I1642" s="1" t="str">
        <x:f>IF(H1642&gt;0,"Overbilled","Shortfall")</x:f>
        <x:v>Shortfall</x:v>
      </x:c>
      <x:c r="J1642" s="7"/>
      <x:c r="K1642" s="7" t="str">
        <x:v>Open</x:v>
      </x:c>
      <x:c r="L1642" s="7"/>
    </x:row>
    <x:row r="1643" ht="21" customHeight="1">
      <x:c r="A1643" s="1" t="str">
        <x:f>Source!A1637</x:f>
        <x:v>C0002421</x:v>
      </x:c>
      <x:c r="B1643" s="1" t="str">
        <x:f>_xlfn.IFNA(VLOOKUP(Source!B1637,Advertisers!$A$5:$B$34,2,FALSE),"Missing advertiser")</x:f>
        <x:v>Synthetic advertiser 12</x:v>
      </x:c>
      <x:c r="C1643" s="1" t="n">
        <x:f>Source!C1637</x:f>
        <x:v>12</x:v>
      </x:c>
      <x:c r="D1643" s="8" t="n">
        <x:f>Source!D1637/100</x:f>
        <x:v>122.36</x:v>
      </x:c>
      <x:c r="E1643" s="8" t="n">
        <x:f>Source!E1637/100</x:f>
        <x:v>0</x:v>
      </x:c>
      <x:c r="F1643" s="8" t="n">
        <x:f>Source!F1637/100</x:f>
        <x:v>0</x:v>
      </x:c>
      <x:c r="G1643" s="8" t="n">
        <x:f>Source!G1637/100</x:f>
        <x:v>0</x:v>
      </x:c>
      <x:c r="H1643" s="8" t="n">
        <x:f>G1643-D1643</x:f>
        <x:v>-122.36</x:v>
      </x:c>
      <x:c r="I1643" s="1" t="str">
        <x:f>IF(H1643&gt;0,"Overbilled","Shortfall")</x:f>
        <x:v>Shortfall</x:v>
      </x:c>
      <x:c r="J1643" s="7"/>
      <x:c r="K1643" s="7" t="str">
        <x:v>Open</x:v>
      </x:c>
      <x:c r="L1643" s="7"/>
    </x:row>
    <x:row r="1644" ht="21" customHeight="1">
      <x:c r="A1644" s="1" t="str">
        <x:f>Source!A1638</x:f>
        <x:v>C0014955</x:v>
      </x:c>
      <x:c r="B1644" s="1" t="str">
        <x:f>_xlfn.IFNA(VLOOKUP(Source!B1638,Advertisers!$A$5:$B$34,2,FALSE),"Missing advertiser")</x:f>
        <x:v>Synthetic advertiser 12</x:v>
      </x:c>
      <x:c r="C1644" s="1" t="n">
        <x:f>Source!C1638</x:f>
        <x:v>12</x:v>
      </x:c>
      <x:c r="D1644" s="8" t="n">
        <x:f>Source!D1638/100</x:f>
        <x:v>122.36</x:v>
      </x:c>
      <x:c r="E1644" s="8" t="n">
        <x:f>Source!E1638/100</x:f>
        <x:v>244.72</x:v>
      </x:c>
      <x:c r="F1644" s="8" t="n">
        <x:f>Source!F1638/100</x:f>
        <x:v>0</x:v>
      </x:c>
      <x:c r="G1644" s="8" t="n">
        <x:f>Source!G1638/100</x:f>
        <x:v>244.72</x:v>
      </x:c>
      <x:c r="H1644" s="8" t="n">
        <x:f>G1644-D1644</x:f>
        <x:v>122.36</x:v>
      </x:c>
      <x:c r="I1644" s="1" t="str">
        <x:f>IF(H1644&gt;0,"Overbilled","Shortfall")</x:f>
        <x:v>Overbilled</x:v>
      </x:c>
      <x:c r="J1644" s="7"/>
      <x:c r="K1644" s="7" t="str">
        <x:v>Open</x:v>
      </x:c>
      <x:c r="L1644" s="7"/>
    </x:row>
    <x:row r="1645" ht="21" customHeight="1">
      <x:c r="A1645" s="1" t="str">
        <x:f>Source!A1639</x:f>
        <x:v>C0004910</x:v>
      </x:c>
      <x:c r="B1645" s="1" t="str">
        <x:f>_xlfn.IFNA(VLOOKUP(Source!B1639,Advertisers!$A$5:$B$34,2,FALSE),"Missing advertiser")</x:f>
        <x:v>Synthetic advertiser 29</x:v>
      </x:c>
      <x:c r="C1645" s="1" t="n">
        <x:f>Source!C1639</x:f>
        <x:v>59</x:v>
      </x:c>
      <x:c r="D1645" s="8" t="n">
        <x:f>Source!D1639/100</x:f>
        <x:v>122.13</x:v>
      </x:c>
      <x:c r="E1645" s="8" t="n">
        <x:f>Source!E1639/100</x:f>
        <x:v>0</x:v>
      </x:c>
      <x:c r="F1645" s="8" t="n">
        <x:f>Source!F1639/100</x:f>
        <x:v>0</x:v>
      </x:c>
      <x:c r="G1645" s="8" t="n">
        <x:f>Source!G1639/100</x:f>
        <x:v>0</x:v>
      </x:c>
      <x:c r="H1645" s="8" t="n">
        <x:f>G1645-D1645</x:f>
        <x:v>-122.13</x:v>
      </x:c>
      <x:c r="I1645" s="1" t="str">
        <x:f>IF(H1645&gt;0,"Overbilled","Shortfall")</x:f>
        <x:v>Shortfall</x:v>
      </x:c>
      <x:c r="J1645" s="7"/>
      <x:c r="K1645" s="7" t="str">
        <x:v>Open</x:v>
      </x:c>
      <x:c r="L1645" s="7"/>
    </x:row>
    <x:row r="1646" ht="21" customHeight="1">
      <x:c r="A1646" s="1" t="str">
        <x:f>Source!A1640</x:f>
        <x:v>C0016674</x:v>
      </x:c>
      <x:c r="B1646" s="1" t="str">
        <x:f>_xlfn.IFNA(VLOOKUP(Source!B1640,Advertisers!$A$5:$B$34,2,FALSE),"Missing advertiser")</x:f>
        <x:v>Synthetic advertiser 29</x:v>
      </x:c>
      <x:c r="C1646" s="1" t="n">
        <x:f>Source!C1640</x:f>
        <x:v>59</x:v>
      </x:c>
      <x:c r="D1646" s="8" t="n">
        <x:f>Source!D1640/100</x:f>
        <x:v>122.13</x:v>
      </x:c>
      <x:c r="E1646" s="8" t="n">
        <x:f>Source!E1640/100</x:f>
        <x:v>0</x:v>
      </x:c>
      <x:c r="F1646" s="8" t="n">
        <x:f>Source!F1640/100</x:f>
        <x:v>0</x:v>
      </x:c>
      <x:c r="G1646" s="8" t="n">
        <x:f>Source!G1640/100</x:f>
        <x:v>0</x:v>
      </x:c>
      <x:c r="H1646" s="8" t="n">
        <x:f>G1646-D1646</x:f>
        <x:v>-122.13</x:v>
      </x:c>
      <x:c r="I1646" s="1" t="str">
        <x:f>IF(H1646&gt;0,"Overbilled","Shortfall")</x:f>
        <x:v>Shortfall</x:v>
      </x:c>
      <x:c r="J1646" s="7"/>
      <x:c r="K1646" s="7" t="str">
        <x:v>Open</x:v>
      </x:c>
      <x:c r="L1646" s="7"/>
    </x:row>
    <x:row r="1647" ht="21" customHeight="1">
      <x:c r="A1647" s="1" t="str">
        <x:f>Source!A1641</x:f>
        <x:v>C0014472</x:v>
      </x:c>
      <x:c r="B1647" s="1" t="str">
        <x:f>_xlfn.IFNA(VLOOKUP(Source!B1641,Advertisers!$A$5:$B$34,2,FALSE),"Missing advertiser")</x:f>
        <x:v>Synthetic advertiser 29</x:v>
      </x:c>
      <x:c r="C1647" s="1" t="n">
        <x:f>Source!C1641</x:f>
        <x:v>59</x:v>
      </x:c>
      <x:c r="D1647" s="8" t="n">
        <x:f>Source!D1641/100</x:f>
        <x:v>122.13</x:v>
      </x:c>
      <x:c r="E1647" s="8" t="n">
        <x:f>Source!E1641/100</x:f>
        <x:v>244.26</x:v>
      </x:c>
      <x:c r="F1647" s="8" t="n">
        <x:f>Source!F1641/100</x:f>
        <x:v>0</x:v>
      </x:c>
      <x:c r="G1647" s="8" t="n">
        <x:f>Source!G1641/100</x:f>
        <x:v>244.26</x:v>
      </x:c>
      <x:c r="H1647" s="8" t="n">
        <x:f>G1647-D1647</x:f>
        <x:v>122.13</x:v>
      </x:c>
      <x:c r="I1647" s="1" t="str">
        <x:f>IF(H1647&gt;0,"Overbilled","Shortfall")</x:f>
        <x:v>Overbilled</x:v>
      </x:c>
      <x:c r="J1647" s="7"/>
      <x:c r="K1647" s="7" t="str">
        <x:v>Open</x:v>
      </x:c>
      <x:c r="L1647" s="7"/>
    </x:row>
    <x:row r="1648" ht="21" customHeight="1">
      <x:c r="A1648" s="1" t="str">
        <x:f>Source!A1642</x:f>
        <x:v>C0013599</x:v>
      </x:c>
      <x:c r="B1648" s="1" t="str">
        <x:f>_xlfn.IFNA(VLOOKUP(Source!B1642,Advertisers!$A$5:$B$34,2,FALSE),"Missing advertiser")</x:f>
        <x:v>Synthetic advertiser 29</x:v>
      </x:c>
      <x:c r="C1648" s="1" t="n">
        <x:f>Source!C1642</x:f>
        <x:v>59</x:v>
      </x:c>
      <x:c r="D1648" s="8" t="n">
        <x:f>Source!D1642/100</x:f>
        <x:v>122.13</x:v>
      </x:c>
      <x:c r="E1648" s="8" t="n">
        <x:f>Source!E1642/100</x:f>
        <x:v>0</x:v>
      </x:c>
      <x:c r="F1648" s="8" t="n">
        <x:f>Source!F1642/100</x:f>
        <x:v>0</x:v>
      </x:c>
      <x:c r="G1648" s="8" t="n">
        <x:f>Source!G1642/100</x:f>
        <x:v>0</x:v>
      </x:c>
      <x:c r="H1648" s="8" t="n">
        <x:f>G1648-D1648</x:f>
        <x:v>-122.13</x:v>
      </x:c>
      <x:c r="I1648" s="1" t="str">
        <x:f>IF(H1648&gt;0,"Overbilled","Shortfall")</x:f>
        <x:v>Shortfall</x:v>
      </x:c>
      <x:c r="J1648" s="7"/>
      <x:c r="K1648" s="7" t="str">
        <x:v>Open</x:v>
      </x:c>
      <x:c r="L1648" s="7"/>
    </x:row>
    <x:row r="1649" ht="21" customHeight="1">
      <x:c r="A1649" s="1" t="str">
        <x:f>Source!A1643</x:f>
        <x:v>C0012996</x:v>
      </x:c>
      <x:c r="B1649" s="1" t="str">
        <x:f>_xlfn.IFNA(VLOOKUP(Source!B1643,Advertisers!$A$5:$B$34,2,FALSE),"Missing advertiser")</x:f>
        <x:v>Synthetic advertiser 29</x:v>
      </x:c>
      <x:c r="C1649" s="1" t="n">
        <x:f>Source!C1643</x:f>
        <x:v>59</x:v>
      </x:c>
      <x:c r="D1649" s="8" t="n">
        <x:f>Source!D1643/100</x:f>
        <x:v>122.13</x:v>
      </x:c>
      <x:c r="E1649" s="8" t="n">
        <x:f>Source!E1643/100</x:f>
        <x:v>244.26</x:v>
      </x:c>
      <x:c r="F1649" s="8" t="n">
        <x:f>Source!F1643/100</x:f>
        <x:v>0</x:v>
      </x:c>
      <x:c r="G1649" s="8" t="n">
        <x:f>Source!G1643/100</x:f>
        <x:v>244.26</x:v>
      </x:c>
      <x:c r="H1649" s="8" t="n">
        <x:f>G1649-D1649</x:f>
        <x:v>122.13</x:v>
      </x:c>
      <x:c r="I1649" s="1" t="str">
        <x:f>IF(H1649&gt;0,"Overbilled","Shortfall")</x:f>
        <x:v>Overbilled</x:v>
      </x:c>
      <x:c r="J1649" s="7"/>
      <x:c r="K1649" s="7" t="str">
        <x:v>Open</x:v>
      </x:c>
      <x:c r="L1649" s="7"/>
    </x:row>
    <x:row r="1650" ht="21" customHeight="1">
      <x:c r="A1650" s="1" t="str">
        <x:f>Source!A1644</x:f>
        <x:v>C0016893</x:v>
      </x:c>
      <x:c r="B1650" s="1" t="str">
        <x:f>_xlfn.IFNA(VLOOKUP(Source!B1644,Advertisers!$A$5:$B$34,2,FALSE),"Missing advertiser")</x:f>
        <x:v>Synthetic advertiser 13</x:v>
      </x:c>
      <x:c r="C1650" s="1" t="n">
        <x:f>Source!C1644</x:f>
        <x:v>73</x:v>
      </x:c>
      <x:c r="D1650" s="8" t="n">
        <x:f>Source!D1644/100</x:f>
        <x:v>119.3</x:v>
      </x:c>
      <x:c r="E1650" s="8" t="n">
        <x:f>Source!E1644/100</x:f>
        <x:v>238.6</x:v>
      </x:c>
      <x:c r="F1650" s="8" t="n">
        <x:f>Source!F1644/100</x:f>
        <x:v>0</x:v>
      </x:c>
      <x:c r="G1650" s="8" t="n">
        <x:f>Source!G1644/100</x:f>
        <x:v>238.6</x:v>
      </x:c>
      <x:c r="H1650" s="8" t="n">
        <x:f>G1650-D1650</x:f>
        <x:v>119.3</x:v>
      </x:c>
      <x:c r="I1650" s="1" t="str">
        <x:f>IF(H1650&gt;0,"Overbilled","Shortfall")</x:f>
        <x:v>Overbilled</x:v>
      </x:c>
      <x:c r="J1650" s="7"/>
      <x:c r="K1650" s="7" t="str">
        <x:v>Open</x:v>
      </x:c>
      <x:c r="L1650" s="7"/>
    </x:row>
    <x:row r="1651" ht="21" customHeight="1">
      <x:c r="A1651" s="1" t="str">
        <x:f>Source!A1645</x:f>
        <x:v>C0004169</x:v>
      </x:c>
      <x:c r="B1651" s="1" t="str">
        <x:f>_xlfn.IFNA(VLOOKUP(Source!B1645,Advertisers!$A$5:$B$34,2,FALSE),"Missing advertiser")</x:f>
        <x:v>Synthetic advertiser 13</x:v>
      </x:c>
      <x:c r="C1651" s="1" t="n">
        <x:f>Source!C1645</x:f>
        <x:v>73</x:v>
      </x:c>
      <x:c r="D1651" s="8" t="n">
        <x:f>Source!D1645/100</x:f>
        <x:v>119.3</x:v>
      </x:c>
      <x:c r="E1651" s="8" t="n">
        <x:f>Source!E1645/100</x:f>
        <x:v>0</x:v>
      </x:c>
      <x:c r="F1651" s="8" t="n">
        <x:f>Source!F1645/100</x:f>
        <x:v>0</x:v>
      </x:c>
      <x:c r="G1651" s="8" t="n">
        <x:f>Source!G1645/100</x:f>
        <x:v>0</x:v>
      </x:c>
      <x:c r="H1651" s="8" t="n">
        <x:f>G1651-D1651</x:f>
        <x:v>-119.3</x:v>
      </x:c>
      <x:c r="I1651" s="1" t="str">
        <x:f>IF(H1651&gt;0,"Overbilled","Shortfall")</x:f>
        <x:v>Shortfall</x:v>
      </x:c>
      <x:c r="J1651" s="7"/>
      <x:c r="K1651" s="7" t="str">
        <x:v>Open</x:v>
      </x:c>
      <x:c r="L1651" s="7"/>
    </x:row>
    <x:row r="1652" ht="21" customHeight="1">
      <x:c r="A1652" s="1" t="str">
        <x:f>Source!A1646</x:f>
        <x:v>C0009951</x:v>
      </x:c>
      <x:c r="B1652" s="1" t="str">
        <x:f>_xlfn.IFNA(VLOOKUP(Source!B1646,Advertisers!$A$5:$B$34,2,FALSE),"Missing advertiser")</x:f>
        <x:v>Synthetic advertiser 13</x:v>
      </x:c>
      <x:c r="C1652" s="1" t="n">
        <x:f>Source!C1646</x:f>
        <x:v>73</x:v>
      </x:c>
      <x:c r="D1652" s="8" t="n">
        <x:f>Source!D1646/100</x:f>
        <x:v>119.3</x:v>
      </x:c>
      <x:c r="E1652" s="8" t="n">
        <x:f>Source!E1646/100</x:f>
        <x:v>238.6</x:v>
      </x:c>
      <x:c r="F1652" s="8" t="n">
        <x:f>Source!F1646/100</x:f>
        <x:v>0</x:v>
      </x:c>
      <x:c r="G1652" s="8" t="n">
        <x:f>Source!G1646/100</x:f>
        <x:v>238.6</x:v>
      </x:c>
      <x:c r="H1652" s="8" t="n">
        <x:f>G1652-D1652</x:f>
        <x:v>119.3</x:v>
      </x:c>
      <x:c r="I1652" s="1" t="str">
        <x:f>IF(H1652&gt;0,"Overbilled","Shortfall")</x:f>
        <x:v>Overbilled</x:v>
      </x:c>
      <x:c r="J1652" s="7"/>
      <x:c r="K1652" s="7" t="str">
        <x:v>Open</x:v>
      </x:c>
      <x:c r="L1652" s="7"/>
    </x:row>
    <x:row r="1653" ht="21" customHeight="1">
      <x:c r="A1653" s="1" t="str">
        <x:f>Source!A1647</x:f>
        <x:v>C0002553</x:v>
      </x:c>
      <x:c r="B1653" s="1" t="str">
        <x:f>_xlfn.IFNA(VLOOKUP(Source!B1647,Advertisers!$A$5:$B$34,2,FALSE),"Missing advertiser")</x:f>
        <x:v>Synthetic advertiser 13</x:v>
      </x:c>
      <x:c r="C1653" s="1" t="n">
        <x:f>Source!C1647</x:f>
        <x:v>73</x:v>
      </x:c>
      <x:c r="D1653" s="8" t="n">
        <x:f>Source!D1647/100</x:f>
        <x:v>119.3</x:v>
      </x:c>
      <x:c r="E1653" s="8" t="n">
        <x:f>Source!E1647/100</x:f>
        <x:v>0</x:v>
      </x:c>
      <x:c r="F1653" s="8" t="n">
        <x:f>Source!F1647/100</x:f>
        <x:v>0</x:v>
      </x:c>
      <x:c r="G1653" s="8" t="n">
        <x:f>Source!G1647/100</x:f>
        <x:v>0</x:v>
      </x:c>
      <x:c r="H1653" s="8" t="n">
        <x:f>G1653-D1653</x:f>
        <x:v>-119.3</x:v>
      </x:c>
      <x:c r="I1653" s="1" t="str">
        <x:f>IF(H1653&gt;0,"Overbilled","Shortfall")</x:f>
        <x:v>Shortfall</x:v>
      </x:c>
      <x:c r="J1653" s="7"/>
      <x:c r="K1653" s="7" t="str">
        <x:v>Open</x:v>
      </x:c>
      <x:c r="L1653" s="7"/>
    </x:row>
    <x:row r="1654" ht="21" customHeight="1">
      <x:c r="A1654" s="1" t="str">
        <x:f>Source!A1648</x:f>
        <x:v>C0000218</x:v>
      </x:c>
      <x:c r="B1654" s="1" t="str">
        <x:f>_xlfn.IFNA(VLOOKUP(Source!B1648,Advertisers!$A$5:$B$34,2,FALSE),"Missing advertiser")</x:f>
        <x:v>Synthetic advertiser 13</x:v>
      </x:c>
      <x:c r="C1654" s="1" t="n">
        <x:f>Source!C1648</x:f>
        <x:v>73</x:v>
      </x:c>
      <x:c r="D1654" s="8" t="n">
        <x:f>Source!D1648/100</x:f>
        <x:v>119.3</x:v>
      </x:c>
      <x:c r="E1654" s="8" t="n">
        <x:f>Source!E1648/100</x:f>
        <x:v>238.6</x:v>
      </x:c>
      <x:c r="F1654" s="8" t="n">
        <x:f>Source!F1648/100</x:f>
        <x:v>0</x:v>
      </x:c>
      <x:c r="G1654" s="8" t="n">
        <x:f>Source!G1648/100</x:f>
        <x:v>238.6</x:v>
      </x:c>
      <x:c r="H1654" s="8" t="n">
        <x:f>G1654-D1654</x:f>
        <x:v>119.3</x:v>
      </x:c>
      <x:c r="I1654" s="1" t="str">
        <x:f>IF(H1654&gt;0,"Overbilled","Shortfall")</x:f>
        <x:v>Overbilled</x:v>
      </x:c>
      <x:c r="J1654" s="7"/>
      <x:c r="K1654" s="7" t="str">
        <x:v>Open</x:v>
      </x:c>
      <x:c r="L1654" s="7"/>
    </x:row>
    <x:row r="1655" ht="21" customHeight="1">
      <x:c r="A1655" s="1" t="str">
        <x:f>Source!A1649</x:f>
        <x:v>C0013342</x:v>
      </x:c>
      <x:c r="B1655" s="1" t="str">
        <x:f>_xlfn.IFNA(VLOOKUP(Source!B1649,Advertisers!$A$5:$B$34,2,FALSE),"Missing advertiser")</x:f>
        <x:v>Synthetic advertiser 13</x:v>
      </x:c>
      <x:c r="C1655" s="1" t="n">
        <x:f>Source!C1649</x:f>
        <x:v>73</x:v>
      </x:c>
      <x:c r="D1655" s="8" t="n">
        <x:f>Source!D1649/100</x:f>
        <x:v>119.3</x:v>
      </x:c>
      <x:c r="E1655" s="8" t="n">
        <x:f>Source!E1649/100</x:f>
        <x:v>0</x:v>
      </x:c>
      <x:c r="F1655" s="8" t="n">
        <x:f>Source!F1649/100</x:f>
        <x:v>0</x:v>
      </x:c>
      <x:c r="G1655" s="8" t="n">
        <x:f>Source!G1649/100</x:f>
        <x:v>0</x:v>
      </x:c>
      <x:c r="H1655" s="8" t="n">
        <x:f>G1655-D1655</x:f>
        <x:v>-119.3</x:v>
      </x:c>
      <x:c r="I1655" s="1" t="str">
        <x:f>IF(H1655&gt;0,"Overbilled","Shortfall")</x:f>
        <x:v>Shortfall</x:v>
      </x:c>
      <x:c r="J1655" s="7"/>
      <x:c r="K1655" s="7" t="str">
        <x:v>Open</x:v>
      </x:c>
      <x:c r="L1655" s="7"/>
    </x:row>
    <x:row r="1656" ht="21" customHeight="1">
      <x:c r="A1656" s="1" t="str">
        <x:f>Source!A1650</x:f>
        <x:v>C0002196</x:v>
      </x:c>
      <x:c r="B1656" s="1" t="str">
        <x:f>_xlfn.IFNA(VLOOKUP(Source!B1650,Advertisers!$A$5:$B$34,2,FALSE),"Missing advertiser")</x:f>
        <x:v>Synthetic advertiser 13</x:v>
      </x:c>
      <x:c r="C1656" s="1" t="n">
        <x:f>Source!C1650</x:f>
        <x:v>73</x:v>
      </x:c>
      <x:c r="D1656" s="8" t="n">
        <x:f>Source!D1650/100</x:f>
        <x:v>119.3</x:v>
      </x:c>
      <x:c r="E1656" s="8" t="n">
        <x:f>Source!E1650/100</x:f>
        <x:v>0</x:v>
      </x:c>
      <x:c r="F1656" s="8" t="n">
        <x:f>Source!F1650/100</x:f>
        <x:v>0</x:v>
      </x:c>
      <x:c r="G1656" s="8" t="n">
        <x:f>Source!G1650/100</x:f>
        <x:v>0</x:v>
      </x:c>
      <x:c r="H1656" s="8" t="n">
        <x:f>G1656-D1656</x:f>
        <x:v>-119.3</x:v>
      </x:c>
      <x:c r="I1656" s="1" t="str">
        <x:f>IF(H1656&gt;0,"Overbilled","Shortfall")</x:f>
        <x:v>Shortfall</x:v>
      </x:c>
      <x:c r="J1656" s="7"/>
      <x:c r="K1656" s="7" t="str">
        <x:v>Open</x:v>
      </x:c>
      <x:c r="L1656" s="7"/>
    </x:row>
    <x:row r="1657" ht="21" customHeight="1">
      <x:c r="A1657" s="1" t="str">
        <x:f>Source!A1651</x:f>
        <x:v>C0007225</x:v>
      </x:c>
      <x:c r="B1657" s="1" t="str">
        <x:f>_xlfn.IFNA(VLOOKUP(Source!B1651,Advertisers!$A$5:$B$34,2,FALSE),"Missing advertiser")</x:f>
        <x:v>Synthetic advertiser 13</x:v>
      </x:c>
      <x:c r="C1657" s="1" t="n">
        <x:f>Source!C1651</x:f>
        <x:v>73</x:v>
      </x:c>
      <x:c r="D1657" s="8" t="n">
        <x:f>Source!D1651/100</x:f>
        <x:v>0</x:v>
      </x:c>
      <x:c r="E1657" s="8" t="n">
        <x:f>Source!E1651/100</x:f>
        <x:v>119.3</x:v>
      </x:c>
      <x:c r="F1657" s="8" t="n">
        <x:f>Source!F1651/100</x:f>
        <x:v>0</x:v>
      </x:c>
      <x:c r="G1657" s="8" t="n">
        <x:f>Source!G1651/100</x:f>
        <x:v>119.3</x:v>
      </x:c>
      <x:c r="H1657" s="8" t="n">
        <x:f>G1657-D1657</x:f>
        <x:v>119.3</x:v>
      </x:c>
      <x:c r="I1657" s="1" t="str">
        <x:f>IF(H1657&gt;0,"Overbilled","Shortfall")</x:f>
        <x:v>Overbilled</x:v>
      </x:c>
      <x:c r="J1657" s="7"/>
      <x:c r="K1657" s="7" t="str">
        <x:v>Open</x:v>
      </x:c>
      <x:c r="L1657" s="7"/>
    </x:row>
    <x:row r="1658" ht="21" customHeight="1">
      <x:c r="A1658" s="1" t="str">
        <x:f>Source!A1652</x:f>
        <x:v>C0016839</x:v>
      </x:c>
      <x:c r="B1658" s="1" t="str">
        <x:f>_xlfn.IFNA(VLOOKUP(Source!B1652,Advertisers!$A$5:$B$34,2,FALSE),"Missing advertiser")</x:f>
        <x:v>Synthetic advertiser 13</x:v>
      </x:c>
      <x:c r="C1658" s="1" t="n">
        <x:f>Source!C1652</x:f>
        <x:v>73</x:v>
      </x:c>
      <x:c r="D1658" s="8" t="n">
        <x:f>Source!D1652/100</x:f>
        <x:v>119.3</x:v>
      </x:c>
      <x:c r="E1658" s="8" t="n">
        <x:f>Source!E1652/100</x:f>
        <x:v>0</x:v>
      </x:c>
      <x:c r="F1658" s="8" t="n">
        <x:f>Source!F1652/100</x:f>
        <x:v>0</x:v>
      </x:c>
      <x:c r="G1658" s="8" t="n">
        <x:f>Source!G1652/100</x:f>
        <x:v>0</x:v>
      </x:c>
      <x:c r="H1658" s="8" t="n">
        <x:f>G1658-D1658</x:f>
        <x:v>-119.3</x:v>
      </x:c>
      <x:c r="I1658" s="1" t="str">
        <x:f>IF(H1658&gt;0,"Overbilled","Shortfall")</x:f>
        <x:v>Shortfall</x:v>
      </x:c>
      <x:c r="J1658" s="7"/>
      <x:c r="K1658" s="7" t="str">
        <x:v>Open</x:v>
      </x:c>
      <x:c r="L1658" s="7"/>
    </x:row>
    <x:row r="1659" ht="21" customHeight="1">
      <x:c r="A1659" s="1" t="str">
        <x:f>Source!A1653</x:f>
        <x:v>C0009418</x:v>
      </x:c>
      <x:c r="B1659" s="1" t="str">
        <x:f>_xlfn.IFNA(VLOOKUP(Source!B1653,Advertisers!$A$5:$B$34,2,FALSE),"Missing advertiser")</x:f>
        <x:v>Synthetic advertiser 21</x:v>
      </x:c>
      <x:c r="C1659" s="1" t="n">
        <x:f>Source!C1653</x:f>
        <x:v>81</x:v>
      </x:c>
      <x:c r="D1659" s="8" t="n">
        <x:f>Source!D1653/100</x:f>
        <x:v>118.66</x:v>
      </x:c>
      <x:c r="E1659" s="8" t="n">
        <x:f>Source!E1653/100</x:f>
        <x:v>0</x:v>
      </x:c>
      <x:c r="F1659" s="8" t="n">
        <x:f>Source!F1653/100</x:f>
        <x:v>0</x:v>
      </x:c>
      <x:c r="G1659" s="8" t="n">
        <x:f>Source!G1653/100</x:f>
        <x:v>0</x:v>
      </x:c>
      <x:c r="H1659" s="8" t="n">
        <x:f>G1659-D1659</x:f>
        <x:v>-118.66</x:v>
      </x:c>
      <x:c r="I1659" s="1" t="str">
        <x:f>IF(H1659&gt;0,"Overbilled","Shortfall")</x:f>
        <x:v>Shortfall</x:v>
      </x:c>
      <x:c r="J1659" s="7"/>
      <x:c r="K1659" s="7" t="str">
        <x:v>Open</x:v>
      </x:c>
      <x:c r="L1659" s="7"/>
    </x:row>
    <x:row r="1660" ht="21" customHeight="1">
      <x:c r="A1660" s="1" t="str">
        <x:f>Source!A1654</x:f>
        <x:v>C0008239</x:v>
      </x:c>
      <x:c r="B1660" s="1" t="str">
        <x:f>_xlfn.IFNA(VLOOKUP(Source!B1654,Advertisers!$A$5:$B$34,2,FALSE),"Missing advertiser")</x:f>
        <x:v>Synthetic advertiser 21</x:v>
      </x:c>
      <x:c r="C1660" s="1" t="n">
        <x:f>Source!C1654</x:f>
        <x:v>81</x:v>
      </x:c>
      <x:c r="D1660" s="8" t="n">
        <x:f>Source!D1654/100</x:f>
        <x:v>118.66</x:v>
      </x:c>
      <x:c r="E1660" s="8" t="n">
        <x:f>Source!E1654/100</x:f>
        <x:v>237.32</x:v>
      </x:c>
      <x:c r="F1660" s="8" t="n">
        <x:f>Source!F1654/100</x:f>
        <x:v>0</x:v>
      </x:c>
      <x:c r="G1660" s="8" t="n">
        <x:f>Source!G1654/100</x:f>
        <x:v>237.32</x:v>
      </x:c>
      <x:c r="H1660" s="8" t="n">
        <x:f>G1660-D1660</x:f>
        <x:v>118.66</x:v>
      </x:c>
      <x:c r="I1660" s="1" t="str">
        <x:f>IF(H1660&gt;0,"Overbilled","Shortfall")</x:f>
        <x:v>Overbilled</x:v>
      </x:c>
      <x:c r="J1660" s="7"/>
      <x:c r="K1660" s="7" t="str">
        <x:v>Open</x:v>
      </x:c>
      <x:c r="L1660" s="7"/>
    </x:row>
    <x:row r="1661" ht="21" customHeight="1">
      <x:c r="A1661" s="1" t="str">
        <x:f>Source!A1655</x:f>
        <x:v>C0003168</x:v>
      </x:c>
      <x:c r="B1661" s="1" t="str">
        <x:f>_xlfn.IFNA(VLOOKUP(Source!B1655,Advertisers!$A$5:$B$34,2,FALSE),"Missing advertiser")</x:f>
        <x:v>Synthetic advertiser 12</x:v>
      </x:c>
      <x:c r="C1661" s="1" t="n">
        <x:f>Source!C1655</x:f>
        <x:v>12</x:v>
      </x:c>
      <x:c r="D1661" s="8" t="n">
        <x:f>Source!D1655/100</x:f>
        <x:v>117.79</x:v>
      </x:c>
      <x:c r="E1661" s="8" t="n">
        <x:f>Source!E1655/100</x:f>
        <x:v>235.58</x:v>
      </x:c>
      <x:c r="F1661" s="8" t="n">
        <x:f>Source!F1655/100</x:f>
        <x:v>0</x:v>
      </x:c>
      <x:c r="G1661" s="8" t="n">
        <x:f>Source!G1655/100</x:f>
        <x:v>235.58</x:v>
      </x:c>
      <x:c r="H1661" s="8" t="n">
        <x:f>G1661-D1661</x:f>
        <x:v>117.79</x:v>
      </x:c>
      <x:c r="I1661" s="1" t="str">
        <x:f>IF(H1661&gt;0,"Overbilled","Shortfall")</x:f>
        <x:v>Overbilled</x:v>
      </x:c>
      <x:c r="J1661" s="7"/>
      <x:c r="K1661" s="7" t="str">
        <x:v>Open</x:v>
      </x:c>
      <x:c r="L1661" s="7"/>
    </x:row>
    <x:row r="1662" ht="21" customHeight="1">
      <x:c r="A1662" s="1" t="str">
        <x:f>Source!A1656</x:f>
        <x:v>C0012783</x:v>
      </x:c>
      <x:c r="B1662" s="1" t="str">
        <x:f>_xlfn.IFNA(VLOOKUP(Source!B1656,Advertisers!$A$5:$B$34,2,FALSE),"Missing advertiser")</x:f>
        <x:v>Synthetic advertiser 12</x:v>
      </x:c>
      <x:c r="C1662" s="1" t="n">
        <x:f>Source!C1656</x:f>
        <x:v>12</x:v>
      </x:c>
      <x:c r="D1662" s="8" t="n">
        <x:f>Source!D1656/100</x:f>
        <x:v>117.79</x:v>
      </x:c>
      <x:c r="E1662" s="8" t="n">
        <x:f>Source!E1656/100</x:f>
        <x:v>235.58</x:v>
      </x:c>
      <x:c r="F1662" s="8" t="n">
        <x:f>Source!F1656/100</x:f>
        <x:v>0</x:v>
      </x:c>
      <x:c r="G1662" s="8" t="n">
        <x:f>Source!G1656/100</x:f>
        <x:v>235.58</x:v>
      </x:c>
      <x:c r="H1662" s="8" t="n">
        <x:f>G1662-D1662</x:f>
        <x:v>117.79</x:v>
      </x:c>
      <x:c r="I1662" s="1" t="str">
        <x:f>IF(H1662&gt;0,"Overbilled","Shortfall")</x:f>
        <x:v>Overbilled</x:v>
      </x:c>
      <x:c r="J1662" s="7"/>
      <x:c r="K1662" s="7" t="str">
        <x:v>Open</x:v>
      </x:c>
      <x:c r="L1662" s="7"/>
    </x:row>
    <x:row r="1663" ht="21" customHeight="1">
      <x:c r="A1663" s="1" t="str">
        <x:f>Source!A1657</x:f>
        <x:v>C0011153</x:v>
      </x:c>
      <x:c r="B1663" s="1" t="str">
        <x:f>_xlfn.IFNA(VLOOKUP(Source!B1657,Advertisers!$A$5:$B$34,2,FALSE),"Missing advertiser")</x:f>
        <x:v>Synthetic advertiser 12</x:v>
      </x:c>
      <x:c r="C1663" s="1" t="n">
        <x:f>Source!C1657</x:f>
        <x:v>12</x:v>
      </x:c>
      <x:c r="D1663" s="8" t="n">
        <x:f>Source!D1657/100</x:f>
        <x:v>117.79</x:v>
      </x:c>
      <x:c r="E1663" s="8" t="n">
        <x:f>Source!E1657/100</x:f>
        <x:v>235.58</x:v>
      </x:c>
      <x:c r="F1663" s="8" t="n">
        <x:f>Source!F1657/100</x:f>
        <x:v>0</x:v>
      </x:c>
      <x:c r="G1663" s="8" t="n">
        <x:f>Source!G1657/100</x:f>
        <x:v>235.58</x:v>
      </x:c>
      <x:c r="H1663" s="8" t="n">
        <x:f>G1663-D1663</x:f>
        <x:v>117.79</x:v>
      </x:c>
      <x:c r="I1663" s="1" t="str">
        <x:f>IF(H1663&gt;0,"Overbilled","Shortfall")</x:f>
        <x:v>Overbilled</x:v>
      </x:c>
      <x:c r="J1663" s="7"/>
      <x:c r="K1663" s="7" t="str">
        <x:v>Open</x:v>
      </x:c>
      <x:c r="L1663" s="7"/>
    </x:row>
    <x:row r="1664" ht="21" customHeight="1">
      <x:c r="A1664" s="1" t="str">
        <x:f>Source!A1658</x:f>
        <x:v>C0001062</x:v>
      </x:c>
      <x:c r="B1664" s="1" t="str">
        <x:f>_xlfn.IFNA(VLOOKUP(Source!B1658,Advertisers!$A$5:$B$34,2,FALSE),"Missing advertiser")</x:f>
        <x:v>Synthetic advertiser 12</x:v>
      </x:c>
      <x:c r="C1664" s="1" t="n">
        <x:f>Source!C1658</x:f>
        <x:v>12</x:v>
      </x:c>
      <x:c r="D1664" s="8" t="n">
        <x:f>Source!D1658/100</x:f>
        <x:v>0</x:v>
      </x:c>
      <x:c r="E1664" s="8" t="n">
        <x:f>Source!E1658/100</x:f>
        <x:v>117.79</x:v>
      </x:c>
      <x:c r="F1664" s="8" t="n">
        <x:f>Source!F1658/100</x:f>
        <x:v>0</x:v>
      </x:c>
      <x:c r="G1664" s="8" t="n">
        <x:f>Source!G1658/100</x:f>
        <x:v>117.79</x:v>
      </x:c>
      <x:c r="H1664" s="8" t="n">
        <x:f>G1664-D1664</x:f>
        <x:v>117.79</x:v>
      </x:c>
      <x:c r="I1664" s="1" t="str">
        <x:f>IF(H1664&gt;0,"Overbilled","Shortfall")</x:f>
        <x:v>Overbilled</x:v>
      </x:c>
      <x:c r="J1664" s="7"/>
      <x:c r="K1664" s="7" t="str">
        <x:v>Open</x:v>
      </x:c>
      <x:c r="L1664" s="7"/>
    </x:row>
    <x:row r="1665" ht="21" customHeight="1">
      <x:c r="A1665" s="1" t="str">
        <x:f>Source!A1659</x:f>
        <x:v>C0010339</x:v>
      </x:c>
      <x:c r="B1665" s="1" t="str">
        <x:f>_xlfn.IFNA(VLOOKUP(Source!B1659,Advertisers!$A$5:$B$34,2,FALSE),"Missing advertiser")</x:f>
        <x:v>Synthetic advertiser 12</x:v>
      </x:c>
      <x:c r="C1665" s="1" t="n">
        <x:f>Source!C1659</x:f>
        <x:v>12</x:v>
      </x:c>
      <x:c r="D1665" s="8" t="n">
        <x:f>Source!D1659/100</x:f>
        <x:v>117.79</x:v>
      </x:c>
      <x:c r="E1665" s="8" t="n">
        <x:f>Source!E1659/100</x:f>
        <x:v>235.58</x:v>
      </x:c>
      <x:c r="F1665" s="8" t="n">
        <x:f>Source!F1659/100</x:f>
        <x:v>0</x:v>
      </x:c>
      <x:c r="G1665" s="8" t="n">
        <x:f>Source!G1659/100</x:f>
        <x:v>235.58</x:v>
      </x:c>
      <x:c r="H1665" s="8" t="n">
        <x:f>G1665-D1665</x:f>
        <x:v>117.79</x:v>
      </x:c>
      <x:c r="I1665" s="1" t="str">
        <x:f>IF(H1665&gt;0,"Overbilled","Shortfall")</x:f>
        <x:v>Overbilled</x:v>
      </x:c>
      <x:c r="J1665" s="7"/>
      <x:c r="K1665" s="7" t="str">
        <x:v>Open</x:v>
      </x:c>
      <x:c r="L1665" s="7"/>
    </x:row>
    <x:row r="1666" ht="21" customHeight="1">
      <x:c r="A1666" s="1" t="str">
        <x:f>Source!A1660</x:f>
        <x:v>C0017264</x:v>
      </x:c>
      <x:c r="B1666" s="1" t="str">
        <x:f>_xlfn.IFNA(VLOOKUP(Source!B1660,Advertisers!$A$5:$B$34,2,FALSE),"Missing advertiser")</x:f>
        <x:v>Synthetic advertiser 12</x:v>
      </x:c>
      <x:c r="C1666" s="1" t="n">
        <x:f>Source!C1660</x:f>
        <x:v>12</x:v>
      </x:c>
      <x:c r="D1666" s="8" t="n">
        <x:f>Source!D1660/100</x:f>
        <x:v>117.79</x:v>
      </x:c>
      <x:c r="E1666" s="8" t="n">
        <x:f>Source!E1660/100</x:f>
        <x:v>235.58</x:v>
      </x:c>
      <x:c r="F1666" s="8" t="n">
        <x:f>Source!F1660/100</x:f>
        <x:v>0</x:v>
      </x:c>
      <x:c r="G1666" s="8" t="n">
        <x:f>Source!G1660/100</x:f>
        <x:v>235.58</x:v>
      </x:c>
      <x:c r="H1666" s="8" t="n">
        <x:f>G1666-D1666</x:f>
        <x:v>117.79</x:v>
      </x:c>
      <x:c r="I1666" s="1" t="str">
        <x:f>IF(H1666&gt;0,"Overbilled","Shortfall")</x:f>
        <x:v>Overbilled</x:v>
      </x:c>
      <x:c r="J1666" s="7"/>
      <x:c r="K1666" s="7" t="str">
        <x:v>Open</x:v>
      </x:c>
      <x:c r="L1666" s="7"/>
    </x:row>
    <x:row r="1667" ht="21" customHeight="1">
      <x:c r="A1667" s="1" t="str">
        <x:f>Source!A1661</x:f>
        <x:v>C0012608</x:v>
      </x:c>
      <x:c r="B1667" s="1" t="str">
        <x:f>_xlfn.IFNA(VLOOKUP(Source!B1661,Advertisers!$A$5:$B$34,2,FALSE),"Missing advertiser")</x:f>
        <x:v>Synthetic advertiser 12</x:v>
      </x:c>
      <x:c r="C1667" s="1" t="n">
        <x:f>Source!C1661</x:f>
        <x:v>12</x:v>
      </x:c>
      <x:c r="D1667" s="8" t="n">
        <x:f>Source!D1661/100</x:f>
        <x:v>117.79</x:v>
      </x:c>
      <x:c r="E1667" s="8" t="n">
        <x:f>Source!E1661/100</x:f>
        <x:v>0</x:v>
      </x:c>
      <x:c r="F1667" s="8" t="n">
        <x:f>Source!F1661/100</x:f>
        <x:v>0</x:v>
      </x:c>
      <x:c r="G1667" s="8" t="n">
        <x:f>Source!G1661/100</x:f>
        <x:v>0</x:v>
      </x:c>
      <x:c r="H1667" s="8" t="n">
        <x:f>G1667-D1667</x:f>
        <x:v>-117.79</x:v>
      </x:c>
      <x:c r="I1667" s="1" t="str">
        <x:f>IF(H1667&gt;0,"Overbilled","Shortfall")</x:f>
        <x:v>Shortfall</x:v>
      </x:c>
      <x:c r="J1667" s="7"/>
      <x:c r="K1667" s="7" t="str">
        <x:v>Open</x:v>
      </x:c>
      <x:c r="L1667" s="7"/>
    </x:row>
    <x:row r="1668" ht="21" customHeight="1">
      <x:c r="A1668" s="1" t="str">
        <x:f>Source!A1662</x:f>
        <x:v>C0004469</x:v>
      </x:c>
      <x:c r="B1668" s="1" t="str">
        <x:f>_xlfn.IFNA(VLOOKUP(Source!B1662,Advertisers!$A$5:$B$34,2,FALSE),"Missing advertiser")</x:f>
        <x:v>Synthetic advertiser 12</x:v>
      </x:c>
      <x:c r="C1668" s="1" t="n">
        <x:f>Source!C1662</x:f>
        <x:v>12</x:v>
      </x:c>
      <x:c r="D1668" s="8" t="n">
        <x:f>Source!D1662/100</x:f>
        <x:v>117.79</x:v>
      </x:c>
      <x:c r="E1668" s="8" t="n">
        <x:f>Source!E1662/100</x:f>
        <x:v>235.58</x:v>
      </x:c>
      <x:c r="F1668" s="8" t="n">
        <x:f>Source!F1662/100</x:f>
        <x:v>0</x:v>
      </x:c>
      <x:c r="G1668" s="8" t="n">
        <x:f>Source!G1662/100</x:f>
        <x:v>235.58</x:v>
      </x:c>
      <x:c r="H1668" s="8" t="n">
        <x:f>G1668-D1668</x:f>
        <x:v>117.79</x:v>
      </x:c>
      <x:c r="I1668" s="1" t="str">
        <x:f>IF(H1668&gt;0,"Overbilled","Shortfall")</x:f>
        <x:v>Overbilled</x:v>
      </x:c>
      <x:c r="J1668" s="7"/>
      <x:c r="K1668" s="7" t="str">
        <x:v>Open</x:v>
      </x:c>
      <x:c r="L1668" s="7"/>
    </x:row>
    <x:row r="1669" ht="21" customHeight="1">
      <x:c r="A1669" s="1" t="str">
        <x:f>Source!A1663</x:f>
        <x:v>C0011176</x:v>
      </x:c>
      <x:c r="B1669" s="1" t="str">
        <x:f>_xlfn.IFNA(VLOOKUP(Source!B1663,Advertisers!$A$5:$B$34,2,FALSE),"Missing advertiser")</x:f>
        <x:v>Synthetic advertiser 18</x:v>
      </x:c>
      <x:c r="C1669" s="1" t="n">
        <x:f>Source!C1663</x:f>
        <x:v>48</x:v>
      </x:c>
      <x:c r="D1669" s="8" t="n">
        <x:f>Source!D1663/100</x:f>
        <x:v>117.66</x:v>
      </x:c>
      <x:c r="E1669" s="8" t="n">
        <x:f>Source!E1663/100</x:f>
        <x:v>235.32</x:v>
      </x:c>
      <x:c r="F1669" s="8" t="n">
        <x:f>Source!F1663/100</x:f>
        <x:v>0</x:v>
      </x:c>
      <x:c r="G1669" s="8" t="n">
        <x:f>Source!G1663/100</x:f>
        <x:v>235.32</x:v>
      </x:c>
      <x:c r="H1669" s="8" t="n">
        <x:f>G1669-D1669</x:f>
        <x:v>117.66</x:v>
      </x:c>
      <x:c r="I1669" s="1" t="str">
        <x:f>IF(H1669&gt;0,"Overbilled","Shortfall")</x:f>
        <x:v>Overbilled</x:v>
      </x:c>
      <x:c r="J1669" s="7"/>
      <x:c r="K1669" s="7" t="str">
        <x:v>Open</x:v>
      </x:c>
      <x:c r="L1669" s="7"/>
    </x:row>
    <x:row r="1670" ht="21" customHeight="1">
      <x:c r="A1670" s="1" t="str">
        <x:f>Source!A1664</x:f>
        <x:v>C0011143</x:v>
      </x:c>
      <x:c r="B1670" s="1" t="str">
        <x:f>_xlfn.IFNA(VLOOKUP(Source!B1664,Advertisers!$A$5:$B$34,2,FALSE),"Missing advertiser")</x:f>
        <x:v>Synthetic advertiser 18</x:v>
      </x:c>
      <x:c r="C1670" s="1" t="n">
        <x:f>Source!C1664</x:f>
        <x:v>48</x:v>
      </x:c>
      <x:c r="D1670" s="8" t="n">
        <x:f>Source!D1664/100</x:f>
        <x:v>117.66</x:v>
      </x:c>
      <x:c r="E1670" s="8" t="n">
        <x:f>Source!E1664/100</x:f>
        <x:v>0</x:v>
      </x:c>
      <x:c r="F1670" s="8" t="n">
        <x:f>Source!F1664/100</x:f>
        <x:v>0</x:v>
      </x:c>
      <x:c r="G1670" s="8" t="n">
        <x:f>Source!G1664/100</x:f>
        <x:v>0</x:v>
      </x:c>
      <x:c r="H1670" s="8" t="n">
        <x:f>G1670-D1670</x:f>
        <x:v>-117.66</x:v>
      </x:c>
      <x:c r="I1670" s="1" t="str">
        <x:f>IF(H1670&gt;0,"Overbilled","Shortfall")</x:f>
        <x:v>Shortfall</x:v>
      </x:c>
      <x:c r="J1670" s="7"/>
      <x:c r="K1670" s="7" t="str">
        <x:v>Open</x:v>
      </x:c>
      <x:c r="L1670" s="7"/>
    </x:row>
    <x:row r="1671" ht="21" customHeight="1">
      <x:c r="A1671" s="1" t="str">
        <x:f>Source!A1665</x:f>
        <x:v>C0014822</x:v>
      </x:c>
      <x:c r="B1671" s="1" t="str">
        <x:f>_xlfn.IFNA(VLOOKUP(Source!B1665,Advertisers!$A$5:$B$34,2,FALSE),"Missing advertiser")</x:f>
        <x:v>Synthetic advertiser 18</x:v>
      </x:c>
      <x:c r="C1671" s="1" t="n">
        <x:f>Source!C1665</x:f>
        <x:v>48</x:v>
      </x:c>
      <x:c r="D1671" s="8" t="n">
        <x:f>Source!D1665/100</x:f>
        <x:v>117.66</x:v>
      </x:c>
      <x:c r="E1671" s="8" t="n">
        <x:f>Source!E1665/100</x:f>
        <x:v>235.32</x:v>
      </x:c>
      <x:c r="F1671" s="8" t="n">
        <x:f>Source!F1665/100</x:f>
        <x:v>0</x:v>
      </x:c>
      <x:c r="G1671" s="8" t="n">
        <x:f>Source!G1665/100</x:f>
        <x:v>235.32</x:v>
      </x:c>
      <x:c r="H1671" s="8" t="n">
        <x:f>G1671-D1671</x:f>
        <x:v>117.66</x:v>
      </x:c>
      <x:c r="I1671" s="1" t="str">
        <x:f>IF(H1671&gt;0,"Overbilled","Shortfall")</x:f>
        <x:v>Overbilled</x:v>
      </x:c>
      <x:c r="J1671" s="7"/>
      <x:c r="K1671" s="7" t="str">
        <x:v>Open</x:v>
      </x:c>
      <x:c r="L1671" s="7"/>
    </x:row>
    <x:row r="1672" ht="21" customHeight="1">
      <x:c r="A1672" s="1" t="str">
        <x:f>Source!A1666</x:f>
        <x:v>C0017857</x:v>
      </x:c>
      <x:c r="B1672" s="1" t="str">
        <x:f>_xlfn.IFNA(VLOOKUP(Source!B1666,Advertisers!$A$5:$B$34,2,FALSE),"Missing advertiser")</x:f>
        <x:v>Synthetic advertiser 18</x:v>
      </x:c>
      <x:c r="C1672" s="1" t="n">
        <x:f>Source!C1666</x:f>
        <x:v>48</x:v>
      </x:c>
      <x:c r="D1672" s="8" t="n">
        <x:f>Source!D1666/100</x:f>
        <x:v>117.66</x:v>
      </x:c>
      <x:c r="E1672" s="8" t="n">
        <x:f>Source!E1666/100</x:f>
        <x:v>235.32</x:v>
      </x:c>
      <x:c r="F1672" s="8" t="n">
        <x:f>Source!F1666/100</x:f>
        <x:v>0</x:v>
      </x:c>
      <x:c r="G1672" s="8" t="n">
        <x:f>Source!G1666/100</x:f>
        <x:v>235.32</x:v>
      </x:c>
      <x:c r="H1672" s="8" t="n">
        <x:f>G1672-D1672</x:f>
        <x:v>117.66</x:v>
      </x:c>
      <x:c r="I1672" s="1" t="str">
        <x:f>IF(H1672&gt;0,"Overbilled","Shortfall")</x:f>
        <x:v>Overbilled</x:v>
      </x:c>
      <x:c r="J1672" s="7"/>
      <x:c r="K1672" s="7" t="str">
        <x:v>Open</x:v>
      </x:c>
      <x:c r="L1672" s="7"/>
    </x:row>
    <x:row r="1673" ht="21" customHeight="1">
      <x:c r="A1673" s="1" t="str">
        <x:f>Source!A1667</x:f>
        <x:v>C0010663</x:v>
      </x:c>
      <x:c r="B1673" s="1" t="str">
        <x:f>_xlfn.IFNA(VLOOKUP(Source!B1667,Advertisers!$A$5:$B$34,2,FALSE),"Missing advertiser")</x:f>
        <x:v>Synthetic advertiser 18</x:v>
      </x:c>
      <x:c r="C1673" s="1" t="n">
        <x:f>Source!C1667</x:f>
        <x:v>48</x:v>
      </x:c>
      <x:c r="D1673" s="8" t="n">
        <x:f>Source!D1667/100</x:f>
        <x:v>117.66</x:v>
      </x:c>
      <x:c r="E1673" s="8" t="n">
        <x:f>Source!E1667/100</x:f>
        <x:v>0</x:v>
      </x:c>
      <x:c r="F1673" s="8" t="n">
        <x:f>Source!F1667/100</x:f>
        <x:v>0</x:v>
      </x:c>
      <x:c r="G1673" s="8" t="n">
        <x:f>Source!G1667/100</x:f>
        <x:v>0</x:v>
      </x:c>
      <x:c r="H1673" s="8" t="n">
        <x:f>G1673-D1673</x:f>
        <x:v>-117.66</x:v>
      </x:c>
      <x:c r="I1673" s="1" t="str">
        <x:f>IF(H1673&gt;0,"Overbilled","Shortfall")</x:f>
        <x:v>Shortfall</x:v>
      </x:c>
      <x:c r="J1673" s="7"/>
      <x:c r="K1673" s="7" t="str">
        <x:v>Open</x:v>
      </x:c>
      <x:c r="L1673" s="7"/>
    </x:row>
    <x:row r="1674" ht="21" customHeight="1">
      <x:c r="A1674" s="1" t="str">
        <x:f>Source!A1668</x:f>
        <x:v>C0003452</x:v>
      </x:c>
      <x:c r="B1674" s="1" t="str">
        <x:f>_xlfn.IFNA(VLOOKUP(Source!B1668,Advertisers!$A$5:$B$34,2,FALSE),"Missing advertiser")</x:f>
        <x:v>Synthetic advertiser 18</x:v>
      </x:c>
      <x:c r="C1674" s="1" t="n">
        <x:f>Source!C1668</x:f>
        <x:v>48</x:v>
      </x:c>
      <x:c r="D1674" s="8" t="n">
        <x:f>Source!D1668/100</x:f>
        <x:v>117.66</x:v>
      </x:c>
      <x:c r="E1674" s="8" t="n">
        <x:f>Source!E1668/100</x:f>
        <x:v>235.32</x:v>
      </x:c>
      <x:c r="F1674" s="8" t="n">
        <x:f>Source!F1668/100</x:f>
        <x:v>0</x:v>
      </x:c>
      <x:c r="G1674" s="8" t="n">
        <x:f>Source!G1668/100</x:f>
        <x:v>235.32</x:v>
      </x:c>
      <x:c r="H1674" s="8" t="n">
        <x:f>G1674-D1674</x:f>
        <x:v>117.66</x:v>
      </x:c>
      <x:c r="I1674" s="1" t="str">
        <x:f>IF(H1674&gt;0,"Overbilled","Shortfall")</x:f>
        <x:v>Overbilled</x:v>
      </x:c>
      <x:c r="J1674" s="7"/>
      <x:c r="K1674" s="7" t="str">
        <x:v>Open</x:v>
      </x:c>
      <x:c r="L1674" s="7"/>
    </x:row>
    <x:row r="1675" ht="21" customHeight="1">
      <x:c r="A1675" s="1" t="str">
        <x:f>Source!A1669</x:f>
        <x:v>C0010734</x:v>
      </x:c>
      <x:c r="B1675" s="1" t="str">
        <x:f>_xlfn.IFNA(VLOOKUP(Source!B1669,Advertisers!$A$5:$B$34,2,FALSE),"Missing advertiser")</x:f>
        <x:v>Synthetic advertiser 18</x:v>
      </x:c>
      <x:c r="C1675" s="1" t="n">
        <x:f>Source!C1669</x:f>
        <x:v>48</x:v>
      </x:c>
      <x:c r="D1675" s="8" t="n">
        <x:f>Source!D1669/100</x:f>
        <x:v>0</x:v>
      </x:c>
      <x:c r="E1675" s="8" t="n">
        <x:f>Source!E1669/100</x:f>
        <x:v>117.66</x:v>
      </x:c>
      <x:c r="F1675" s="8" t="n">
        <x:f>Source!F1669/100</x:f>
        <x:v>0</x:v>
      </x:c>
      <x:c r="G1675" s="8" t="n">
        <x:f>Source!G1669/100</x:f>
        <x:v>117.66</x:v>
      </x:c>
      <x:c r="H1675" s="8" t="n">
        <x:f>G1675-D1675</x:f>
        <x:v>117.66</x:v>
      </x:c>
      <x:c r="I1675" s="1" t="str">
        <x:f>IF(H1675&gt;0,"Overbilled","Shortfall")</x:f>
        <x:v>Overbilled</x:v>
      </x:c>
      <x:c r="J1675" s="7"/>
      <x:c r="K1675" s="7" t="str">
        <x:v>Open</x:v>
      </x:c>
      <x:c r="L1675" s="7"/>
    </x:row>
    <x:row r="1676" ht="21" customHeight="1">
      <x:c r="A1676" s="1" t="str">
        <x:f>Source!A1670</x:f>
        <x:v>C0007817</x:v>
      </x:c>
      <x:c r="B1676" s="1" t="str">
        <x:f>_xlfn.IFNA(VLOOKUP(Source!B1670,Advertisers!$A$5:$B$34,2,FALSE),"Missing advertiser")</x:f>
        <x:v>Synthetic advertiser 18</x:v>
      </x:c>
      <x:c r="C1676" s="1" t="n">
        <x:f>Source!C1670</x:f>
        <x:v>48</x:v>
      </x:c>
      <x:c r="D1676" s="8" t="n">
        <x:f>Source!D1670/100</x:f>
        <x:v>117.66</x:v>
      </x:c>
      <x:c r="E1676" s="8" t="n">
        <x:f>Source!E1670/100</x:f>
        <x:v>0</x:v>
      </x:c>
      <x:c r="F1676" s="8" t="n">
        <x:f>Source!F1670/100</x:f>
        <x:v>0</x:v>
      </x:c>
      <x:c r="G1676" s="8" t="n">
        <x:f>Source!G1670/100</x:f>
        <x:v>0</x:v>
      </x:c>
      <x:c r="H1676" s="8" t="n">
        <x:f>G1676-D1676</x:f>
        <x:v>-117.66</x:v>
      </x:c>
      <x:c r="I1676" s="1" t="str">
        <x:f>IF(H1676&gt;0,"Overbilled","Shortfall")</x:f>
        <x:v>Shortfall</x:v>
      </x:c>
      <x:c r="J1676" s="7"/>
      <x:c r="K1676" s="7" t="str">
        <x:v>Open</x:v>
      </x:c>
      <x:c r="L1676" s="7"/>
    </x:row>
    <x:row r="1677" ht="21" customHeight="1">
      <x:c r="A1677" s="1" t="str">
        <x:f>Source!A1671</x:f>
        <x:v>C0006960</x:v>
      </x:c>
      <x:c r="B1677" s="1" t="str">
        <x:f>_xlfn.IFNA(VLOOKUP(Source!B1671,Advertisers!$A$5:$B$34,2,FALSE),"Missing advertiser")</x:f>
        <x:v>Synthetic advertiser 18</x:v>
      </x:c>
      <x:c r="C1677" s="1" t="n">
        <x:f>Source!C1671</x:f>
        <x:v>48</x:v>
      </x:c>
      <x:c r="D1677" s="8" t="n">
        <x:f>Source!D1671/100</x:f>
        <x:v>117.66</x:v>
      </x:c>
      <x:c r="E1677" s="8" t="n">
        <x:f>Source!E1671/100</x:f>
        <x:v>235.32</x:v>
      </x:c>
      <x:c r="F1677" s="8" t="n">
        <x:f>Source!F1671/100</x:f>
        <x:v>0</x:v>
      </x:c>
      <x:c r="G1677" s="8" t="n">
        <x:f>Source!G1671/100</x:f>
        <x:v>235.32</x:v>
      </x:c>
      <x:c r="H1677" s="8" t="n">
        <x:f>G1677-D1677</x:f>
        <x:v>117.66</x:v>
      </x:c>
      <x:c r="I1677" s="1" t="str">
        <x:f>IF(H1677&gt;0,"Overbilled","Shortfall")</x:f>
        <x:v>Overbilled</x:v>
      </x:c>
      <x:c r="J1677" s="7"/>
      <x:c r="K1677" s="7" t="str">
        <x:v>Open</x:v>
      </x:c>
      <x:c r="L1677" s="7"/>
    </x:row>
    <x:row r="1678" ht="21" customHeight="1">
      <x:c r="A1678" s="1" t="str">
        <x:f>Source!A1672</x:f>
        <x:v>C0000143</x:v>
      </x:c>
      <x:c r="B1678" s="1" t="str">
        <x:f>_xlfn.IFNA(VLOOKUP(Source!B1672,Advertisers!$A$5:$B$34,2,FALSE),"Missing advertiser")</x:f>
        <x:v>Synthetic advertiser 18</x:v>
      </x:c>
      <x:c r="C1678" s="1" t="n">
        <x:f>Source!C1672</x:f>
        <x:v>48</x:v>
      </x:c>
      <x:c r="D1678" s="8" t="n">
        <x:f>Source!D1672/100</x:f>
        <x:v>117.66</x:v>
      </x:c>
      <x:c r="E1678" s="8" t="n">
        <x:f>Source!E1672/100</x:f>
        <x:v>235.32</x:v>
      </x:c>
      <x:c r="F1678" s="8" t="n">
        <x:f>Source!F1672/100</x:f>
        <x:v>0</x:v>
      </x:c>
      <x:c r="G1678" s="8" t="n">
        <x:f>Source!G1672/100</x:f>
        <x:v>235.32</x:v>
      </x:c>
      <x:c r="H1678" s="8" t="n">
        <x:f>G1678-D1678</x:f>
        <x:v>117.66</x:v>
      </x:c>
      <x:c r="I1678" s="1" t="str">
        <x:f>IF(H1678&gt;0,"Overbilled","Shortfall")</x:f>
        <x:v>Overbilled</x:v>
      </x:c>
      <x:c r="J1678" s="7"/>
      <x:c r="K1678" s="7" t="str">
        <x:v>Open</x:v>
      </x:c>
      <x:c r="L1678" s="7"/>
    </x:row>
    <x:row r="1679" ht="21" customHeight="1">
      <x:c r="A1679" s="1" t="str">
        <x:f>Source!A1673</x:f>
        <x:v>C0006150</x:v>
      </x:c>
      <x:c r="B1679" s="1" t="str">
        <x:f>_xlfn.IFNA(VLOOKUP(Source!B1673,Advertisers!$A$5:$B$34,2,FALSE),"Missing advertiser")</x:f>
        <x:v>Synthetic advertiser 18</x:v>
      </x:c>
      <x:c r="C1679" s="1" t="n">
        <x:f>Source!C1673</x:f>
        <x:v>48</x:v>
      </x:c>
      <x:c r="D1679" s="8" t="n">
        <x:f>Source!D1673/100</x:f>
        <x:v>117.66</x:v>
      </x:c>
      <x:c r="E1679" s="8" t="n">
        <x:f>Source!E1673/100</x:f>
        <x:v>0</x:v>
      </x:c>
      <x:c r="F1679" s="8" t="n">
        <x:f>Source!F1673/100</x:f>
        <x:v>0</x:v>
      </x:c>
      <x:c r="G1679" s="8" t="n">
        <x:f>Source!G1673/100</x:f>
        <x:v>0</x:v>
      </x:c>
      <x:c r="H1679" s="8" t="n">
        <x:f>G1679-D1679</x:f>
        <x:v>-117.66</x:v>
      </x:c>
      <x:c r="I1679" s="1" t="str">
        <x:f>IF(H1679&gt;0,"Overbilled","Shortfall")</x:f>
        <x:v>Shortfall</x:v>
      </x:c>
      <x:c r="J1679" s="7"/>
      <x:c r="K1679" s="7" t="str">
        <x:v>Open</x:v>
      </x:c>
      <x:c r="L1679" s="7"/>
    </x:row>
    <x:row r="1680" ht="21" customHeight="1">
      <x:c r="A1680" s="1" t="str">
        <x:f>Source!A1674</x:f>
        <x:v>C0004629</x:v>
      </x:c>
      <x:c r="B1680" s="1" t="str">
        <x:f>_xlfn.IFNA(VLOOKUP(Source!B1674,Advertisers!$A$5:$B$34,2,FALSE),"Missing advertiser")</x:f>
        <x:v>Synthetic advertiser 18</x:v>
      </x:c>
      <x:c r="C1680" s="1" t="n">
        <x:f>Source!C1674</x:f>
        <x:v>48</x:v>
      </x:c>
      <x:c r="D1680" s="8" t="n">
        <x:f>Source!D1674/100</x:f>
        <x:v>117.66</x:v>
      </x:c>
      <x:c r="E1680" s="8" t="n">
        <x:f>Source!E1674/100</x:f>
        <x:v>235.32</x:v>
      </x:c>
      <x:c r="F1680" s="8" t="n">
        <x:f>Source!F1674/100</x:f>
        <x:v>0</x:v>
      </x:c>
      <x:c r="G1680" s="8" t="n">
        <x:f>Source!G1674/100</x:f>
        <x:v>235.32</x:v>
      </x:c>
      <x:c r="H1680" s="8" t="n">
        <x:f>G1680-D1680</x:f>
        <x:v>117.66</x:v>
      </x:c>
      <x:c r="I1680" s="1" t="str">
        <x:f>IF(H1680&gt;0,"Overbilled","Shortfall")</x:f>
        <x:v>Overbilled</x:v>
      </x:c>
      <x:c r="J1680" s="7"/>
      <x:c r="K1680" s="7" t="str">
        <x:v>Open</x:v>
      </x:c>
      <x:c r="L1680" s="7"/>
    </x:row>
    <x:row r="1681" ht="21" customHeight="1">
      <x:c r="A1681" s="1" t="str">
        <x:f>Source!A1675</x:f>
        <x:v>C0012673</x:v>
      </x:c>
      <x:c r="B1681" s="1" t="str">
        <x:f>_xlfn.IFNA(VLOOKUP(Source!B1675,Advertisers!$A$5:$B$34,2,FALSE),"Missing advertiser")</x:f>
        <x:v>Synthetic advertiser 14</x:v>
      </x:c>
      <x:c r="C1681" s="1" t="n">
        <x:f>Source!C1675</x:f>
        <x:v>44</x:v>
      </x:c>
      <x:c r="D1681" s="8" t="n">
        <x:f>Source!D1675/100</x:f>
        <x:v>116.73</x:v>
      </x:c>
      <x:c r="E1681" s="8" t="n">
        <x:f>Source!E1675/100</x:f>
        <x:v>233.46</x:v>
      </x:c>
      <x:c r="F1681" s="8" t="n">
        <x:f>Source!F1675/100</x:f>
        <x:v>0</x:v>
      </x:c>
      <x:c r="G1681" s="8" t="n">
        <x:f>Source!G1675/100</x:f>
        <x:v>233.46</x:v>
      </x:c>
      <x:c r="H1681" s="8" t="n">
        <x:f>G1681-D1681</x:f>
        <x:v>116.73</x:v>
      </x:c>
      <x:c r="I1681" s="1" t="str">
        <x:f>IF(H1681&gt;0,"Overbilled","Shortfall")</x:f>
        <x:v>Overbilled</x:v>
      </x:c>
      <x:c r="J1681" s="7"/>
      <x:c r="K1681" s="7" t="str">
        <x:v>Open</x:v>
      </x:c>
      <x:c r="L1681" s="7"/>
    </x:row>
    <x:row r="1682" ht="21" customHeight="1">
      <x:c r="A1682" s="1" t="str">
        <x:f>Source!A1676</x:f>
        <x:v>C0010676</x:v>
      </x:c>
      <x:c r="B1682" s="1" t="str">
        <x:f>_xlfn.IFNA(VLOOKUP(Source!B1676,Advertisers!$A$5:$B$34,2,FALSE),"Missing advertiser")</x:f>
        <x:v>Synthetic advertiser 14</x:v>
      </x:c>
      <x:c r="C1682" s="1" t="n">
        <x:f>Source!C1676</x:f>
        <x:v>44</x:v>
      </x:c>
      <x:c r="D1682" s="8" t="n">
        <x:f>Source!D1676/100</x:f>
        <x:v>116.73</x:v>
      </x:c>
      <x:c r="E1682" s="8" t="n">
        <x:f>Source!E1676/100</x:f>
        <x:v>0</x:v>
      </x:c>
      <x:c r="F1682" s="8" t="n">
        <x:f>Source!F1676/100</x:f>
        <x:v>0</x:v>
      </x:c>
      <x:c r="G1682" s="8" t="n">
        <x:f>Source!G1676/100</x:f>
        <x:v>0</x:v>
      </x:c>
      <x:c r="H1682" s="8" t="n">
        <x:f>G1682-D1682</x:f>
        <x:v>-116.73</x:v>
      </x:c>
      <x:c r="I1682" s="1" t="str">
        <x:f>IF(H1682&gt;0,"Overbilled","Shortfall")</x:f>
        <x:v>Shortfall</x:v>
      </x:c>
      <x:c r="J1682" s="7"/>
      <x:c r="K1682" s="7" t="str">
        <x:v>Open</x:v>
      </x:c>
      <x:c r="L1682" s="7"/>
    </x:row>
    <x:row r="1683" ht="21" customHeight="1">
      <x:c r="A1683" s="1" t="str">
        <x:f>Source!A1677</x:f>
        <x:v>C0003810</x:v>
      </x:c>
      <x:c r="B1683" s="1" t="str">
        <x:f>_xlfn.IFNA(VLOOKUP(Source!B1677,Advertisers!$A$5:$B$34,2,FALSE),"Missing advertiser")</x:f>
        <x:v>Synthetic advertiser 14</x:v>
      </x:c>
      <x:c r="C1683" s="1" t="n">
        <x:f>Source!C1677</x:f>
        <x:v>44</x:v>
      </x:c>
      <x:c r="D1683" s="8" t="n">
        <x:f>Source!D1677/100</x:f>
        <x:v>116.73</x:v>
      </x:c>
      <x:c r="E1683" s="8" t="n">
        <x:f>Source!E1677/100</x:f>
        <x:v>0</x:v>
      </x:c>
      <x:c r="F1683" s="8" t="n">
        <x:f>Source!F1677/100</x:f>
        <x:v>0</x:v>
      </x:c>
      <x:c r="G1683" s="8" t="n">
        <x:f>Source!G1677/100</x:f>
        <x:v>0</x:v>
      </x:c>
      <x:c r="H1683" s="8" t="n">
        <x:f>G1683-D1683</x:f>
        <x:v>-116.73</x:v>
      </x:c>
      <x:c r="I1683" s="1" t="str">
        <x:f>IF(H1683&gt;0,"Overbilled","Shortfall")</x:f>
        <x:v>Shortfall</x:v>
      </x:c>
      <x:c r="J1683" s="7"/>
      <x:c r="K1683" s="7" t="str">
        <x:v>Open</x:v>
      </x:c>
      <x:c r="L1683" s="7"/>
    </x:row>
    <x:row r="1684" ht="21" customHeight="1">
      <x:c r="A1684" s="1" t="str">
        <x:f>Source!A1678</x:f>
        <x:v>C0016484</x:v>
      </x:c>
      <x:c r="B1684" s="1" t="str">
        <x:f>_xlfn.IFNA(VLOOKUP(Source!B1678,Advertisers!$A$5:$B$34,2,FALSE),"Missing advertiser")</x:f>
        <x:v>Synthetic advertiser 14</x:v>
      </x:c>
      <x:c r="C1684" s="1" t="n">
        <x:f>Source!C1678</x:f>
        <x:v>44</x:v>
      </x:c>
      <x:c r="D1684" s="8" t="n">
        <x:f>Source!D1678/100</x:f>
        <x:v>116.73</x:v>
      </x:c>
      <x:c r="E1684" s="8" t="n">
        <x:f>Source!E1678/100</x:f>
        <x:v>233.46</x:v>
      </x:c>
      <x:c r="F1684" s="8" t="n">
        <x:f>Source!F1678/100</x:f>
        <x:v>0</x:v>
      </x:c>
      <x:c r="G1684" s="8" t="n">
        <x:f>Source!G1678/100</x:f>
        <x:v>233.46</x:v>
      </x:c>
      <x:c r="H1684" s="8" t="n">
        <x:f>G1684-D1684</x:f>
        <x:v>116.73</x:v>
      </x:c>
      <x:c r="I1684" s="1" t="str">
        <x:f>IF(H1684&gt;0,"Overbilled","Shortfall")</x:f>
        <x:v>Overbilled</x:v>
      </x:c>
      <x:c r="J1684" s="7"/>
      <x:c r="K1684" s="7" t="str">
        <x:v>Open</x:v>
      </x:c>
      <x:c r="L1684" s="7"/>
    </x:row>
    <x:row r="1685" ht="21" customHeight="1">
      <x:c r="A1685" s="1" t="str">
        <x:f>Source!A1679</x:f>
        <x:v>C0013589</x:v>
      </x:c>
      <x:c r="B1685" s="1" t="str">
        <x:f>_xlfn.IFNA(VLOOKUP(Source!B1679,Advertisers!$A$5:$B$34,2,FALSE),"Missing advertiser")</x:f>
        <x:v>Synthetic advertiser 14</x:v>
      </x:c>
      <x:c r="C1685" s="1" t="n">
        <x:f>Source!C1679</x:f>
        <x:v>44</x:v>
      </x:c>
      <x:c r="D1685" s="8" t="n">
        <x:f>Source!D1679/100</x:f>
        <x:v>116.73</x:v>
      </x:c>
      <x:c r="E1685" s="8" t="n">
        <x:f>Source!E1679/100</x:f>
        <x:v>0</x:v>
      </x:c>
      <x:c r="F1685" s="8" t="n">
        <x:f>Source!F1679/100</x:f>
        <x:v>0</x:v>
      </x:c>
      <x:c r="G1685" s="8" t="n">
        <x:f>Source!G1679/100</x:f>
        <x:v>0</x:v>
      </x:c>
      <x:c r="H1685" s="8" t="n">
        <x:f>G1685-D1685</x:f>
        <x:v>-116.73</x:v>
      </x:c>
      <x:c r="I1685" s="1" t="str">
        <x:f>IF(H1685&gt;0,"Overbilled","Shortfall")</x:f>
        <x:v>Shortfall</x:v>
      </x:c>
      <x:c r="J1685" s="7"/>
      <x:c r="K1685" s="7" t="str">
        <x:v>Open</x:v>
      </x:c>
      <x:c r="L1685" s="7"/>
    </x:row>
    <x:row r="1686" ht="21" customHeight="1">
      <x:c r="A1686" s="1" t="str">
        <x:f>Source!A1680</x:f>
        <x:v>C0002177</x:v>
      </x:c>
      <x:c r="B1686" s="1" t="str">
        <x:f>_xlfn.IFNA(VLOOKUP(Source!B1680,Advertisers!$A$5:$B$34,2,FALSE),"Missing advertiser")</x:f>
        <x:v>Synthetic advertiser 14</x:v>
      </x:c>
      <x:c r="C1686" s="1" t="n">
        <x:f>Source!C1680</x:f>
        <x:v>44</x:v>
      </x:c>
      <x:c r="D1686" s="8" t="n">
        <x:f>Source!D1680/100</x:f>
        <x:v>116.73</x:v>
      </x:c>
      <x:c r="E1686" s="8" t="n">
        <x:f>Source!E1680/100</x:f>
        <x:v>233.46</x:v>
      </x:c>
      <x:c r="F1686" s="8" t="n">
        <x:f>Source!F1680/100</x:f>
        <x:v>0</x:v>
      </x:c>
      <x:c r="G1686" s="8" t="n">
        <x:f>Source!G1680/100</x:f>
        <x:v>233.46</x:v>
      </x:c>
      <x:c r="H1686" s="8" t="n">
        <x:f>G1686-D1686</x:f>
        <x:v>116.73</x:v>
      </x:c>
      <x:c r="I1686" s="1" t="str">
        <x:f>IF(H1686&gt;0,"Overbilled","Shortfall")</x:f>
        <x:v>Overbilled</x:v>
      </x:c>
      <x:c r="J1686" s="7"/>
      <x:c r="K1686" s="7" t="str">
        <x:v>Open</x:v>
      </x:c>
      <x:c r="L1686" s="7"/>
    </x:row>
    <x:row r="1687" ht="21" customHeight="1">
      <x:c r="A1687" s="1" t="str">
        <x:f>Source!A1681</x:f>
        <x:v>C0000193</x:v>
      </x:c>
      <x:c r="B1687" s="1" t="str">
        <x:f>_xlfn.IFNA(VLOOKUP(Source!B1681,Advertisers!$A$5:$B$34,2,FALSE),"Missing advertiser")</x:f>
        <x:v>Synthetic advertiser 5</x:v>
      </x:c>
      <x:c r="C1687" s="1" t="n">
        <x:f>Source!C1681</x:f>
        <x:v>65</x:v>
      </x:c>
      <x:c r="D1687" s="8" t="n">
        <x:f>Source!D1681/100</x:f>
        <x:v>115.72</x:v>
      </x:c>
      <x:c r="E1687" s="8" t="n">
        <x:f>Source!E1681/100</x:f>
        <x:v>231.44</x:v>
      </x:c>
      <x:c r="F1687" s="8" t="n">
        <x:f>Source!F1681/100</x:f>
        <x:v>0</x:v>
      </x:c>
      <x:c r="G1687" s="8" t="n">
        <x:f>Source!G1681/100</x:f>
        <x:v>231.44</x:v>
      </x:c>
      <x:c r="H1687" s="8" t="n">
        <x:f>G1687-D1687</x:f>
        <x:v>115.72</x:v>
      </x:c>
      <x:c r="I1687" s="1" t="str">
        <x:f>IF(H1687&gt;0,"Overbilled","Shortfall")</x:f>
        <x:v>Overbilled</x:v>
      </x:c>
      <x:c r="J1687" s="7"/>
      <x:c r="K1687" s="7" t="str">
        <x:v>Open</x:v>
      </x:c>
      <x:c r="L1687" s="7"/>
    </x:row>
    <x:row r="1688" ht="21" customHeight="1">
      <x:c r="A1688" s="1" t="str">
        <x:f>Source!A1682</x:f>
        <x:v>C0000630</x:v>
      </x:c>
      <x:c r="B1688" s="1" t="str">
        <x:f>_xlfn.IFNA(VLOOKUP(Source!B1682,Advertisers!$A$5:$B$34,2,FALSE),"Missing advertiser")</x:f>
        <x:v>Synthetic advertiser 5</x:v>
      </x:c>
      <x:c r="C1688" s="1" t="n">
        <x:f>Source!C1682</x:f>
        <x:v>65</x:v>
      </x:c>
      <x:c r="D1688" s="8" t="n">
        <x:f>Source!D1682/100</x:f>
        <x:v>115.72</x:v>
      </x:c>
      <x:c r="E1688" s="8" t="n">
        <x:f>Source!E1682/100</x:f>
        <x:v>231.44</x:v>
      </x:c>
      <x:c r="F1688" s="8" t="n">
        <x:f>Source!F1682/100</x:f>
        <x:v>0</x:v>
      </x:c>
      <x:c r="G1688" s="8" t="n">
        <x:f>Source!G1682/100</x:f>
        <x:v>231.44</x:v>
      </x:c>
      <x:c r="H1688" s="8" t="n">
        <x:f>G1688-D1688</x:f>
        <x:v>115.72</x:v>
      </x:c>
      <x:c r="I1688" s="1" t="str">
        <x:f>IF(H1688&gt;0,"Overbilled","Shortfall")</x:f>
        <x:v>Overbilled</x:v>
      </x:c>
      <x:c r="J1688" s="7"/>
      <x:c r="K1688" s="7" t="str">
        <x:v>Open</x:v>
      </x:c>
      <x:c r="L1688" s="7"/>
    </x:row>
    <x:row r="1689" ht="21" customHeight="1">
      <x:c r="A1689" s="1" t="str">
        <x:f>Source!A1683</x:f>
        <x:v>C0005600</x:v>
      </x:c>
      <x:c r="B1689" s="1" t="str">
        <x:f>_xlfn.IFNA(VLOOKUP(Source!B1683,Advertisers!$A$5:$B$34,2,FALSE),"Missing advertiser")</x:f>
        <x:v>Synthetic advertiser 5</x:v>
      </x:c>
      <x:c r="C1689" s="1" t="n">
        <x:f>Source!C1683</x:f>
        <x:v>65</x:v>
      </x:c>
      <x:c r="D1689" s="8" t="n">
        <x:f>Source!D1683/100</x:f>
        <x:v>0</x:v>
      </x:c>
      <x:c r="E1689" s="8" t="n">
        <x:f>Source!E1683/100</x:f>
        <x:v>115.72</x:v>
      </x:c>
      <x:c r="F1689" s="8" t="n">
        <x:f>Source!F1683/100</x:f>
        <x:v>0</x:v>
      </x:c>
      <x:c r="G1689" s="8" t="n">
        <x:f>Source!G1683/100</x:f>
        <x:v>115.72</x:v>
      </x:c>
      <x:c r="H1689" s="8" t="n">
        <x:f>G1689-D1689</x:f>
        <x:v>115.72</x:v>
      </x:c>
      <x:c r="I1689" s="1" t="str">
        <x:f>IF(H1689&gt;0,"Overbilled","Shortfall")</x:f>
        <x:v>Overbilled</x:v>
      </x:c>
      <x:c r="J1689" s="7"/>
      <x:c r="K1689" s="7" t="str">
        <x:v>Open</x:v>
      </x:c>
      <x:c r="L1689" s="7"/>
    </x:row>
    <x:row r="1690" ht="21" customHeight="1">
      <x:c r="A1690" s="1" t="str">
        <x:f>Source!A1684</x:f>
        <x:v>C0005639</x:v>
      </x:c>
      <x:c r="B1690" s="1" t="str">
        <x:f>_xlfn.IFNA(VLOOKUP(Source!B1684,Advertisers!$A$5:$B$34,2,FALSE),"Missing advertiser")</x:f>
        <x:v>Synthetic advertiser 5</x:v>
      </x:c>
      <x:c r="C1690" s="1" t="n">
        <x:f>Source!C1684</x:f>
        <x:v>65</x:v>
      </x:c>
      <x:c r="D1690" s="8" t="n">
        <x:f>Source!D1684/100</x:f>
        <x:v>115.72</x:v>
      </x:c>
      <x:c r="E1690" s="8" t="n">
        <x:f>Source!E1684/100</x:f>
        <x:v>0</x:v>
      </x:c>
      <x:c r="F1690" s="8" t="n">
        <x:f>Source!F1684/100</x:f>
        <x:v>0</x:v>
      </x:c>
      <x:c r="G1690" s="8" t="n">
        <x:f>Source!G1684/100</x:f>
        <x:v>0</x:v>
      </x:c>
      <x:c r="H1690" s="8" t="n">
        <x:f>G1690-D1690</x:f>
        <x:v>-115.72</x:v>
      </x:c>
      <x:c r="I1690" s="1" t="str">
        <x:f>IF(H1690&gt;0,"Overbilled","Shortfall")</x:f>
        <x:v>Shortfall</x:v>
      </x:c>
      <x:c r="J1690" s="7"/>
      <x:c r="K1690" s="7" t="str">
        <x:v>Open</x:v>
      </x:c>
      <x:c r="L1690" s="7"/>
    </x:row>
    <x:row r="1691" ht="21" customHeight="1">
      <x:c r="A1691" s="1" t="str">
        <x:f>Source!A1685</x:f>
        <x:v>C0003401</x:v>
      </x:c>
      <x:c r="B1691" s="1" t="str">
        <x:f>_xlfn.IFNA(VLOOKUP(Source!B1685,Advertisers!$A$5:$B$34,2,FALSE),"Missing advertiser")</x:f>
        <x:v>Synthetic advertiser 8</x:v>
      </x:c>
      <x:c r="C1691" s="1" t="n">
        <x:f>Source!C1685</x:f>
        <x:v>38</x:v>
      </x:c>
      <x:c r="D1691" s="8" t="n">
        <x:f>Source!D1685/100</x:f>
        <x:v>115.67</x:v>
      </x:c>
      <x:c r="E1691" s="8" t="n">
        <x:f>Source!E1685/100</x:f>
        <x:v>231.34</x:v>
      </x:c>
      <x:c r="F1691" s="8" t="n">
        <x:f>Source!F1685/100</x:f>
        <x:v>0</x:v>
      </x:c>
      <x:c r="G1691" s="8" t="n">
        <x:f>Source!G1685/100</x:f>
        <x:v>231.34</x:v>
      </x:c>
      <x:c r="H1691" s="8" t="n">
        <x:f>G1691-D1691</x:f>
        <x:v>115.67</x:v>
      </x:c>
      <x:c r="I1691" s="1" t="str">
        <x:f>IF(H1691&gt;0,"Overbilled","Shortfall")</x:f>
        <x:v>Overbilled</x:v>
      </x:c>
      <x:c r="J1691" s="7"/>
      <x:c r="K1691" s="7" t="str">
        <x:v>Open</x:v>
      </x:c>
      <x:c r="L1691" s="7"/>
    </x:row>
    <x:row r="1692" ht="21" customHeight="1">
      <x:c r="A1692" s="1" t="str">
        <x:f>Source!A1686</x:f>
        <x:v>C0003848</x:v>
      </x:c>
      <x:c r="B1692" s="1" t="str">
        <x:f>_xlfn.IFNA(VLOOKUP(Source!B1686,Advertisers!$A$5:$B$34,2,FALSE),"Missing advertiser")</x:f>
        <x:v>Synthetic advertiser 8</x:v>
      </x:c>
      <x:c r="C1692" s="1" t="n">
        <x:f>Source!C1686</x:f>
        <x:v>38</x:v>
      </x:c>
      <x:c r="D1692" s="8" t="n">
        <x:f>Source!D1686/100</x:f>
        <x:v>115.67</x:v>
      </x:c>
      <x:c r="E1692" s="8" t="n">
        <x:f>Source!E1686/100</x:f>
        <x:v>231.34</x:v>
      </x:c>
      <x:c r="F1692" s="8" t="n">
        <x:f>Source!F1686/100</x:f>
        <x:v>0</x:v>
      </x:c>
      <x:c r="G1692" s="8" t="n">
        <x:f>Source!G1686/100</x:f>
        <x:v>231.34</x:v>
      </x:c>
      <x:c r="H1692" s="8" t="n">
        <x:f>G1692-D1692</x:f>
        <x:v>115.67</x:v>
      </x:c>
      <x:c r="I1692" s="1" t="str">
        <x:f>IF(H1692&gt;0,"Overbilled","Shortfall")</x:f>
        <x:v>Overbilled</x:v>
      </x:c>
      <x:c r="J1692" s="7"/>
      <x:c r="K1692" s="7" t="str">
        <x:v>Open</x:v>
      </x:c>
      <x:c r="L1692" s="7"/>
    </x:row>
    <x:row r="1693" ht="21" customHeight="1">
      <x:c r="A1693" s="1" t="str">
        <x:f>Source!A1687</x:f>
        <x:v>C0015406</x:v>
      </x:c>
      <x:c r="B1693" s="1" t="str">
        <x:f>_xlfn.IFNA(VLOOKUP(Source!B1687,Advertisers!$A$5:$B$34,2,FALSE),"Missing advertiser")</x:f>
        <x:v>Synthetic advertiser 8</x:v>
      </x:c>
      <x:c r="C1693" s="1" t="n">
        <x:f>Source!C1687</x:f>
        <x:v>38</x:v>
      </x:c>
      <x:c r="D1693" s="8" t="n">
        <x:f>Source!D1687/100</x:f>
        <x:v>115.67</x:v>
      </x:c>
      <x:c r="E1693" s="8" t="n">
        <x:f>Source!E1687/100</x:f>
        <x:v>0</x:v>
      </x:c>
      <x:c r="F1693" s="8" t="n">
        <x:f>Source!F1687/100</x:f>
        <x:v>0</x:v>
      </x:c>
      <x:c r="G1693" s="8" t="n">
        <x:f>Source!G1687/100</x:f>
        <x:v>0</x:v>
      </x:c>
      <x:c r="H1693" s="8" t="n">
        <x:f>G1693-D1693</x:f>
        <x:v>-115.67</x:v>
      </x:c>
      <x:c r="I1693" s="1" t="str">
        <x:f>IF(H1693&gt;0,"Overbilled","Shortfall")</x:f>
        <x:v>Shortfall</x:v>
      </x:c>
      <x:c r="J1693" s="7"/>
      <x:c r="K1693" s="7" t="str">
        <x:v>Open</x:v>
      </x:c>
      <x:c r="L1693" s="7"/>
    </x:row>
    <x:row r="1694" ht="21" customHeight="1">
      <x:c r="A1694" s="1" t="str">
        <x:f>Source!A1688</x:f>
        <x:v>C0003889</x:v>
      </x:c>
      <x:c r="B1694" s="1" t="str">
        <x:f>_xlfn.IFNA(VLOOKUP(Source!B1688,Advertisers!$A$5:$B$34,2,FALSE),"Missing advertiser")</x:f>
        <x:v>Synthetic advertiser 8</x:v>
      </x:c>
      <x:c r="C1694" s="1" t="n">
        <x:f>Source!C1688</x:f>
        <x:v>38</x:v>
      </x:c>
      <x:c r="D1694" s="8" t="n">
        <x:f>Source!D1688/100</x:f>
        <x:v>115.67</x:v>
      </x:c>
      <x:c r="E1694" s="8" t="n">
        <x:f>Source!E1688/100</x:f>
        <x:v>0</x:v>
      </x:c>
      <x:c r="F1694" s="8" t="n">
        <x:f>Source!F1688/100</x:f>
        <x:v>0</x:v>
      </x:c>
      <x:c r="G1694" s="8" t="n">
        <x:f>Source!G1688/100</x:f>
        <x:v>0</x:v>
      </x:c>
      <x:c r="H1694" s="8" t="n">
        <x:f>G1694-D1694</x:f>
        <x:v>-115.67</x:v>
      </x:c>
      <x:c r="I1694" s="1" t="str">
        <x:f>IF(H1694&gt;0,"Overbilled","Shortfall")</x:f>
        <x:v>Shortfall</x:v>
      </x:c>
      <x:c r="J1694" s="7"/>
      <x:c r="K1694" s="7" t="str">
        <x:v>Open</x:v>
      </x:c>
      <x:c r="L1694" s="7"/>
    </x:row>
    <x:row r="1695" ht="21" customHeight="1">
      <x:c r="A1695" s="1" t="str">
        <x:f>Source!A1689</x:f>
        <x:v>C0010913</x:v>
      </x:c>
      <x:c r="B1695" s="1" t="str">
        <x:f>_xlfn.IFNA(VLOOKUP(Source!B1689,Advertisers!$A$5:$B$34,2,FALSE),"Missing advertiser")</x:f>
        <x:v>Synthetic advertiser 8</x:v>
      </x:c>
      <x:c r="C1695" s="1" t="n">
        <x:f>Source!C1689</x:f>
        <x:v>38</x:v>
      </x:c>
      <x:c r="D1695" s="8" t="n">
        <x:f>Source!D1689/100</x:f>
        <x:v>115.67</x:v>
      </x:c>
      <x:c r="E1695" s="8" t="n">
        <x:f>Source!E1689/100</x:f>
        <x:v>231.34</x:v>
      </x:c>
      <x:c r="F1695" s="8" t="n">
        <x:f>Source!F1689/100</x:f>
        <x:v>0</x:v>
      </x:c>
      <x:c r="G1695" s="8" t="n">
        <x:f>Source!G1689/100</x:f>
        <x:v>231.34</x:v>
      </x:c>
      <x:c r="H1695" s="8" t="n">
        <x:f>G1695-D1695</x:f>
        <x:v>115.67</x:v>
      </x:c>
      <x:c r="I1695" s="1" t="str">
        <x:f>IF(H1695&gt;0,"Overbilled","Shortfall")</x:f>
        <x:v>Overbilled</x:v>
      </x:c>
      <x:c r="J1695" s="7"/>
      <x:c r="K1695" s="7" t="str">
        <x:v>Open</x:v>
      </x:c>
      <x:c r="L1695" s="7"/>
    </x:row>
    <x:row r="1696" ht="21" customHeight="1">
      <x:c r="A1696" s="1" t="str">
        <x:f>Source!A1690</x:f>
        <x:v>C0011123</x:v>
      </x:c>
      <x:c r="B1696" s="1" t="str">
        <x:f>_xlfn.IFNA(VLOOKUP(Source!B1690,Advertisers!$A$5:$B$34,2,FALSE),"Missing advertiser")</x:f>
        <x:v>Synthetic advertiser 8</x:v>
      </x:c>
      <x:c r="C1696" s="1" t="n">
        <x:f>Source!C1690</x:f>
        <x:v>38</x:v>
      </x:c>
      <x:c r="D1696" s="8" t="n">
        <x:f>Source!D1690/100</x:f>
        <x:v>115.67</x:v>
      </x:c>
      <x:c r="E1696" s="8" t="n">
        <x:f>Source!E1690/100</x:f>
        <x:v>231.34</x:v>
      </x:c>
      <x:c r="F1696" s="8" t="n">
        <x:f>Source!F1690/100</x:f>
        <x:v>0</x:v>
      </x:c>
      <x:c r="G1696" s="8" t="n">
        <x:f>Source!G1690/100</x:f>
        <x:v>231.34</x:v>
      </x:c>
      <x:c r="H1696" s="8" t="n">
        <x:f>G1696-D1696</x:f>
        <x:v>115.67</x:v>
      </x:c>
      <x:c r="I1696" s="1" t="str">
        <x:f>IF(H1696&gt;0,"Overbilled","Shortfall")</x:f>
        <x:v>Overbilled</x:v>
      </x:c>
      <x:c r="J1696" s="7"/>
      <x:c r="K1696" s="7" t="str">
        <x:v>Open</x:v>
      </x:c>
      <x:c r="L1696" s="7"/>
    </x:row>
    <x:row r="1697" ht="21" customHeight="1">
      <x:c r="A1697" s="1" t="str">
        <x:f>Source!A1691</x:f>
        <x:v>C0016389</x:v>
      </x:c>
      <x:c r="B1697" s="1" t="str">
        <x:f>_xlfn.IFNA(VLOOKUP(Source!B1691,Advertisers!$A$5:$B$34,2,FALSE),"Missing advertiser")</x:f>
        <x:v>Synthetic advertiser 8</x:v>
      </x:c>
      <x:c r="C1697" s="1" t="n">
        <x:f>Source!C1691</x:f>
        <x:v>38</x:v>
      </x:c>
      <x:c r="D1697" s="8" t="n">
        <x:f>Source!D1691/100</x:f>
        <x:v>115.67</x:v>
      </x:c>
      <x:c r="E1697" s="8" t="n">
        <x:f>Source!E1691/100</x:f>
        <x:v>0</x:v>
      </x:c>
      <x:c r="F1697" s="8" t="n">
        <x:f>Source!F1691/100</x:f>
        <x:v>0</x:v>
      </x:c>
      <x:c r="G1697" s="8" t="n">
        <x:f>Source!G1691/100</x:f>
        <x:v>0</x:v>
      </x:c>
      <x:c r="H1697" s="8" t="n">
        <x:f>G1697-D1697</x:f>
        <x:v>-115.67</x:v>
      </x:c>
      <x:c r="I1697" s="1" t="str">
        <x:f>IF(H1697&gt;0,"Overbilled","Shortfall")</x:f>
        <x:v>Shortfall</x:v>
      </x:c>
      <x:c r="J1697" s="7"/>
      <x:c r="K1697" s="7" t="str">
        <x:v>Open</x:v>
      </x:c>
      <x:c r="L1697" s="7"/>
    </x:row>
    <x:row r="1698" ht="21" customHeight="1">
      <x:c r="A1698" s="1" t="str">
        <x:f>Source!A1692</x:f>
        <x:v>C0000107</x:v>
      </x:c>
      <x:c r="B1698" s="1" t="str">
        <x:f>_xlfn.IFNA(VLOOKUP(Source!B1692,Advertisers!$A$5:$B$34,2,FALSE),"Missing advertiser")</x:f>
        <x:v>Synthetic advertiser 6</x:v>
      </x:c>
      <x:c r="C1698" s="1" t="n">
        <x:f>Source!C1692</x:f>
        <x:v>36</x:v>
      </x:c>
      <x:c r="D1698" s="8" t="n">
        <x:f>Source!D1692/100</x:f>
        <x:v>114.61</x:v>
      </x:c>
      <x:c r="E1698" s="8" t="n">
        <x:f>Source!E1692/100</x:f>
        <x:v>229.22</x:v>
      </x:c>
      <x:c r="F1698" s="8" t="n">
        <x:f>Source!F1692/100</x:f>
        <x:v>0</x:v>
      </x:c>
      <x:c r="G1698" s="8" t="n">
        <x:f>Source!G1692/100</x:f>
        <x:v>229.22</x:v>
      </x:c>
      <x:c r="H1698" s="8" t="n">
        <x:f>G1698-D1698</x:f>
        <x:v>114.61</x:v>
      </x:c>
      <x:c r="I1698" s="1" t="str">
        <x:f>IF(H1698&gt;0,"Overbilled","Shortfall")</x:f>
        <x:v>Overbilled</x:v>
      </x:c>
      <x:c r="J1698" s="7"/>
      <x:c r="K1698" s="7" t="str">
        <x:v>Open</x:v>
      </x:c>
      <x:c r="L1698" s="7"/>
    </x:row>
    <x:row r="1699" ht="21" customHeight="1">
      <x:c r="A1699" s="1" t="str">
        <x:f>Source!A1693</x:f>
        <x:v>C0017395</x:v>
      </x:c>
      <x:c r="B1699" s="1" t="str">
        <x:f>_xlfn.IFNA(VLOOKUP(Source!B1693,Advertisers!$A$5:$B$34,2,FALSE),"Missing advertiser")</x:f>
        <x:v>Synthetic advertiser 6</x:v>
      </x:c>
      <x:c r="C1699" s="1" t="n">
        <x:f>Source!C1693</x:f>
        <x:v>36</x:v>
      </x:c>
      <x:c r="D1699" s="8" t="n">
        <x:f>Source!D1693/100</x:f>
        <x:v>114.61</x:v>
      </x:c>
      <x:c r="E1699" s="8" t="n">
        <x:f>Source!E1693/100</x:f>
        <x:v>229.22</x:v>
      </x:c>
      <x:c r="F1699" s="8" t="n">
        <x:f>Source!F1693/100</x:f>
        <x:v>0</x:v>
      </x:c>
      <x:c r="G1699" s="8" t="n">
        <x:f>Source!G1693/100</x:f>
        <x:v>229.22</x:v>
      </x:c>
      <x:c r="H1699" s="8" t="n">
        <x:f>G1699-D1699</x:f>
        <x:v>114.61</x:v>
      </x:c>
      <x:c r="I1699" s="1" t="str">
        <x:f>IF(H1699&gt;0,"Overbilled","Shortfall")</x:f>
        <x:v>Overbilled</x:v>
      </x:c>
      <x:c r="J1699" s="7"/>
      <x:c r="K1699" s="7" t="str">
        <x:v>Open</x:v>
      </x:c>
      <x:c r="L1699" s="7"/>
    </x:row>
    <x:row r="1700" ht="21" customHeight="1">
      <x:c r="A1700" s="1" t="str">
        <x:f>Source!A1694</x:f>
        <x:v>C0008936</x:v>
      </x:c>
      <x:c r="B1700" s="1" t="str">
        <x:f>_xlfn.IFNA(VLOOKUP(Source!B1694,Advertisers!$A$5:$B$34,2,FALSE),"Missing advertiser")</x:f>
        <x:v>Synthetic advertiser 6</x:v>
      </x:c>
      <x:c r="C1700" s="1" t="n">
        <x:f>Source!C1694</x:f>
        <x:v>36</x:v>
      </x:c>
      <x:c r="D1700" s="8" t="n">
        <x:f>Source!D1694/100</x:f>
        <x:v>114.61</x:v>
      </x:c>
      <x:c r="E1700" s="8" t="n">
        <x:f>Source!E1694/100</x:f>
        <x:v>229.22</x:v>
      </x:c>
      <x:c r="F1700" s="8" t="n">
        <x:f>Source!F1694/100</x:f>
        <x:v>0</x:v>
      </x:c>
      <x:c r="G1700" s="8" t="n">
        <x:f>Source!G1694/100</x:f>
        <x:v>229.22</x:v>
      </x:c>
      <x:c r="H1700" s="8" t="n">
        <x:f>G1700-D1700</x:f>
        <x:v>114.61</x:v>
      </x:c>
      <x:c r="I1700" s="1" t="str">
        <x:f>IF(H1700&gt;0,"Overbilled","Shortfall")</x:f>
        <x:v>Overbilled</x:v>
      </x:c>
      <x:c r="J1700" s="7"/>
      <x:c r="K1700" s="7" t="str">
        <x:v>Open</x:v>
      </x:c>
      <x:c r="L1700" s="7"/>
    </x:row>
    <x:row r="1701" ht="21" customHeight="1">
      <x:c r="A1701" s="1" t="str">
        <x:f>Source!A1695</x:f>
        <x:v>C0008524</x:v>
      </x:c>
      <x:c r="B1701" s="1" t="str">
        <x:f>_xlfn.IFNA(VLOOKUP(Source!B1695,Advertisers!$A$5:$B$34,2,FALSE),"Missing advertiser")</x:f>
        <x:v>Synthetic advertiser 6</x:v>
      </x:c>
      <x:c r="C1701" s="1" t="n">
        <x:f>Source!C1695</x:f>
        <x:v>36</x:v>
      </x:c>
      <x:c r="D1701" s="8" t="n">
        <x:f>Source!D1695/100</x:f>
        <x:v>114.61</x:v>
      </x:c>
      <x:c r="E1701" s="8" t="n">
        <x:f>Source!E1695/100</x:f>
        <x:v>229.22</x:v>
      </x:c>
      <x:c r="F1701" s="8" t="n">
        <x:f>Source!F1695/100</x:f>
        <x:v>0</x:v>
      </x:c>
      <x:c r="G1701" s="8" t="n">
        <x:f>Source!G1695/100</x:f>
        <x:v>229.22</x:v>
      </x:c>
      <x:c r="H1701" s="8" t="n">
        <x:f>G1701-D1701</x:f>
        <x:v>114.61</x:v>
      </x:c>
      <x:c r="I1701" s="1" t="str">
        <x:f>IF(H1701&gt;0,"Overbilled","Shortfall")</x:f>
        <x:v>Overbilled</x:v>
      </x:c>
      <x:c r="J1701" s="7"/>
      <x:c r="K1701" s="7" t="str">
        <x:v>Open</x:v>
      </x:c>
      <x:c r="L1701" s="7"/>
    </x:row>
    <x:row r="1702" ht="21" customHeight="1">
      <x:c r="A1702" s="1" t="str">
        <x:f>Source!A1696</x:f>
        <x:v>C0017524</x:v>
      </x:c>
      <x:c r="B1702" s="1" t="str">
        <x:f>_xlfn.IFNA(VLOOKUP(Source!B1696,Advertisers!$A$5:$B$34,2,FALSE),"Missing advertiser")</x:f>
        <x:v>Synthetic advertiser 24</x:v>
      </x:c>
      <x:c r="C1702" s="1" t="n">
        <x:f>Source!C1696</x:f>
        <x:v>24</x:v>
      </x:c>
      <x:c r="D1702" s="8" t="n">
        <x:f>Source!D1696/100</x:f>
        <x:v>114.08</x:v>
      </x:c>
      <x:c r="E1702" s="8" t="n">
        <x:f>Source!E1696/100</x:f>
        <x:v>228.16</x:v>
      </x:c>
      <x:c r="F1702" s="8" t="n">
        <x:f>Source!F1696/100</x:f>
        <x:v>0</x:v>
      </x:c>
      <x:c r="G1702" s="8" t="n">
        <x:f>Source!G1696/100</x:f>
        <x:v>228.16</x:v>
      </x:c>
      <x:c r="H1702" s="8" t="n">
        <x:f>G1702-D1702</x:f>
        <x:v>114.08</x:v>
      </x:c>
      <x:c r="I1702" s="1" t="str">
        <x:f>IF(H1702&gt;0,"Overbilled","Shortfall")</x:f>
        <x:v>Overbilled</x:v>
      </x:c>
      <x:c r="J1702" s="7"/>
      <x:c r="K1702" s="7" t="str">
        <x:v>Open</x:v>
      </x:c>
      <x:c r="L1702" s="7"/>
    </x:row>
    <x:row r="1703" ht="21" customHeight="1">
      <x:c r="A1703" s="1" t="str">
        <x:f>Source!A1697</x:f>
        <x:v>C0007578</x:v>
      </x:c>
      <x:c r="B1703" s="1" t="str">
        <x:f>_xlfn.IFNA(VLOOKUP(Source!B1697,Advertisers!$A$5:$B$34,2,FALSE),"Missing advertiser")</x:f>
        <x:v>Synthetic advertiser 24</x:v>
      </x:c>
      <x:c r="C1703" s="1" t="n">
        <x:f>Source!C1697</x:f>
        <x:v>24</x:v>
      </x:c>
      <x:c r="D1703" s="8" t="n">
        <x:f>Source!D1697/100</x:f>
        <x:v>114.08</x:v>
      </x:c>
      <x:c r="E1703" s="8" t="n">
        <x:f>Source!E1697/100</x:f>
        <x:v>0</x:v>
      </x:c>
      <x:c r="F1703" s="8" t="n">
        <x:f>Source!F1697/100</x:f>
        <x:v>0</x:v>
      </x:c>
      <x:c r="G1703" s="8" t="n">
        <x:f>Source!G1697/100</x:f>
        <x:v>0</x:v>
      </x:c>
      <x:c r="H1703" s="8" t="n">
        <x:f>G1703-D1703</x:f>
        <x:v>-114.08</x:v>
      </x:c>
      <x:c r="I1703" s="1" t="str">
        <x:f>IF(H1703&gt;0,"Overbilled","Shortfall")</x:f>
        <x:v>Shortfall</x:v>
      </x:c>
      <x:c r="J1703" s="7"/>
      <x:c r="K1703" s="7" t="str">
        <x:v>Open</x:v>
      </x:c>
      <x:c r="L1703" s="7"/>
    </x:row>
    <x:row r="1704" ht="21" customHeight="1">
      <x:c r="A1704" s="1" t="str">
        <x:f>Source!A1698</x:f>
        <x:v>C0002013</x:v>
      </x:c>
      <x:c r="B1704" s="1" t="str">
        <x:f>_xlfn.IFNA(VLOOKUP(Source!B1698,Advertisers!$A$5:$B$34,2,FALSE),"Missing advertiser")</x:f>
        <x:v>Synthetic advertiser 24</x:v>
      </x:c>
      <x:c r="C1704" s="1" t="n">
        <x:f>Source!C1698</x:f>
        <x:v>24</x:v>
      </x:c>
      <x:c r="D1704" s="8" t="n">
        <x:f>Source!D1698/100</x:f>
        <x:v>114.08</x:v>
      </x:c>
      <x:c r="E1704" s="8" t="n">
        <x:f>Source!E1698/100</x:f>
        <x:v>0</x:v>
      </x:c>
      <x:c r="F1704" s="8" t="n">
        <x:f>Source!F1698/100</x:f>
        <x:v>0</x:v>
      </x:c>
      <x:c r="G1704" s="8" t="n">
        <x:f>Source!G1698/100</x:f>
        <x:v>0</x:v>
      </x:c>
      <x:c r="H1704" s="8" t="n">
        <x:f>G1704-D1704</x:f>
        <x:v>-114.08</x:v>
      </x:c>
      <x:c r="I1704" s="1" t="str">
        <x:f>IF(H1704&gt;0,"Overbilled","Shortfall")</x:f>
        <x:v>Shortfall</x:v>
      </x:c>
      <x:c r="J1704" s="7"/>
      <x:c r="K1704" s="7" t="str">
        <x:v>Open</x:v>
      </x:c>
      <x:c r="L1704" s="7"/>
    </x:row>
    <x:row r="1705" ht="21" customHeight="1">
      <x:c r="A1705" s="1" t="str">
        <x:f>Source!A1699</x:f>
        <x:v>C0014362</x:v>
      </x:c>
      <x:c r="B1705" s="1" t="str">
        <x:f>_xlfn.IFNA(VLOOKUP(Source!B1699,Advertisers!$A$5:$B$34,2,FALSE),"Missing advertiser")</x:f>
        <x:v>Synthetic advertiser 24</x:v>
      </x:c>
      <x:c r="C1705" s="1" t="n">
        <x:f>Source!C1699</x:f>
        <x:v>24</x:v>
      </x:c>
      <x:c r="D1705" s="8" t="n">
        <x:f>Source!D1699/100</x:f>
        <x:v>114.08</x:v>
      </x:c>
      <x:c r="E1705" s="8" t="n">
        <x:f>Source!E1699/100</x:f>
        <x:v>0</x:v>
      </x:c>
      <x:c r="F1705" s="8" t="n">
        <x:f>Source!F1699/100</x:f>
        <x:v>0</x:v>
      </x:c>
      <x:c r="G1705" s="8" t="n">
        <x:f>Source!G1699/100</x:f>
        <x:v>0</x:v>
      </x:c>
      <x:c r="H1705" s="8" t="n">
        <x:f>G1705-D1705</x:f>
        <x:v>-114.08</x:v>
      </x:c>
      <x:c r="I1705" s="1" t="str">
        <x:f>IF(H1705&gt;0,"Overbilled","Shortfall")</x:f>
        <x:v>Shortfall</x:v>
      </x:c>
      <x:c r="J1705" s="7"/>
      <x:c r="K1705" s="7" t="str">
        <x:v>Open</x:v>
      </x:c>
      <x:c r="L1705" s="7"/>
    </x:row>
    <x:row r="1706" ht="21" customHeight="1">
      <x:c r="A1706" s="1" t="str">
        <x:f>Source!A1700</x:f>
        <x:v>C0010060</x:v>
      </x:c>
      <x:c r="B1706" s="1" t="str">
        <x:f>_xlfn.IFNA(VLOOKUP(Source!B1700,Advertisers!$A$5:$B$34,2,FALSE),"Missing advertiser")</x:f>
        <x:v>Synthetic advertiser 24</x:v>
      </x:c>
      <x:c r="C1706" s="1" t="n">
        <x:f>Source!C1700</x:f>
        <x:v>24</x:v>
      </x:c>
      <x:c r="D1706" s="8" t="n">
        <x:f>Source!D1700/100</x:f>
        <x:v>114.08</x:v>
      </x:c>
      <x:c r="E1706" s="8" t="n">
        <x:f>Source!E1700/100</x:f>
        <x:v>228.16</x:v>
      </x:c>
      <x:c r="F1706" s="8" t="n">
        <x:f>Source!F1700/100</x:f>
        <x:v>0</x:v>
      </x:c>
      <x:c r="G1706" s="8" t="n">
        <x:f>Source!G1700/100</x:f>
        <x:v>228.16</x:v>
      </x:c>
      <x:c r="H1706" s="8" t="n">
        <x:f>G1706-D1706</x:f>
        <x:v>114.08</x:v>
      </x:c>
      <x:c r="I1706" s="1" t="str">
        <x:f>IF(H1706&gt;0,"Overbilled","Shortfall")</x:f>
        <x:v>Overbilled</x:v>
      </x:c>
      <x:c r="J1706" s="7"/>
      <x:c r="K1706" s="7" t="str">
        <x:v>Open</x:v>
      </x:c>
      <x:c r="L1706" s="7"/>
    </x:row>
    <x:row r="1707" ht="21" customHeight="1">
      <x:c r="A1707" s="1" t="str">
        <x:f>Source!A1701</x:f>
        <x:v>C0001578</x:v>
      </x:c>
      <x:c r="B1707" s="1" t="str">
        <x:f>_xlfn.IFNA(VLOOKUP(Source!B1701,Advertisers!$A$5:$B$34,2,FALSE),"Missing advertiser")</x:f>
        <x:v>Synthetic advertiser 24</x:v>
      </x:c>
      <x:c r="C1707" s="1" t="n">
        <x:f>Source!C1701</x:f>
        <x:v>24</x:v>
      </x:c>
      <x:c r="D1707" s="8" t="n">
        <x:f>Source!D1701/100</x:f>
        <x:v>114.08</x:v>
      </x:c>
      <x:c r="E1707" s="8" t="n">
        <x:f>Source!E1701/100</x:f>
        <x:v>0</x:v>
      </x:c>
      <x:c r="F1707" s="8" t="n">
        <x:f>Source!F1701/100</x:f>
        <x:v>0</x:v>
      </x:c>
      <x:c r="G1707" s="8" t="n">
        <x:f>Source!G1701/100</x:f>
        <x:v>0</x:v>
      </x:c>
      <x:c r="H1707" s="8" t="n">
        <x:f>G1707-D1707</x:f>
        <x:v>-114.08</x:v>
      </x:c>
      <x:c r="I1707" s="1" t="str">
        <x:f>IF(H1707&gt;0,"Overbilled","Shortfall")</x:f>
        <x:v>Shortfall</x:v>
      </x:c>
      <x:c r="J1707" s="7"/>
      <x:c r="K1707" s="7" t="str">
        <x:v>Open</x:v>
      </x:c>
      <x:c r="L1707" s="7"/>
    </x:row>
    <x:row r="1708" ht="21" customHeight="1">
      <x:c r="A1708" s="1" t="str">
        <x:f>Source!A1702</x:f>
        <x:v>C0010647</x:v>
      </x:c>
      <x:c r="B1708" s="1" t="str">
        <x:f>_xlfn.IFNA(VLOOKUP(Source!B1702,Advertisers!$A$5:$B$34,2,FALSE),"Missing advertiser")</x:f>
        <x:v>Synthetic advertiser 24</x:v>
      </x:c>
      <x:c r="C1708" s="1" t="n">
        <x:f>Source!C1702</x:f>
        <x:v>24</x:v>
      </x:c>
      <x:c r="D1708" s="8" t="n">
        <x:f>Source!D1702/100</x:f>
        <x:v>114.08</x:v>
      </x:c>
      <x:c r="E1708" s="8" t="n">
        <x:f>Source!E1702/100</x:f>
        <x:v>228.16</x:v>
      </x:c>
      <x:c r="F1708" s="8" t="n">
        <x:f>Source!F1702/100</x:f>
        <x:v>0</x:v>
      </x:c>
      <x:c r="G1708" s="8" t="n">
        <x:f>Source!G1702/100</x:f>
        <x:v>228.16</x:v>
      </x:c>
      <x:c r="H1708" s="8" t="n">
        <x:f>G1708-D1708</x:f>
        <x:v>114.08</x:v>
      </x:c>
      <x:c r="I1708" s="1" t="str">
        <x:f>IF(H1708&gt;0,"Overbilled","Shortfall")</x:f>
        <x:v>Overbilled</x:v>
      </x:c>
      <x:c r="J1708" s="7"/>
      <x:c r="K1708" s="7" t="str">
        <x:v>Open</x:v>
      </x:c>
      <x:c r="L1708" s="7"/>
    </x:row>
    <x:row r="1709" ht="21" customHeight="1">
      <x:c r="A1709" s="1" t="str">
        <x:f>Source!A1703</x:f>
        <x:v>C0007076</x:v>
      </x:c>
      <x:c r="B1709" s="1" t="str">
        <x:f>_xlfn.IFNA(VLOOKUP(Source!B1703,Advertisers!$A$5:$B$34,2,FALSE),"Missing advertiser")</x:f>
        <x:v>Synthetic advertiser 24</x:v>
      </x:c>
      <x:c r="C1709" s="1" t="n">
        <x:f>Source!C1703</x:f>
        <x:v>24</x:v>
      </x:c>
      <x:c r="D1709" s="8" t="n">
        <x:f>Source!D1703/100</x:f>
        <x:v>114.08</x:v>
      </x:c>
      <x:c r="E1709" s="8" t="n">
        <x:f>Source!E1703/100</x:f>
        <x:v>228.16</x:v>
      </x:c>
      <x:c r="F1709" s="8" t="n">
        <x:f>Source!F1703/100</x:f>
        <x:v>0</x:v>
      </x:c>
      <x:c r="G1709" s="8" t="n">
        <x:f>Source!G1703/100</x:f>
        <x:v>228.16</x:v>
      </x:c>
      <x:c r="H1709" s="8" t="n">
        <x:f>G1709-D1709</x:f>
        <x:v>114.08</x:v>
      </x:c>
      <x:c r="I1709" s="1" t="str">
        <x:f>IF(H1709&gt;0,"Overbilled","Shortfall")</x:f>
        <x:v>Overbilled</x:v>
      </x:c>
      <x:c r="J1709" s="7"/>
      <x:c r="K1709" s="7" t="str">
        <x:v>Open</x:v>
      </x:c>
      <x:c r="L1709" s="7"/>
    </x:row>
    <x:row r="1710" ht="21" customHeight="1">
      <x:c r="A1710" s="1" t="str">
        <x:f>Source!A1704</x:f>
        <x:v>C0009829</x:v>
      </x:c>
      <x:c r="B1710" s="1" t="str">
        <x:f>_xlfn.IFNA(VLOOKUP(Source!B1704,Advertisers!$A$5:$B$34,2,FALSE),"Missing advertiser")</x:f>
        <x:v>Synthetic advertiser 24</x:v>
      </x:c>
      <x:c r="C1710" s="1" t="n">
        <x:f>Source!C1704</x:f>
        <x:v>24</x:v>
      </x:c>
      <x:c r="D1710" s="8" t="n">
        <x:f>Source!D1704/100</x:f>
        <x:v>114.08</x:v>
      </x:c>
      <x:c r="E1710" s="8" t="n">
        <x:f>Source!E1704/100</x:f>
        <x:v>0</x:v>
      </x:c>
      <x:c r="F1710" s="8" t="n">
        <x:f>Source!F1704/100</x:f>
        <x:v>0</x:v>
      </x:c>
      <x:c r="G1710" s="8" t="n">
        <x:f>Source!G1704/100</x:f>
        <x:v>0</x:v>
      </x:c>
      <x:c r="H1710" s="8" t="n">
        <x:f>G1710-D1710</x:f>
        <x:v>-114.08</x:v>
      </x:c>
      <x:c r="I1710" s="1" t="str">
        <x:f>IF(H1710&gt;0,"Overbilled","Shortfall")</x:f>
        <x:v>Shortfall</x:v>
      </x:c>
      <x:c r="J1710" s="7"/>
      <x:c r="K1710" s="7" t="str">
        <x:v>Open</x:v>
      </x:c>
      <x:c r="L1710" s="7"/>
    </x:row>
    <x:row r="1711" ht="21" customHeight="1">
      <x:c r="A1711" s="1" t="str">
        <x:f>Source!A1705</x:f>
        <x:v>C0016157</x:v>
      </x:c>
      <x:c r="B1711" s="1" t="str">
        <x:f>_xlfn.IFNA(VLOOKUP(Source!B1705,Advertisers!$A$5:$B$34,2,FALSE),"Missing advertiser")</x:f>
        <x:v>Synthetic advertiser 24</x:v>
      </x:c>
      <x:c r="C1711" s="1" t="n">
        <x:f>Source!C1705</x:f>
        <x:v>24</x:v>
      </x:c>
      <x:c r="D1711" s="8" t="n">
        <x:f>Source!D1705/100</x:f>
        <x:v>114.08</x:v>
      </x:c>
      <x:c r="E1711" s="8" t="n">
        <x:f>Source!E1705/100</x:f>
        <x:v>228.16</x:v>
      </x:c>
      <x:c r="F1711" s="8" t="n">
        <x:f>Source!F1705/100</x:f>
        <x:v>0</x:v>
      </x:c>
      <x:c r="G1711" s="8" t="n">
        <x:f>Source!G1705/100</x:f>
        <x:v>228.16</x:v>
      </x:c>
      <x:c r="H1711" s="8" t="n">
        <x:f>G1711-D1711</x:f>
        <x:v>114.08</x:v>
      </x:c>
      <x:c r="I1711" s="1" t="str">
        <x:f>IF(H1711&gt;0,"Overbilled","Shortfall")</x:f>
        <x:v>Overbilled</x:v>
      </x:c>
      <x:c r="J1711" s="7"/>
      <x:c r="K1711" s="7" t="str">
        <x:v>Open</x:v>
      </x:c>
      <x:c r="L1711" s="7"/>
    </x:row>
    <x:row r="1712" ht="21" customHeight="1">
      <x:c r="A1712" s="1" t="str">
        <x:f>Source!A1706</x:f>
        <x:v>C0016745</x:v>
      </x:c>
      <x:c r="B1712" s="1" t="str">
        <x:f>_xlfn.IFNA(VLOOKUP(Source!B1706,Advertisers!$A$5:$B$34,2,FALSE),"Missing advertiser")</x:f>
        <x:v>Synthetic advertiser 25</x:v>
      </x:c>
      <x:c r="C1712" s="1" t="n">
        <x:f>Source!C1706</x:f>
        <x:v>85</x:v>
      </x:c>
      <x:c r="D1712" s="8" t="n">
        <x:f>Source!D1706/100</x:f>
        <x:v>113.89</x:v>
      </x:c>
      <x:c r="E1712" s="8" t="n">
        <x:f>Source!E1706/100</x:f>
        <x:v>227.78</x:v>
      </x:c>
      <x:c r="F1712" s="8" t="n">
        <x:f>Source!F1706/100</x:f>
        <x:v>0</x:v>
      </x:c>
      <x:c r="G1712" s="8" t="n">
        <x:f>Source!G1706/100</x:f>
        <x:v>227.78</x:v>
      </x:c>
      <x:c r="H1712" s="8" t="n">
        <x:f>G1712-D1712</x:f>
        <x:v>113.89</x:v>
      </x:c>
      <x:c r="I1712" s="1" t="str">
        <x:f>IF(H1712&gt;0,"Overbilled","Shortfall")</x:f>
        <x:v>Overbilled</x:v>
      </x:c>
      <x:c r="J1712" s="7"/>
      <x:c r="K1712" s="7" t="str">
        <x:v>Open</x:v>
      </x:c>
      <x:c r="L1712" s="7"/>
    </x:row>
    <x:row r="1713" ht="21" customHeight="1">
      <x:c r="A1713" s="1" t="str">
        <x:f>Source!A1707</x:f>
        <x:v>C0011060</x:v>
      </x:c>
      <x:c r="B1713" s="1" t="str">
        <x:f>_xlfn.IFNA(VLOOKUP(Source!B1707,Advertisers!$A$5:$B$34,2,FALSE),"Missing advertiser")</x:f>
        <x:v>Synthetic advertiser 25</x:v>
      </x:c>
      <x:c r="C1713" s="1" t="n">
        <x:f>Source!C1707</x:f>
        <x:v>85</x:v>
      </x:c>
      <x:c r="D1713" s="8" t="n">
        <x:f>Source!D1707/100</x:f>
        <x:v>113.89</x:v>
      </x:c>
      <x:c r="E1713" s="8" t="n">
        <x:f>Source!E1707/100</x:f>
        <x:v>227.78</x:v>
      </x:c>
      <x:c r="F1713" s="8" t="n">
        <x:f>Source!F1707/100</x:f>
        <x:v>0</x:v>
      </x:c>
      <x:c r="G1713" s="8" t="n">
        <x:f>Source!G1707/100</x:f>
        <x:v>227.78</x:v>
      </x:c>
      <x:c r="H1713" s="8" t="n">
        <x:f>G1713-D1713</x:f>
        <x:v>113.89</x:v>
      </x:c>
      <x:c r="I1713" s="1" t="str">
        <x:f>IF(H1713&gt;0,"Overbilled","Shortfall")</x:f>
        <x:v>Overbilled</x:v>
      </x:c>
      <x:c r="J1713" s="7"/>
      <x:c r="K1713" s="7" t="str">
        <x:v>Open</x:v>
      </x:c>
      <x:c r="L1713" s="7"/>
    </x:row>
    <x:row r="1714" ht="21" customHeight="1">
      <x:c r="A1714" s="1" t="str">
        <x:f>Source!A1708</x:f>
        <x:v>C0017572</x:v>
      </x:c>
      <x:c r="B1714" s="1" t="str">
        <x:f>_xlfn.IFNA(VLOOKUP(Source!B1708,Advertisers!$A$5:$B$34,2,FALSE),"Missing advertiser")</x:f>
        <x:v>Synthetic advertiser 25</x:v>
      </x:c>
      <x:c r="C1714" s="1" t="n">
        <x:f>Source!C1708</x:f>
        <x:v>85</x:v>
      </x:c>
      <x:c r="D1714" s="8" t="n">
        <x:f>Source!D1708/100</x:f>
        <x:v>113.89</x:v>
      </x:c>
      <x:c r="E1714" s="8" t="n">
        <x:f>Source!E1708/100</x:f>
        <x:v>0</x:v>
      </x:c>
      <x:c r="F1714" s="8" t="n">
        <x:f>Source!F1708/100</x:f>
        <x:v>0</x:v>
      </x:c>
      <x:c r="G1714" s="8" t="n">
        <x:f>Source!G1708/100</x:f>
        <x:v>0</x:v>
      </x:c>
      <x:c r="H1714" s="8" t="n">
        <x:f>G1714-D1714</x:f>
        <x:v>-113.89</x:v>
      </x:c>
      <x:c r="I1714" s="1" t="str">
        <x:f>IF(H1714&gt;0,"Overbilled","Shortfall")</x:f>
        <x:v>Shortfall</x:v>
      </x:c>
      <x:c r="J1714" s="7"/>
      <x:c r="K1714" s="7" t="str">
        <x:v>Open</x:v>
      </x:c>
      <x:c r="L1714" s="7"/>
    </x:row>
    <x:row r="1715" ht="21" customHeight="1">
      <x:c r="A1715" s="1" t="str">
        <x:f>Source!A1709</x:f>
        <x:v>C0012181</x:v>
      </x:c>
      <x:c r="B1715" s="1" t="str">
        <x:f>_xlfn.IFNA(VLOOKUP(Source!B1709,Advertisers!$A$5:$B$34,2,FALSE),"Missing advertiser")</x:f>
        <x:v>Synthetic advertiser 25</x:v>
      </x:c>
      <x:c r="C1715" s="1" t="n">
        <x:f>Source!C1709</x:f>
        <x:v>85</x:v>
      </x:c>
      <x:c r="D1715" s="8" t="n">
        <x:f>Source!D1709/100</x:f>
        <x:v>0</x:v>
      </x:c>
      <x:c r="E1715" s="8" t="n">
        <x:f>Source!E1709/100</x:f>
        <x:v>113.89</x:v>
      </x:c>
      <x:c r="F1715" s="8" t="n">
        <x:f>Source!F1709/100</x:f>
        <x:v>0</x:v>
      </x:c>
      <x:c r="G1715" s="8" t="n">
        <x:f>Source!G1709/100</x:f>
        <x:v>113.89</x:v>
      </x:c>
      <x:c r="H1715" s="8" t="n">
        <x:f>G1715-D1715</x:f>
        <x:v>113.89</x:v>
      </x:c>
      <x:c r="I1715" s="1" t="str">
        <x:f>IF(H1715&gt;0,"Overbilled","Shortfall")</x:f>
        <x:v>Overbilled</x:v>
      </x:c>
      <x:c r="J1715" s="7"/>
      <x:c r="K1715" s="7" t="str">
        <x:v>Open</x:v>
      </x:c>
      <x:c r="L1715" s="7"/>
    </x:row>
    <x:row r="1716" ht="21" customHeight="1">
      <x:c r="A1716" s="1" t="str">
        <x:f>Source!A1710</x:f>
        <x:v>C0000461</x:v>
      </x:c>
      <x:c r="B1716" s="1" t="str">
        <x:f>_xlfn.IFNA(VLOOKUP(Source!B1710,Advertisers!$A$5:$B$34,2,FALSE),"Missing advertiser")</x:f>
        <x:v>Synthetic advertiser 25</x:v>
      </x:c>
      <x:c r="C1716" s="1" t="n">
        <x:f>Source!C1710</x:f>
        <x:v>85</x:v>
      </x:c>
      <x:c r="D1716" s="8" t="n">
        <x:f>Source!D1710/100</x:f>
        <x:v>113.89</x:v>
      </x:c>
      <x:c r="E1716" s="8" t="n">
        <x:f>Source!E1710/100</x:f>
        <x:v>0</x:v>
      </x:c>
      <x:c r="F1716" s="8" t="n">
        <x:f>Source!F1710/100</x:f>
        <x:v>0</x:v>
      </x:c>
      <x:c r="G1716" s="8" t="n">
        <x:f>Source!G1710/100</x:f>
        <x:v>0</x:v>
      </x:c>
      <x:c r="H1716" s="8" t="n">
        <x:f>G1716-D1716</x:f>
        <x:v>-113.89</x:v>
      </x:c>
      <x:c r="I1716" s="1" t="str">
        <x:f>IF(H1716&gt;0,"Overbilled","Shortfall")</x:f>
        <x:v>Shortfall</x:v>
      </x:c>
      <x:c r="J1716" s="7"/>
      <x:c r="K1716" s="7" t="str">
        <x:v>Open</x:v>
      </x:c>
      <x:c r="L1716" s="7"/>
    </x:row>
    <x:row r="1717" ht="21" customHeight="1">
      <x:c r="A1717" s="1" t="str">
        <x:f>Source!A1711</x:f>
        <x:v>C0017565</x:v>
      </x:c>
      <x:c r="B1717" s="1" t="str">
        <x:f>_xlfn.IFNA(VLOOKUP(Source!B1711,Advertisers!$A$5:$B$34,2,FALSE),"Missing advertiser")</x:f>
        <x:v>Synthetic advertiser 17</x:v>
      </x:c>
      <x:c r="C1717" s="1" t="n">
        <x:f>Source!C1711</x:f>
        <x:v>47</x:v>
      </x:c>
      <x:c r="D1717" s="8" t="n">
        <x:f>Source!D1711/100</x:f>
        <x:v>113.08</x:v>
      </x:c>
      <x:c r="E1717" s="8" t="n">
        <x:f>Source!E1711/100</x:f>
        <x:v>226.16</x:v>
      </x:c>
      <x:c r="F1717" s="8" t="n">
        <x:f>Source!F1711/100</x:f>
        <x:v>0</x:v>
      </x:c>
      <x:c r="G1717" s="8" t="n">
        <x:f>Source!G1711/100</x:f>
        <x:v>226.16</x:v>
      </x:c>
      <x:c r="H1717" s="8" t="n">
        <x:f>G1717-D1717</x:f>
        <x:v>113.08</x:v>
      </x:c>
      <x:c r="I1717" s="1" t="str">
        <x:f>IF(H1717&gt;0,"Overbilled","Shortfall")</x:f>
        <x:v>Overbilled</x:v>
      </x:c>
      <x:c r="J1717" s="7"/>
      <x:c r="K1717" s="7" t="str">
        <x:v>Open</x:v>
      </x:c>
      <x:c r="L1717" s="7"/>
    </x:row>
    <x:row r="1718" ht="21" customHeight="1">
      <x:c r="A1718" s="1" t="str">
        <x:f>Source!A1712</x:f>
        <x:v>C0017381</x:v>
      </x:c>
      <x:c r="B1718" s="1" t="str">
        <x:f>_xlfn.IFNA(VLOOKUP(Source!B1712,Advertisers!$A$5:$B$34,2,FALSE),"Missing advertiser")</x:f>
        <x:v>Synthetic advertiser 17</x:v>
      </x:c>
      <x:c r="C1718" s="1" t="n">
        <x:f>Source!C1712</x:f>
        <x:v>47</x:v>
      </x:c>
      <x:c r="D1718" s="8" t="n">
        <x:f>Source!D1712/100</x:f>
        <x:v>113.08</x:v>
      </x:c>
      <x:c r="E1718" s="8" t="n">
        <x:f>Source!E1712/100</x:f>
        <x:v>226.16</x:v>
      </x:c>
      <x:c r="F1718" s="8" t="n">
        <x:f>Source!F1712/100</x:f>
        <x:v>0</x:v>
      </x:c>
      <x:c r="G1718" s="8" t="n">
        <x:f>Source!G1712/100</x:f>
        <x:v>226.16</x:v>
      </x:c>
      <x:c r="H1718" s="8" t="n">
        <x:f>G1718-D1718</x:f>
        <x:v>113.08</x:v>
      </x:c>
      <x:c r="I1718" s="1" t="str">
        <x:f>IF(H1718&gt;0,"Overbilled","Shortfall")</x:f>
        <x:v>Overbilled</x:v>
      </x:c>
      <x:c r="J1718" s="7"/>
      <x:c r="K1718" s="7" t="str">
        <x:v>Open</x:v>
      </x:c>
      <x:c r="L1718" s="7"/>
    </x:row>
    <x:row r="1719" ht="21" customHeight="1">
      <x:c r="A1719" s="1" t="str">
        <x:f>Source!A1713</x:f>
        <x:v>C0016780</x:v>
      </x:c>
      <x:c r="B1719" s="1" t="str">
        <x:f>_xlfn.IFNA(VLOOKUP(Source!B1713,Advertisers!$A$5:$B$34,2,FALSE),"Missing advertiser")</x:f>
        <x:v>Synthetic advertiser 17</x:v>
      </x:c>
      <x:c r="C1719" s="1" t="n">
        <x:f>Source!C1713</x:f>
        <x:v>47</x:v>
      </x:c>
      <x:c r="D1719" s="8" t="n">
        <x:f>Source!D1713/100</x:f>
        <x:v>113.08</x:v>
      </x:c>
      <x:c r="E1719" s="8" t="n">
        <x:f>Source!E1713/100</x:f>
        <x:v>226.16</x:v>
      </x:c>
      <x:c r="F1719" s="8" t="n">
        <x:f>Source!F1713/100</x:f>
        <x:v>0</x:v>
      </x:c>
      <x:c r="G1719" s="8" t="n">
        <x:f>Source!G1713/100</x:f>
        <x:v>226.16</x:v>
      </x:c>
      <x:c r="H1719" s="8" t="n">
        <x:f>G1719-D1719</x:f>
        <x:v>113.08</x:v>
      </x:c>
      <x:c r="I1719" s="1" t="str">
        <x:f>IF(H1719&gt;0,"Overbilled","Shortfall")</x:f>
        <x:v>Overbilled</x:v>
      </x:c>
      <x:c r="J1719" s="7"/>
      <x:c r="K1719" s="7" t="str">
        <x:v>Open</x:v>
      </x:c>
      <x:c r="L1719" s="7"/>
    </x:row>
    <x:row r="1720" ht="21" customHeight="1">
      <x:c r="A1720" s="1" t="str">
        <x:f>Source!A1714</x:f>
        <x:v>C0002470</x:v>
      </x:c>
      <x:c r="B1720" s="1" t="str">
        <x:f>_xlfn.IFNA(VLOOKUP(Source!B1714,Advertisers!$A$5:$B$34,2,FALSE),"Missing advertiser")</x:f>
        <x:v>Synthetic advertiser 17</x:v>
      </x:c>
      <x:c r="C1720" s="1" t="n">
        <x:f>Source!C1714</x:f>
        <x:v>47</x:v>
      </x:c>
      <x:c r="D1720" s="8" t="n">
        <x:f>Source!D1714/100</x:f>
        <x:v>113.08</x:v>
      </x:c>
      <x:c r="E1720" s="8" t="n">
        <x:f>Source!E1714/100</x:f>
        <x:v>226.16</x:v>
      </x:c>
      <x:c r="F1720" s="8" t="n">
        <x:f>Source!F1714/100</x:f>
        <x:v>0</x:v>
      </x:c>
      <x:c r="G1720" s="8" t="n">
        <x:f>Source!G1714/100</x:f>
        <x:v>226.16</x:v>
      </x:c>
      <x:c r="H1720" s="8" t="n">
        <x:f>G1720-D1720</x:f>
        <x:v>113.08</x:v>
      </x:c>
      <x:c r="I1720" s="1" t="str">
        <x:f>IF(H1720&gt;0,"Overbilled","Shortfall")</x:f>
        <x:v>Overbilled</x:v>
      </x:c>
      <x:c r="J1720" s="7"/>
      <x:c r="K1720" s="7" t="str">
        <x:v>Open</x:v>
      </x:c>
      <x:c r="L1720" s="7"/>
    </x:row>
    <x:row r="1721" ht="21" customHeight="1">
      <x:c r="A1721" s="1" t="str">
        <x:f>Source!A1715</x:f>
        <x:v>C0012990</x:v>
      </x:c>
      <x:c r="B1721" s="1" t="str">
        <x:f>_xlfn.IFNA(VLOOKUP(Source!B1715,Advertisers!$A$5:$B$34,2,FALSE),"Missing advertiser")</x:f>
        <x:v>Synthetic advertiser 17</x:v>
      </x:c>
      <x:c r="C1721" s="1" t="n">
        <x:f>Source!C1715</x:f>
        <x:v>47</x:v>
      </x:c>
      <x:c r="D1721" s="8" t="n">
        <x:f>Source!D1715/100</x:f>
        <x:v>113.08</x:v>
      </x:c>
      <x:c r="E1721" s="8" t="n">
        <x:f>Source!E1715/100</x:f>
        <x:v>226.16</x:v>
      </x:c>
      <x:c r="F1721" s="8" t="n">
        <x:f>Source!F1715/100</x:f>
        <x:v>0</x:v>
      </x:c>
      <x:c r="G1721" s="8" t="n">
        <x:f>Source!G1715/100</x:f>
        <x:v>226.16</x:v>
      </x:c>
      <x:c r="H1721" s="8" t="n">
        <x:f>G1721-D1721</x:f>
        <x:v>113.08</x:v>
      </x:c>
      <x:c r="I1721" s="1" t="str">
        <x:f>IF(H1721&gt;0,"Overbilled","Shortfall")</x:f>
        <x:v>Overbilled</x:v>
      </x:c>
      <x:c r="J1721" s="7"/>
      <x:c r="K1721" s="7" t="str">
        <x:v>Open</x:v>
      </x:c>
      <x:c r="L1721" s="7"/>
    </x:row>
    <x:row r="1722" ht="21" customHeight="1">
      <x:c r="A1722" s="1" t="str">
        <x:f>Source!A1716</x:f>
        <x:v>C0013114</x:v>
      </x:c>
      <x:c r="B1722" s="1" t="str">
        <x:f>_xlfn.IFNA(VLOOKUP(Source!B1716,Advertisers!$A$5:$B$34,2,FALSE),"Missing advertiser")</x:f>
        <x:v>Synthetic advertiser 17</x:v>
      </x:c>
      <x:c r="C1722" s="1" t="n">
        <x:f>Source!C1716</x:f>
        <x:v>47</x:v>
      </x:c>
      <x:c r="D1722" s="8" t="n">
        <x:f>Source!D1716/100</x:f>
        <x:v>113.08</x:v>
      </x:c>
      <x:c r="E1722" s="8" t="n">
        <x:f>Source!E1716/100</x:f>
        <x:v>226.16</x:v>
      </x:c>
      <x:c r="F1722" s="8" t="n">
        <x:f>Source!F1716/100</x:f>
        <x:v>0</x:v>
      </x:c>
      <x:c r="G1722" s="8" t="n">
        <x:f>Source!G1716/100</x:f>
        <x:v>226.16</x:v>
      </x:c>
      <x:c r="H1722" s="8" t="n">
        <x:f>G1722-D1722</x:f>
        <x:v>113.08</x:v>
      </x:c>
      <x:c r="I1722" s="1" t="str">
        <x:f>IF(H1722&gt;0,"Overbilled","Shortfall")</x:f>
        <x:v>Overbilled</x:v>
      </x:c>
      <x:c r="J1722" s="7"/>
      <x:c r="K1722" s="7" t="str">
        <x:v>Open</x:v>
      </x:c>
      <x:c r="L1722" s="7"/>
    </x:row>
    <x:row r="1723" ht="21" customHeight="1">
      <x:c r="A1723" s="1" t="str">
        <x:f>Source!A1717</x:f>
        <x:v>C0004409</x:v>
      </x:c>
      <x:c r="B1723" s="1" t="str">
        <x:f>_xlfn.IFNA(VLOOKUP(Source!B1717,Advertisers!$A$5:$B$34,2,FALSE),"Missing advertiser")</x:f>
        <x:v>Synthetic advertiser 17</x:v>
      </x:c>
      <x:c r="C1723" s="1" t="n">
        <x:f>Source!C1717</x:f>
        <x:v>47</x:v>
      </x:c>
      <x:c r="D1723" s="8" t="n">
        <x:f>Source!D1717/100</x:f>
        <x:v>113.08</x:v>
      </x:c>
      <x:c r="E1723" s="8" t="n">
        <x:f>Source!E1717/100</x:f>
        <x:v>0</x:v>
      </x:c>
      <x:c r="F1723" s="8" t="n">
        <x:f>Source!F1717/100</x:f>
        <x:v>0</x:v>
      </x:c>
      <x:c r="G1723" s="8" t="n">
        <x:f>Source!G1717/100</x:f>
        <x:v>0</x:v>
      </x:c>
      <x:c r="H1723" s="8" t="n">
        <x:f>G1723-D1723</x:f>
        <x:v>-113.08</x:v>
      </x:c>
      <x:c r="I1723" s="1" t="str">
        <x:f>IF(H1723&gt;0,"Overbilled","Shortfall")</x:f>
        <x:v>Shortfall</x:v>
      </x:c>
      <x:c r="J1723" s="7"/>
      <x:c r="K1723" s="7" t="str">
        <x:v>Open</x:v>
      </x:c>
      <x:c r="L1723" s="7"/>
    </x:row>
    <x:row r="1724" ht="21" customHeight="1">
      <x:c r="A1724" s="1" t="str">
        <x:f>Source!A1718</x:f>
        <x:v>C0001003</x:v>
      </x:c>
      <x:c r="B1724" s="1" t="str">
        <x:f>_xlfn.IFNA(VLOOKUP(Source!B1718,Advertisers!$A$5:$B$34,2,FALSE),"Missing advertiser")</x:f>
        <x:v>Synthetic advertiser 17</x:v>
      </x:c>
      <x:c r="C1724" s="1" t="n">
        <x:f>Source!C1718</x:f>
        <x:v>47</x:v>
      </x:c>
      <x:c r="D1724" s="8" t="n">
        <x:f>Source!D1718/100</x:f>
        <x:v>113.08</x:v>
      </x:c>
      <x:c r="E1724" s="8" t="n">
        <x:f>Source!E1718/100</x:f>
        <x:v>226.16</x:v>
      </x:c>
      <x:c r="F1724" s="8" t="n">
        <x:f>Source!F1718/100</x:f>
        <x:v>0</x:v>
      </x:c>
      <x:c r="G1724" s="8" t="n">
        <x:f>Source!G1718/100</x:f>
        <x:v>226.16</x:v>
      </x:c>
      <x:c r="H1724" s="8" t="n">
        <x:f>G1724-D1724</x:f>
        <x:v>113.08</x:v>
      </x:c>
      <x:c r="I1724" s="1" t="str">
        <x:f>IF(H1724&gt;0,"Overbilled","Shortfall")</x:f>
        <x:v>Overbilled</x:v>
      </x:c>
      <x:c r="J1724" s="7"/>
      <x:c r="K1724" s="7" t="str">
        <x:v>Open</x:v>
      </x:c>
      <x:c r="L1724" s="7"/>
    </x:row>
    <x:row r="1725" ht="21" customHeight="1">
      <x:c r="A1725" s="1" t="str">
        <x:f>Source!A1719</x:f>
        <x:v>C0015364</x:v>
      </x:c>
      <x:c r="B1725" s="1" t="str">
        <x:f>_xlfn.IFNA(VLOOKUP(Source!B1719,Advertisers!$A$5:$B$34,2,FALSE),"Missing advertiser")</x:f>
        <x:v>Synthetic advertiser 14</x:v>
      </x:c>
      <x:c r="C1725" s="1" t="n">
        <x:f>Source!C1719</x:f>
        <x:v>44</x:v>
      </x:c>
      <x:c r="D1725" s="8" t="n">
        <x:f>Source!D1719/100</x:f>
        <x:v>112.89</x:v>
      </x:c>
      <x:c r="E1725" s="8" t="n">
        <x:f>Source!E1719/100</x:f>
        <x:v>0</x:v>
      </x:c>
      <x:c r="F1725" s="8" t="n">
        <x:f>Source!F1719/100</x:f>
        <x:v>0</x:v>
      </x:c>
      <x:c r="G1725" s="8" t="n">
        <x:f>Source!G1719/100</x:f>
        <x:v>0</x:v>
      </x:c>
      <x:c r="H1725" s="8" t="n">
        <x:f>G1725-D1725</x:f>
        <x:v>-112.89</x:v>
      </x:c>
      <x:c r="I1725" s="1" t="str">
        <x:f>IF(H1725&gt;0,"Overbilled","Shortfall")</x:f>
        <x:v>Shortfall</x:v>
      </x:c>
      <x:c r="J1725" s="7"/>
      <x:c r="K1725" s="7" t="str">
        <x:v>Open</x:v>
      </x:c>
      <x:c r="L1725" s="7"/>
    </x:row>
    <x:row r="1726" ht="21" customHeight="1">
      <x:c r="A1726" s="1" t="str">
        <x:f>Source!A1720</x:f>
        <x:v>C0005208</x:v>
      </x:c>
      <x:c r="B1726" s="1" t="str">
        <x:f>_xlfn.IFNA(VLOOKUP(Source!B1720,Advertisers!$A$5:$B$34,2,FALSE),"Missing advertiser")</x:f>
        <x:v>Synthetic advertiser 14</x:v>
      </x:c>
      <x:c r="C1726" s="1" t="n">
        <x:f>Source!C1720</x:f>
        <x:v>44</x:v>
      </x:c>
      <x:c r="D1726" s="8" t="n">
        <x:f>Source!D1720/100</x:f>
        <x:v>0</x:v>
      </x:c>
      <x:c r="E1726" s="8" t="n">
        <x:f>Source!E1720/100</x:f>
        <x:v>112.89</x:v>
      </x:c>
      <x:c r="F1726" s="8" t="n">
        <x:f>Source!F1720/100</x:f>
        <x:v>0</x:v>
      </x:c>
      <x:c r="G1726" s="8" t="n">
        <x:f>Source!G1720/100</x:f>
        <x:v>112.89</x:v>
      </x:c>
      <x:c r="H1726" s="8" t="n">
        <x:f>G1726-D1726</x:f>
        <x:v>112.89</x:v>
      </x:c>
      <x:c r="I1726" s="1" t="str">
        <x:f>IF(H1726&gt;0,"Overbilled","Shortfall")</x:f>
        <x:v>Overbilled</x:v>
      </x:c>
      <x:c r="J1726" s="7"/>
      <x:c r="K1726" s="7" t="str">
        <x:v>Open</x:v>
      </x:c>
      <x:c r="L1726" s="7"/>
    </x:row>
    <x:row r="1727" ht="21" customHeight="1">
      <x:c r="A1727" s="1" t="str">
        <x:f>Source!A1721</x:f>
        <x:v>C0016544</x:v>
      </x:c>
      <x:c r="B1727" s="1" t="str">
        <x:f>_xlfn.IFNA(VLOOKUP(Source!B1721,Advertisers!$A$5:$B$34,2,FALSE),"Missing advertiser")</x:f>
        <x:v>Synthetic advertiser 14</x:v>
      </x:c>
      <x:c r="C1727" s="1" t="n">
        <x:f>Source!C1721</x:f>
        <x:v>44</x:v>
      </x:c>
      <x:c r="D1727" s="8" t="n">
        <x:f>Source!D1721/100</x:f>
        <x:v>112.89</x:v>
      </x:c>
      <x:c r="E1727" s="8" t="n">
        <x:f>Source!E1721/100</x:f>
        <x:v>0</x:v>
      </x:c>
      <x:c r="F1727" s="8" t="n">
        <x:f>Source!F1721/100</x:f>
        <x:v>0</x:v>
      </x:c>
      <x:c r="G1727" s="8" t="n">
        <x:f>Source!G1721/100</x:f>
        <x:v>0</x:v>
      </x:c>
      <x:c r="H1727" s="8" t="n">
        <x:f>G1727-D1727</x:f>
        <x:v>-112.89</x:v>
      </x:c>
      <x:c r="I1727" s="1" t="str">
        <x:f>IF(H1727&gt;0,"Overbilled","Shortfall")</x:f>
        <x:v>Shortfall</x:v>
      </x:c>
      <x:c r="J1727" s="7"/>
      <x:c r="K1727" s="7" t="str">
        <x:v>Open</x:v>
      </x:c>
      <x:c r="L1727" s="7"/>
    </x:row>
    <x:row r="1728" ht="21" customHeight="1">
      <x:c r="A1728" s="1" t="str">
        <x:f>Source!A1722</x:f>
        <x:v>C0013279</x:v>
      </x:c>
      <x:c r="B1728" s="1" t="str">
        <x:f>_xlfn.IFNA(VLOOKUP(Source!B1722,Advertisers!$A$5:$B$34,2,FALSE),"Missing advertiser")</x:f>
        <x:v>Synthetic advertiser 14</x:v>
      </x:c>
      <x:c r="C1728" s="1" t="n">
        <x:f>Source!C1722</x:f>
        <x:v>44</x:v>
      </x:c>
      <x:c r="D1728" s="8" t="n">
        <x:f>Source!D1722/100</x:f>
        <x:v>112.89</x:v>
      </x:c>
      <x:c r="E1728" s="8" t="n">
        <x:f>Source!E1722/100</x:f>
        <x:v>0</x:v>
      </x:c>
      <x:c r="F1728" s="8" t="n">
        <x:f>Source!F1722/100</x:f>
        <x:v>0</x:v>
      </x:c>
      <x:c r="G1728" s="8" t="n">
        <x:f>Source!G1722/100</x:f>
        <x:v>0</x:v>
      </x:c>
      <x:c r="H1728" s="8" t="n">
        <x:f>G1728-D1728</x:f>
        <x:v>-112.89</x:v>
      </x:c>
      <x:c r="I1728" s="1" t="str">
        <x:f>IF(H1728&gt;0,"Overbilled","Shortfall")</x:f>
        <x:v>Shortfall</x:v>
      </x:c>
      <x:c r="J1728" s="7"/>
      <x:c r="K1728" s="7" t="str">
        <x:v>Open</x:v>
      </x:c>
      <x:c r="L1728" s="7"/>
    </x:row>
    <x:row r="1729" ht="21" customHeight="1">
      <x:c r="A1729" s="1" t="str">
        <x:f>Source!A1723</x:f>
        <x:v>C0004787</x:v>
      </x:c>
      <x:c r="B1729" s="1" t="str">
        <x:f>_xlfn.IFNA(VLOOKUP(Source!B1723,Advertisers!$A$5:$B$34,2,FALSE),"Missing advertiser")</x:f>
        <x:v>Synthetic advertiser 14</x:v>
      </x:c>
      <x:c r="C1729" s="1" t="n">
        <x:f>Source!C1723</x:f>
        <x:v>44</x:v>
      </x:c>
      <x:c r="D1729" s="8" t="n">
        <x:f>Source!D1723/100</x:f>
        <x:v>112.89</x:v>
      </x:c>
      <x:c r="E1729" s="8" t="n">
        <x:f>Source!E1723/100</x:f>
        <x:v>225.78</x:v>
      </x:c>
      <x:c r="F1729" s="8" t="n">
        <x:f>Source!F1723/100</x:f>
        <x:v>0</x:v>
      </x:c>
      <x:c r="G1729" s="8" t="n">
        <x:f>Source!G1723/100</x:f>
        <x:v>225.78</x:v>
      </x:c>
      <x:c r="H1729" s="8" t="n">
        <x:f>G1729-D1729</x:f>
        <x:v>112.89</x:v>
      </x:c>
      <x:c r="I1729" s="1" t="str">
        <x:f>IF(H1729&gt;0,"Overbilled","Shortfall")</x:f>
        <x:v>Overbilled</x:v>
      </x:c>
      <x:c r="J1729" s="7"/>
      <x:c r="K1729" s="7" t="str">
        <x:v>Open</x:v>
      </x:c>
      <x:c r="L1729" s="7"/>
    </x:row>
    <x:row r="1730" ht="21" customHeight="1">
      <x:c r="A1730" s="1" t="str">
        <x:f>Source!A1724</x:f>
        <x:v>C0006322</x:v>
      </x:c>
      <x:c r="B1730" s="1" t="str">
        <x:f>_xlfn.IFNA(VLOOKUP(Source!B1724,Advertisers!$A$5:$B$34,2,FALSE),"Missing advertiser")</x:f>
        <x:v>Synthetic advertiser 26</x:v>
      </x:c>
      <x:c r="C1730" s="1" t="n">
        <x:f>Source!C1724</x:f>
        <x:v>86</x:v>
      </x:c>
      <x:c r="D1730" s="8" t="n">
        <x:f>Source!D1724/100</x:f>
        <x:v>112.51</x:v>
      </x:c>
      <x:c r="E1730" s="8" t="n">
        <x:f>Source!E1724/100</x:f>
        <x:v>225.02</x:v>
      </x:c>
      <x:c r="F1730" s="8" t="n">
        <x:f>Source!F1724/100</x:f>
        <x:v>0</x:v>
      </x:c>
      <x:c r="G1730" s="8" t="n">
        <x:f>Source!G1724/100</x:f>
        <x:v>225.02</x:v>
      </x:c>
      <x:c r="H1730" s="8" t="n">
        <x:f>G1730-D1730</x:f>
        <x:v>112.51</x:v>
      </x:c>
      <x:c r="I1730" s="1" t="str">
        <x:f>IF(H1730&gt;0,"Overbilled","Shortfall")</x:f>
        <x:v>Overbilled</x:v>
      </x:c>
      <x:c r="J1730" s="7"/>
      <x:c r="K1730" s="7" t="str">
        <x:v>Open</x:v>
      </x:c>
      <x:c r="L1730" s="7"/>
    </x:row>
    <x:row r="1731" ht="21" customHeight="1">
      <x:c r="A1731" s="1" t="str">
        <x:f>Source!A1725</x:f>
        <x:v>C0012218</x:v>
      </x:c>
      <x:c r="B1731" s="1" t="str">
        <x:f>_xlfn.IFNA(VLOOKUP(Source!B1725,Advertisers!$A$5:$B$34,2,FALSE),"Missing advertiser")</x:f>
        <x:v>Synthetic advertiser 26</x:v>
      </x:c>
      <x:c r="C1731" s="1" t="n">
        <x:f>Source!C1725</x:f>
        <x:v>86</x:v>
      </x:c>
      <x:c r="D1731" s="8" t="n">
        <x:f>Source!D1725/100</x:f>
        <x:v>112.51</x:v>
      </x:c>
      <x:c r="E1731" s="8" t="n">
        <x:f>Source!E1725/100</x:f>
        <x:v>225.02</x:v>
      </x:c>
      <x:c r="F1731" s="8" t="n">
        <x:f>Source!F1725/100</x:f>
        <x:v>0</x:v>
      </x:c>
      <x:c r="G1731" s="8" t="n">
        <x:f>Source!G1725/100</x:f>
        <x:v>225.02</x:v>
      </x:c>
      <x:c r="H1731" s="8" t="n">
        <x:f>G1731-D1731</x:f>
        <x:v>112.51</x:v>
      </x:c>
      <x:c r="I1731" s="1" t="str">
        <x:f>IF(H1731&gt;0,"Overbilled","Shortfall")</x:f>
        <x:v>Overbilled</x:v>
      </x:c>
      <x:c r="J1731" s="7"/>
      <x:c r="K1731" s="7" t="str">
        <x:v>Open</x:v>
      </x:c>
      <x:c r="L1731" s="7"/>
    </x:row>
    <x:row r="1732" ht="21" customHeight="1">
      <x:c r="A1732" s="1" t="str">
        <x:f>Source!A1726</x:f>
        <x:v>C0017009</x:v>
      </x:c>
      <x:c r="B1732" s="1" t="str">
        <x:f>_xlfn.IFNA(VLOOKUP(Source!B1726,Advertisers!$A$5:$B$34,2,FALSE),"Missing advertiser")</x:f>
        <x:v>Synthetic advertiser 26</x:v>
      </x:c>
      <x:c r="C1732" s="1" t="n">
        <x:f>Source!C1726</x:f>
        <x:v>86</x:v>
      </x:c>
      <x:c r="D1732" s="8" t="n">
        <x:f>Source!D1726/100</x:f>
        <x:v>112.51</x:v>
      </x:c>
      <x:c r="E1732" s="8" t="n">
        <x:f>Source!E1726/100</x:f>
        <x:v>225.02</x:v>
      </x:c>
      <x:c r="F1732" s="8" t="n">
        <x:f>Source!F1726/100</x:f>
        <x:v>0</x:v>
      </x:c>
      <x:c r="G1732" s="8" t="n">
        <x:f>Source!G1726/100</x:f>
        <x:v>225.02</x:v>
      </x:c>
      <x:c r="H1732" s="8" t="n">
        <x:f>G1732-D1732</x:f>
        <x:v>112.51</x:v>
      </x:c>
      <x:c r="I1732" s="1" t="str">
        <x:f>IF(H1732&gt;0,"Overbilled","Shortfall")</x:f>
        <x:v>Overbilled</x:v>
      </x:c>
      <x:c r="J1732" s="7"/>
      <x:c r="K1732" s="7" t="str">
        <x:v>Open</x:v>
      </x:c>
      <x:c r="L1732" s="7"/>
    </x:row>
    <x:row r="1733" ht="21" customHeight="1">
      <x:c r="A1733" s="1" t="str">
        <x:f>Source!A1727</x:f>
        <x:v>C0003573</x:v>
      </x:c>
      <x:c r="B1733" s="1" t="str">
        <x:f>_xlfn.IFNA(VLOOKUP(Source!B1727,Advertisers!$A$5:$B$34,2,FALSE),"Missing advertiser")</x:f>
        <x:v>Synthetic advertiser 26</x:v>
      </x:c>
      <x:c r="C1733" s="1" t="n">
        <x:f>Source!C1727</x:f>
        <x:v>86</x:v>
      </x:c>
      <x:c r="D1733" s="8" t="n">
        <x:f>Source!D1727/100</x:f>
        <x:v>112.51</x:v>
      </x:c>
      <x:c r="E1733" s="8" t="n">
        <x:f>Source!E1727/100</x:f>
        <x:v>225.02</x:v>
      </x:c>
      <x:c r="F1733" s="8" t="n">
        <x:f>Source!F1727/100</x:f>
        <x:v>0</x:v>
      </x:c>
      <x:c r="G1733" s="8" t="n">
        <x:f>Source!G1727/100</x:f>
        <x:v>225.02</x:v>
      </x:c>
      <x:c r="H1733" s="8" t="n">
        <x:f>G1733-D1733</x:f>
        <x:v>112.51</x:v>
      </x:c>
      <x:c r="I1733" s="1" t="str">
        <x:f>IF(H1733&gt;0,"Overbilled","Shortfall")</x:f>
        <x:v>Overbilled</x:v>
      </x:c>
      <x:c r="J1733" s="7"/>
      <x:c r="K1733" s="7" t="str">
        <x:v>Open</x:v>
      </x:c>
      <x:c r="L1733" s="7"/>
    </x:row>
    <x:row r="1734" ht="21" customHeight="1">
      <x:c r="A1734" s="1" t="str">
        <x:f>Source!A1728</x:f>
        <x:v>C0011246</x:v>
      </x:c>
      <x:c r="B1734" s="1" t="str">
        <x:f>_xlfn.IFNA(VLOOKUP(Source!B1728,Advertisers!$A$5:$B$34,2,FALSE),"Missing advertiser")</x:f>
        <x:v>Synthetic advertiser 26</x:v>
      </x:c>
      <x:c r="C1734" s="1" t="n">
        <x:f>Source!C1728</x:f>
        <x:v>86</x:v>
      </x:c>
      <x:c r="D1734" s="8" t="n">
        <x:f>Source!D1728/100</x:f>
        <x:v>112.51</x:v>
      </x:c>
      <x:c r="E1734" s="8" t="n">
        <x:f>Source!E1728/100</x:f>
        <x:v>225.02</x:v>
      </x:c>
      <x:c r="F1734" s="8" t="n">
        <x:f>Source!F1728/100</x:f>
        <x:v>0</x:v>
      </x:c>
      <x:c r="G1734" s="8" t="n">
        <x:f>Source!G1728/100</x:f>
        <x:v>225.02</x:v>
      </x:c>
      <x:c r="H1734" s="8" t="n">
        <x:f>G1734-D1734</x:f>
        <x:v>112.51</x:v>
      </x:c>
      <x:c r="I1734" s="1" t="str">
        <x:f>IF(H1734&gt;0,"Overbilled","Shortfall")</x:f>
        <x:v>Overbilled</x:v>
      </x:c>
      <x:c r="J1734" s="7"/>
      <x:c r="K1734" s="7" t="str">
        <x:v>Open</x:v>
      </x:c>
      <x:c r="L1734" s="7"/>
    </x:row>
    <x:row r="1735" ht="21" customHeight="1">
      <x:c r="A1735" s="1" t="str">
        <x:f>Source!A1729</x:f>
        <x:v>C0005157</x:v>
      </x:c>
      <x:c r="B1735" s="1" t="str">
        <x:f>_xlfn.IFNA(VLOOKUP(Source!B1729,Advertisers!$A$5:$B$34,2,FALSE),"Missing advertiser")</x:f>
        <x:v>Synthetic advertiser 26</x:v>
      </x:c>
      <x:c r="C1735" s="1" t="n">
        <x:f>Source!C1729</x:f>
        <x:v>86</x:v>
      </x:c>
      <x:c r="D1735" s="8" t="n">
        <x:f>Source!D1729/100</x:f>
        <x:v>112.51</x:v>
      </x:c>
      <x:c r="E1735" s="8" t="n">
        <x:f>Source!E1729/100</x:f>
        <x:v>0</x:v>
      </x:c>
      <x:c r="F1735" s="8" t="n">
        <x:f>Source!F1729/100</x:f>
        <x:v>0</x:v>
      </x:c>
      <x:c r="G1735" s="8" t="n">
        <x:f>Source!G1729/100</x:f>
        <x:v>0</x:v>
      </x:c>
      <x:c r="H1735" s="8" t="n">
        <x:f>G1735-D1735</x:f>
        <x:v>-112.51</x:v>
      </x:c>
      <x:c r="I1735" s="1" t="str">
        <x:f>IF(H1735&gt;0,"Overbilled","Shortfall")</x:f>
        <x:v>Shortfall</x:v>
      </x:c>
      <x:c r="J1735" s="7"/>
      <x:c r="K1735" s="7" t="str">
        <x:v>Open</x:v>
      </x:c>
      <x:c r="L1735" s="7"/>
    </x:row>
    <x:row r="1736" ht="21" customHeight="1">
      <x:c r="A1736" s="1" t="str">
        <x:f>Source!A1730</x:f>
        <x:v>C0017183</x:v>
      </x:c>
      <x:c r="B1736" s="1" t="str">
        <x:f>_xlfn.IFNA(VLOOKUP(Source!B1730,Advertisers!$A$5:$B$34,2,FALSE),"Missing advertiser")</x:f>
        <x:v>Synthetic advertiser 26</x:v>
      </x:c>
      <x:c r="C1736" s="1" t="n">
        <x:f>Source!C1730</x:f>
        <x:v>86</x:v>
      </x:c>
      <x:c r="D1736" s="8" t="n">
        <x:f>Source!D1730/100</x:f>
        <x:v>112.51</x:v>
      </x:c>
      <x:c r="E1736" s="8" t="n">
        <x:f>Source!E1730/100</x:f>
        <x:v>0</x:v>
      </x:c>
      <x:c r="F1736" s="8" t="n">
        <x:f>Source!F1730/100</x:f>
        <x:v>0</x:v>
      </x:c>
      <x:c r="G1736" s="8" t="n">
        <x:f>Source!G1730/100</x:f>
        <x:v>0</x:v>
      </x:c>
      <x:c r="H1736" s="8" t="n">
        <x:f>G1736-D1736</x:f>
        <x:v>-112.51</x:v>
      </x:c>
      <x:c r="I1736" s="1" t="str">
        <x:f>IF(H1736&gt;0,"Overbilled","Shortfall")</x:f>
        <x:v>Shortfall</x:v>
      </x:c>
      <x:c r="J1736" s="7"/>
      <x:c r="K1736" s="7" t="str">
        <x:v>Open</x:v>
      </x:c>
      <x:c r="L1736" s="7"/>
    </x:row>
    <x:row r="1737" ht="21" customHeight="1">
      <x:c r="A1737" s="1" t="str">
        <x:f>Source!A1731</x:f>
        <x:v>C0015748</x:v>
      </x:c>
      <x:c r="B1737" s="1" t="str">
        <x:f>_xlfn.IFNA(VLOOKUP(Source!B1731,Advertisers!$A$5:$B$34,2,FALSE),"Missing advertiser")</x:f>
        <x:v>Synthetic advertiser 26</x:v>
      </x:c>
      <x:c r="C1737" s="1" t="n">
        <x:f>Source!C1731</x:f>
        <x:v>86</x:v>
      </x:c>
      <x:c r="D1737" s="8" t="n">
        <x:f>Source!D1731/100</x:f>
        <x:v>112.51</x:v>
      </x:c>
      <x:c r="E1737" s="8" t="n">
        <x:f>Source!E1731/100</x:f>
        <x:v>225.02</x:v>
      </x:c>
      <x:c r="F1737" s="8" t="n">
        <x:f>Source!F1731/100</x:f>
        <x:v>0</x:v>
      </x:c>
      <x:c r="G1737" s="8" t="n">
        <x:f>Source!G1731/100</x:f>
        <x:v>225.02</x:v>
      </x:c>
      <x:c r="H1737" s="8" t="n">
        <x:f>G1737-D1737</x:f>
        <x:v>112.51</x:v>
      </x:c>
      <x:c r="I1737" s="1" t="str">
        <x:f>IF(H1737&gt;0,"Overbilled","Shortfall")</x:f>
        <x:v>Overbilled</x:v>
      </x:c>
      <x:c r="J1737" s="7"/>
      <x:c r="K1737" s="7" t="str">
        <x:v>Open</x:v>
      </x:c>
      <x:c r="L1737" s="7"/>
    </x:row>
    <x:row r="1738" ht="21" customHeight="1">
      <x:c r="A1738" s="1" t="str">
        <x:f>Source!A1732</x:f>
        <x:v>C0017923</x:v>
      </x:c>
      <x:c r="B1738" s="1" t="str">
        <x:f>_xlfn.IFNA(VLOOKUP(Source!B1732,Advertisers!$A$5:$B$34,2,FALSE),"Missing advertiser")</x:f>
        <x:v>Synthetic advertiser 5</x:v>
      </x:c>
      <x:c r="C1738" s="1" t="n">
        <x:f>Source!C1732</x:f>
        <x:v>65</x:v>
      </x:c>
      <x:c r="D1738" s="8" t="n">
        <x:f>Source!D1732/100</x:f>
        <x:v>111.27</x:v>
      </x:c>
      <x:c r="E1738" s="8" t="n">
        <x:f>Source!E1732/100</x:f>
        <x:v>222.54</x:v>
      </x:c>
      <x:c r="F1738" s="8" t="n">
        <x:f>Source!F1732/100</x:f>
        <x:v>0</x:v>
      </x:c>
      <x:c r="G1738" s="8" t="n">
        <x:f>Source!G1732/100</x:f>
        <x:v>222.54</x:v>
      </x:c>
      <x:c r="H1738" s="8" t="n">
        <x:f>G1738-D1738</x:f>
        <x:v>111.27</x:v>
      </x:c>
      <x:c r="I1738" s="1" t="str">
        <x:f>IF(H1738&gt;0,"Overbilled","Shortfall")</x:f>
        <x:v>Overbilled</x:v>
      </x:c>
      <x:c r="J1738" s="7"/>
      <x:c r="K1738" s="7" t="str">
        <x:v>Open</x:v>
      </x:c>
      <x:c r="L1738" s="7"/>
    </x:row>
    <x:row r="1739" ht="21" customHeight="1">
      <x:c r="A1739" s="1" t="str">
        <x:f>Source!A1733</x:f>
        <x:v>C0013754</x:v>
      </x:c>
      <x:c r="B1739" s="1" t="str">
        <x:f>_xlfn.IFNA(VLOOKUP(Source!B1733,Advertisers!$A$5:$B$34,2,FALSE),"Missing advertiser")</x:f>
        <x:v>Synthetic advertiser 5</x:v>
      </x:c>
      <x:c r="C1739" s="1" t="n">
        <x:f>Source!C1733</x:f>
        <x:v>65</x:v>
      </x:c>
      <x:c r="D1739" s="8" t="n">
        <x:f>Source!D1733/100</x:f>
        <x:v>111.27</x:v>
      </x:c>
      <x:c r="E1739" s="8" t="n">
        <x:f>Source!E1733/100</x:f>
        <x:v>222.54</x:v>
      </x:c>
      <x:c r="F1739" s="8" t="n">
        <x:f>Source!F1733/100</x:f>
        <x:v>0</x:v>
      </x:c>
      <x:c r="G1739" s="8" t="n">
        <x:f>Source!G1733/100</x:f>
        <x:v>222.54</x:v>
      </x:c>
      <x:c r="H1739" s="8" t="n">
        <x:f>G1739-D1739</x:f>
        <x:v>111.27</x:v>
      </x:c>
      <x:c r="I1739" s="1" t="str">
        <x:f>IF(H1739&gt;0,"Overbilled","Shortfall")</x:f>
        <x:v>Overbilled</x:v>
      </x:c>
      <x:c r="J1739" s="7"/>
      <x:c r="K1739" s="7" t="str">
        <x:v>Open</x:v>
      </x:c>
      <x:c r="L1739" s="7"/>
    </x:row>
    <x:row r="1740" ht="21" customHeight="1">
      <x:c r="A1740" s="1" t="str">
        <x:f>Source!A1734</x:f>
        <x:v>C0010349</x:v>
      </x:c>
      <x:c r="B1740" s="1" t="str">
        <x:f>_xlfn.IFNA(VLOOKUP(Source!B1734,Advertisers!$A$5:$B$34,2,FALSE),"Missing advertiser")</x:f>
        <x:v>Synthetic advertiser 5</x:v>
      </x:c>
      <x:c r="C1740" s="1" t="n">
        <x:f>Source!C1734</x:f>
        <x:v>65</x:v>
      </x:c>
      <x:c r="D1740" s="8" t="n">
        <x:f>Source!D1734/100</x:f>
        <x:v>0</x:v>
      </x:c>
      <x:c r="E1740" s="8" t="n">
        <x:f>Source!E1734/100</x:f>
        <x:v>111.27</x:v>
      </x:c>
      <x:c r="F1740" s="8" t="n">
        <x:f>Source!F1734/100</x:f>
        <x:v>0</x:v>
      </x:c>
      <x:c r="G1740" s="8" t="n">
        <x:f>Source!G1734/100</x:f>
        <x:v>111.27</x:v>
      </x:c>
      <x:c r="H1740" s="8" t="n">
        <x:f>G1740-D1740</x:f>
        <x:v>111.27</x:v>
      </x:c>
      <x:c r="I1740" s="1" t="str">
        <x:f>IF(H1740&gt;0,"Overbilled","Shortfall")</x:f>
        <x:v>Overbilled</x:v>
      </x:c>
      <x:c r="J1740" s="7"/>
      <x:c r="K1740" s="7" t="str">
        <x:v>Open</x:v>
      </x:c>
      <x:c r="L1740" s="7"/>
    </x:row>
    <x:row r="1741" ht="21" customHeight="1">
      <x:c r="A1741" s="1" t="str">
        <x:f>Source!A1735</x:f>
        <x:v>C0008429</x:v>
      </x:c>
      <x:c r="B1741" s="1" t="str">
        <x:f>_xlfn.IFNA(VLOOKUP(Source!B1735,Advertisers!$A$5:$B$34,2,FALSE),"Missing advertiser")</x:f>
        <x:v>Synthetic advertiser 5</x:v>
      </x:c>
      <x:c r="C1741" s="1" t="n">
        <x:f>Source!C1735</x:f>
        <x:v>65</x:v>
      </x:c>
      <x:c r="D1741" s="8" t="n">
        <x:f>Source!D1735/100</x:f>
        <x:v>111.27</x:v>
      </x:c>
      <x:c r="E1741" s="8" t="n">
        <x:f>Source!E1735/100</x:f>
        <x:v>222.54</x:v>
      </x:c>
      <x:c r="F1741" s="8" t="n">
        <x:f>Source!F1735/100</x:f>
        <x:v>0</x:v>
      </x:c>
      <x:c r="G1741" s="8" t="n">
        <x:f>Source!G1735/100</x:f>
        <x:v>222.54</x:v>
      </x:c>
      <x:c r="H1741" s="8" t="n">
        <x:f>G1741-D1741</x:f>
        <x:v>111.27</x:v>
      </x:c>
      <x:c r="I1741" s="1" t="str">
        <x:f>IF(H1741&gt;0,"Overbilled","Shortfall")</x:f>
        <x:v>Overbilled</x:v>
      </x:c>
      <x:c r="J1741" s="7"/>
      <x:c r="K1741" s="7" t="str">
        <x:v>Open</x:v>
      </x:c>
      <x:c r="L1741" s="7"/>
    </x:row>
    <x:row r="1742" ht="21" customHeight="1">
      <x:c r="A1742" s="1" t="str">
        <x:f>Source!A1736</x:f>
        <x:v>C0003901</x:v>
      </x:c>
      <x:c r="B1742" s="1" t="str">
        <x:f>_xlfn.IFNA(VLOOKUP(Source!B1736,Advertisers!$A$5:$B$34,2,FALSE),"Missing advertiser")</x:f>
        <x:v>Synthetic advertiser 5</x:v>
      </x:c>
      <x:c r="C1742" s="1" t="n">
        <x:f>Source!C1736</x:f>
        <x:v>65</x:v>
      </x:c>
      <x:c r="D1742" s="8" t="n">
        <x:f>Source!D1736/100</x:f>
        <x:v>111.27</x:v>
      </x:c>
      <x:c r="E1742" s="8" t="n">
        <x:f>Source!E1736/100</x:f>
        <x:v>222.54</x:v>
      </x:c>
      <x:c r="F1742" s="8" t="n">
        <x:f>Source!F1736/100</x:f>
        <x:v>0</x:v>
      </x:c>
      <x:c r="G1742" s="8" t="n">
        <x:f>Source!G1736/100</x:f>
        <x:v>222.54</x:v>
      </x:c>
      <x:c r="H1742" s="8" t="n">
        <x:f>G1742-D1742</x:f>
        <x:v>111.27</x:v>
      </x:c>
      <x:c r="I1742" s="1" t="str">
        <x:f>IF(H1742&gt;0,"Overbilled","Shortfall")</x:f>
        <x:v>Overbilled</x:v>
      </x:c>
      <x:c r="J1742" s="7"/>
      <x:c r="K1742" s="7" t="str">
        <x:v>Open</x:v>
      </x:c>
      <x:c r="L1742" s="7"/>
    </x:row>
    <x:row r="1743" ht="21" customHeight="1">
      <x:c r="A1743" s="1" t="str">
        <x:f>Source!A1737</x:f>
        <x:v>C0009886</x:v>
      </x:c>
      <x:c r="B1743" s="1" t="str">
        <x:f>_xlfn.IFNA(VLOOKUP(Source!B1737,Advertisers!$A$5:$B$34,2,FALSE),"Missing advertiser")</x:f>
        <x:v>Synthetic advertiser 26</x:v>
      </x:c>
      <x:c r="C1743" s="1" t="n">
        <x:f>Source!C1737</x:f>
        <x:v>56</x:v>
      </x:c>
      <x:c r="D1743" s="8" t="n">
        <x:f>Source!D1737/100</x:f>
        <x:v>110.94</x:v>
      </x:c>
      <x:c r="E1743" s="8" t="n">
        <x:f>Source!E1737/100</x:f>
        <x:v>221.88</x:v>
      </x:c>
      <x:c r="F1743" s="8" t="n">
        <x:f>Source!F1737/100</x:f>
        <x:v>0</x:v>
      </x:c>
      <x:c r="G1743" s="8" t="n">
        <x:f>Source!G1737/100</x:f>
        <x:v>221.88</x:v>
      </x:c>
      <x:c r="H1743" s="8" t="n">
        <x:f>G1743-D1743</x:f>
        <x:v>110.94</x:v>
      </x:c>
      <x:c r="I1743" s="1" t="str">
        <x:f>IF(H1743&gt;0,"Overbilled","Shortfall")</x:f>
        <x:v>Overbilled</x:v>
      </x:c>
      <x:c r="J1743" s="7"/>
      <x:c r="K1743" s="7" t="str">
        <x:v>Open</x:v>
      </x:c>
      <x:c r="L1743" s="7"/>
    </x:row>
    <x:row r="1744" ht="21" customHeight="1">
      <x:c r="A1744" s="1" t="str">
        <x:f>Source!A1738</x:f>
        <x:v>C0016973</x:v>
      </x:c>
      <x:c r="B1744" s="1" t="str">
        <x:f>_xlfn.IFNA(VLOOKUP(Source!B1738,Advertisers!$A$5:$B$34,2,FALSE),"Missing advertiser")</x:f>
        <x:v>Synthetic advertiser 26</x:v>
      </x:c>
      <x:c r="C1744" s="1" t="n">
        <x:f>Source!C1738</x:f>
        <x:v>56</x:v>
      </x:c>
      <x:c r="D1744" s="8" t="n">
        <x:f>Source!D1738/100</x:f>
        <x:v>110.94</x:v>
      </x:c>
      <x:c r="E1744" s="8" t="n">
        <x:f>Source!E1738/100</x:f>
        <x:v>0</x:v>
      </x:c>
      <x:c r="F1744" s="8" t="n">
        <x:f>Source!F1738/100</x:f>
        <x:v>0</x:v>
      </x:c>
      <x:c r="G1744" s="8" t="n">
        <x:f>Source!G1738/100</x:f>
        <x:v>0</x:v>
      </x:c>
      <x:c r="H1744" s="8" t="n">
        <x:f>G1744-D1744</x:f>
        <x:v>-110.94</x:v>
      </x:c>
      <x:c r="I1744" s="1" t="str">
        <x:f>IF(H1744&gt;0,"Overbilled","Shortfall")</x:f>
        <x:v>Shortfall</x:v>
      </x:c>
      <x:c r="J1744" s="7"/>
      <x:c r="K1744" s="7" t="str">
        <x:v>Open</x:v>
      </x:c>
      <x:c r="L1744" s="7"/>
    </x:row>
    <x:row r="1745" ht="21" customHeight="1">
      <x:c r="A1745" s="1" t="str">
        <x:f>Source!A1739</x:f>
        <x:v>C0016316</x:v>
      </x:c>
      <x:c r="B1745" s="1" t="str">
        <x:f>_xlfn.IFNA(VLOOKUP(Source!B1739,Advertisers!$A$5:$B$34,2,FALSE),"Missing advertiser")</x:f>
        <x:v>Synthetic advertiser 26</x:v>
      </x:c>
      <x:c r="C1745" s="1" t="n">
        <x:f>Source!C1739</x:f>
        <x:v>56</x:v>
      </x:c>
      <x:c r="D1745" s="8" t="n">
        <x:f>Source!D1739/100</x:f>
        <x:v>110.94</x:v>
      </x:c>
      <x:c r="E1745" s="8" t="n">
        <x:f>Source!E1739/100</x:f>
        <x:v>0</x:v>
      </x:c>
      <x:c r="F1745" s="8" t="n">
        <x:f>Source!F1739/100</x:f>
        <x:v>0</x:v>
      </x:c>
      <x:c r="G1745" s="8" t="n">
        <x:f>Source!G1739/100</x:f>
        <x:v>0</x:v>
      </x:c>
      <x:c r="H1745" s="8" t="n">
        <x:f>G1745-D1745</x:f>
        <x:v>-110.94</x:v>
      </x:c>
      <x:c r="I1745" s="1" t="str">
        <x:f>IF(H1745&gt;0,"Overbilled","Shortfall")</x:f>
        <x:v>Shortfall</x:v>
      </x:c>
      <x:c r="J1745" s="7"/>
      <x:c r="K1745" s="7" t="str">
        <x:v>Open</x:v>
      </x:c>
      <x:c r="L1745" s="7"/>
    </x:row>
    <x:row r="1746" ht="21" customHeight="1">
      <x:c r="A1746" s="1" t="str">
        <x:f>Source!A1740</x:f>
        <x:v>C0010987</x:v>
      </x:c>
      <x:c r="B1746" s="1" t="str">
        <x:f>_xlfn.IFNA(VLOOKUP(Source!B1740,Advertisers!$A$5:$B$34,2,FALSE),"Missing advertiser")</x:f>
        <x:v>Synthetic advertiser 26</x:v>
      </x:c>
      <x:c r="C1746" s="1" t="n">
        <x:f>Source!C1740</x:f>
        <x:v>56</x:v>
      </x:c>
      <x:c r="D1746" s="8" t="n">
        <x:f>Source!D1740/100</x:f>
        <x:v>110.94</x:v>
      </x:c>
      <x:c r="E1746" s="8" t="n">
        <x:f>Source!E1740/100</x:f>
        <x:v>0</x:v>
      </x:c>
      <x:c r="F1746" s="8" t="n">
        <x:f>Source!F1740/100</x:f>
        <x:v>0</x:v>
      </x:c>
      <x:c r="G1746" s="8" t="n">
        <x:f>Source!G1740/100</x:f>
        <x:v>0</x:v>
      </x:c>
      <x:c r="H1746" s="8" t="n">
        <x:f>G1746-D1746</x:f>
        <x:v>-110.94</x:v>
      </x:c>
      <x:c r="I1746" s="1" t="str">
        <x:f>IF(H1746&gt;0,"Overbilled","Shortfall")</x:f>
        <x:v>Shortfall</x:v>
      </x:c>
      <x:c r="J1746" s="7"/>
      <x:c r="K1746" s="7" t="str">
        <x:v>Open</x:v>
      </x:c>
      <x:c r="L1746" s="7"/>
    </x:row>
    <x:row r="1747" ht="21" customHeight="1">
      <x:c r="A1747" s="1" t="str">
        <x:f>Source!A1741</x:f>
        <x:v>C0004775</x:v>
      </x:c>
      <x:c r="B1747" s="1" t="str">
        <x:f>_xlfn.IFNA(VLOOKUP(Source!B1741,Advertisers!$A$5:$B$34,2,FALSE),"Missing advertiser")</x:f>
        <x:v>Synthetic advertiser 26</x:v>
      </x:c>
      <x:c r="C1747" s="1" t="n">
        <x:f>Source!C1741</x:f>
        <x:v>56</x:v>
      </x:c>
      <x:c r="D1747" s="8" t="n">
        <x:f>Source!D1741/100</x:f>
        <x:v>110.94</x:v>
      </x:c>
      <x:c r="E1747" s="8" t="n">
        <x:f>Source!E1741/100</x:f>
        <x:v>221.88</x:v>
      </x:c>
      <x:c r="F1747" s="8" t="n">
        <x:f>Source!F1741/100</x:f>
        <x:v>0</x:v>
      </x:c>
      <x:c r="G1747" s="8" t="n">
        <x:f>Source!G1741/100</x:f>
        <x:v>221.88</x:v>
      </x:c>
      <x:c r="H1747" s="8" t="n">
        <x:f>G1747-D1747</x:f>
        <x:v>110.94</x:v>
      </x:c>
      <x:c r="I1747" s="1" t="str">
        <x:f>IF(H1747&gt;0,"Overbilled","Shortfall")</x:f>
        <x:v>Overbilled</x:v>
      </x:c>
      <x:c r="J1747" s="7"/>
      <x:c r="K1747" s="7" t="str">
        <x:v>Open</x:v>
      </x:c>
      <x:c r="L1747" s="7"/>
    </x:row>
    <x:row r="1748" ht="21" customHeight="1">
      <x:c r="A1748" s="1" t="str">
        <x:f>Source!A1742</x:f>
        <x:v>C0000785</x:v>
      </x:c>
      <x:c r="B1748" s="1" t="str">
        <x:f>_xlfn.IFNA(VLOOKUP(Source!B1742,Advertisers!$A$5:$B$34,2,FALSE),"Missing advertiser")</x:f>
        <x:v>Synthetic advertiser 26</x:v>
      </x:c>
      <x:c r="C1748" s="1" t="n">
        <x:f>Source!C1742</x:f>
        <x:v>56</x:v>
      </x:c>
      <x:c r="D1748" s="8" t="n">
        <x:f>Source!D1742/100</x:f>
        <x:v>110.94</x:v>
      </x:c>
      <x:c r="E1748" s="8" t="n">
        <x:f>Source!E1742/100</x:f>
        <x:v>0</x:v>
      </x:c>
      <x:c r="F1748" s="8" t="n">
        <x:f>Source!F1742/100</x:f>
        <x:v>0</x:v>
      </x:c>
      <x:c r="G1748" s="8" t="n">
        <x:f>Source!G1742/100</x:f>
        <x:v>0</x:v>
      </x:c>
      <x:c r="H1748" s="8" t="n">
        <x:f>G1748-D1748</x:f>
        <x:v>-110.94</x:v>
      </x:c>
      <x:c r="I1748" s="1" t="str">
        <x:f>IF(H1748&gt;0,"Overbilled","Shortfall")</x:f>
        <x:v>Shortfall</x:v>
      </x:c>
      <x:c r="J1748" s="7"/>
      <x:c r="K1748" s="7" t="str">
        <x:v>Open</x:v>
      </x:c>
      <x:c r="L1748" s="7"/>
    </x:row>
    <x:row r="1749" ht="21" customHeight="1">
      <x:c r="A1749" s="1" t="str">
        <x:f>Source!A1743</x:f>
        <x:v>C0002274</x:v>
      </x:c>
      <x:c r="B1749" s="1" t="str">
        <x:f>_xlfn.IFNA(VLOOKUP(Source!B1743,Advertisers!$A$5:$B$34,2,FALSE),"Missing advertiser")</x:f>
        <x:v>Synthetic advertiser 26</x:v>
      </x:c>
      <x:c r="C1749" s="1" t="n">
        <x:f>Source!C1743</x:f>
        <x:v>56</x:v>
      </x:c>
      <x:c r="D1749" s="8" t="n">
        <x:f>Source!D1743/100</x:f>
        <x:v>110.94</x:v>
      </x:c>
      <x:c r="E1749" s="8" t="n">
        <x:f>Source!E1743/100</x:f>
        <x:v>221.88</x:v>
      </x:c>
      <x:c r="F1749" s="8" t="n">
        <x:f>Source!F1743/100</x:f>
        <x:v>0</x:v>
      </x:c>
      <x:c r="G1749" s="8" t="n">
        <x:f>Source!G1743/100</x:f>
        <x:v>221.88</x:v>
      </x:c>
      <x:c r="H1749" s="8" t="n">
        <x:f>G1749-D1749</x:f>
        <x:v>110.94</x:v>
      </x:c>
      <x:c r="I1749" s="1" t="str">
        <x:f>IF(H1749&gt;0,"Overbilled","Shortfall")</x:f>
        <x:v>Overbilled</x:v>
      </x:c>
      <x:c r="J1749" s="7"/>
      <x:c r="K1749" s="7" t="str">
        <x:v>Open</x:v>
      </x:c>
      <x:c r="L1749" s="7"/>
    </x:row>
    <x:row r="1750" ht="21" customHeight="1">
      <x:c r="A1750" s="1" t="str">
        <x:f>Source!A1744</x:f>
        <x:v>C0004495</x:v>
      </x:c>
      <x:c r="B1750" s="1" t="str">
        <x:f>_xlfn.IFNA(VLOOKUP(Source!B1744,Advertisers!$A$5:$B$34,2,FALSE),"Missing advertiser")</x:f>
        <x:v>Synthetic advertiser 26</x:v>
      </x:c>
      <x:c r="C1750" s="1" t="n">
        <x:f>Source!C1744</x:f>
        <x:v>56</x:v>
      </x:c>
      <x:c r="D1750" s="8" t="n">
        <x:f>Source!D1744/100</x:f>
        <x:v>110.94</x:v>
      </x:c>
      <x:c r="E1750" s="8" t="n">
        <x:f>Source!E1744/100</x:f>
        <x:v>0</x:v>
      </x:c>
      <x:c r="F1750" s="8" t="n">
        <x:f>Source!F1744/100</x:f>
        <x:v>0</x:v>
      </x:c>
      <x:c r="G1750" s="8" t="n">
        <x:f>Source!G1744/100</x:f>
        <x:v>0</x:v>
      </x:c>
      <x:c r="H1750" s="8" t="n">
        <x:f>G1750-D1750</x:f>
        <x:v>-110.94</x:v>
      </x:c>
      <x:c r="I1750" s="1" t="str">
        <x:f>IF(H1750&gt;0,"Overbilled","Shortfall")</x:f>
        <x:v>Shortfall</x:v>
      </x:c>
      <x:c r="J1750" s="7"/>
      <x:c r="K1750" s="7" t="str">
        <x:v>Open</x:v>
      </x:c>
      <x:c r="L1750" s="7"/>
    </x:row>
    <x:row r="1751" ht="21" customHeight="1">
      <x:c r="A1751" s="1" t="str">
        <x:f>Source!A1745</x:f>
        <x:v>C0010130</x:v>
      </x:c>
      <x:c r="B1751" s="1" t="str">
        <x:f>_xlfn.IFNA(VLOOKUP(Source!B1745,Advertisers!$A$5:$B$34,2,FALSE),"Missing advertiser")</x:f>
        <x:v>Synthetic advertiser 26</x:v>
      </x:c>
      <x:c r="C1751" s="1" t="n">
        <x:f>Source!C1745</x:f>
        <x:v>56</x:v>
      </x:c>
      <x:c r="D1751" s="8" t="n">
        <x:f>Source!D1745/100</x:f>
        <x:v>110.94</x:v>
      </x:c>
      <x:c r="E1751" s="8" t="n">
        <x:f>Source!E1745/100</x:f>
        <x:v>221.88</x:v>
      </x:c>
      <x:c r="F1751" s="8" t="n">
        <x:f>Source!F1745/100</x:f>
        <x:v>0</x:v>
      </x:c>
      <x:c r="G1751" s="8" t="n">
        <x:f>Source!G1745/100</x:f>
        <x:v>221.88</x:v>
      </x:c>
      <x:c r="H1751" s="8" t="n">
        <x:f>G1751-D1751</x:f>
        <x:v>110.94</x:v>
      </x:c>
      <x:c r="I1751" s="1" t="str">
        <x:f>IF(H1751&gt;0,"Overbilled","Shortfall")</x:f>
        <x:v>Overbilled</x:v>
      </x:c>
      <x:c r="J1751" s="7"/>
      <x:c r="K1751" s="7" t="str">
        <x:v>Open</x:v>
      </x:c>
      <x:c r="L1751" s="7"/>
    </x:row>
    <x:row r="1752" ht="21" customHeight="1">
      <x:c r="A1752" s="1" t="str">
        <x:f>Source!A1746</x:f>
        <x:v>C0010502</x:v>
      </x:c>
      <x:c r="B1752" s="1" t="str">
        <x:f>_xlfn.IFNA(VLOOKUP(Source!B1746,Advertisers!$A$5:$B$34,2,FALSE),"Missing advertiser")</x:f>
        <x:v>Synthetic advertiser 8</x:v>
      </x:c>
      <x:c r="C1752" s="1" t="n">
        <x:f>Source!C1746</x:f>
        <x:v>8</x:v>
      </x:c>
      <x:c r="D1752" s="8" t="n">
        <x:f>Source!D1746/100</x:f>
        <x:v>110.79</x:v>
      </x:c>
      <x:c r="E1752" s="8" t="n">
        <x:f>Source!E1746/100</x:f>
        <x:v>0</x:v>
      </x:c>
      <x:c r="F1752" s="8" t="n">
        <x:f>Source!F1746/100</x:f>
        <x:v>0</x:v>
      </x:c>
      <x:c r="G1752" s="8" t="n">
        <x:f>Source!G1746/100</x:f>
        <x:v>0</x:v>
      </x:c>
      <x:c r="H1752" s="8" t="n">
        <x:f>G1752-D1752</x:f>
        <x:v>-110.79</x:v>
      </x:c>
      <x:c r="I1752" s="1" t="str">
        <x:f>IF(H1752&gt;0,"Overbilled","Shortfall")</x:f>
        <x:v>Shortfall</x:v>
      </x:c>
      <x:c r="J1752" s="7"/>
      <x:c r="K1752" s="7" t="str">
        <x:v>Open</x:v>
      </x:c>
      <x:c r="L1752" s="7"/>
    </x:row>
    <x:row r="1753" ht="21" customHeight="1">
      <x:c r="A1753" s="1" t="str">
        <x:f>Source!A1747</x:f>
        <x:v>C0004651</x:v>
      </x:c>
      <x:c r="B1753" s="1" t="str">
        <x:f>_xlfn.IFNA(VLOOKUP(Source!B1747,Advertisers!$A$5:$B$34,2,FALSE),"Missing advertiser")</x:f>
        <x:v>Synthetic advertiser 8</x:v>
      </x:c>
      <x:c r="C1753" s="1" t="n">
        <x:f>Source!C1747</x:f>
        <x:v>8</x:v>
      </x:c>
      <x:c r="D1753" s="8" t="n">
        <x:f>Source!D1747/100</x:f>
        <x:v>110.79</x:v>
      </x:c>
      <x:c r="E1753" s="8" t="n">
        <x:f>Source!E1747/100</x:f>
        <x:v>0</x:v>
      </x:c>
      <x:c r="F1753" s="8" t="n">
        <x:f>Source!F1747/100</x:f>
        <x:v>0</x:v>
      </x:c>
      <x:c r="G1753" s="8" t="n">
        <x:f>Source!G1747/100</x:f>
        <x:v>0</x:v>
      </x:c>
      <x:c r="H1753" s="8" t="n">
        <x:f>G1753-D1753</x:f>
        <x:v>-110.79</x:v>
      </x:c>
      <x:c r="I1753" s="1" t="str">
        <x:f>IF(H1753&gt;0,"Overbilled","Shortfall")</x:f>
        <x:v>Shortfall</x:v>
      </x:c>
      <x:c r="J1753" s="7"/>
      <x:c r="K1753" s="7" t="str">
        <x:v>Open</x:v>
      </x:c>
      <x:c r="L1753" s="7"/>
    </x:row>
    <x:row r="1754" ht="21" customHeight="1">
      <x:c r="A1754" s="1" t="str">
        <x:f>Source!A1748</x:f>
        <x:v>C0004459</x:v>
      </x:c>
      <x:c r="B1754" s="1" t="str">
        <x:f>_xlfn.IFNA(VLOOKUP(Source!B1748,Advertisers!$A$5:$B$34,2,FALSE),"Missing advertiser")</x:f>
        <x:v>Synthetic advertiser 8</x:v>
      </x:c>
      <x:c r="C1754" s="1" t="n">
        <x:f>Source!C1748</x:f>
        <x:v>8</x:v>
      </x:c>
      <x:c r="D1754" s="8" t="n">
        <x:f>Source!D1748/100</x:f>
        <x:v>110.79</x:v>
      </x:c>
      <x:c r="E1754" s="8" t="n">
        <x:f>Source!E1748/100</x:f>
        <x:v>221.58</x:v>
      </x:c>
      <x:c r="F1754" s="8" t="n">
        <x:f>Source!F1748/100</x:f>
        <x:v>0</x:v>
      </x:c>
      <x:c r="G1754" s="8" t="n">
        <x:f>Source!G1748/100</x:f>
        <x:v>221.58</x:v>
      </x:c>
      <x:c r="H1754" s="8" t="n">
        <x:f>G1754-D1754</x:f>
        <x:v>110.79</x:v>
      </x:c>
      <x:c r="I1754" s="1" t="str">
        <x:f>IF(H1754&gt;0,"Overbilled","Shortfall")</x:f>
        <x:v>Overbilled</x:v>
      </x:c>
      <x:c r="J1754" s="7"/>
      <x:c r="K1754" s="7" t="str">
        <x:v>Open</x:v>
      </x:c>
      <x:c r="L1754" s="7"/>
    </x:row>
    <x:row r="1755" ht="21" customHeight="1">
      <x:c r="A1755" s="1" t="str">
        <x:f>Source!A1749</x:f>
        <x:v>C0000651</x:v>
      </x:c>
      <x:c r="B1755" s="1" t="str">
        <x:f>_xlfn.IFNA(VLOOKUP(Source!B1749,Advertisers!$A$5:$B$34,2,FALSE),"Missing advertiser")</x:f>
        <x:v>Synthetic advertiser 8</x:v>
      </x:c>
      <x:c r="C1755" s="1" t="n">
        <x:f>Source!C1749</x:f>
        <x:v>8</x:v>
      </x:c>
      <x:c r="D1755" s="8" t="n">
        <x:f>Source!D1749/100</x:f>
        <x:v>110.79</x:v>
      </x:c>
      <x:c r="E1755" s="8" t="n">
        <x:f>Source!E1749/100</x:f>
        <x:v>221.58</x:v>
      </x:c>
      <x:c r="F1755" s="8" t="n">
        <x:f>Source!F1749/100</x:f>
        <x:v>0</x:v>
      </x:c>
      <x:c r="G1755" s="8" t="n">
        <x:f>Source!G1749/100</x:f>
        <x:v>221.58</x:v>
      </x:c>
      <x:c r="H1755" s="8" t="n">
        <x:f>G1755-D1755</x:f>
        <x:v>110.79</x:v>
      </x:c>
      <x:c r="I1755" s="1" t="str">
        <x:f>IF(H1755&gt;0,"Overbilled","Shortfall")</x:f>
        <x:v>Overbilled</x:v>
      </x:c>
      <x:c r="J1755" s="7"/>
      <x:c r="K1755" s="7" t="str">
        <x:v>Open</x:v>
      </x:c>
      <x:c r="L1755" s="7"/>
    </x:row>
    <x:row r="1756" ht="21" customHeight="1">
      <x:c r="A1756" s="1" t="str">
        <x:f>Source!A1750</x:f>
        <x:v>C0004016</x:v>
      </x:c>
      <x:c r="B1756" s="1" t="str">
        <x:f>_xlfn.IFNA(VLOOKUP(Source!B1750,Advertisers!$A$5:$B$34,2,FALSE),"Missing advertiser")</x:f>
        <x:v>Synthetic advertiser 8</x:v>
      </x:c>
      <x:c r="C1756" s="1" t="n">
        <x:f>Source!C1750</x:f>
        <x:v>8</x:v>
      </x:c>
      <x:c r="D1756" s="8" t="n">
        <x:f>Source!D1750/100</x:f>
        <x:v>110.79</x:v>
      </x:c>
      <x:c r="E1756" s="8" t="n">
        <x:f>Source!E1750/100</x:f>
        <x:v>221.58</x:v>
      </x:c>
      <x:c r="F1756" s="8" t="n">
        <x:f>Source!F1750/100</x:f>
        <x:v>0</x:v>
      </x:c>
      <x:c r="G1756" s="8" t="n">
        <x:f>Source!G1750/100</x:f>
        <x:v>221.58</x:v>
      </x:c>
      <x:c r="H1756" s="8" t="n">
        <x:f>G1756-D1756</x:f>
        <x:v>110.79</x:v>
      </x:c>
      <x:c r="I1756" s="1" t="str">
        <x:f>IF(H1756&gt;0,"Overbilled","Shortfall")</x:f>
        <x:v>Overbilled</x:v>
      </x:c>
      <x:c r="J1756" s="7"/>
      <x:c r="K1756" s="7" t="str">
        <x:v>Open</x:v>
      </x:c>
      <x:c r="L1756" s="7"/>
    </x:row>
    <x:row r="1757" ht="21" customHeight="1">
      <x:c r="A1757" s="1" t="str">
        <x:f>Source!A1751</x:f>
        <x:v>C0011111</x:v>
      </x:c>
      <x:c r="B1757" s="1" t="str">
        <x:f>_xlfn.IFNA(VLOOKUP(Source!B1751,Advertisers!$A$5:$B$34,2,FALSE),"Missing advertiser")</x:f>
        <x:v>Synthetic advertiser 8</x:v>
      </x:c>
      <x:c r="C1757" s="1" t="n">
        <x:f>Source!C1751</x:f>
        <x:v>8</x:v>
      </x:c>
      <x:c r="D1757" s="8" t="n">
        <x:f>Source!D1751/100</x:f>
        <x:v>110.79</x:v>
      </x:c>
      <x:c r="E1757" s="8" t="n">
        <x:f>Source!E1751/100</x:f>
        <x:v>0</x:v>
      </x:c>
      <x:c r="F1757" s="8" t="n">
        <x:f>Source!F1751/100</x:f>
        <x:v>0</x:v>
      </x:c>
      <x:c r="G1757" s="8" t="n">
        <x:f>Source!G1751/100</x:f>
        <x:v>0</x:v>
      </x:c>
      <x:c r="H1757" s="8" t="n">
        <x:f>G1757-D1757</x:f>
        <x:v>-110.79</x:v>
      </x:c>
      <x:c r="I1757" s="1" t="str">
        <x:f>IF(H1757&gt;0,"Overbilled","Shortfall")</x:f>
        <x:v>Shortfall</x:v>
      </x:c>
      <x:c r="J1757" s="7"/>
      <x:c r="K1757" s="7" t="str">
        <x:v>Open</x:v>
      </x:c>
      <x:c r="L1757" s="7"/>
    </x:row>
    <x:row r="1758" ht="21" customHeight="1">
      <x:c r="A1758" s="1" t="str">
        <x:f>Source!A1752</x:f>
        <x:v>C0011361</x:v>
      </x:c>
      <x:c r="B1758" s="1" t="str">
        <x:f>_xlfn.IFNA(VLOOKUP(Source!B1752,Advertisers!$A$5:$B$34,2,FALSE),"Missing advertiser")</x:f>
        <x:v>Synthetic advertiser 8</x:v>
      </x:c>
      <x:c r="C1758" s="1" t="n">
        <x:f>Source!C1752</x:f>
        <x:v>8</x:v>
      </x:c>
      <x:c r="D1758" s="8" t="n">
        <x:f>Source!D1752/100</x:f>
        <x:v>110.79</x:v>
      </x:c>
      <x:c r="E1758" s="8" t="n">
        <x:f>Source!E1752/100</x:f>
        <x:v>0</x:v>
      </x:c>
      <x:c r="F1758" s="8" t="n">
        <x:f>Source!F1752/100</x:f>
        <x:v>0</x:v>
      </x:c>
      <x:c r="G1758" s="8" t="n">
        <x:f>Source!G1752/100</x:f>
        <x:v>0</x:v>
      </x:c>
      <x:c r="H1758" s="8" t="n">
        <x:f>G1758-D1758</x:f>
        <x:v>-110.79</x:v>
      </x:c>
      <x:c r="I1758" s="1" t="str">
        <x:f>IF(H1758&gt;0,"Overbilled","Shortfall")</x:f>
        <x:v>Shortfall</x:v>
      </x:c>
      <x:c r="J1758" s="7"/>
      <x:c r="K1758" s="7" t="str">
        <x:v>Open</x:v>
      </x:c>
      <x:c r="L1758" s="7"/>
    </x:row>
    <x:row r="1759" ht="21" customHeight="1">
      <x:c r="A1759" s="1" t="str">
        <x:f>Source!A1753</x:f>
        <x:v>C0017228</x:v>
      </x:c>
      <x:c r="B1759" s="1" t="str">
        <x:f>_xlfn.IFNA(VLOOKUP(Source!B1753,Advertisers!$A$5:$B$34,2,FALSE),"Missing advertiser")</x:f>
        <x:v>Synthetic advertiser 21</x:v>
      </x:c>
      <x:c r="C1759" s="1" t="n">
        <x:f>Source!C1753</x:f>
        <x:v>81</x:v>
      </x:c>
      <x:c r="D1759" s="8" t="n">
        <x:f>Source!D1753/100</x:f>
        <x:v>110.36</x:v>
      </x:c>
      <x:c r="E1759" s="8" t="n">
        <x:f>Source!E1753/100</x:f>
        <x:v>0</x:v>
      </x:c>
      <x:c r="F1759" s="8" t="n">
        <x:f>Source!F1753/100</x:f>
        <x:v>0</x:v>
      </x:c>
      <x:c r="G1759" s="8" t="n">
        <x:f>Source!G1753/100</x:f>
        <x:v>0</x:v>
      </x:c>
      <x:c r="H1759" s="8" t="n">
        <x:f>G1759-D1759</x:f>
        <x:v>-110.36</x:v>
      </x:c>
      <x:c r="I1759" s="1" t="str">
        <x:f>IF(H1759&gt;0,"Overbilled","Shortfall")</x:f>
        <x:v>Shortfall</x:v>
      </x:c>
      <x:c r="J1759" s="7"/>
      <x:c r="K1759" s="7" t="str">
        <x:v>Open</x:v>
      </x:c>
      <x:c r="L1759" s="7"/>
    </x:row>
    <x:row r="1760" ht="21" customHeight="1">
      <x:c r="A1760" s="1" t="str">
        <x:f>Source!A1754</x:f>
        <x:v>C0014702</x:v>
      </x:c>
      <x:c r="B1760" s="1" t="str">
        <x:f>_xlfn.IFNA(VLOOKUP(Source!B1754,Advertisers!$A$5:$B$34,2,FALSE),"Missing advertiser")</x:f>
        <x:v>Synthetic advertiser 21</x:v>
      </x:c>
      <x:c r="C1760" s="1" t="n">
        <x:f>Source!C1754</x:f>
        <x:v>81</x:v>
      </x:c>
      <x:c r="D1760" s="8" t="n">
        <x:f>Source!D1754/100</x:f>
        <x:v>110.36</x:v>
      </x:c>
      <x:c r="E1760" s="8" t="n">
        <x:f>Source!E1754/100</x:f>
        <x:v>220.72</x:v>
      </x:c>
      <x:c r="F1760" s="8" t="n">
        <x:f>Source!F1754/100</x:f>
        <x:v>0</x:v>
      </x:c>
      <x:c r="G1760" s="8" t="n">
        <x:f>Source!G1754/100</x:f>
        <x:v>220.72</x:v>
      </x:c>
      <x:c r="H1760" s="8" t="n">
        <x:f>G1760-D1760</x:f>
        <x:v>110.36</x:v>
      </x:c>
      <x:c r="I1760" s="1" t="str">
        <x:f>IF(H1760&gt;0,"Overbilled","Shortfall")</x:f>
        <x:v>Overbilled</x:v>
      </x:c>
      <x:c r="J1760" s="7"/>
      <x:c r="K1760" s="7" t="str">
        <x:v>Open</x:v>
      </x:c>
      <x:c r="L1760" s="7"/>
    </x:row>
    <x:row r="1761" ht="21" customHeight="1">
      <x:c r="A1761" s="1" t="str">
        <x:f>Source!A1755</x:f>
        <x:v>C0003767</x:v>
      </x:c>
      <x:c r="B1761" s="1" t="str">
        <x:f>_xlfn.IFNA(VLOOKUP(Source!B1755,Advertisers!$A$5:$B$34,2,FALSE),"Missing advertiser")</x:f>
        <x:v>Synthetic advertiser 21</x:v>
      </x:c>
      <x:c r="C1761" s="1" t="n">
        <x:f>Source!C1755</x:f>
        <x:v>81</x:v>
      </x:c>
      <x:c r="D1761" s="8" t="n">
        <x:f>Source!D1755/100</x:f>
        <x:v>110.36</x:v>
      </x:c>
      <x:c r="E1761" s="8" t="n">
        <x:f>Source!E1755/100</x:f>
        <x:v>220.72</x:v>
      </x:c>
      <x:c r="F1761" s="8" t="n">
        <x:f>Source!F1755/100</x:f>
        <x:v>0</x:v>
      </x:c>
      <x:c r="G1761" s="8" t="n">
        <x:f>Source!G1755/100</x:f>
        <x:v>220.72</x:v>
      </x:c>
      <x:c r="H1761" s="8" t="n">
        <x:f>G1761-D1761</x:f>
        <x:v>110.36</x:v>
      </x:c>
      <x:c r="I1761" s="1" t="str">
        <x:f>IF(H1761&gt;0,"Overbilled","Shortfall")</x:f>
        <x:v>Overbilled</x:v>
      </x:c>
      <x:c r="J1761" s="7"/>
      <x:c r="K1761" s="7" t="str">
        <x:v>Open</x:v>
      </x:c>
      <x:c r="L1761" s="7"/>
    </x:row>
    <x:row r="1762" ht="21" customHeight="1">
      <x:c r="A1762" s="1" t="str">
        <x:f>Source!A1756</x:f>
        <x:v>C0011230</x:v>
      </x:c>
      <x:c r="B1762" s="1" t="str">
        <x:f>_xlfn.IFNA(VLOOKUP(Source!B1756,Advertisers!$A$5:$B$34,2,FALSE),"Missing advertiser")</x:f>
        <x:v>Synthetic advertiser 21</x:v>
      </x:c>
      <x:c r="C1762" s="1" t="n">
        <x:f>Source!C1756</x:f>
        <x:v>81</x:v>
      </x:c>
      <x:c r="D1762" s="8" t="n">
        <x:f>Source!D1756/100</x:f>
        <x:v>110.36</x:v>
      </x:c>
      <x:c r="E1762" s="8" t="n">
        <x:f>Source!E1756/100</x:f>
        <x:v>0</x:v>
      </x:c>
      <x:c r="F1762" s="8" t="n">
        <x:f>Source!F1756/100</x:f>
        <x:v>0</x:v>
      </x:c>
      <x:c r="G1762" s="8" t="n">
        <x:f>Source!G1756/100</x:f>
        <x:v>0</x:v>
      </x:c>
      <x:c r="H1762" s="8" t="n">
        <x:f>G1762-D1762</x:f>
        <x:v>-110.36</x:v>
      </x:c>
      <x:c r="I1762" s="1" t="str">
        <x:f>IF(H1762&gt;0,"Overbilled","Shortfall")</x:f>
        <x:v>Shortfall</x:v>
      </x:c>
      <x:c r="J1762" s="7"/>
      <x:c r="K1762" s="7" t="str">
        <x:v>Open</x:v>
      </x:c>
      <x:c r="L1762" s="7"/>
    </x:row>
    <x:row r="1763" ht="21" customHeight="1">
      <x:c r="A1763" s="1" t="str">
        <x:f>Source!A1757</x:f>
        <x:v>C0013546</x:v>
      </x:c>
      <x:c r="B1763" s="1" t="str">
        <x:f>_xlfn.IFNA(VLOOKUP(Source!B1757,Advertisers!$A$5:$B$34,2,FALSE),"Missing advertiser")</x:f>
        <x:v>Synthetic advertiser 21</x:v>
      </x:c>
      <x:c r="C1763" s="1" t="n">
        <x:f>Source!C1757</x:f>
        <x:v>81</x:v>
      </x:c>
      <x:c r="D1763" s="8" t="n">
        <x:f>Source!D1757/100</x:f>
        <x:v>110.36</x:v>
      </x:c>
      <x:c r="E1763" s="8" t="n">
        <x:f>Source!E1757/100</x:f>
        <x:v>0</x:v>
      </x:c>
      <x:c r="F1763" s="8" t="n">
        <x:f>Source!F1757/100</x:f>
        <x:v>0</x:v>
      </x:c>
      <x:c r="G1763" s="8" t="n">
        <x:f>Source!G1757/100</x:f>
        <x:v>0</x:v>
      </x:c>
      <x:c r="H1763" s="8" t="n">
        <x:f>G1763-D1763</x:f>
        <x:v>-110.36</x:v>
      </x:c>
      <x:c r="I1763" s="1" t="str">
        <x:f>IF(H1763&gt;0,"Overbilled","Shortfall")</x:f>
        <x:v>Shortfall</x:v>
      </x:c>
      <x:c r="J1763" s="7"/>
      <x:c r="K1763" s="7" t="str">
        <x:v>Open</x:v>
      </x:c>
      <x:c r="L1763" s="7"/>
    </x:row>
    <x:row r="1764" ht="21" customHeight="1">
      <x:c r="A1764" s="1" t="str">
        <x:f>Source!A1758</x:f>
        <x:v>C0000422</x:v>
      </x:c>
      <x:c r="B1764" s="1" t="str">
        <x:f>_xlfn.IFNA(VLOOKUP(Source!B1758,Advertisers!$A$5:$B$34,2,FALSE),"Missing advertiser")</x:f>
        <x:v>Synthetic advertiser 21</x:v>
      </x:c>
      <x:c r="C1764" s="1" t="n">
        <x:f>Source!C1758</x:f>
        <x:v>81</x:v>
      </x:c>
      <x:c r="D1764" s="8" t="n">
        <x:f>Source!D1758/100</x:f>
        <x:v>110.36</x:v>
      </x:c>
      <x:c r="E1764" s="8" t="n">
        <x:f>Source!E1758/100</x:f>
        <x:v>220.72</x:v>
      </x:c>
      <x:c r="F1764" s="8" t="n">
        <x:f>Source!F1758/100</x:f>
        <x:v>0</x:v>
      </x:c>
      <x:c r="G1764" s="8" t="n">
        <x:f>Source!G1758/100</x:f>
        <x:v>220.72</x:v>
      </x:c>
      <x:c r="H1764" s="8" t="n">
        <x:f>G1764-D1764</x:f>
        <x:v>110.36</x:v>
      </x:c>
      <x:c r="I1764" s="1" t="str">
        <x:f>IF(H1764&gt;0,"Overbilled","Shortfall")</x:f>
        <x:v>Overbilled</x:v>
      </x:c>
      <x:c r="J1764" s="7"/>
      <x:c r="K1764" s="7" t="str">
        <x:v>Open</x:v>
      </x:c>
      <x:c r="L1764" s="7"/>
    </x:row>
    <x:row r="1765" ht="21" customHeight="1">
      <x:c r="A1765" s="1" t="str">
        <x:f>Source!A1759</x:f>
        <x:v>C0016853</x:v>
      </x:c>
      <x:c r="B1765" s="1" t="str">
        <x:f>_xlfn.IFNA(VLOOKUP(Source!B1759,Advertisers!$A$5:$B$34,2,FALSE),"Missing advertiser")</x:f>
        <x:v>Synthetic advertiser 26</x:v>
      </x:c>
      <x:c r="C1765" s="1" t="n">
        <x:f>Source!C1759</x:f>
        <x:v>26</x:v>
      </x:c>
      <x:c r="D1765" s="8" t="n">
        <x:f>Source!D1759/100</x:f>
        <x:v>110.19</x:v>
      </x:c>
      <x:c r="E1765" s="8" t="n">
        <x:f>Source!E1759/100</x:f>
        <x:v>220.38</x:v>
      </x:c>
      <x:c r="F1765" s="8" t="n">
        <x:f>Source!F1759/100</x:f>
        <x:v>0</x:v>
      </x:c>
      <x:c r="G1765" s="8" t="n">
        <x:f>Source!G1759/100</x:f>
        <x:v>220.38</x:v>
      </x:c>
      <x:c r="H1765" s="8" t="n">
        <x:f>G1765-D1765</x:f>
        <x:v>110.19</x:v>
      </x:c>
      <x:c r="I1765" s="1" t="str">
        <x:f>IF(H1765&gt;0,"Overbilled","Shortfall")</x:f>
        <x:v>Overbilled</x:v>
      </x:c>
      <x:c r="J1765" s="7"/>
      <x:c r="K1765" s="7" t="str">
        <x:v>Open</x:v>
      </x:c>
      <x:c r="L1765" s="7"/>
    </x:row>
    <x:row r="1766" ht="21" customHeight="1">
      <x:c r="A1766" s="1" t="str">
        <x:f>Source!A1760</x:f>
        <x:v>C0006513</x:v>
      </x:c>
      <x:c r="B1766" s="1" t="str">
        <x:f>_xlfn.IFNA(VLOOKUP(Source!B1760,Advertisers!$A$5:$B$34,2,FALSE),"Missing advertiser")</x:f>
        <x:v>Synthetic advertiser 26</x:v>
      </x:c>
      <x:c r="C1766" s="1" t="n">
        <x:f>Source!C1760</x:f>
        <x:v>26</x:v>
      </x:c>
      <x:c r="D1766" s="8" t="n">
        <x:f>Source!D1760/100</x:f>
        <x:v>110.19</x:v>
      </x:c>
      <x:c r="E1766" s="8" t="n">
        <x:f>Source!E1760/100</x:f>
        <x:v>220.38</x:v>
      </x:c>
      <x:c r="F1766" s="8" t="n">
        <x:f>Source!F1760/100</x:f>
        <x:v>0</x:v>
      </x:c>
      <x:c r="G1766" s="8" t="n">
        <x:f>Source!G1760/100</x:f>
        <x:v>220.38</x:v>
      </x:c>
      <x:c r="H1766" s="8" t="n">
        <x:f>G1766-D1766</x:f>
        <x:v>110.19</x:v>
      </x:c>
      <x:c r="I1766" s="1" t="str">
        <x:f>IF(H1766&gt;0,"Overbilled","Shortfall")</x:f>
        <x:v>Overbilled</x:v>
      </x:c>
      <x:c r="J1766" s="7"/>
      <x:c r="K1766" s="7" t="str">
        <x:v>Open</x:v>
      </x:c>
      <x:c r="L1766" s="7"/>
    </x:row>
    <x:row r="1767" ht="21" customHeight="1">
      <x:c r="A1767" s="1" t="str">
        <x:f>Source!A1761</x:f>
        <x:v>C0003890</x:v>
      </x:c>
      <x:c r="B1767" s="1" t="str">
        <x:f>_xlfn.IFNA(VLOOKUP(Source!B1761,Advertisers!$A$5:$B$34,2,FALSE),"Missing advertiser")</x:f>
        <x:v>Synthetic advertiser 26</x:v>
      </x:c>
      <x:c r="C1767" s="1" t="n">
        <x:f>Source!C1761</x:f>
        <x:v>26</x:v>
      </x:c>
      <x:c r="D1767" s="8" t="n">
        <x:f>Source!D1761/100</x:f>
        <x:v>110.19</x:v>
      </x:c>
      <x:c r="E1767" s="8" t="n">
        <x:f>Source!E1761/100</x:f>
        <x:v>220.38</x:v>
      </x:c>
      <x:c r="F1767" s="8" t="n">
        <x:f>Source!F1761/100</x:f>
        <x:v>0</x:v>
      </x:c>
      <x:c r="G1767" s="8" t="n">
        <x:f>Source!G1761/100</x:f>
        <x:v>220.38</x:v>
      </x:c>
      <x:c r="H1767" s="8" t="n">
        <x:f>G1767-D1767</x:f>
        <x:v>110.19</x:v>
      </x:c>
      <x:c r="I1767" s="1" t="str">
        <x:f>IF(H1767&gt;0,"Overbilled","Shortfall")</x:f>
        <x:v>Overbilled</x:v>
      </x:c>
      <x:c r="J1767" s="7"/>
      <x:c r="K1767" s="7" t="str">
        <x:v>Open</x:v>
      </x:c>
      <x:c r="L1767" s="7"/>
    </x:row>
    <x:row r="1768" ht="21" customHeight="1">
      <x:c r="A1768" s="1" t="str">
        <x:f>Source!A1762</x:f>
        <x:v>C0017894</x:v>
      </x:c>
      <x:c r="B1768" s="1" t="str">
        <x:f>_xlfn.IFNA(VLOOKUP(Source!B1762,Advertisers!$A$5:$B$34,2,FALSE),"Missing advertiser")</x:f>
        <x:v>Synthetic advertiser 26</x:v>
      </x:c>
      <x:c r="C1768" s="1" t="n">
        <x:f>Source!C1762</x:f>
        <x:v>26</x:v>
      </x:c>
      <x:c r="D1768" s="8" t="n">
        <x:f>Source!D1762/100</x:f>
        <x:v>110.19</x:v>
      </x:c>
      <x:c r="E1768" s="8" t="n">
        <x:f>Source!E1762/100</x:f>
        <x:v>220.38</x:v>
      </x:c>
      <x:c r="F1768" s="8" t="n">
        <x:f>Source!F1762/100</x:f>
        <x:v>0</x:v>
      </x:c>
      <x:c r="G1768" s="8" t="n">
        <x:f>Source!G1762/100</x:f>
        <x:v>220.38</x:v>
      </x:c>
      <x:c r="H1768" s="8" t="n">
        <x:f>G1768-D1768</x:f>
        <x:v>110.19</x:v>
      </x:c>
      <x:c r="I1768" s="1" t="str">
        <x:f>IF(H1768&gt;0,"Overbilled","Shortfall")</x:f>
        <x:v>Overbilled</x:v>
      </x:c>
      <x:c r="J1768" s="7"/>
      <x:c r="K1768" s="7" t="str">
        <x:v>Open</x:v>
      </x:c>
      <x:c r="L1768" s="7"/>
    </x:row>
    <x:row r="1769" ht="21" customHeight="1">
      <x:c r="A1769" s="1" t="str">
        <x:f>Source!A1763</x:f>
        <x:v>C0009078</x:v>
      </x:c>
      <x:c r="B1769" s="1" t="str">
        <x:f>_xlfn.IFNA(VLOOKUP(Source!B1763,Advertisers!$A$5:$B$34,2,FALSE),"Missing advertiser")</x:f>
        <x:v>Synthetic advertiser 26</x:v>
      </x:c>
      <x:c r="C1769" s="1" t="n">
        <x:f>Source!C1763</x:f>
        <x:v>26</x:v>
      </x:c>
      <x:c r="D1769" s="8" t="n">
        <x:f>Source!D1763/100</x:f>
        <x:v>110.19</x:v>
      </x:c>
      <x:c r="E1769" s="8" t="n">
        <x:f>Source!E1763/100</x:f>
        <x:v>220.38</x:v>
      </x:c>
      <x:c r="F1769" s="8" t="n">
        <x:f>Source!F1763/100</x:f>
        <x:v>0</x:v>
      </x:c>
      <x:c r="G1769" s="8" t="n">
        <x:f>Source!G1763/100</x:f>
        <x:v>220.38</x:v>
      </x:c>
      <x:c r="H1769" s="8" t="n">
        <x:f>G1769-D1769</x:f>
        <x:v>110.19</x:v>
      </x:c>
      <x:c r="I1769" s="1" t="str">
        <x:f>IF(H1769&gt;0,"Overbilled","Shortfall")</x:f>
        <x:v>Overbilled</x:v>
      </x:c>
      <x:c r="J1769" s="7"/>
      <x:c r="K1769" s="7" t="str">
        <x:v>Open</x:v>
      </x:c>
      <x:c r="L1769" s="7"/>
    </x:row>
    <x:row r="1770" ht="21" customHeight="1">
      <x:c r="A1770" s="1" t="str">
        <x:f>Source!A1764</x:f>
        <x:v>C0000078</x:v>
      </x:c>
      <x:c r="B1770" s="1" t="str">
        <x:f>_xlfn.IFNA(VLOOKUP(Source!B1764,Advertisers!$A$5:$B$34,2,FALSE),"Missing advertiser")</x:f>
        <x:v>Synthetic advertiser 26</x:v>
      </x:c>
      <x:c r="C1770" s="1" t="n">
        <x:f>Source!C1764</x:f>
        <x:v>26</x:v>
      </x:c>
      <x:c r="D1770" s="8" t="n">
        <x:f>Source!D1764/100</x:f>
        <x:v>110.19</x:v>
      </x:c>
      <x:c r="E1770" s="8" t="n">
        <x:f>Source!E1764/100</x:f>
        <x:v>0</x:v>
      </x:c>
      <x:c r="F1770" s="8" t="n">
        <x:f>Source!F1764/100</x:f>
        <x:v>0</x:v>
      </x:c>
      <x:c r="G1770" s="8" t="n">
        <x:f>Source!G1764/100</x:f>
        <x:v>0</x:v>
      </x:c>
      <x:c r="H1770" s="8" t="n">
        <x:f>G1770-D1770</x:f>
        <x:v>-110.19</x:v>
      </x:c>
      <x:c r="I1770" s="1" t="str">
        <x:f>IF(H1770&gt;0,"Overbilled","Shortfall")</x:f>
        <x:v>Shortfall</x:v>
      </x:c>
      <x:c r="J1770" s="7"/>
      <x:c r="K1770" s="7" t="str">
        <x:v>Open</x:v>
      </x:c>
      <x:c r="L1770" s="7"/>
    </x:row>
    <x:row r="1771" ht="21" customHeight="1">
      <x:c r="A1771" s="1" t="str">
        <x:f>Source!A1765</x:f>
        <x:v>C0000790</x:v>
      </x:c>
      <x:c r="B1771" s="1" t="str">
        <x:f>_xlfn.IFNA(VLOOKUP(Source!B1765,Advertisers!$A$5:$B$34,2,FALSE),"Missing advertiser")</x:f>
        <x:v>Synthetic advertiser 26</x:v>
      </x:c>
      <x:c r="C1771" s="1" t="n">
        <x:f>Source!C1765</x:f>
        <x:v>26</x:v>
      </x:c>
      <x:c r="D1771" s="8" t="n">
        <x:f>Source!D1765/100</x:f>
        <x:v>110.19</x:v>
      </x:c>
      <x:c r="E1771" s="8" t="n">
        <x:f>Source!E1765/100</x:f>
        <x:v>0</x:v>
      </x:c>
      <x:c r="F1771" s="8" t="n">
        <x:f>Source!F1765/100</x:f>
        <x:v>0</x:v>
      </x:c>
      <x:c r="G1771" s="8" t="n">
        <x:f>Source!G1765/100</x:f>
        <x:v>0</x:v>
      </x:c>
      <x:c r="H1771" s="8" t="n">
        <x:f>G1771-D1771</x:f>
        <x:v>-110.19</x:v>
      </x:c>
      <x:c r="I1771" s="1" t="str">
        <x:f>IF(H1771&gt;0,"Overbilled","Shortfall")</x:f>
        <x:v>Shortfall</x:v>
      </x:c>
      <x:c r="J1771" s="7"/>
      <x:c r="K1771" s="7" t="str">
        <x:v>Open</x:v>
      </x:c>
      <x:c r="L1771" s="7"/>
    </x:row>
    <x:row r="1772" ht="21" customHeight="1">
      <x:c r="A1772" s="1" t="str">
        <x:f>Source!A1766</x:f>
        <x:v>C0002907</x:v>
      </x:c>
      <x:c r="B1772" s="1" t="str">
        <x:f>_xlfn.IFNA(VLOOKUP(Source!B1766,Advertisers!$A$5:$B$34,2,FALSE),"Missing advertiser")</x:f>
        <x:v>Synthetic advertiser 26</x:v>
      </x:c>
      <x:c r="C1772" s="1" t="n">
        <x:f>Source!C1766</x:f>
        <x:v>26</x:v>
      </x:c>
      <x:c r="D1772" s="8" t="n">
        <x:f>Source!D1766/100</x:f>
        <x:v>0</x:v>
      </x:c>
      <x:c r="E1772" s="8" t="n">
        <x:f>Source!E1766/100</x:f>
        <x:v>110.19</x:v>
      </x:c>
      <x:c r="F1772" s="8" t="n">
        <x:f>Source!F1766/100</x:f>
        <x:v>0</x:v>
      </x:c>
      <x:c r="G1772" s="8" t="n">
        <x:f>Source!G1766/100</x:f>
        <x:v>110.19</x:v>
      </x:c>
      <x:c r="H1772" s="8" t="n">
        <x:f>G1772-D1772</x:f>
        <x:v>110.19</x:v>
      </x:c>
      <x:c r="I1772" s="1" t="str">
        <x:f>IF(H1772&gt;0,"Overbilled","Shortfall")</x:f>
        <x:v>Overbilled</x:v>
      </x:c>
      <x:c r="J1772" s="7"/>
      <x:c r="K1772" s="7" t="str">
        <x:v>Open</x:v>
      </x:c>
      <x:c r="L1772" s="7"/>
    </x:row>
    <x:row r="1773" ht="21" customHeight="1">
      <x:c r="A1773" s="1" t="str">
        <x:f>Source!A1767</x:f>
        <x:v>C0015073</x:v>
      </x:c>
      <x:c r="B1773" s="1" t="str">
        <x:f>_xlfn.IFNA(VLOOKUP(Source!B1767,Advertisers!$A$5:$B$34,2,FALSE),"Missing advertiser")</x:f>
        <x:v>Synthetic advertiser 27</x:v>
      </x:c>
      <x:c r="C1773" s="1" t="n">
        <x:f>Source!C1767</x:f>
        <x:v>27</x:v>
      </x:c>
      <x:c r="D1773" s="8" t="n">
        <x:f>Source!D1767/100</x:f>
        <x:v>109.94</x:v>
      </x:c>
      <x:c r="E1773" s="8" t="n">
        <x:f>Source!E1767/100</x:f>
        <x:v>219.88</x:v>
      </x:c>
      <x:c r="F1773" s="8" t="n">
        <x:f>Source!F1767/100</x:f>
        <x:v>0</x:v>
      </x:c>
      <x:c r="G1773" s="8" t="n">
        <x:f>Source!G1767/100</x:f>
        <x:v>219.88</x:v>
      </x:c>
      <x:c r="H1773" s="8" t="n">
        <x:f>G1773-D1773</x:f>
        <x:v>109.94</x:v>
      </x:c>
      <x:c r="I1773" s="1" t="str">
        <x:f>IF(H1773&gt;0,"Overbilled","Shortfall")</x:f>
        <x:v>Overbilled</x:v>
      </x:c>
      <x:c r="J1773" s="7"/>
      <x:c r="K1773" s="7" t="str">
        <x:v>Open</x:v>
      </x:c>
      <x:c r="L1773" s="7"/>
    </x:row>
    <x:row r="1774" ht="21" customHeight="1">
      <x:c r="A1774" s="1" t="str">
        <x:f>Source!A1768</x:f>
        <x:v>C0004482</x:v>
      </x:c>
      <x:c r="B1774" s="1" t="str">
        <x:f>_xlfn.IFNA(VLOOKUP(Source!B1768,Advertisers!$A$5:$B$34,2,FALSE),"Missing advertiser")</x:f>
        <x:v>Synthetic advertiser 27</x:v>
      </x:c>
      <x:c r="C1774" s="1" t="n">
        <x:f>Source!C1768</x:f>
        <x:v>27</x:v>
      </x:c>
      <x:c r="D1774" s="8" t="n">
        <x:f>Source!D1768/100</x:f>
        <x:v>109.94</x:v>
      </x:c>
      <x:c r="E1774" s="8" t="n">
        <x:f>Source!E1768/100</x:f>
        <x:v>0</x:v>
      </x:c>
      <x:c r="F1774" s="8" t="n">
        <x:f>Source!F1768/100</x:f>
        <x:v>0</x:v>
      </x:c>
      <x:c r="G1774" s="8" t="n">
        <x:f>Source!G1768/100</x:f>
        <x:v>0</x:v>
      </x:c>
      <x:c r="H1774" s="8" t="n">
        <x:f>G1774-D1774</x:f>
        <x:v>-109.94</x:v>
      </x:c>
      <x:c r="I1774" s="1" t="str">
        <x:f>IF(H1774&gt;0,"Overbilled","Shortfall")</x:f>
        <x:v>Shortfall</x:v>
      </x:c>
      <x:c r="J1774" s="7"/>
      <x:c r="K1774" s="7" t="str">
        <x:v>Open</x:v>
      </x:c>
      <x:c r="L1774" s="7"/>
    </x:row>
    <x:row r="1775" ht="21" customHeight="1">
      <x:c r="A1775" s="1" t="str">
        <x:f>Source!A1769</x:f>
        <x:v>C0000714</x:v>
      </x:c>
      <x:c r="B1775" s="1" t="str">
        <x:f>_xlfn.IFNA(VLOOKUP(Source!B1769,Advertisers!$A$5:$B$34,2,FALSE),"Missing advertiser")</x:f>
        <x:v>Synthetic advertiser 27</x:v>
      </x:c>
      <x:c r="C1775" s="1" t="n">
        <x:f>Source!C1769</x:f>
        <x:v>27</x:v>
      </x:c>
      <x:c r="D1775" s="8" t="n">
        <x:f>Source!D1769/100</x:f>
        <x:v>109.94</x:v>
      </x:c>
      <x:c r="E1775" s="8" t="n">
        <x:f>Source!E1769/100</x:f>
        <x:v>219.88</x:v>
      </x:c>
      <x:c r="F1775" s="8" t="n">
        <x:f>Source!F1769/100</x:f>
        <x:v>0</x:v>
      </x:c>
      <x:c r="G1775" s="8" t="n">
        <x:f>Source!G1769/100</x:f>
        <x:v>219.88</x:v>
      </x:c>
      <x:c r="H1775" s="8" t="n">
        <x:f>G1775-D1775</x:f>
        <x:v>109.94</x:v>
      </x:c>
      <x:c r="I1775" s="1" t="str">
        <x:f>IF(H1775&gt;0,"Overbilled","Shortfall")</x:f>
        <x:v>Overbilled</x:v>
      </x:c>
      <x:c r="J1775" s="7"/>
      <x:c r="K1775" s="7" t="str">
        <x:v>Open</x:v>
      </x:c>
      <x:c r="L1775" s="7"/>
    </x:row>
    <x:row r="1776" ht="21" customHeight="1">
      <x:c r="A1776" s="1" t="str">
        <x:f>Source!A1770</x:f>
        <x:v>C0010016</x:v>
      </x:c>
      <x:c r="B1776" s="1" t="str">
        <x:f>_xlfn.IFNA(VLOOKUP(Source!B1770,Advertisers!$A$5:$B$34,2,FALSE),"Missing advertiser")</x:f>
        <x:v>Synthetic advertiser 27</x:v>
      </x:c>
      <x:c r="C1776" s="1" t="n">
        <x:f>Source!C1770</x:f>
        <x:v>27</x:v>
      </x:c>
      <x:c r="D1776" s="8" t="n">
        <x:f>Source!D1770/100</x:f>
        <x:v>109.94</x:v>
      </x:c>
      <x:c r="E1776" s="8" t="n">
        <x:f>Source!E1770/100</x:f>
        <x:v>219.88</x:v>
      </x:c>
      <x:c r="F1776" s="8" t="n">
        <x:f>Source!F1770/100</x:f>
        <x:v>0</x:v>
      </x:c>
      <x:c r="G1776" s="8" t="n">
        <x:f>Source!G1770/100</x:f>
        <x:v>219.88</x:v>
      </x:c>
      <x:c r="H1776" s="8" t="n">
        <x:f>G1776-D1776</x:f>
        <x:v>109.94</x:v>
      </x:c>
      <x:c r="I1776" s="1" t="str">
        <x:f>IF(H1776&gt;0,"Overbilled","Shortfall")</x:f>
        <x:v>Overbilled</x:v>
      </x:c>
      <x:c r="J1776" s="7"/>
      <x:c r="K1776" s="7" t="str">
        <x:v>Open</x:v>
      </x:c>
      <x:c r="L1776" s="7"/>
    </x:row>
    <x:row r="1777" ht="21" customHeight="1">
      <x:c r="A1777" s="1" t="str">
        <x:f>Source!A1771</x:f>
        <x:v>C0002272</x:v>
      </x:c>
      <x:c r="B1777" s="1" t="str">
        <x:f>_xlfn.IFNA(VLOOKUP(Source!B1771,Advertisers!$A$5:$B$34,2,FALSE),"Missing advertiser")</x:f>
        <x:v>Synthetic advertiser 27</x:v>
      </x:c>
      <x:c r="C1777" s="1" t="n">
        <x:f>Source!C1771</x:f>
        <x:v>27</x:v>
      </x:c>
      <x:c r="D1777" s="8" t="n">
        <x:f>Source!D1771/100</x:f>
        <x:v>109.94</x:v>
      </x:c>
      <x:c r="E1777" s="8" t="n">
        <x:f>Source!E1771/100</x:f>
        <x:v>0</x:v>
      </x:c>
      <x:c r="F1777" s="8" t="n">
        <x:f>Source!F1771/100</x:f>
        <x:v>0</x:v>
      </x:c>
      <x:c r="G1777" s="8" t="n">
        <x:f>Source!G1771/100</x:f>
        <x:v>0</x:v>
      </x:c>
      <x:c r="H1777" s="8" t="n">
        <x:f>G1777-D1777</x:f>
        <x:v>-109.94</x:v>
      </x:c>
      <x:c r="I1777" s="1" t="str">
        <x:f>IF(H1777&gt;0,"Overbilled","Shortfall")</x:f>
        <x:v>Shortfall</x:v>
      </x:c>
      <x:c r="J1777" s="7"/>
      <x:c r="K1777" s="7" t="str">
        <x:v>Open</x:v>
      </x:c>
      <x:c r="L1777" s="7"/>
    </x:row>
    <x:row r="1778" ht="21" customHeight="1">
      <x:c r="A1778" s="1" t="str">
        <x:f>Source!A1772</x:f>
        <x:v>C0003250</x:v>
      </x:c>
      <x:c r="B1778" s="1" t="str">
        <x:f>_xlfn.IFNA(VLOOKUP(Source!B1772,Advertisers!$A$5:$B$34,2,FALSE),"Missing advertiser")</x:f>
        <x:v>Synthetic advertiser 27</x:v>
      </x:c>
      <x:c r="C1778" s="1" t="n">
        <x:f>Source!C1772</x:f>
        <x:v>27</x:v>
      </x:c>
      <x:c r="D1778" s="8" t="n">
        <x:f>Source!D1772/100</x:f>
        <x:v>109.94</x:v>
      </x:c>
      <x:c r="E1778" s="8" t="n">
        <x:f>Source!E1772/100</x:f>
        <x:v>219.88</x:v>
      </x:c>
      <x:c r="F1778" s="8" t="n">
        <x:f>Source!F1772/100</x:f>
        <x:v>0</x:v>
      </x:c>
      <x:c r="G1778" s="8" t="n">
        <x:f>Source!G1772/100</x:f>
        <x:v>219.88</x:v>
      </x:c>
      <x:c r="H1778" s="8" t="n">
        <x:f>G1778-D1778</x:f>
        <x:v>109.94</x:v>
      </x:c>
      <x:c r="I1778" s="1" t="str">
        <x:f>IF(H1778&gt;0,"Overbilled","Shortfall")</x:f>
        <x:v>Overbilled</x:v>
      </x:c>
      <x:c r="J1778" s="7"/>
      <x:c r="K1778" s="7" t="str">
        <x:v>Open</x:v>
      </x:c>
      <x:c r="L1778" s="7"/>
    </x:row>
    <x:row r="1779" ht="21" customHeight="1">
      <x:c r="A1779" s="1" t="str">
        <x:f>Source!A1773</x:f>
        <x:v>C0008114</x:v>
      </x:c>
      <x:c r="B1779" s="1" t="str">
        <x:f>_xlfn.IFNA(VLOOKUP(Source!B1773,Advertisers!$A$5:$B$34,2,FALSE),"Missing advertiser")</x:f>
        <x:v>Synthetic advertiser 27</x:v>
      </x:c>
      <x:c r="C1779" s="1" t="n">
        <x:f>Source!C1773</x:f>
        <x:v>27</x:v>
      </x:c>
      <x:c r="D1779" s="8" t="n">
        <x:f>Source!D1773/100</x:f>
        <x:v>109.94</x:v>
      </x:c>
      <x:c r="E1779" s="8" t="n">
        <x:f>Source!E1773/100</x:f>
        <x:v>0</x:v>
      </x:c>
      <x:c r="F1779" s="8" t="n">
        <x:f>Source!F1773/100</x:f>
        <x:v>0</x:v>
      </x:c>
      <x:c r="G1779" s="8" t="n">
        <x:f>Source!G1773/100</x:f>
        <x:v>0</x:v>
      </x:c>
      <x:c r="H1779" s="8" t="n">
        <x:f>G1779-D1779</x:f>
        <x:v>-109.94</x:v>
      </x:c>
      <x:c r="I1779" s="1" t="str">
        <x:f>IF(H1779&gt;0,"Overbilled","Shortfall")</x:f>
        <x:v>Shortfall</x:v>
      </x:c>
      <x:c r="J1779" s="7"/>
      <x:c r="K1779" s="7" t="str">
        <x:v>Open</x:v>
      </x:c>
      <x:c r="L1779" s="7"/>
    </x:row>
    <x:row r="1780" ht="21" customHeight="1">
      <x:c r="A1780" s="1" t="str">
        <x:f>Source!A1774</x:f>
        <x:v>C0010254</x:v>
      </x:c>
      <x:c r="B1780" s="1" t="str">
        <x:f>_xlfn.IFNA(VLOOKUP(Source!B1774,Advertisers!$A$5:$B$34,2,FALSE),"Missing advertiser")</x:f>
        <x:v>Synthetic advertiser 3</x:v>
      </x:c>
      <x:c r="C1780" s="1" t="n">
        <x:f>Source!C1774</x:f>
        <x:v>93</x:v>
      </x:c>
      <x:c r="D1780" s="8" t="n">
        <x:f>Source!D1774/100</x:f>
        <x:v>109.29</x:v>
      </x:c>
      <x:c r="E1780" s="8" t="n">
        <x:f>Source!E1774/100</x:f>
        <x:v>0</x:v>
      </x:c>
      <x:c r="F1780" s="8" t="n">
        <x:f>Source!F1774/100</x:f>
        <x:v>0</x:v>
      </x:c>
      <x:c r="G1780" s="8" t="n">
        <x:f>Source!G1774/100</x:f>
        <x:v>0</x:v>
      </x:c>
      <x:c r="H1780" s="8" t="n">
        <x:f>G1780-D1780</x:f>
        <x:v>-109.29</x:v>
      </x:c>
      <x:c r="I1780" s="1" t="str">
        <x:f>IF(H1780&gt;0,"Overbilled","Shortfall")</x:f>
        <x:v>Shortfall</x:v>
      </x:c>
      <x:c r="J1780" s="7"/>
      <x:c r="K1780" s="7" t="str">
        <x:v>Open</x:v>
      </x:c>
      <x:c r="L1780" s="7"/>
    </x:row>
    <x:row r="1781" ht="21" customHeight="1">
      <x:c r="A1781" s="1" t="str">
        <x:f>Source!A1775</x:f>
        <x:v>C0005587</x:v>
      </x:c>
      <x:c r="B1781" s="1" t="str">
        <x:f>_xlfn.IFNA(VLOOKUP(Source!B1775,Advertisers!$A$5:$B$34,2,FALSE),"Missing advertiser")</x:f>
        <x:v>Synthetic advertiser 3</x:v>
      </x:c>
      <x:c r="C1781" s="1" t="n">
        <x:f>Source!C1775</x:f>
        <x:v>93</x:v>
      </x:c>
      <x:c r="D1781" s="8" t="n">
        <x:f>Source!D1775/100</x:f>
        <x:v>109.29</x:v>
      </x:c>
      <x:c r="E1781" s="8" t="n">
        <x:f>Source!E1775/100</x:f>
        <x:v>218.58</x:v>
      </x:c>
      <x:c r="F1781" s="8" t="n">
        <x:f>Source!F1775/100</x:f>
        <x:v>0</x:v>
      </x:c>
      <x:c r="G1781" s="8" t="n">
        <x:f>Source!G1775/100</x:f>
        <x:v>218.58</x:v>
      </x:c>
      <x:c r="H1781" s="8" t="n">
        <x:f>G1781-D1781</x:f>
        <x:v>109.29</x:v>
      </x:c>
      <x:c r="I1781" s="1" t="str">
        <x:f>IF(H1781&gt;0,"Overbilled","Shortfall")</x:f>
        <x:v>Overbilled</x:v>
      </x:c>
      <x:c r="J1781" s="7"/>
      <x:c r="K1781" s="7" t="str">
        <x:v>Open</x:v>
      </x:c>
      <x:c r="L1781" s="7"/>
    </x:row>
    <x:row r="1782" ht="21" customHeight="1">
      <x:c r="A1782" s="1" t="str">
        <x:f>Source!A1776</x:f>
        <x:v>C0007129</x:v>
      </x:c>
      <x:c r="B1782" s="1" t="str">
        <x:f>_xlfn.IFNA(VLOOKUP(Source!B1776,Advertisers!$A$5:$B$34,2,FALSE),"Missing advertiser")</x:f>
        <x:v>Synthetic advertiser 3</x:v>
      </x:c>
      <x:c r="C1782" s="1" t="n">
        <x:f>Source!C1776</x:f>
        <x:v>93</x:v>
      </x:c>
      <x:c r="D1782" s="8" t="n">
        <x:f>Source!D1776/100</x:f>
        <x:v>109.29</x:v>
      </x:c>
      <x:c r="E1782" s="8" t="n">
        <x:f>Source!E1776/100</x:f>
        <x:v>218.58</x:v>
      </x:c>
      <x:c r="F1782" s="8" t="n">
        <x:f>Source!F1776/100</x:f>
        <x:v>0</x:v>
      </x:c>
      <x:c r="G1782" s="8" t="n">
        <x:f>Source!G1776/100</x:f>
        <x:v>218.58</x:v>
      </x:c>
      <x:c r="H1782" s="8" t="n">
        <x:f>G1782-D1782</x:f>
        <x:v>109.29</x:v>
      </x:c>
      <x:c r="I1782" s="1" t="str">
        <x:f>IF(H1782&gt;0,"Overbilled","Shortfall")</x:f>
        <x:v>Overbilled</x:v>
      </x:c>
      <x:c r="J1782" s="7"/>
      <x:c r="K1782" s="7" t="str">
        <x:v>Open</x:v>
      </x:c>
      <x:c r="L1782" s="7"/>
    </x:row>
    <x:row r="1783" ht="21" customHeight="1">
      <x:c r="A1783" s="1" t="str">
        <x:f>Source!A1777</x:f>
        <x:v>C0007699</x:v>
      </x:c>
      <x:c r="B1783" s="1" t="str">
        <x:f>_xlfn.IFNA(VLOOKUP(Source!B1777,Advertisers!$A$5:$B$34,2,FALSE),"Missing advertiser")</x:f>
        <x:v>Synthetic advertiser 3</x:v>
      </x:c>
      <x:c r="C1783" s="1" t="n">
        <x:f>Source!C1777</x:f>
        <x:v>93</x:v>
      </x:c>
      <x:c r="D1783" s="8" t="n">
        <x:f>Source!D1777/100</x:f>
        <x:v>109.29</x:v>
      </x:c>
      <x:c r="E1783" s="8" t="n">
        <x:f>Source!E1777/100</x:f>
        <x:v>218.58</x:v>
      </x:c>
      <x:c r="F1783" s="8" t="n">
        <x:f>Source!F1777/100</x:f>
        <x:v>0</x:v>
      </x:c>
      <x:c r="G1783" s="8" t="n">
        <x:f>Source!G1777/100</x:f>
        <x:v>218.58</x:v>
      </x:c>
      <x:c r="H1783" s="8" t="n">
        <x:f>G1783-D1783</x:f>
        <x:v>109.29</x:v>
      </x:c>
      <x:c r="I1783" s="1" t="str">
        <x:f>IF(H1783&gt;0,"Overbilled","Shortfall")</x:f>
        <x:v>Overbilled</x:v>
      </x:c>
      <x:c r="J1783" s="7"/>
      <x:c r="K1783" s="7" t="str">
        <x:v>Open</x:v>
      </x:c>
      <x:c r="L1783" s="7"/>
    </x:row>
    <x:row r="1784" ht="21" customHeight="1">
      <x:c r="A1784" s="1" t="str">
        <x:f>Source!A1778</x:f>
        <x:v>C0007779</x:v>
      </x:c>
      <x:c r="B1784" s="1" t="str">
        <x:f>_xlfn.IFNA(VLOOKUP(Source!B1778,Advertisers!$A$5:$B$34,2,FALSE),"Missing advertiser")</x:f>
        <x:v>Synthetic advertiser 3</x:v>
      </x:c>
      <x:c r="C1784" s="1" t="n">
        <x:f>Source!C1778</x:f>
        <x:v>93</x:v>
      </x:c>
      <x:c r="D1784" s="8" t="n">
        <x:f>Source!D1778/100</x:f>
        <x:v>109.29</x:v>
      </x:c>
      <x:c r="E1784" s="8" t="n">
        <x:f>Source!E1778/100</x:f>
        <x:v>0</x:v>
      </x:c>
      <x:c r="F1784" s="8" t="n">
        <x:f>Source!F1778/100</x:f>
        <x:v>0</x:v>
      </x:c>
      <x:c r="G1784" s="8" t="n">
        <x:f>Source!G1778/100</x:f>
        <x:v>0</x:v>
      </x:c>
      <x:c r="H1784" s="8" t="n">
        <x:f>G1784-D1784</x:f>
        <x:v>-109.29</x:v>
      </x:c>
      <x:c r="I1784" s="1" t="str">
        <x:f>IF(H1784&gt;0,"Overbilled","Shortfall")</x:f>
        <x:v>Shortfall</x:v>
      </x:c>
      <x:c r="J1784" s="7"/>
      <x:c r="K1784" s="7" t="str">
        <x:v>Open</x:v>
      </x:c>
      <x:c r="L1784" s="7"/>
    </x:row>
    <x:row r="1785" ht="21" customHeight="1">
      <x:c r="A1785" s="1" t="str">
        <x:f>Source!A1779</x:f>
        <x:v>C0016949</x:v>
      </x:c>
      <x:c r="B1785" s="1" t="str">
        <x:f>_xlfn.IFNA(VLOOKUP(Source!B1779,Advertisers!$A$5:$B$34,2,FALSE),"Missing advertiser")</x:f>
        <x:v>Synthetic advertiser 3</x:v>
      </x:c>
      <x:c r="C1785" s="1" t="n">
        <x:f>Source!C1779</x:f>
        <x:v>93</x:v>
      </x:c>
      <x:c r="D1785" s="8" t="n">
        <x:f>Source!D1779/100</x:f>
        <x:v>109.29</x:v>
      </x:c>
      <x:c r="E1785" s="8" t="n">
        <x:f>Source!E1779/100</x:f>
        <x:v>0</x:v>
      </x:c>
      <x:c r="F1785" s="8" t="n">
        <x:f>Source!F1779/100</x:f>
        <x:v>0</x:v>
      </x:c>
      <x:c r="G1785" s="8" t="n">
        <x:f>Source!G1779/100</x:f>
        <x:v>0</x:v>
      </x:c>
      <x:c r="H1785" s="8" t="n">
        <x:f>G1785-D1785</x:f>
        <x:v>-109.29</x:v>
      </x:c>
      <x:c r="I1785" s="1" t="str">
        <x:f>IF(H1785&gt;0,"Overbilled","Shortfall")</x:f>
        <x:v>Shortfall</x:v>
      </x:c>
      <x:c r="J1785" s="7"/>
      <x:c r="K1785" s="7" t="str">
        <x:v>Open</x:v>
      </x:c>
      <x:c r="L1785" s="7"/>
    </x:row>
    <x:row r="1786" ht="21" customHeight="1">
      <x:c r="A1786" s="1" t="str">
        <x:f>Source!A1780</x:f>
        <x:v>C0004367</x:v>
      </x:c>
      <x:c r="B1786" s="1" t="str">
        <x:f>_xlfn.IFNA(VLOOKUP(Source!B1780,Advertisers!$A$5:$B$34,2,FALSE),"Missing advertiser")</x:f>
        <x:v>Synthetic advertiser 14</x:v>
      </x:c>
      <x:c r="C1786" s="1" t="n">
        <x:f>Source!C1780</x:f>
        <x:v>14</x:v>
      </x:c>
      <x:c r="D1786" s="8" t="n">
        <x:f>Source!D1780/100</x:f>
        <x:v>0</x:v>
      </x:c>
      <x:c r="E1786" s="8" t="n">
        <x:f>Source!E1780/100</x:f>
        <x:v>107.8</x:v>
      </x:c>
      <x:c r="F1786" s="8" t="n">
        <x:f>Source!F1780/100</x:f>
        <x:v>0</x:v>
      </x:c>
      <x:c r="G1786" s="8" t="n">
        <x:f>Source!G1780/100</x:f>
        <x:v>107.8</x:v>
      </x:c>
      <x:c r="H1786" s="8" t="n">
        <x:f>G1786-D1786</x:f>
        <x:v>107.8</x:v>
      </x:c>
      <x:c r="I1786" s="1" t="str">
        <x:f>IF(H1786&gt;0,"Overbilled","Shortfall")</x:f>
        <x:v>Overbilled</x:v>
      </x:c>
      <x:c r="J1786" s="7"/>
      <x:c r="K1786" s="7" t="str">
        <x:v>Open</x:v>
      </x:c>
      <x:c r="L1786" s="7"/>
    </x:row>
    <x:row r="1787" ht="21" customHeight="1">
      <x:c r="A1787" s="1" t="str">
        <x:f>Source!A1781</x:f>
        <x:v>C0010911</x:v>
      </x:c>
      <x:c r="B1787" s="1" t="str">
        <x:f>_xlfn.IFNA(VLOOKUP(Source!B1781,Advertisers!$A$5:$B$34,2,FALSE),"Missing advertiser")</x:f>
        <x:v>Synthetic advertiser 14</x:v>
      </x:c>
      <x:c r="C1787" s="1" t="n">
        <x:f>Source!C1781</x:f>
        <x:v>14</x:v>
      </x:c>
      <x:c r="D1787" s="8" t="n">
        <x:f>Source!D1781/100</x:f>
        <x:v>107.8</x:v>
      </x:c>
      <x:c r="E1787" s="8" t="n">
        <x:f>Source!E1781/100</x:f>
        <x:v>0</x:v>
      </x:c>
      <x:c r="F1787" s="8" t="n">
        <x:f>Source!F1781/100</x:f>
        <x:v>0</x:v>
      </x:c>
      <x:c r="G1787" s="8" t="n">
        <x:f>Source!G1781/100</x:f>
        <x:v>0</x:v>
      </x:c>
      <x:c r="H1787" s="8" t="n">
        <x:f>G1787-D1787</x:f>
        <x:v>-107.8</x:v>
      </x:c>
      <x:c r="I1787" s="1" t="str">
        <x:f>IF(H1787&gt;0,"Overbilled","Shortfall")</x:f>
        <x:v>Shortfall</x:v>
      </x:c>
      <x:c r="J1787" s="7"/>
      <x:c r="K1787" s="7" t="str">
        <x:v>Open</x:v>
      </x:c>
      <x:c r="L1787" s="7"/>
    </x:row>
    <x:row r="1788" ht="21" customHeight="1">
      <x:c r="A1788" s="1" t="str">
        <x:f>Source!A1782</x:f>
        <x:v>C0015033</x:v>
      </x:c>
      <x:c r="B1788" s="1" t="str">
        <x:f>_xlfn.IFNA(VLOOKUP(Source!B1782,Advertisers!$A$5:$B$34,2,FALSE),"Missing advertiser")</x:f>
        <x:v>Synthetic advertiser 14</x:v>
      </x:c>
      <x:c r="C1788" s="1" t="n">
        <x:f>Source!C1782</x:f>
        <x:v>14</x:v>
      </x:c>
      <x:c r="D1788" s="8" t="n">
        <x:f>Source!D1782/100</x:f>
        <x:v>107.8</x:v>
      </x:c>
      <x:c r="E1788" s="8" t="n">
        <x:f>Source!E1782/100</x:f>
        <x:v>0</x:v>
      </x:c>
      <x:c r="F1788" s="8" t="n">
        <x:f>Source!F1782/100</x:f>
        <x:v>0</x:v>
      </x:c>
      <x:c r="G1788" s="8" t="n">
        <x:f>Source!G1782/100</x:f>
        <x:v>0</x:v>
      </x:c>
      <x:c r="H1788" s="8" t="n">
        <x:f>G1788-D1788</x:f>
        <x:v>-107.8</x:v>
      </x:c>
      <x:c r="I1788" s="1" t="str">
        <x:f>IF(H1788&gt;0,"Overbilled","Shortfall")</x:f>
        <x:v>Shortfall</x:v>
      </x:c>
      <x:c r="J1788" s="7"/>
      <x:c r="K1788" s="7" t="str">
        <x:v>Open</x:v>
      </x:c>
      <x:c r="L1788" s="7"/>
    </x:row>
    <x:row r="1789" ht="21" customHeight="1">
      <x:c r="A1789" s="1" t="str">
        <x:f>Source!A1783</x:f>
        <x:v>C0013418</x:v>
      </x:c>
      <x:c r="B1789" s="1" t="str">
        <x:f>_xlfn.IFNA(VLOOKUP(Source!B1783,Advertisers!$A$5:$B$34,2,FALSE),"Missing advertiser")</x:f>
        <x:v>Synthetic advertiser 14</x:v>
      </x:c>
      <x:c r="C1789" s="1" t="n">
        <x:f>Source!C1783</x:f>
        <x:v>14</x:v>
      </x:c>
      <x:c r="D1789" s="8" t="n">
        <x:f>Source!D1783/100</x:f>
        <x:v>107.8</x:v>
      </x:c>
      <x:c r="E1789" s="8" t="n">
        <x:f>Source!E1783/100</x:f>
        <x:v>0</x:v>
      </x:c>
      <x:c r="F1789" s="8" t="n">
        <x:f>Source!F1783/100</x:f>
        <x:v>0</x:v>
      </x:c>
      <x:c r="G1789" s="8" t="n">
        <x:f>Source!G1783/100</x:f>
        <x:v>0</x:v>
      </x:c>
      <x:c r="H1789" s="8" t="n">
        <x:f>G1789-D1789</x:f>
        <x:v>-107.8</x:v>
      </x:c>
      <x:c r="I1789" s="1" t="str">
        <x:f>IF(H1789&gt;0,"Overbilled","Shortfall")</x:f>
        <x:v>Shortfall</x:v>
      </x:c>
      <x:c r="J1789" s="7"/>
      <x:c r="K1789" s="7" t="str">
        <x:v>Open</x:v>
      </x:c>
      <x:c r="L1789" s="7"/>
    </x:row>
    <x:row r="1790" ht="21" customHeight="1">
      <x:c r="A1790" s="1" t="str">
        <x:f>Source!A1784</x:f>
        <x:v>C0000564</x:v>
      </x:c>
      <x:c r="B1790" s="1" t="str">
        <x:f>_xlfn.IFNA(VLOOKUP(Source!B1784,Advertisers!$A$5:$B$34,2,FALSE),"Missing advertiser")</x:f>
        <x:v>Synthetic advertiser 14</x:v>
      </x:c>
      <x:c r="C1790" s="1" t="n">
        <x:f>Source!C1784</x:f>
        <x:v>14</x:v>
      </x:c>
      <x:c r="D1790" s="8" t="n">
        <x:f>Source!D1784/100</x:f>
        <x:v>107.8</x:v>
      </x:c>
      <x:c r="E1790" s="8" t="n">
        <x:f>Source!E1784/100</x:f>
        <x:v>0</x:v>
      </x:c>
      <x:c r="F1790" s="8" t="n">
        <x:f>Source!F1784/100</x:f>
        <x:v>0</x:v>
      </x:c>
      <x:c r="G1790" s="8" t="n">
        <x:f>Source!G1784/100</x:f>
        <x:v>0</x:v>
      </x:c>
      <x:c r="H1790" s="8" t="n">
        <x:f>G1790-D1790</x:f>
        <x:v>-107.8</x:v>
      </x:c>
      <x:c r="I1790" s="1" t="str">
        <x:f>IF(H1790&gt;0,"Overbilled","Shortfall")</x:f>
        <x:v>Shortfall</x:v>
      </x:c>
      <x:c r="J1790" s="7"/>
      <x:c r="K1790" s="7" t="str">
        <x:v>Open</x:v>
      </x:c>
      <x:c r="L1790" s="7"/>
    </x:row>
    <x:row r="1791" ht="21" customHeight="1">
      <x:c r="A1791" s="1" t="str">
        <x:f>Source!A1785</x:f>
        <x:v>C0009326</x:v>
      </x:c>
      <x:c r="B1791" s="1" t="str">
        <x:f>_xlfn.IFNA(VLOOKUP(Source!B1785,Advertisers!$A$5:$B$34,2,FALSE),"Missing advertiser")</x:f>
        <x:v>Synthetic advertiser 14</x:v>
      </x:c>
      <x:c r="C1791" s="1" t="n">
        <x:f>Source!C1785</x:f>
        <x:v>14</x:v>
      </x:c>
      <x:c r="D1791" s="8" t="n">
        <x:f>Source!D1785/100</x:f>
        <x:v>107.8</x:v>
      </x:c>
      <x:c r="E1791" s="8" t="n">
        <x:f>Source!E1785/100</x:f>
        <x:v>215.6</x:v>
      </x:c>
      <x:c r="F1791" s="8" t="n">
        <x:f>Source!F1785/100</x:f>
        <x:v>0</x:v>
      </x:c>
      <x:c r="G1791" s="8" t="n">
        <x:f>Source!G1785/100</x:f>
        <x:v>215.6</x:v>
      </x:c>
      <x:c r="H1791" s="8" t="n">
        <x:f>G1791-D1791</x:f>
        <x:v>107.8</x:v>
      </x:c>
      <x:c r="I1791" s="1" t="str">
        <x:f>IF(H1791&gt;0,"Overbilled","Shortfall")</x:f>
        <x:v>Overbilled</x:v>
      </x:c>
      <x:c r="J1791" s="7"/>
      <x:c r="K1791" s="7" t="str">
        <x:v>Open</x:v>
      </x:c>
      <x:c r="L1791" s="7"/>
    </x:row>
    <x:row r="1792" ht="21" customHeight="1">
      <x:c r="A1792" s="1" t="str">
        <x:f>Source!A1786</x:f>
        <x:v>C0002707</x:v>
      </x:c>
      <x:c r="B1792" s="1" t="str">
        <x:f>_xlfn.IFNA(VLOOKUP(Source!B1786,Advertisers!$A$5:$B$34,2,FALSE),"Missing advertiser")</x:f>
        <x:v>Synthetic advertiser 2</x:v>
      </x:c>
      <x:c r="C1792" s="1" t="n">
        <x:f>Source!C1786</x:f>
        <x:v>32</x:v>
      </x:c>
      <x:c r="D1792" s="8" t="n">
        <x:f>Source!D1786/100</x:f>
        <x:v>106.94</x:v>
      </x:c>
      <x:c r="E1792" s="8" t="n">
        <x:f>Source!E1786/100</x:f>
        <x:v>213.88</x:v>
      </x:c>
      <x:c r="F1792" s="8" t="n">
        <x:f>Source!F1786/100</x:f>
        <x:v>0</x:v>
      </x:c>
      <x:c r="G1792" s="8" t="n">
        <x:f>Source!G1786/100</x:f>
        <x:v>213.88</x:v>
      </x:c>
      <x:c r="H1792" s="8" t="n">
        <x:f>G1792-D1792</x:f>
        <x:v>106.94</x:v>
      </x:c>
      <x:c r="I1792" s="1" t="str">
        <x:f>IF(H1792&gt;0,"Overbilled","Shortfall")</x:f>
        <x:v>Overbilled</x:v>
      </x:c>
      <x:c r="J1792" s="7"/>
      <x:c r="K1792" s="7" t="str">
        <x:v>Open</x:v>
      </x:c>
      <x:c r="L1792" s="7"/>
    </x:row>
    <x:row r="1793" ht="21" customHeight="1">
      <x:c r="A1793" s="1" t="str">
        <x:f>Source!A1787</x:f>
        <x:v>C0009123</x:v>
      </x:c>
      <x:c r="B1793" s="1" t="str">
        <x:f>_xlfn.IFNA(VLOOKUP(Source!B1787,Advertisers!$A$5:$B$34,2,FALSE),"Missing advertiser")</x:f>
        <x:v>Synthetic advertiser 2</x:v>
      </x:c>
      <x:c r="C1793" s="1" t="n">
        <x:f>Source!C1787</x:f>
        <x:v>32</x:v>
      </x:c>
      <x:c r="D1793" s="8" t="n">
        <x:f>Source!D1787/100</x:f>
        <x:v>106.94</x:v>
      </x:c>
      <x:c r="E1793" s="8" t="n">
        <x:f>Source!E1787/100</x:f>
        <x:v>213.88</x:v>
      </x:c>
      <x:c r="F1793" s="8" t="n">
        <x:f>Source!F1787/100</x:f>
        <x:v>0</x:v>
      </x:c>
      <x:c r="G1793" s="8" t="n">
        <x:f>Source!G1787/100</x:f>
        <x:v>213.88</x:v>
      </x:c>
      <x:c r="H1793" s="8" t="n">
        <x:f>G1793-D1793</x:f>
        <x:v>106.94</x:v>
      </x:c>
      <x:c r="I1793" s="1" t="str">
        <x:f>IF(H1793&gt;0,"Overbilled","Shortfall")</x:f>
        <x:v>Overbilled</x:v>
      </x:c>
      <x:c r="J1793" s="7"/>
      <x:c r="K1793" s="7" t="str">
        <x:v>Open</x:v>
      </x:c>
      <x:c r="L1793" s="7"/>
    </x:row>
    <x:row r="1794" ht="21" customHeight="1">
      <x:c r="A1794" s="1" t="str">
        <x:f>Source!A1788</x:f>
        <x:v>C0010385</x:v>
      </x:c>
      <x:c r="B1794" s="1" t="str">
        <x:f>_xlfn.IFNA(VLOOKUP(Source!B1788,Advertisers!$A$5:$B$34,2,FALSE),"Missing advertiser")</x:f>
        <x:v>Synthetic advertiser 2</x:v>
      </x:c>
      <x:c r="C1794" s="1" t="n">
        <x:f>Source!C1788</x:f>
        <x:v>32</x:v>
      </x:c>
      <x:c r="D1794" s="8" t="n">
        <x:f>Source!D1788/100</x:f>
        <x:v>106.94</x:v>
      </x:c>
      <x:c r="E1794" s="8" t="n">
        <x:f>Source!E1788/100</x:f>
        <x:v>0</x:v>
      </x:c>
      <x:c r="F1794" s="8" t="n">
        <x:f>Source!F1788/100</x:f>
        <x:v>0</x:v>
      </x:c>
      <x:c r="G1794" s="8" t="n">
        <x:f>Source!G1788/100</x:f>
        <x:v>0</x:v>
      </x:c>
      <x:c r="H1794" s="8" t="n">
        <x:f>G1794-D1794</x:f>
        <x:v>-106.94</x:v>
      </x:c>
      <x:c r="I1794" s="1" t="str">
        <x:f>IF(H1794&gt;0,"Overbilled","Shortfall")</x:f>
        <x:v>Shortfall</x:v>
      </x:c>
      <x:c r="J1794" s="7"/>
      <x:c r="K1794" s="7" t="str">
        <x:v>Open</x:v>
      </x:c>
      <x:c r="L1794" s="7"/>
    </x:row>
    <x:row r="1795" ht="21" customHeight="1">
      <x:c r="A1795" s="1" t="str">
        <x:f>Source!A1789</x:f>
        <x:v>C0006747</x:v>
      </x:c>
      <x:c r="B1795" s="1" t="str">
        <x:f>_xlfn.IFNA(VLOOKUP(Source!B1789,Advertisers!$A$5:$B$34,2,FALSE),"Missing advertiser")</x:f>
        <x:v>Synthetic advertiser 2</x:v>
      </x:c>
      <x:c r="C1795" s="1" t="n">
        <x:f>Source!C1789</x:f>
        <x:v>32</x:v>
      </x:c>
      <x:c r="D1795" s="8" t="n">
        <x:f>Source!D1789/100</x:f>
        <x:v>106.94</x:v>
      </x:c>
      <x:c r="E1795" s="8" t="n">
        <x:f>Source!E1789/100</x:f>
        <x:v>0</x:v>
      </x:c>
      <x:c r="F1795" s="8" t="n">
        <x:f>Source!F1789/100</x:f>
        <x:v>0</x:v>
      </x:c>
      <x:c r="G1795" s="8" t="n">
        <x:f>Source!G1789/100</x:f>
        <x:v>0</x:v>
      </x:c>
      <x:c r="H1795" s="8" t="n">
        <x:f>G1795-D1795</x:f>
        <x:v>-106.94</x:v>
      </x:c>
      <x:c r="I1795" s="1" t="str">
        <x:f>IF(H1795&gt;0,"Overbilled","Shortfall")</x:f>
        <x:v>Shortfall</x:v>
      </x:c>
      <x:c r="J1795" s="7"/>
      <x:c r="K1795" s="7" t="str">
        <x:v>Open</x:v>
      </x:c>
      <x:c r="L1795" s="7"/>
    </x:row>
    <x:row r="1796" ht="21" customHeight="1">
      <x:c r="A1796" s="1" t="str">
        <x:f>Source!A1790</x:f>
        <x:v>C0004284</x:v>
      </x:c>
      <x:c r="B1796" s="1" t="str">
        <x:f>_xlfn.IFNA(VLOOKUP(Source!B1790,Advertisers!$A$5:$B$34,2,FALSE),"Missing advertiser")</x:f>
        <x:v>Synthetic advertiser 4</x:v>
      </x:c>
      <x:c r="C1796" s="1" t="n">
        <x:f>Source!C1790</x:f>
        <x:v>34</x:v>
      </x:c>
      <x:c r="D1796" s="8" t="n">
        <x:f>Source!D1790/100</x:f>
        <x:v>106.45</x:v>
      </x:c>
      <x:c r="E1796" s="8" t="n">
        <x:f>Source!E1790/100</x:f>
        <x:v>212.9</x:v>
      </x:c>
      <x:c r="F1796" s="8" t="n">
        <x:f>Source!F1790/100</x:f>
        <x:v>0</x:v>
      </x:c>
      <x:c r="G1796" s="8" t="n">
        <x:f>Source!G1790/100</x:f>
        <x:v>212.9</x:v>
      </x:c>
      <x:c r="H1796" s="8" t="n">
        <x:f>G1796-D1796</x:f>
        <x:v>106.45</x:v>
      </x:c>
      <x:c r="I1796" s="1" t="str">
        <x:f>IF(H1796&gt;0,"Overbilled","Shortfall")</x:f>
        <x:v>Overbilled</x:v>
      </x:c>
      <x:c r="J1796" s="7"/>
      <x:c r="K1796" s="7" t="str">
        <x:v>Open</x:v>
      </x:c>
      <x:c r="L1796" s="7"/>
    </x:row>
    <x:row r="1797" ht="21" customHeight="1">
      <x:c r="A1797" s="1" t="str">
        <x:f>Source!A1791</x:f>
        <x:v>C0007695</x:v>
      </x:c>
      <x:c r="B1797" s="1" t="str">
        <x:f>_xlfn.IFNA(VLOOKUP(Source!B1791,Advertisers!$A$5:$B$34,2,FALSE),"Missing advertiser")</x:f>
        <x:v>Synthetic advertiser 4</x:v>
      </x:c>
      <x:c r="C1797" s="1" t="n">
        <x:f>Source!C1791</x:f>
        <x:v>34</x:v>
      </x:c>
      <x:c r="D1797" s="8" t="n">
        <x:f>Source!D1791/100</x:f>
        <x:v>106.45</x:v>
      </x:c>
      <x:c r="E1797" s="8" t="n">
        <x:f>Source!E1791/100</x:f>
        <x:v>212.9</x:v>
      </x:c>
      <x:c r="F1797" s="8" t="n">
        <x:f>Source!F1791/100</x:f>
        <x:v>0</x:v>
      </x:c>
      <x:c r="G1797" s="8" t="n">
        <x:f>Source!G1791/100</x:f>
        <x:v>212.9</x:v>
      </x:c>
      <x:c r="H1797" s="8" t="n">
        <x:f>G1797-D1797</x:f>
        <x:v>106.45</x:v>
      </x:c>
      <x:c r="I1797" s="1" t="str">
        <x:f>IF(H1797&gt;0,"Overbilled","Shortfall")</x:f>
        <x:v>Overbilled</x:v>
      </x:c>
      <x:c r="J1797" s="7"/>
      <x:c r="K1797" s="7" t="str">
        <x:v>Open</x:v>
      </x:c>
      <x:c r="L1797" s="7"/>
    </x:row>
    <x:row r="1798" ht="21" customHeight="1">
      <x:c r="A1798" s="1" t="str">
        <x:f>Source!A1792</x:f>
        <x:v>C0010918</x:v>
      </x:c>
      <x:c r="B1798" s="1" t="str">
        <x:f>_xlfn.IFNA(VLOOKUP(Source!B1792,Advertisers!$A$5:$B$34,2,FALSE),"Missing advertiser")</x:f>
        <x:v>Synthetic advertiser 4</x:v>
      </x:c>
      <x:c r="C1798" s="1" t="n">
        <x:f>Source!C1792</x:f>
        <x:v>34</x:v>
      </x:c>
      <x:c r="D1798" s="8" t="n">
        <x:f>Source!D1792/100</x:f>
        <x:v>106.45</x:v>
      </x:c>
      <x:c r="E1798" s="8" t="n">
        <x:f>Source!E1792/100</x:f>
        <x:v>212.9</x:v>
      </x:c>
      <x:c r="F1798" s="8" t="n">
        <x:f>Source!F1792/100</x:f>
        <x:v>0</x:v>
      </x:c>
      <x:c r="G1798" s="8" t="n">
        <x:f>Source!G1792/100</x:f>
        <x:v>212.9</x:v>
      </x:c>
      <x:c r="H1798" s="8" t="n">
        <x:f>G1798-D1798</x:f>
        <x:v>106.45</x:v>
      </x:c>
      <x:c r="I1798" s="1" t="str">
        <x:f>IF(H1798&gt;0,"Overbilled","Shortfall")</x:f>
        <x:v>Overbilled</x:v>
      </x:c>
      <x:c r="J1798" s="7"/>
      <x:c r="K1798" s="7" t="str">
        <x:v>Open</x:v>
      </x:c>
      <x:c r="L1798" s="7"/>
    </x:row>
    <x:row r="1799" ht="21" customHeight="1">
      <x:c r="A1799" s="1" t="str">
        <x:f>Source!A1793</x:f>
        <x:v>C0005613</x:v>
      </x:c>
      <x:c r="B1799" s="1" t="str">
        <x:f>_xlfn.IFNA(VLOOKUP(Source!B1793,Advertisers!$A$5:$B$34,2,FALSE),"Missing advertiser")</x:f>
        <x:v>Synthetic advertiser 4</x:v>
      </x:c>
      <x:c r="C1799" s="1" t="n">
        <x:f>Source!C1793</x:f>
        <x:v>34</x:v>
      </x:c>
      <x:c r="D1799" s="8" t="n">
        <x:f>Source!D1793/100</x:f>
        <x:v>106.45</x:v>
      </x:c>
      <x:c r="E1799" s="8" t="n">
        <x:f>Source!E1793/100</x:f>
        <x:v>212.9</x:v>
      </x:c>
      <x:c r="F1799" s="8" t="n">
        <x:f>Source!F1793/100</x:f>
        <x:v>0</x:v>
      </x:c>
      <x:c r="G1799" s="8" t="n">
        <x:f>Source!G1793/100</x:f>
        <x:v>212.9</x:v>
      </x:c>
      <x:c r="H1799" s="8" t="n">
        <x:f>G1799-D1799</x:f>
        <x:v>106.45</x:v>
      </x:c>
      <x:c r="I1799" s="1" t="str">
        <x:f>IF(H1799&gt;0,"Overbilled","Shortfall")</x:f>
        <x:v>Overbilled</x:v>
      </x:c>
      <x:c r="J1799" s="7"/>
      <x:c r="K1799" s="7" t="str">
        <x:v>Open</x:v>
      </x:c>
      <x:c r="L1799" s="7"/>
    </x:row>
    <x:row r="1800" ht="21" customHeight="1">
      <x:c r="A1800" s="1" t="str">
        <x:f>Source!A1794</x:f>
        <x:v>C0002354</x:v>
      </x:c>
      <x:c r="B1800" s="1" t="str">
        <x:f>_xlfn.IFNA(VLOOKUP(Source!B1794,Advertisers!$A$5:$B$34,2,FALSE),"Missing advertiser")</x:f>
        <x:v>Synthetic advertiser 4</x:v>
      </x:c>
      <x:c r="C1800" s="1" t="n">
        <x:f>Source!C1794</x:f>
        <x:v>34</x:v>
      </x:c>
      <x:c r="D1800" s="8" t="n">
        <x:f>Source!D1794/100</x:f>
        <x:v>106.45</x:v>
      </x:c>
      <x:c r="E1800" s="8" t="n">
        <x:f>Source!E1794/100</x:f>
        <x:v>212.9</x:v>
      </x:c>
      <x:c r="F1800" s="8" t="n">
        <x:f>Source!F1794/100</x:f>
        <x:v>0</x:v>
      </x:c>
      <x:c r="G1800" s="8" t="n">
        <x:f>Source!G1794/100</x:f>
        <x:v>212.9</x:v>
      </x:c>
      <x:c r="H1800" s="8" t="n">
        <x:f>G1800-D1800</x:f>
        <x:v>106.45</x:v>
      </x:c>
      <x:c r="I1800" s="1" t="str">
        <x:f>IF(H1800&gt;0,"Overbilled","Shortfall")</x:f>
        <x:v>Overbilled</x:v>
      </x:c>
      <x:c r="J1800" s="7"/>
      <x:c r="K1800" s="7" t="str">
        <x:v>Open</x:v>
      </x:c>
      <x:c r="L1800" s="7"/>
    </x:row>
    <x:row r="1801" ht="21" customHeight="1">
      <x:c r="A1801" s="1" t="str">
        <x:f>Source!A1795</x:f>
        <x:v>C0006840</x:v>
      </x:c>
      <x:c r="B1801" s="1" t="str">
        <x:f>_xlfn.IFNA(VLOOKUP(Source!B1795,Advertisers!$A$5:$B$34,2,FALSE),"Missing advertiser")</x:f>
        <x:v>Synthetic advertiser 4</x:v>
      </x:c>
      <x:c r="C1801" s="1" t="n">
        <x:f>Source!C1795</x:f>
        <x:v>34</x:v>
      </x:c>
      <x:c r="D1801" s="8" t="n">
        <x:f>Source!D1795/100</x:f>
        <x:v>0</x:v>
      </x:c>
      <x:c r="E1801" s="8" t="n">
        <x:f>Source!E1795/100</x:f>
        <x:v>106.45</x:v>
      </x:c>
      <x:c r="F1801" s="8" t="n">
        <x:f>Source!F1795/100</x:f>
        <x:v>0</x:v>
      </x:c>
      <x:c r="G1801" s="8" t="n">
        <x:f>Source!G1795/100</x:f>
        <x:v>106.45</x:v>
      </x:c>
      <x:c r="H1801" s="8" t="n">
        <x:f>G1801-D1801</x:f>
        <x:v>106.45</x:v>
      </x:c>
      <x:c r="I1801" s="1" t="str">
        <x:f>IF(H1801&gt;0,"Overbilled","Shortfall")</x:f>
        <x:v>Overbilled</x:v>
      </x:c>
      <x:c r="J1801" s="7"/>
      <x:c r="K1801" s="7" t="str">
        <x:v>Open</x:v>
      </x:c>
      <x:c r="L1801" s="7"/>
    </x:row>
    <x:row r="1802" ht="21" customHeight="1">
      <x:c r="A1802" s="1" t="str">
        <x:f>Source!A1796</x:f>
        <x:v>C0002466</x:v>
      </x:c>
      <x:c r="B1802" s="1" t="str">
        <x:f>_xlfn.IFNA(VLOOKUP(Source!B1796,Advertisers!$A$5:$B$34,2,FALSE),"Missing advertiser")</x:f>
        <x:v>Synthetic advertiser 4</x:v>
      </x:c>
      <x:c r="C1802" s="1" t="n">
        <x:f>Source!C1796</x:f>
        <x:v>34</x:v>
      </x:c>
      <x:c r="D1802" s="8" t="n">
        <x:f>Source!D1796/100</x:f>
        <x:v>106.45</x:v>
      </x:c>
      <x:c r="E1802" s="8" t="n">
        <x:f>Source!E1796/100</x:f>
        <x:v>0</x:v>
      </x:c>
      <x:c r="F1802" s="8" t="n">
        <x:f>Source!F1796/100</x:f>
        <x:v>0</x:v>
      </x:c>
      <x:c r="G1802" s="8" t="n">
        <x:f>Source!G1796/100</x:f>
        <x:v>0</x:v>
      </x:c>
      <x:c r="H1802" s="8" t="n">
        <x:f>G1802-D1802</x:f>
        <x:v>-106.45</x:v>
      </x:c>
      <x:c r="I1802" s="1" t="str">
        <x:f>IF(H1802&gt;0,"Overbilled","Shortfall")</x:f>
        <x:v>Shortfall</x:v>
      </x:c>
      <x:c r="J1802" s="7"/>
      <x:c r="K1802" s="7" t="str">
        <x:v>Open</x:v>
      </x:c>
      <x:c r="L1802" s="7"/>
    </x:row>
    <x:row r="1803" ht="21" customHeight="1">
      <x:c r="A1803" s="1" t="str">
        <x:f>Source!A1797</x:f>
        <x:v>C0004350</x:v>
      </x:c>
      <x:c r="B1803" s="1" t="str">
        <x:f>_xlfn.IFNA(VLOOKUP(Source!B1797,Advertisers!$A$5:$B$34,2,FALSE),"Missing advertiser")</x:f>
        <x:v>Synthetic advertiser 4</x:v>
      </x:c>
      <x:c r="C1803" s="1" t="n">
        <x:f>Source!C1797</x:f>
        <x:v>34</x:v>
      </x:c>
      <x:c r="D1803" s="8" t="n">
        <x:f>Source!D1797/100</x:f>
        <x:v>106.45</x:v>
      </x:c>
      <x:c r="E1803" s="8" t="n">
        <x:f>Source!E1797/100</x:f>
        <x:v>212.9</x:v>
      </x:c>
      <x:c r="F1803" s="8" t="n">
        <x:f>Source!F1797/100</x:f>
        <x:v>0</x:v>
      </x:c>
      <x:c r="G1803" s="8" t="n">
        <x:f>Source!G1797/100</x:f>
        <x:v>212.9</x:v>
      </x:c>
      <x:c r="H1803" s="8" t="n">
        <x:f>G1803-D1803</x:f>
        <x:v>106.45</x:v>
      </x:c>
      <x:c r="I1803" s="1" t="str">
        <x:f>IF(H1803&gt;0,"Overbilled","Shortfall")</x:f>
        <x:v>Overbilled</x:v>
      </x:c>
      <x:c r="J1803" s="7"/>
      <x:c r="K1803" s="7" t="str">
        <x:v>Open</x:v>
      </x:c>
      <x:c r="L1803" s="7"/>
    </x:row>
    <x:row r="1804" ht="21" customHeight="1">
      <x:c r="A1804" s="1" t="str">
        <x:f>Source!A1798</x:f>
        <x:v>C0005429</x:v>
      </x:c>
      <x:c r="B1804" s="1" t="str">
        <x:f>_xlfn.IFNA(VLOOKUP(Source!B1798,Advertisers!$A$5:$B$34,2,FALSE),"Missing advertiser")</x:f>
        <x:v>Synthetic advertiser 4</x:v>
      </x:c>
      <x:c r="C1804" s="1" t="n">
        <x:f>Source!C1798</x:f>
        <x:v>34</x:v>
      </x:c>
      <x:c r="D1804" s="8" t="n">
        <x:f>Source!D1798/100</x:f>
        <x:v>106.45</x:v>
      </x:c>
      <x:c r="E1804" s="8" t="n">
        <x:f>Source!E1798/100</x:f>
        <x:v>212.9</x:v>
      </x:c>
      <x:c r="F1804" s="8" t="n">
        <x:f>Source!F1798/100</x:f>
        <x:v>0</x:v>
      </x:c>
      <x:c r="G1804" s="8" t="n">
        <x:f>Source!G1798/100</x:f>
        <x:v>212.9</x:v>
      </x:c>
      <x:c r="H1804" s="8" t="n">
        <x:f>G1804-D1804</x:f>
        <x:v>106.45</x:v>
      </x:c>
      <x:c r="I1804" s="1" t="str">
        <x:f>IF(H1804&gt;0,"Overbilled","Shortfall")</x:f>
        <x:v>Overbilled</x:v>
      </x:c>
      <x:c r="J1804" s="7"/>
      <x:c r="K1804" s="7" t="str">
        <x:v>Open</x:v>
      </x:c>
      <x:c r="L1804" s="7"/>
    </x:row>
    <x:row r="1805" ht="21" customHeight="1">
      <x:c r="A1805" s="1" t="str">
        <x:f>Source!A1799</x:f>
        <x:v>C0003174</x:v>
      </x:c>
      <x:c r="B1805" s="1" t="str">
        <x:f>_xlfn.IFNA(VLOOKUP(Source!B1799,Advertisers!$A$5:$B$34,2,FALSE),"Missing advertiser")</x:f>
        <x:v>Synthetic advertiser 9</x:v>
      </x:c>
      <x:c r="C1805" s="1" t="n">
        <x:f>Source!C1799</x:f>
        <x:v>9</x:v>
      </x:c>
      <x:c r="D1805" s="8" t="n">
        <x:f>Source!D1799/100</x:f>
        <x:v>0</x:v>
      </x:c>
      <x:c r="E1805" s="8" t="n">
        <x:f>Source!E1799/100</x:f>
        <x:v>105.31</x:v>
      </x:c>
      <x:c r="F1805" s="8" t="n">
        <x:f>Source!F1799/100</x:f>
        <x:v>0</x:v>
      </x:c>
      <x:c r="G1805" s="8" t="n">
        <x:f>Source!G1799/100</x:f>
        <x:v>105.31</x:v>
      </x:c>
      <x:c r="H1805" s="8" t="n">
        <x:f>G1805-D1805</x:f>
        <x:v>105.31</x:v>
      </x:c>
      <x:c r="I1805" s="1" t="str">
        <x:f>IF(H1805&gt;0,"Overbilled","Shortfall")</x:f>
        <x:v>Overbilled</x:v>
      </x:c>
      <x:c r="J1805" s="7"/>
      <x:c r="K1805" s="7" t="str">
        <x:v>Open</x:v>
      </x:c>
      <x:c r="L1805" s="7"/>
    </x:row>
    <x:row r="1806" ht="21" customHeight="1">
      <x:c r="A1806" s="1" t="str">
        <x:f>Source!A1800</x:f>
        <x:v>C0010979</x:v>
      </x:c>
      <x:c r="B1806" s="1" t="str">
        <x:f>_xlfn.IFNA(VLOOKUP(Source!B1800,Advertisers!$A$5:$B$34,2,FALSE),"Missing advertiser")</x:f>
        <x:v>Synthetic advertiser 9</x:v>
      </x:c>
      <x:c r="C1806" s="1" t="n">
        <x:f>Source!C1800</x:f>
        <x:v>9</x:v>
      </x:c>
      <x:c r="D1806" s="8" t="n">
        <x:f>Source!D1800/100</x:f>
        <x:v>105.31</x:v>
      </x:c>
      <x:c r="E1806" s="8" t="n">
        <x:f>Source!E1800/100</x:f>
        <x:v>0</x:v>
      </x:c>
      <x:c r="F1806" s="8" t="n">
        <x:f>Source!F1800/100</x:f>
        <x:v>0</x:v>
      </x:c>
      <x:c r="G1806" s="8" t="n">
        <x:f>Source!G1800/100</x:f>
        <x:v>0</x:v>
      </x:c>
      <x:c r="H1806" s="8" t="n">
        <x:f>G1806-D1806</x:f>
        <x:v>-105.31</x:v>
      </x:c>
      <x:c r="I1806" s="1" t="str">
        <x:f>IF(H1806&gt;0,"Overbilled","Shortfall")</x:f>
        <x:v>Shortfall</x:v>
      </x:c>
      <x:c r="J1806" s="7"/>
      <x:c r="K1806" s="7" t="str">
        <x:v>Open</x:v>
      </x:c>
      <x:c r="L1806" s="7"/>
    </x:row>
    <x:row r="1807" ht="21" customHeight="1">
      <x:c r="A1807" s="1" t="str">
        <x:f>Source!A1801</x:f>
        <x:v>C0007024</x:v>
      </x:c>
      <x:c r="B1807" s="1" t="str">
        <x:f>_xlfn.IFNA(VLOOKUP(Source!B1801,Advertisers!$A$5:$B$34,2,FALSE),"Missing advertiser")</x:f>
        <x:v>Synthetic advertiser 9</x:v>
      </x:c>
      <x:c r="C1807" s="1" t="n">
        <x:f>Source!C1801</x:f>
        <x:v>9</x:v>
      </x:c>
      <x:c r="D1807" s="8" t="n">
        <x:f>Source!D1801/100</x:f>
        <x:v>105.31</x:v>
      </x:c>
      <x:c r="E1807" s="8" t="n">
        <x:f>Source!E1801/100</x:f>
        <x:v>0</x:v>
      </x:c>
      <x:c r="F1807" s="8" t="n">
        <x:f>Source!F1801/100</x:f>
        <x:v>0</x:v>
      </x:c>
      <x:c r="G1807" s="8" t="n">
        <x:f>Source!G1801/100</x:f>
        <x:v>0</x:v>
      </x:c>
      <x:c r="H1807" s="8" t="n">
        <x:f>G1807-D1807</x:f>
        <x:v>-105.31</x:v>
      </x:c>
      <x:c r="I1807" s="1" t="str">
        <x:f>IF(H1807&gt;0,"Overbilled","Shortfall")</x:f>
        <x:v>Shortfall</x:v>
      </x:c>
      <x:c r="J1807" s="7"/>
      <x:c r="K1807" s="7" t="str">
        <x:v>Open</x:v>
      </x:c>
      <x:c r="L1807" s="7"/>
    </x:row>
    <x:row r="1808" ht="21" customHeight="1">
      <x:c r="A1808" s="1" t="str">
        <x:f>Source!A1802</x:f>
        <x:v>C0002776</x:v>
      </x:c>
      <x:c r="B1808" s="1" t="str">
        <x:f>_xlfn.IFNA(VLOOKUP(Source!B1802,Advertisers!$A$5:$B$34,2,FALSE),"Missing advertiser")</x:f>
        <x:v>Synthetic advertiser 9</x:v>
      </x:c>
      <x:c r="C1808" s="1" t="n">
        <x:f>Source!C1802</x:f>
        <x:v>9</x:v>
      </x:c>
      <x:c r="D1808" s="8" t="n">
        <x:f>Source!D1802/100</x:f>
        <x:v>105.31</x:v>
      </x:c>
      <x:c r="E1808" s="8" t="n">
        <x:f>Source!E1802/100</x:f>
        <x:v>0</x:v>
      </x:c>
      <x:c r="F1808" s="8" t="n">
        <x:f>Source!F1802/100</x:f>
        <x:v>0</x:v>
      </x:c>
      <x:c r="G1808" s="8" t="n">
        <x:f>Source!G1802/100</x:f>
        <x:v>0</x:v>
      </x:c>
      <x:c r="H1808" s="8" t="n">
        <x:f>G1808-D1808</x:f>
        <x:v>-105.31</x:v>
      </x:c>
      <x:c r="I1808" s="1" t="str">
        <x:f>IF(H1808&gt;0,"Overbilled","Shortfall")</x:f>
        <x:v>Shortfall</x:v>
      </x:c>
      <x:c r="J1808" s="7"/>
      <x:c r="K1808" s="7" t="str">
        <x:v>Open</x:v>
      </x:c>
      <x:c r="L1808" s="7"/>
    </x:row>
    <x:row r="1809" ht="21" customHeight="1">
      <x:c r="A1809" s="1" t="str">
        <x:f>Source!A1803</x:f>
        <x:v>C0016206</x:v>
      </x:c>
      <x:c r="B1809" s="1" t="str">
        <x:f>_xlfn.IFNA(VLOOKUP(Source!B1803,Advertisers!$A$5:$B$34,2,FALSE),"Missing advertiser")</x:f>
        <x:v>Synthetic advertiser 9</x:v>
      </x:c>
      <x:c r="C1809" s="1" t="n">
        <x:f>Source!C1803</x:f>
        <x:v>9</x:v>
      </x:c>
      <x:c r="D1809" s="8" t="n">
        <x:f>Source!D1803/100</x:f>
        <x:v>105.31</x:v>
      </x:c>
      <x:c r="E1809" s="8" t="n">
        <x:f>Source!E1803/100</x:f>
        <x:v>0</x:v>
      </x:c>
      <x:c r="F1809" s="8" t="n">
        <x:f>Source!F1803/100</x:f>
        <x:v>0</x:v>
      </x:c>
      <x:c r="G1809" s="8" t="n">
        <x:f>Source!G1803/100</x:f>
        <x:v>0</x:v>
      </x:c>
      <x:c r="H1809" s="8" t="n">
        <x:f>G1809-D1809</x:f>
        <x:v>-105.31</x:v>
      </x:c>
      <x:c r="I1809" s="1" t="str">
        <x:f>IF(H1809&gt;0,"Overbilled","Shortfall")</x:f>
        <x:v>Shortfall</x:v>
      </x:c>
      <x:c r="J1809" s="7"/>
      <x:c r="K1809" s="7" t="str">
        <x:v>Open</x:v>
      </x:c>
      <x:c r="L1809" s="7"/>
    </x:row>
    <x:row r="1810" ht="21" customHeight="1">
      <x:c r="A1810" s="1" t="str">
        <x:f>Source!A1804</x:f>
        <x:v>C0015025</x:v>
      </x:c>
      <x:c r="B1810" s="1" t="str">
        <x:f>_xlfn.IFNA(VLOOKUP(Source!B1804,Advertisers!$A$5:$B$34,2,FALSE),"Missing advertiser")</x:f>
        <x:v>Synthetic advertiser 28</x:v>
      </x:c>
      <x:c r="C1810" s="1" t="n">
        <x:f>Source!C1804</x:f>
        <x:v>88</x:v>
      </x:c>
      <x:c r="D1810" s="8" t="n">
        <x:f>Source!D1804/100</x:f>
        <x:v>104.97</x:v>
      </x:c>
      <x:c r="E1810" s="8" t="n">
        <x:f>Source!E1804/100</x:f>
        <x:v>209.94</x:v>
      </x:c>
      <x:c r="F1810" s="8" t="n">
        <x:f>Source!F1804/100</x:f>
        <x:v>0</x:v>
      </x:c>
      <x:c r="G1810" s="8" t="n">
        <x:f>Source!G1804/100</x:f>
        <x:v>209.94</x:v>
      </x:c>
      <x:c r="H1810" s="8" t="n">
        <x:f>G1810-D1810</x:f>
        <x:v>104.97</x:v>
      </x:c>
      <x:c r="I1810" s="1" t="str">
        <x:f>IF(H1810&gt;0,"Overbilled","Shortfall")</x:f>
        <x:v>Overbilled</x:v>
      </x:c>
      <x:c r="J1810" s="7"/>
      <x:c r="K1810" s="7" t="str">
        <x:v>Open</x:v>
      </x:c>
      <x:c r="L1810" s="7"/>
    </x:row>
    <x:row r="1811" ht="21" customHeight="1">
      <x:c r="A1811" s="1" t="str">
        <x:f>Source!A1805</x:f>
        <x:v>C0013745</x:v>
      </x:c>
      <x:c r="B1811" s="1" t="str">
        <x:f>_xlfn.IFNA(VLOOKUP(Source!B1805,Advertisers!$A$5:$B$34,2,FALSE),"Missing advertiser")</x:f>
        <x:v>Synthetic advertiser 28</x:v>
      </x:c>
      <x:c r="C1811" s="1" t="n">
        <x:f>Source!C1805</x:f>
        <x:v>88</x:v>
      </x:c>
      <x:c r="D1811" s="8" t="n">
        <x:f>Source!D1805/100</x:f>
        <x:v>104.97</x:v>
      </x:c>
      <x:c r="E1811" s="8" t="n">
        <x:f>Source!E1805/100</x:f>
        <x:v>209.94</x:v>
      </x:c>
      <x:c r="F1811" s="8" t="n">
        <x:f>Source!F1805/100</x:f>
        <x:v>0</x:v>
      </x:c>
      <x:c r="G1811" s="8" t="n">
        <x:f>Source!G1805/100</x:f>
        <x:v>209.94</x:v>
      </x:c>
      <x:c r="H1811" s="8" t="n">
        <x:f>G1811-D1811</x:f>
        <x:v>104.97</x:v>
      </x:c>
      <x:c r="I1811" s="1" t="str">
        <x:f>IF(H1811&gt;0,"Overbilled","Shortfall")</x:f>
        <x:v>Overbilled</x:v>
      </x:c>
      <x:c r="J1811" s="7"/>
      <x:c r="K1811" s="7" t="str">
        <x:v>Open</x:v>
      </x:c>
      <x:c r="L1811" s="7"/>
    </x:row>
    <x:row r="1812" ht="21" customHeight="1">
      <x:c r="A1812" s="1" t="str">
        <x:f>Source!A1806</x:f>
        <x:v>C0012618</x:v>
      </x:c>
      <x:c r="B1812" s="1" t="str">
        <x:f>_xlfn.IFNA(VLOOKUP(Source!B1806,Advertisers!$A$5:$B$34,2,FALSE),"Missing advertiser")</x:f>
        <x:v>Synthetic advertiser 28</x:v>
      </x:c>
      <x:c r="C1812" s="1" t="n">
        <x:f>Source!C1806</x:f>
        <x:v>88</x:v>
      </x:c>
      <x:c r="D1812" s="8" t="n">
        <x:f>Source!D1806/100</x:f>
        <x:v>0</x:v>
      </x:c>
      <x:c r="E1812" s="8" t="n">
        <x:f>Source!E1806/100</x:f>
        <x:v>104.97</x:v>
      </x:c>
      <x:c r="F1812" s="8" t="n">
        <x:f>Source!F1806/100</x:f>
        <x:v>0</x:v>
      </x:c>
      <x:c r="G1812" s="8" t="n">
        <x:f>Source!G1806/100</x:f>
        <x:v>104.97</x:v>
      </x:c>
      <x:c r="H1812" s="8" t="n">
        <x:f>G1812-D1812</x:f>
        <x:v>104.97</x:v>
      </x:c>
      <x:c r="I1812" s="1" t="str">
        <x:f>IF(H1812&gt;0,"Overbilled","Shortfall")</x:f>
        <x:v>Overbilled</x:v>
      </x:c>
      <x:c r="J1812" s="7"/>
      <x:c r="K1812" s="7" t="str">
        <x:v>Open</x:v>
      </x:c>
      <x:c r="L1812" s="7"/>
    </x:row>
    <x:row r="1813" ht="21" customHeight="1">
      <x:c r="A1813" s="1" t="str">
        <x:f>Source!A1807</x:f>
        <x:v>C0012089</x:v>
      </x:c>
      <x:c r="B1813" s="1" t="str">
        <x:f>_xlfn.IFNA(VLOOKUP(Source!B1807,Advertisers!$A$5:$B$34,2,FALSE),"Missing advertiser")</x:f>
        <x:v>Synthetic advertiser 28</x:v>
      </x:c>
      <x:c r="C1813" s="1" t="n">
        <x:f>Source!C1807</x:f>
        <x:v>88</x:v>
      </x:c>
      <x:c r="D1813" s="8" t="n">
        <x:f>Source!D1807/100</x:f>
        <x:v>104.97</x:v>
      </x:c>
      <x:c r="E1813" s="8" t="n">
        <x:f>Source!E1807/100</x:f>
        <x:v>0</x:v>
      </x:c>
      <x:c r="F1813" s="8" t="n">
        <x:f>Source!F1807/100</x:f>
        <x:v>0</x:v>
      </x:c>
      <x:c r="G1813" s="8" t="n">
        <x:f>Source!G1807/100</x:f>
        <x:v>0</x:v>
      </x:c>
      <x:c r="H1813" s="8" t="n">
        <x:f>G1813-D1813</x:f>
        <x:v>-104.97</x:v>
      </x:c>
      <x:c r="I1813" s="1" t="str">
        <x:f>IF(H1813&gt;0,"Overbilled","Shortfall")</x:f>
        <x:v>Shortfall</x:v>
      </x:c>
      <x:c r="J1813" s="7"/>
      <x:c r="K1813" s="7" t="str">
        <x:v>Open</x:v>
      </x:c>
      <x:c r="L1813" s="7"/>
    </x:row>
    <x:row r="1814" ht="21" customHeight="1">
      <x:c r="A1814" s="1" t="str">
        <x:f>Source!A1808</x:f>
        <x:v>C0007506</x:v>
      </x:c>
      <x:c r="B1814" s="1" t="str">
        <x:f>_xlfn.IFNA(VLOOKUP(Source!B1808,Advertisers!$A$5:$B$34,2,FALSE),"Missing advertiser")</x:f>
        <x:v>Synthetic advertiser 28</x:v>
      </x:c>
      <x:c r="C1814" s="1" t="n">
        <x:f>Source!C1808</x:f>
        <x:v>88</x:v>
      </x:c>
      <x:c r="D1814" s="8" t="n">
        <x:f>Source!D1808/100</x:f>
        <x:v>104.97</x:v>
      </x:c>
      <x:c r="E1814" s="8" t="n">
        <x:f>Source!E1808/100</x:f>
        <x:v>0</x:v>
      </x:c>
      <x:c r="F1814" s="8" t="n">
        <x:f>Source!F1808/100</x:f>
        <x:v>0</x:v>
      </x:c>
      <x:c r="G1814" s="8" t="n">
        <x:f>Source!G1808/100</x:f>
        <x:v>0</x:v>
      </x:c>
      <x:c r="H1814" s="8" t="n">
        <x:f>G1814-D1814</x:f>
        <x:v>-104.97</x:v>
      </x:c>
      <x:c r="I1814" s="1" t="str">
        <x:f>IF(H1814&gt;0,"Overbilled","Shortfall")</x:f>
        <x:v>Shortfall</x:v>
      </x:c>
      <x:c r="J1814" s="7"/>
      <x:c r="K1814" s="7" t="str">
        <x:v>Open</x:v>
      </x:c>
      <x:c r="L1814" s="7"/>
    </x:row>
    <x:row r="1815" ht="21" customHeight="1">
      <x:c r="A1815" s="1" t="str">
        <x:f>Source!A1809</x:f>
        <x:v>C0001600</x:v>
      </x:c>
      <x:c r="B1815" s="1" t="str">
        <x:f>_xlfn.IFNA(VLOOKUP(Source!B1809,Advertisers!$A$5:$B$34,2,FALSE),"Missing advertiser")</x:f>
        <x:v>Synthetic advertiser 28</x:v>
      </x:c>
      <x:c r="C1815" s="1" t="n">
        <x:f>Source!C1809</x:f>
        <x:v>88</x:v>
      </x:c>
      <x:c r="D1815" s="8" t="n">
        <x:f>Source!D1809/100</x:f>
        <x:v>104.97</x:v>
      </x:c>
      <x:c r="E1815" s="8" t="n">
        <x:f>Source!E1809/100</x:f>
        <x:v>0</x:v>
      </x:c>
      <x:c r="F1815" s="8" t="n">
        <x:f>Source!F1809/100</x:f>
        <x:v>0</x:v>
      </x:c>
      <x:c r="G1815" s="8" t="n">
        <x:f>Source!G1809/100</x:f>
        <x:v>0</x:v>
      </x:c>
      <x:c r="H1815" s="8" t="n">
        <x:f>G1815-D1815</x:f>
        <x:v>-104.97</x:v>
      </x:c>
      <x:c r="I1815" s="1" t="str">
        <x:f>IF(H1815&gt;0,"Overbilled","Shortfall")</x:f>
        <x:v>Shortfall</x:v>
      </x:c>
      <x:c r="J1815" s="7"/>
      <x:c r="K1815" s="7" t="str">
        <x:v>Open</x:v>
      </x:c>
      <x:c r="L1815" s="7"/>
    </x:row>
    <x:row r="1816" ht="21" customHeight="1">
      <x:c r="A1816" s="1" t="str">
        <x:f>Source!A1810</x:f>
        <x:v>C0015672</x:v>
      </x:c>
      <x:c r="B1816" s="1" t="str">
        <x:f>_xlfn.IFNA(VLOOKUP(Source!B1810,Advertisers!$A$5:$B$34,2,FALSE),"Missing advertiser")</x:f>
        <x:v>Synthetic advertiser 28</x:v>
      </x:c>
      <x:c r="C1816" s="1" t="n">
        <x:f>Source!C1810</x:f>
        <x:v>88</x:v>
      </x:c>
      <x:c r="D1816" s="8" t="n">
        <x:f>Source!D1810/100</x:f>
        <x:v>104.97</x:v>
      </x:c>
      <x:c r="E1816" s="8" t="n">
        <x:f>Source!E1810/100</x:f>
        <x:v>209.94</x:v>
      </x:c>
      <x:c r="F1816" s="8" t="n">
        <x:f>Source!F1810/100</x:f>
        <x:v>0</x:v>
      </x:c>
      <x:c r="G1816" s="8" t="n">
        <x:f>Source!G1810/100</x:f>
        <x:v>209.94</x:v>
      </x:c>
      <x:c r="H1816" s="8" t="n">
        <x:f>G1816-D1816</x:f>
        <x:v>104.97</x:v>
      </x:c>
      <x:c r="I1816" s="1" t="str">
        <x:f>IF(H1816&gt;0,"Overbilled","Shortfall")</x:f>
        <x:v>Overbilled</x:v>
      </x:c>
      <x:c r="J1816" s="7"/>
      <x:c r="K1816" s="7" t="str">
        <x:v>Open</x:v>
      </x:c>
      <x:c r="L1816" s="7"/>
    </x:row>
    <x:row r="1817" ht="21" customHeight="1">
      <x:c r="A1817" s="1" t="str">
        <x:f>Source!A1811</x:f>
        <x:v>C0005477</x:v>
      </x:c>
      <x:c r="B1817" s="1" t="str">
        <x:f>_xlfn.IFNA(VLOOKUP(Source!B1811,Advertisers!$A$5:$B$34,2,FALSE),"Missing advertiser")</x:f>
        <x:v>Synthetic advertiser 28</x:v>
      </x:c>
      <x:c r="C1817" s="1" t="n">
        <x:f>Source!C1811</x:f>
        <x:v>88</x:v>
      </x:c>
      <x:c r="D1817" s="8" t="n">
        <x:f>Source!D1811/100</x:f>
        <x:v>0</x:v>
      </x:c>
      <x:c r="E1817" s="8" t="n">
        <x:f>Source!E1811/100</x:f>
        <x:v>104.97</x:v>
      </x:c>
      <x:c r="F1817" s="8" t="n">
        <x:f>Source!F1811/100</x:f>
        <x:v>0</x:v>
      </x:c>
      <x:c r="G1817" s="8" t="n">
        <x:f>Source!G1811/100</x:f>
        <x:v>104.97</x:v>
      </x:c>
      <x:c r="H1817" s="8" t="n">
        <x:f>G1817-D1817</x:f>
        <x:v>104.97</x:v>
      </x:c>
      <x:c r="I1817" s="1" t="str">
        <x:f>IF(H1817&gt;0,"Overbilled","Shortfall")</x:f>
        <x:v>Overbilled</x:v>
      </x:c>
      <x:c r="J1817" s="7"/>
      <x:c r="K1817" s="7" t="str">
        <x:v>Open</x:v>
      </x:c>
      <x:c r="L1817" s="7"/>
    </x:row>
    <x:row r="1818" ht="21" customHeight="1">
      <x:c r="A1818" s="1" t="str">
        <x:f>Source!A1812</x:f>
        <x:v>C0000588</x:v>
      </x:c>
      <x:c r="B1818" s="1" t="str">
        <x:f>_xlfn.IFNA(VLOOKUP(Source!B1812,Advertisers!$A$5:$B$34,2,FALSE),"Missing advertiser")</x:f>
        <x:v>Synthetic advertiser 28</x:v>
      </x:c>
      <x:c r="C1818" s="1" t="n">
        <x:f>Source!C1812</x:f>
        <x:v>88</x:v>
      </x:c>
      <x:c r="D1818" s="8" t="n">
        <x:f>Source!D1812/100</x:f>
        <x:v>104.97</x:v>
      </x:c>
      <x:c r="E1818" s="8" t="n">
        <x:f>Source!E1812/100</x:f>
        <x:v>0</x:v>
      </x:c>
      <x:c r="F1818" s="8" t="n">
        <x:f>Source!F1812/100</x:f>
        <x:v>0</x:v>
      </x:c>
      <x:c r="G1818" s="8" t="n">
        <x:f>Source!G1812/100</x:f>
        <x:v>0</x:v>
      </x:c>
      <x:c r="H1818" s="8" t="n">
        <x:f>G1818-D1818</x:f>
        <x:v>-104.97</x:v>
      </x:c>
      <x:c r="I1818" s="1" t="str">
        <x:f>IF(H1818&gt;0,"Overbilled","Shortfall")</x:f>
        <x:v>Shortfall</x:v>
      </x:c>
      <x:c r="J1818" s="7"/>
      <x:c r="K1818" s="7" t="str">
        <x:v>Open</x:v>
      </x:c>
      <x:c r="L1818" s="7"/>
    </x:row>
    <x:row r="1819" ht="21" customHeight="1">
      <x:c r="A1819" s="1" t="str">
        <x:f>Source!A1813</x:f>
        <x:v>C0016945</x:v>
      </x:c>
      <x:c r="B1819" s="1" t="str">
        <x:f>_xlfn.IFNA(VLOOKUP(Source!B1813,Advertisers!$A$5:$B$34,2,FALSE),"Missing advertiser")</x:f>
        <x:v>Synthetic advertiser 13</x:v>
      </x:c>
      <x:c r="C1819" s="1" t="n">
        <x:f>Source!C1813</x:f>
        <x:v>13</x:v>
      </x:c>
      <x:c r="D1819" s="8" t="n">
        <x:f>Source!D1813/100</x:f>
        <x:v>104.45</x:v>
      </x:c>
      <x:c r="E1819" s="8" t="n">
        <x:f>Source!E1813/100</x:f>
        <x:v>0</x:v>
      </x:c>
      <x:c r="F1819" s="8" t="n">
        <x:f>Source!F1813/100</x:f>
        <x:v>0</x:v>
      </x:c>
      <x:c r="G1819" s="8" t="n">
        <x:f>Source!G1813/100</x:f>
        <x:v>0</x:v>
      </x:c>
      <x:c r="H1819" s="8" t="n">
        <x:f>G1819-D1819</x:f>
        <x:v>-104.45</x:v>
      </x:c>
      <x:c r="I1819" s="1" t="str">
        <x:f>IF(H1819&gt;0,"Overbilled","Shortfall")</x:f>
        <x:v>Shortfall</x:v>
      </x:c>
      <x:c r="J1819" s="7"/>
      <x:c r="K1819" s="7" t="str">
        <x:v>Open</x:v>
      </x:c>
      <x:c r="L1819" s="7"/>
    </x:row>
    <x:row r="1820" ht="21" customHeight="1">
      <x:c r="A1820" s="1" t="str">
        <x:f>Source!A1814</x:f>
        <x:v>C0012803</x:v>
      </x:c>
      <x:c r="B1820" s="1" t="str">
        <x:f>_xlfn.IFNA(VLOOKUP(Source!B1814,Advertisers!$A$5:$B$34,2,FALSE),"Missing advertiser")</x:f>
        <x:v>Synthetic advertiser 13</x:v>
      </x:c>
      <x:c r="C1820" s="1" t="n">
        <x:f>Source!C1814</x:f>
        <x:v>13</x:v>
      </x:c>
      <x:c r="D1820" s="8" t="n">
        <x:f>Source!D1814/100</x:f>
        <x:v>104.45</x:v>
      </x:c>
      <x:c r="E1820" s="8" t="n">
        <x:f>Source!E1814/100</x:f>
        <x:v>0</x:v>
      </x:c>
      <x:c r="F1820" s="8" t="n">
        <x:f>Source!F1814/100</x:f>
        <x:v>0</x:v>
      </x:c>
      <x:c r="G1820" s="8" t="n">
        <x:f>Source!G1814/100</x:f>
        <x:v>0</x:v>
      </x:c>
      <x:c r="H1820" s="8" t="n">
        <x:f>G1820-D1820</x:f>
        <x:v>-104.45</x:v>
      </x:c>
      <x:c r="I1820" s="1" t="str">
        <x:f>IF(H1820&gt;0,"Overbilled","Shortfall")</x:f>
        <x:v>Shortfall</x:v>
      </x:c>
      <x:c r="J1820" s="7"/>
      <x:c r="K1820" s="7" t="str">
        <x:v>Open</x:v>
      </x:c>
      <x:c r="L1820" s="7"/>
    </x:row>
    <x:row r="1821" ht="21" customHeight="1">
      <x:c r="A1821" s="1" t="str">
        <x:f>Source!A1815</x:f>
        <x:v>C0009040</x:v>
      </x:c>
      <x:c r="B1821" s="1" t="str">
        <x:f>_xlfn.IFNA(VLOOKUP(Source!B1815,Advertisers!$A$5:$B$34,2,FALSE),"Missing advertiser")</x:f>
        <x:v>Synthetic advertiser 9</x:v>
      </x:c>
      <x:c r="C1821" s="1" t="n">
        <x:f>Source!C1815</x:f>
        <x:v>99</x:v>
      </x:c>
      <x:c r="D1821" s="8" t="n">
        <x:f>Source!D1815/100</x:f>
        <x:v>103.53</x:v>
      </x:c>
      <x:c r="E1821" s="8" t="n">
        <x:f>Source!E1815/100</x:f>
        <x:v>0</x:v>
      </x:c>
      <x:c r="F1821" s="8" t="n">
        <x:f>Source!F1815/100</x:f>
        <x:v>0</x:v>
      </x:c>
      <x:c r="G1821" s="8" t="n">
        <x:f>Source!G1815/100</x:f>
        <x:v>0</x:v>
      </x:c>
      <x:c r="H1821" s="8" t="n">
        <x:f>G1821-D1821</x:f>
        <x:v>-103.53</x:v>
      </x:c>
      <x:c r="I1821" s="1" t="str">
        <x:f>IF(H1821&gt;0,"Overbilled","Shortfall")</x:f>
        <x:v>Shortfall</x:v>
      </x:c>
      <x:c r="J1821" s="7"/>
      <x:c r="K1821" s="7" t="str">
        <x:v>Open</x:v>
      </x:c>
      <x:c r="L1821" s="7"/>
    </x:row>
    <x:row r="1822" ht="21" customHeight="1">
      <x:c r="A1822" s="1" t="str">
        <x:f>Source!A1816</x:f>
        <x:v>C0003509</x:v>
      </x:c>
      <x:c r="B1822" s="1" t="str">
        <x:f>_xlfn.IFNA(VLOOKUP(Source!B1816,Advertisers!$A$5:$B$34,2,FALSE),"Missing advertiser")</x:f>
        <x:v>Synthetic advertiser 9</x:v>
      </x:c>
      <x:c r="C1822" s="1" t="n">
        <x:f>Source!C1816</x:f>
        <x:v>99</x:v>
      </x:c>
      <x:c r="D1822" s="8" t="n">
        <x:f>Source!D1816/100</x:f>
        <x:v>103.53</x:v>
      </x:c>
      <x:c r="E1822" s="8" t="n">
        <x:f>Source!E1816/100</x:f>
        <x:v>207.06</x:v>
      </x:c>
      <x:c r="F1822" s="8" t="n">
        <x:f>Source!F1816/100</x:f>
        <x:v>0</x:v>
      </x:c>
      <x:c r="G1822" s="8" t="n">
        <x:f>Source!G1816/100</x:f>
        <x:v>207.06</x:v>
      </x:c>
      <x:c r="H1822" s="8" t="n">
        <x:f>G1822-D1822</x:f>
        <x:v>103.53</x:v>
      </x:c>
      <x:c r="I1822" s="1" t="str">
        <x:f>IF(H1822&gt;0,"Overbilled","Shortfall")</x:f>
        <x:v>Overbilled</x:v>
      </x:c>
      <x:c r="J1822" s="7"/>
      <x:c r="K1822" s="7" t="str">
        <x:v>Open</x:v>
      </x:c>
      <x:c r="L1822" s="7"/>
    </x:row>
    <x:row r="1823" ht="21" customHeight="1">
      <x:c r="A1823" s="1" t="str">
        <x:f>Source!A1817</x:f>
        <x:v>C0009176</x:v>
      </x:c>
      <x:c r="B1823" s="1" t="str">
        <x:f>_xlfn.IFNA(VLOOKUP(Source!B1817,Advertisers!$A$5:$B$34,2,FALSE),"Missing advertiser")</x:f>
        <x:v>Synthetic advertiser 9</x:v>
      </x:c>
      <x:c r="C1823" s="1" t="n">
        <x:f>Source!C1817</x:f>
        <x:v>99</x:v>
      </x:c>
      <x:c r="D1823" s="8" t="n">
        <x:f>Source!D1817/100</x:f>
        <x:v>103.53</x:v>
      </x:c>
      <x:c r="E1823" s="8" t="n">
        <x:f>Source!E1817/100</x:f>
        <x:v>0</x:v>
      </x:c>
      <x:c r="F1823" s="8" t="n">
        <x:f>Source!F1817/100</x:f>
        <x:v>0</x:v>
      </x:c>
      <x:c r="G1823" s="8" t="n">
        <x:f>Source!G1817/100</x:f>
        <x:v>0</x:v>
      </x:c>
      <x:c r="H1823" s="8" t="n">
        <x:f>G1823-D1823</x:f>
        <x:v>-103.53</x:v>
      </x:c>
      <x:c r="I1823" s="1" t="str">
        <x:f>IF(H1823&gt;0,"Overbilled","Shortfall")</x:f>
        <x:v>Shortfall</x:v>
      </x:c>
      <x:c r="J1823" s="7"/>
      <x:c r="K1823" s="7" t="str">
        <x:v>Open</x:v>
      </x:c>
      <x:c r="L1823" s="7"/>
    </x:row>
    <x:row r="1824" ht="21" customHeight="1">
      <x:c r="A1824" s="1" t="str">
        <x:f>Source!A1818</x:f>
        <x:v>C0017877</x:v>
      </x:c>
      <x:c r="B1824" s="1" t="str">
        <x:f>_xlfn.IFNA(VLOOKUP(Source!B1818,Advertisers!$A$5:$B$34,2,FALSE),"Missing advertiser")</x:f>
        <x:v>Synthetic advertiser 9</x:v>
      </x:c>
      <x:c r="C1824" s="1" t="n">
        <x:f>Source!C1818</x:f>
        <x:v>99</x:v>
      </x:c>
      <x:c r="D1824" s="8" t="n">
        <x:f>Source!D1818/100</x:f>
        <x:v>103.53</x:v>
      </x:c>
      <x:c r="E1824" s="8" t="n">
        <x:f>Source!E1818/100</x:f>
        <x:v>207.06</x:v>
      </x:c>
      <x:c r="F1824" s="8" t="n">
        <x:f>Source!F1818/100</x:f>
        <x:v>0</x:v>
      </x:c>
      <x:c r="G1824" s="8" t="n">
        <x:f>Source!G1818/100</x:f>
        <x:v>207.06</x:v>
      </x:c>
      <x:c r="H1824" s="8" t="n">
        <x:f>G1824-D1824</x:f>
        <x:v>103.53</x:v>
      </x:c>
      <x:c r="I1824" s="1" t="str">
        <x:f>IF(H1824&gt;0,"Overbilled","Shortfall")</x:f>
        <x:v>Overbilled</x:v>
      </x:c>
      <x:c r="J1824" s="7"/>
      <x:c r="K1824" s="7" t="str">
        <x:v>Open</x:v>
      </x:c>
      <x:c r="L1824" s="7"/>
    </x:row>
    <x:row r="1825" ht="21" customHeight="1">
      <x:c r="A1825" s="1" t="str">
        <x:f>Source!A1819</x:f>
        <x:v>C0000658</x:v>
      </x:c>
      <x:c r="B1825" s="1" t="str">
        <x:f>_xlfn.IFNA(VLOOKUP(Source!B1819,Advertisers!$A$5:$B$34,2,FALSE),"Missing advertiser")</x:f>
        <x:v>Synthetic advertiser 9</x:v>
      </x:c>
      <x:c r="C1825" s="1" t="n">
        <x:f>Source!C1819</x:f>
        <x:v>99</x:v>
      </x:c>
      <x:c r="D1825" s="8" t="n">
        <x:f>Source!D1819/100</x:f>
        <x:v>103.53</x:v>
      </x:c>
      <x:c r="E1825" s="8" t="n">
        <x:f>Source!E1819/100</x:f>
        <x:v>207.06</x:v>
      </x:c>
      <x:c r="F1825" s="8" t="n">
        <x:f>Source!F1819/100</x:f>
        <x:v>0</x:v>
      </x:c>
      <x:c r="G1825" s="8" t="n">
        <x:f>Source!G1819/100</x:f>
        <x:v>207.06</x:v>
      </x:c>
      <x:c r="H1825" s="8" t="n">
        <x:f>G1825-D1825</x:f>
        <x:v>103.53</x:v>
      </x:c>
      <x:c r="I1825" s="1" t="str">
        <x:f>IF(H1825&gt;0,"Overbilled","Shortfall")</x:f>
        <x:v>Overbilled</x:v>
      </x:c>
      <x:c r="J1825" s="7"/>
      <x:c r="K1825" s="7" t="str">
        <x:v>Open</x:v>
      </x:c>
      <x:c r="L1825" s="7"/>
    </x:row>
    <x:row r="1826" ht="21" customHeight="1">
      <x:c r="A1826" s="1" t="str">
        <x:f>Source!A1820</x:f>
        <x:v>C0015900</x:v>
      </x:c>
      <x:c r="B1826" s="1" t="str">
        <x:f>_xlfn.IFNA(VLOOKUP(Source!B1820,Advertisers!$A$5:$B$34,2,FALSE),"Missing advertiser")</x:f>
        <x:v>Synthetic advertiser 9</x:v>
      </x:c>
      <x:c r="C1826" s="1" t="n">
        <x:f>Source!C1820</x:f>
        <x:v>99</x:v>
      </x:c>
      <x:c r="D1826" s="8" t="n">
        <x:f>Source!D1820/100</x:f>
        <x:v>103.53</x:v>
      </x:c>
      <x:c r="E1826" s="8" t="n">
        <x:f>Source!E1820/100</x:f>
        <x:v>207.06</x:v>
      </x:c>
      <x:c r="F1826" s="8" t="n">
        <x:f>Source!F1820/100</x:f>
        <x:v>0</x:v>
      </x:c>
      <x:c r="G1826" s="8" t="n">
        <x:f>Source!G1820/100</x:f>
        <x:v>207.06</x:v>
      </x:c>
      <x:c r="H1826" s="8" t="n">
        <x:f>G1826-D1826</x:f>
        <x:v>103.53</x:v>
      </x:c>
      <x:c r="I1826" s="1" t="str">
        <x:f>IF(H1826&gt;0,"Overbilled","Shortfall")</x:f>
        <x:v>Overbilled</x:v>
      </x:c>
      <x:c r="J1826" s="7"/>
      <x:c r="K1826" s="7" t="str">
        <x:v>Open</x:v>
      </x:c>
      <x:c r="L1826" s="7"/>
    </x:row>
    <x:row r="1827" ht="21" customHeight="1">
      <x:c r="A1827" s="1" t="str">
        <x:f>Source!A1821</x:f>
        <x:v>C0003544</x:v>
      </x:c>
      <x:c r="B1827" s="1" t="str">
        <x:f>_xlfn.IFNA(VLOOKUP(Source!B1821,Advertisers!$A$5:$B$34,2,FALSE),"Missing advertiser")</x:f>
        <x:v>Synthetic advertiser 9</x:v>
      </x:c>
      <x:c r="C1827" s="1" t="n">
        <x:f>Source!C1821</x:f>
        <x:v>99</x:v>
      </x:c>
      <x:c r="D1827" s="8" t="n">
        <x:f>Source!D1821/100</x:f>
        <x:v>103.53</x:v>
      </x:c>
      <x:c r="E1827" s="8" t="n">
        <x:f>Source!E1821/100</x:f>
        <x:v>0</x:v>
      </x:c>
      <x:c r="F1827" s="8" t="n">
        <x:f>Source!F1821/100</x:f>
        <x:v>0</x:v>
      </x:c>
      <x:c r="G1827" s="8" t="n">
        <x:f>Source!G1821/100</x:f>
        <x:v>0</x:v>
      </x:c>
      <x:c r="H1827" s="8" t="n">
        <x:f>G1827-D1827</x:f>
        <x:v>-103.53</x:v>
      </x:c>
      <x:c r="I1827" s="1" t="str">
        <x:f>IF(H1827&gt;0,"Overbilled","Shortfall")</x:f>
        <x:v>Shortfall</x:v>
      </x:c>
      <x:c r="J1827" s="7"/>
      <x:c r="K1827" s="7" t="str">
        <x:v>Open</x:v>
      </x:c>
      <x:c r="L1827" s="7"/>
    </x:row>
    <x:row r="1828" ht="21" customHeight="1">
      <x:c r="A1828" s="1" t="str">
        <x:f>Source!A1822</x:f>
        <x:v>C0012969</x:v>
      </x:c>
      <x:c r="B1828" s="1" t="str">
        <x:f>_xlfn.IFNA(VLOOKUP(Source!B1822,Advertisers!$A$5:$B$34,2,FALSE),"Missing advertiser")</x:f>
        <x:v>Synthetic advertiser 9</x:v>
      </x:c>
      <x:c r="C1828" s="1" t="n">
        <x:f>Source!C1822</x:f>
        <x:v>99</x:v>
      </x:c>
      <x:c r="D1828" s="8" t="n">
        <x:f>Source!D1822/100</x:f>
        <x:v>103.53</x:v>
      </x:c>
      <x:c r="E1828" s="8" t="n">
        <x:f>Source!E1822/100</x:f>
        <x:v>0</x:v>
      </x:c>
      <x:c r="F1828" s="8" t="n">
        <x:f>Source!F1822/100</x:f>
        <x:v>0</x:v>
      </x:c>
      <x:c r="G1828" s="8" t="n">
        <x:f>Source!G1822/100</x:f>
        <x:v>0</x:v>
      </x:c>
      <x:c r="H1828" s="8" t="n">
        <x:f>G1828-D1828</x:f>
        <x:v>-103.53</x:v>
      </x:c>
      <x:c r="I1828" s="1" t="str">
        <x:f>IF(H1828&gt;0,"Overbilled","Shortfall")</x:f>
        <x:v>Shortfall</x:v>
      </x:c>
      <x:c r="J1828" s="7"/>
      <x:c r="K1828" s="7" t="str">
        <x:v>Open</x:v>
      </x:c>
      <x:c r="L1828" s="7"/>
    </x:row>
    <x:row r="1829" ht="21" customHeight="1">
      <x:c r="A1829" s="1" t="str">
        <x:f>Source!A1823</x:f>
        <x:v>C0017367</x:v>
      </x:c>
      <x:c r="B1829" s="1" t="str">
        <x:f>_xlfn.IFNA(VLOOKUP(Source!B1823,Advertisers!$A$5:$B$34,2,FALSE),"Missing advertiser")</x:f>
        <x:v>Synthetic advertiser 9</x:v>
      </x:c>
      <x:c r="C1829" s="1" t="n">
        <x:f>Source!C1823</x:f>
        <x:v>99</x:v>
      </x:c>
      <x:c r="D1829" s="8" t="n">
        <x:f>Source!D1823/100</x:f>
        <x:v>103.53</x:v>
      </x:c>
      <x:c r="E1829" s="8" t="n">
        <x:f>Source!E1823/100</x:f>
        <x:v>207.06</x:v>
      </x:c>
      <x:c r="F1829" s="8" t="n">
        <x:f>Source!F1823/100</x:f>
        <x:v>0</x:v>
      </x:c>
      <x:c r="G1829" s="8" t="n">
        <x:f>Source!G1823/100</x:f>
        <x:v>207.06</x:v>
      </x:c>
      <x:c r="H1829" s="8" t="n">
        <x:f>G1829-D1829</x:f>
        <x:v>103.53</x:v>
      </x:c>
      <x:c r="I1829" s="1" t="str">
        <x:f>IF(H1829&gt;0,"Overbilled","Shortfall")</x:f>
        <x:v>Overbilled</x:v>
      </x:c>
      <x:c r="J1829" s="7"/>
      <x:c r="K1829" s="7" t="str">
        <x:v>Open</x:v>
      </x:c>
      <x:c r="L1829" s="7"/>
    </x:row>
    <x:row r="1830" ht="21" customHeight="1">
      <x:c r="A1830" s="1" t="str">
        <x:f>Source!A1824</x:f>
        <x:v>C0014492</x:v>
      </x:c>
      <x:c r="B1830" s="1" t="str">
        <x:f>_xlfn.IFNA(VLOOKUP(Source!B1824,Advertisers!$A$5:$B$34,2,FALSE),"Missing advertiser")</x:f>
        <x:v>Synthetic advertiser 9</x:v>
      </x:c>
      <x:c r="C1830" s="1" t="n">
        <x:f>Source!C1824</x:f>
        <x:v>99</x:v>
      </x:c>
      <x:c r="D1830" s="8" t="n">
        <x:f>Source!D1824/100</x:f>
        <x:v>103.53</x:v>
      </x:c>
      <x:c r="E1830" s="8" t="n">
        <x:f>Source!E1824/100</x:f>
        <x:v>0</x:v>
      </x:c>
      <x:c r="F1830" s="8" t="n">
        <x:f>Source!F1824/100</x:f>
        <x:v>0</x:v>
      </x:c>
      <x:c r="G1830" s="8" t="n">
        <x:f>Source!G1824/100</x:f>
        <x:v>0</x:v>
      </x:c>
      <x:c r="H1830" s="8" t="n">
        <x:f>G1830-D1830</x:f>
        <x:v>-103.53</x:v>
      </x:c>
      <x:c r="I1830" s="1" t="str">
        <x:f>IF(H1830&gt;0,"Overbilled","Shortfall")</x:f>
        <x:v>Shortfall</x:v>
      </x:c>
      <x:c r="J1830" s="7"/>
      <x:c r="K1830" s="7" t="str">
        <x:v>Open</x:v>
      </x:c>
      <x:c r="L1830" s="7"/>
    </x:row>
    <x:row r="1831" ht="21" customHeight="1">
      <x:c r="A1831" s="1" t="str">
        <x:f>Source!A1825</x:f>
        <x:v>C0003676</x:v>
      </x:c>
      <x:c r="B1831" s="1" t="str">
        <x:f>_xlfn.IFNA(VLOOKUP(Source!B1825,Advertisers!$A$5:$B$34,2,FALSE),"Missing advertiser")</x:f>
        <x:v>Synthetic advertiser 9</x:v>
      </x:c>
      <x:c r="C1831" s="1" t="n">
        <x:f>Source!C1825</x:f>
        <x:v>99</x:v>
      </x:c>
      <x:c r="D1831" s="8" t="n">
        <x:f>Source!D1825/100</x:f>
        <x:v>103.53</x:v>
      </x:c>
      <x:c r="E1831" s="8" t="n">
        <x:f>Source!E1825/100</x:f>
        <x:v>0</x:v>
      </x:c>
      <x:c r="F1831" s="8" t="n">
        <x:f>Source!F1825/100</x:f>
        <x:v>0</x:v>
      </x:c>
      <x:c r="G1831" s="8" t="n">
        <x:f>Source!G1825/100</x:f>
        <x:v>0</x:v>
      </x:c>
      <x:c r="H1831" s="8" t="n">
        <x:f>G1831-D1831</x:f>
        <x:v>-103.53</x:v>
      </x:c>
      <x:c r="I1831" s="1" t="str">
        <x:f>IF(H1831&gt;0,"Overbilled","Shortfall")</x:f>
        <x:v>Shortfall</x:v>
      </x:c>
      <x:c r="J1831" s="7"/>
      <x:c r="K1831" s="7" t="str">
        <x:v>Open</x:v>
      </x:c>
      <x:c r="L1831" s="7"/>
    </x:row>
    <x:row r="1832" ht="21" customHeight="1">
      <x:c r="A1832" s="1" t="str">
        <x:f>Source!A1826</x:f>
        <x:v>C0007997</x:v>
      </x:c>
      <x:c r="B1832" s="1" t="str">
        <x:f>_xlfn.IFNA(VLOOKUP(Source!B1826,Advertisers!$A$5:$B$34,2,FALSE),"Missing advertiser")</x:f>
        <x:v>Synthetic advertiser 9</x:v>
      </x:c>
      <x:c r="C1832" s="1" t="n">
        <x:f>Source!C1826</x:f>
        <x:v>99</x:v>
      </x:c>
      <x:c r="D1832" s="8" t="n">
        <x:f>Source!D1826/100</x:f>
        <x:v>103.53</x:v>
      </x:c>
      <x:c r="E1832" s="8" t="n">
        <x:f>Source!E1826/100</x:f>
        <x:v>0</x:v>
      </x:c>
      <x:c r="F1832" s="8" t="n">
        <x:f>Source!F1826/100</x:f>
        <x:v>0</x:v>
      </x:c>
      <x:c r="G1832" s="8" t="n">
        <x:f>Source!G1826/100</x:f>
        <x:v>0</x:v>
      </x:c>
      <x:c r="H1832" s="8" t="n">
        <x:f>G1832-D1832</x:f>
        <x:v>-103.53</x:v>
      </x:c>
      <x:c r="I1832" s="1" t="str">
        <x:f>IF(H1832&gt;0,"Overbilled","Shortfall")</x:f>
        <x:v>Shortfall</x:v>
      </x:c>
      <x:c r="J1832" s="7"/>
      <x:c r="K1832" s="7" t="str">
        <x:v>Open</x:v>
      </x:c>
      <x:c r="L1832" s="7"/>
    </x:row>
    <x:row r="1833" ht="21" customHeight="1">
      <x:c r="A1833" s="1" t="str">
        <x:f>Source!A1827</x:f>
        <x:v>C0008362</x:v>
      </x:c>
      <x:c r="B1833" s="1" t="str">
        <x:f>_xlfn.IFNA(VLOOKUP(Source!B1827,Advertisers!$A$5:$B$34,2,FALSE),"Missing advertiser")</x:f>
        <x:v>Synthetic advertiser 21</x:v>
      </x:c>
      <x:c r="C1833" s="1" t="n">
        <x:f>Source!C1827</x:f>
        <x:v>111</x:v>
      </x:c>
      <x:c r="D1833" s="8" t="n">
        <x:f>Source!D1827/100</x:f>
        <x:v>102.91</x:v>
      </x:c>
      <x:c r="E1833" s="8" t="n">
        <x:f>Source!E1827/100</x:f>
        <x:v>0</x:v>
      </x:c>
      <x:c r="F1833" s="8" t="n">
        <x:f>Source!F1827/100</x:f>
        <x:v>0</x:v>
      </x:c>
      <x:c r="G1833" s="8" t="n">
        <x:f>Source!G1827/100</x:f>
        <x:v>0</x:v>
      </x:c>
      <x:c r="H1833" s="8" t="n">
        <x:f>G1833-D1833</x:f>
        <x:v>-102.91</x:v>
      </x:c>
      <x:c r="I1833" s="1" t="str">
        <x:f>IF(H1833&gt;0,"Overbilled","Shortfall")</x:f>
        <x:v>Shortfall</x:v>
      </x:c>
      <x:c r="J1833" s="7"/>
      <x:c r="K1833" s="7" t="str">
        <x:v>Open</x:v>
      </x:c>
      <x:c r="L1833" s="7"/>
    </x:row>
    <x:row r="1834" ht="21" customHeight="1">
      <x:c r="A1834" s="1" t="str">
        <x:f>Source!A1828</x:f>
        <x:v>C0008973</x:v>
      </x:c>
      <x:c r="B1834" s="1" t="str">
        <x:f>_xlfn.IFNA(VLOOKUP(Source!B1828,Advertisers!$A$5:$B$34,2,FALSE),"Missing advertiser")</x:f>
        <x:v>Synthetic advertiser 21</x:v>
      </x:c>
      <x:c r="C1834" s="1" t="n">
        <x:f>Source!C1828</x:f>
        <x:v>111</x:v>
      </x:c>
      <x:c r="D1834" s="8" t="n">
        <x:f>Source!D1828/100</x:f>
        <x:v>0</x:v>
      </x:c>
      <x:c r="E1834" s="8" t="n">
        <x:f>Source!E1828/100</x:f>
        <x:v>102.91</x:v>
      </x:c>
      <x:c r="F1834" s="8" t="n">
        <x:f>Source!F1828/100</x:f>
        <x:v>0</x:v>
      </x:c>
      <x:c r="G1834" s="8" t="n">
        <x:f>Source!G1828/100</x:f>
        <x:v>102.91</x:v>
      </x:c>
      <x:c r="H1834" s="8" t="n">
        <x:f>G1834-D1834</x:f>
        <x:v>102.91</x:v>
      </x:c>
      <x:c r="I1834" s="1" t="str">
        <x:f>IF(H1834&gt;0,"Overbilled","Shortfall")</x:f>
        <x:v>Overbilled</x:v>
      </x:c>
      <x:c r="J1834" s="7"/>
      <x:c r="K1834" s="7" t="str">
        <x:v>Open</x:v>
      </x:c>
      <x:c r="L1834" s="7"/>
    </x:row>
    <x:row r="1835" ht="21" customHeight="1">
      <x:c r="A1835" s="1" t="str">
        <x:f>Source!A1829</x:f>
        <x:v>C0010345</x:v>
      </x:c>
      <x:c r="B1835" s="1" t="str">
        <x:f>_xlfn.IFNA(VLOOKUP(Source!B1829,Advertisers!$A$5:$B$34,2,FALSE),"Missing advertiser")</x:f>
        <x:v>Synthetic advertiser 21</x:v>
      </x:c>
      <x:c r="C1835" s="1" t="n">
        <x:f>Source!C1829</x:f>
        <x:v>111</x:v>
      </x:c>
      <x:c r="D1835" s="8" t="n">
        <x:f>Source!D1829/100</x:f>
        <x:v>102.91</x:v>
      </x:c>
      <x:c r="E1835" s="8" t="n">
        <x:f>Source!E1829/100</x:f>
        <x:v>205.82</x:v>
      </x:c>
      <x:c r="F1835" s="8" t="n">
        <x:f>Source!F1829/100</x:f>
        <x:v>0</x:v>
      </x:c>
      <x:c r="G1835" s="8" t="n">
        <x:f>Source!G1829/100</x:f>
        <x:v>205.82</x:v>
      </x:c>
      <x:c r="H1835" s="8" t="n">
        <x:f>G1835-D1835</x:f>
        <x:v>102.91</x:v>
      </x:c>
      <x:c r="I1835" s="1" t="str">
        <x:f>IF(H1835&gt;0,"Overbilled","Shortfall")</x:f>
        <x:v>Overbilled</x:v>
      </x:c>
      <x:c r="J1835" s="7"/>
      <x:c r="K1835" s="7" t="str">
        <x:v>Open</x:v>
      </x:c>
      <x:c r="L1835" s="7"/>
    </x:row>
    <x:row r="1836" ht="21" customHeight="1">
      <x:c r="A1836" s="1" t="str">
        <x:f>Source!A1830</x:f>
        <x:v>C0007567</x:v>
      </x:c>
      <x:c r="B1836" s="1" t="str">
        <x:f>_xlfn.IFNA(VLOOKUP(Source!B1830,Advertisers!$A$5:$B$34,2,FALSE),"Missing advertiser")</x:f>
        <x:v>Synthetic advertiser 21</x:v>
      </x:c>
      <x:c r="C1836" s="1" t="n">
        <x:f>Source!C1830</x:f>
        <x:v>111</x:v>
      </x:c>
      <x:c r="D1836" s="8" t="n">
        <x:f>Source!D1830/100</x:f>
        <x:v>102.91</x:v>
      </x:c>
      <x:c r="E1836" s="8" t="n">
        <x:f>Source!E1830/100</x:f>
        <x:v>205.82</x:v>
      </x:c>
      <x:c r="F1836" s="8" t="n">
        <x:f>Source!F1830/100</x:f>
        <x:v>0</x:v>
      </x:c>
      <x:c r="G1836" s="8" t="n">
        <x:f>Source!G1830/100</x:f>
        <x:v>205.82</x:v>
      </x:c>
      <x:c r="H1836" s="8" t="n">
        <x:f>G1836-D1836</x:f>
        <x:v>102.91</x:v>
      </x:c>
      <x:c r="I1836" s="1" t="str">
        <x:f>IF(H1836&gt;0,"Overbilled","Shortfall")</x:f>
        <x:v>Overbilled</x:v>
      </x:c>
      <x:c r="J1836" s="7"/>
      <x:c r="K1836" s="7" t="str">
        <x:v>Open</x:v>
      </x:c>
      <x:c r="L1836" s="7"/>
    </x:row>
    <x:row r="1837" ht="21" customHeight="1">
      <x:c r="A1837" s="1" t="str">
        <x:f>Source!A1831</x:f>
        <x:v>C0013829</x:v>
      </x:c>
      <x:c r="B1837" s="1" t="str">
        <x:f>_xlfn.IFNA(VLOOKUP(Source!B1831,Advertisers!$A$5:$B$34,2,FALSE),"Missing advertiser")</x:f>
        <x:v>Synthetic advertiser 21</x:v>
      </x:c>
      <x:c r="C1837" s="1" t="n">
        <x:f>Source!C1831</x:f>
        <x:v>111</x:v>
      </x:c>
      <x:c r="D1837" s="8" t="n">
        <x:f>Source!D1831/100</x:f>
        <x:v>102.91</x:v>
      </x:c>
      <x:c r="E1837" s="8" t="n">
        <x:f>Source!E1831/100</x:f>
        <x:v>0</x:v>
      </x:c>
      <x:c r="F1837" s="8" t="n">
        <x:f>Source!F1831/100</x:f>
        <x:v>0</x:v>
      </x:c>
      <x:c r="G1837" s="8" t="n">
        <x:f>Source!G1831/100</x:f>
        <x:v>0</x:v>
      </x:c>
      <x:c r="H1837" s="8" t="n">
        <x:f>G1837-D1837</x:f>
        <x:v>-102.91</x:v>
      </x:c>
      <x:c r="I1837" s="1" t="str">
        <x:f>IF(H1837&gt;0,"Overbilled","Shortfall")</x:f>
        <x:v>Shortfall</x:v>
      </x:c>
      <x:c r="J1837" s="7"/>
      <x:c r="K1837" s="7" t="str">
        <x:v>Open</x:v>
      </x:c>
      <x:c r="L1837" s="7"/>
    </x:row>
    <x:row r="1838" ht="21" customHeight="1">
      <x:c r="A1838" s="1" t="str">
        <x:f>Source!A1832</x:f>
        <x:v>C0002955</x:v>
      </x:c>
      <x:c r="B1838" s="1" t="str">
        <x:f>_xlfn.IFNA(VLOOKUP(Source!B1832,Advertisers!$A$5:$B$34,2,FALSE),"Missing advertiser")</x:f>
        <x:v>Synthetic advertiser 13</x:v>
      </x:c>
      <x:c r="C1838" s="1" t="n">
        <x:f>Source!C1832</x:f>
        <x:v>13</x:v>
      </x:c>
      <x:c r="D1838" s="8" t="n">
        <x:f>Source!D1832/100</x:f>
        <x:v>102.23</x:v>
      </x:c>
      <x:c r="E1838" s="8" t="n">
        <x:f>Source!E1832/100</x:f>
        <x:v>204.46</x:v>
      </x:c>
      <x:c r="F1838" s="8" t="n">
        <x:f>Source!F1832/100</x:f>
        <x:v>0</x:v>
      </x:c>
      <x:c r="G1838" s="8" t="n">
        <x:f>Source!G1832/100</x:f>
        <x:v>204.46</x:v>
      </x:c>
      <x:c r="H1838" s="8" t="n">
        <x:f>G1838-D1838</x:f>
        <x:v>102.23</x:v>
      </x:c>
      <x:c r="I1838" s="1" t="str">
        <x:f>IF(H1838&gt;0,"Overbilled","Shortfall")</x:f>
        <x:v>Overbilled</x:v>
      </x:c>
      <x:c r="J1838" s="7"/>
      <x:c r="K1838" s="7" t="str">
        <x:v>Open</x:v>
      </x:c>
      <x:c r="L1838" s="7"/>
    </x:row>
    <x:row r="1839" ht="21" customHeight="1">
      <x:c r="A1839" s="1" t="str">
        <x:f>Source!A1833</x:f>
        <x:v>C0010025</x:v>
      </x:c>
      <x:c r="B1839" s="1" t="str">
        <x:f>_xlfn.IFNA(VLOOKUP(Source!B1833,Advertisers!$A$5:$B$34,2,FALSE),"Missing advertiser")</x:f>
        <x:v>Synthetic advertiser 13</x:v>
      </x:c>
      <x:c r="C1839" s="1" t="n">
        <x:f>Source!C1833</x:f>
        <x:v>13</x:v>
      </x:c>
      <x:c r="D1839" s="8" t="n">
        <x:f>Source!D1833/100</x:f>
        <x:v>0</x:v>
      </x:c>
      <x:c r="E1839" s="8" t="n">
        <x:f>Source!E1833/100</x:f>
        <x:v>102.23</x:v>
      </x:c>
      <x:c r="F1839" s="8" t="n">
        <x:f>Source!F1833/100</x:f>
        <x:v>0</x:v>
      </x:c>
      <x:c r="G1839" s="8" t="n">
        <x:f>Source!G1833/100</x:f>
        <x:v>102.23</x:v>
      </x:c>
      <x:c r="H1839" s="8" t="n">
        <x:f>G1839-D1839</x:f>
        <x:v>102.23</x:v>
      </x:c>
      <x:c r="I1839" s="1" t="str">
        <x:f>IF(H1839&gt;0,"Overbilled","Shortfall")</x:f>
        <x:v>Overbilled</x:v>
      </x:c>
      <x:c r="J1839" s="7"/>
      <x:c r="K1839" s="7" t="str">
        <x:v>Open</x:v>
      </x:c>
      <x:c r="L1839" s="7"/>
    </x:row>
    <x:row r="1840" ht="21" customHeight="1">
      <x:c r="A1840" s="1" t="str">
        <x:f>Source!A1834</x:f>
        <x:v>C0003531</x:v>
      </x:c>
      <x:c r="B1840" s="1" t="str">
        <x:f>_xlfn.IFNA(VLOOKUP(Source!B1834,Advertisers!$A$5:$B$34,2,FALSE),"Missing advertiser")</x:f>
        <x:v>Synthetic advertiser 13</x:v>
      </x:c>
      <x:c r="C1840" s="1" t="n">
        <x:f>Source!C1834</x:f>
        <x:v>13</x:v>
      </x:c>
      <x:c r="D1840" s="8" t="n">
        <x:f>Source!D1834/100</x:f>
        <x:v>0</x:v>
      </x:c>
      <x:c r="E1840" s="8" t="n">
        <x:f>Source!E1834/100</x:f>
        <x:v>102.23</x:v>
      </x:c>
      <x:c r="F1840" s="8" t="n">
        <x:f>Source!F1834/100</x:f>
        <x:v>0</x:v>
      </x:c>
      <x:c r="G1840" s="8" t="n">
        <x:f>Source!G1834/100</x:f>
        <x:v>102.23</x:v>
      </x:c>
      <x:c r="H1840" s="8" t="n">
        <x:f>G1840-D1840</x:f>
        <x:v>102.23</x:v>
      </x:c>
      <x:c r="I1840" s="1" t="str">
        <x:f>IF(H1840&gt;0,"Overbilled","Shortfall")</x:f>
        <x:v>Overbilled</x:v>
      </x:c>
      <x:c r="J1840" s="7"/>
      <x:c r="K1840" s="7" t="str">
        <x:v>Open</x:v>
      </x:c>
      <x:c r="L1840" s="7"/>
    </x:row>
    <x:row r="1841" ht="21" customHeight="1">
      <x:c r="A1841" s="1" t="str">
        <x:f>Source!A1835</x:f>
        <x:v>C0009446</x:v>
      </x:c>
      <x:c r="B1841" s="1" t="str">
        <x:f>_xlfn.IFNA(VLOOKUP(Source!B1835,Advertisers!$A$5:$B$34,2,FALSE),"Missing advertiser")</x:f>
        <x:v>Synthetic advertiser 13</x:v>
      </x:c>
      <x:c r="C1841" s="1" t="n">
        <x:f>Source!C1835</x:f>
        <x:v>13</x:v>
      </x:c>
      <x:c r="D1841" s="8" t="n">
        <x:f>Source!D1835/100</x:f>
        <x:v>102.23</x:v>
      </x:c>
      <x:c r="E1841" s="8" t="n">
        <x:f>Source!E1835/100</x:f>
        <x:v>0</x:v>
      </x:c>
      <x:c r="F1841" s="8" t="n">
        <x:f>Source!F1835/100</x:f>
        <x:v>0</x:v>
      </x:c>
      <x:c r="G1841" s="8" t="n">
        <x:f>Source!G1835/100</x:f>
        <x:v>0</x:v>
      </x:c>
      <x:c r="H1841" s="8" t="n">
        <x:f>G1841-D1841</x:f>
        <x:v>-102.23</x:v>
      </x:c>
      <x:c r="I1841" s="1" t="str">
        <x:f>IF(H1841&gt;0,"Overbilled","Shortfall")</x:f>
        <x:v>Shortfall</x:v>
      </x:c>
      <x:c r="J1841" s="7"/>
      <x:c r="K1841" s="7" t="str">
        <x:v>Open</x:v>
      </x:c>
      <x:c r="L1841" s="7"/>
    </x:row>
    <x:row r="1842" ht="21" customHeight="1">
      <x:c r="A1842" s="1" t="str">
        <x:f>Source!A1836</x:f>
        <x:v>C0009342</x:v>
      </x:c>
      <x:c r="B1842" s="1" t="str">
        <x:f>_xlfn.IFNA(VLOOKUP(Source!B1836,Advertisers!$A$5:$B$34,2,FALSE),"Missing advertiser")</x:f>
        <x:v>Synthetic advertiser 13</x:v>
      </x:c>
      <x:c r="C1842" s="1" t="n">
        <x:f>Source!C1836</x:f>
        <x:v>13</x:v>
      </x:c>
      <x:c r="D1842" s="8" t="n">
        <x:f>Source!D1836/100</x:f>
        <x:v>102.23</x:v>
      </x:c>
      <x:c r="E1842" s="8" t="n">
        <x:f>Source!E1836/100</x:f>
        <x:v>0</x:v>
      </x:c>
      <x:c r="F1842" s="8" t="n">
        <x:f>Source!F1836/100</x:f>
        <x:v>0</x:v>
      </x:c>
      <x:c r="G1842" s="8" t="n">
        <x:f>Source!G1836/100</x:f>
        <x:v>0</x:v>
      </x:c>
      <x:c r="H1842" s="8" t="n">
        <x:f>G1842-D1842</x:f>
        <x:v>-102.23</x:v>
      </x:c>
      <x:c r="I1842" s="1" t="str">
        <x:f>IF(H1842&gt;0,"Overbilled","Shortfall")</x:f>
        <x:v>Shortfall</x:v>
      </x:c>
      <x:c r="J1842" s="7"/>
      <x:c r="K1842" s="7" t="str">
        <x:v>Open</x:v>
      </x:c>
      <x:c r="L1842" s="7"/>
    </x:row>
    <x:row r="1843" ht="21" customHeight="1">
      <x:c r="A1843" s="1" t="str">
        <x:f>Source!A1837</x:f>
        <x:v>C0017608</x:v>
      </x:c>
      <x:c r="B1843" s="1" t="str">
        <x:f>_xlfn.IFNA(VLOOKUP(Source!B1837,Advertisers!$A$5:$B$34,2,FALSE),"Missing advertiser")</x:f>
        <x:v>Synthetic advertiser 13</x:v>
      </x:c>
      <x:c r="C1843" s="1" t="n">
        <x:f>Source!C1837</x:f>
        <x:v>13</x:v>
      </x:c>
      <x:c r="D1843" s="8" t="n">
        <x:f>Source!D1837/100</x:f>
        <x:v>102.23</x:v>
      </x:c>
      <x:c r="E1843" s="8" t="n">
        <x:f>Source!E1837/100</x:f>
        <x:v>204.46</x:v>
      </x:c>
      <x:c r="F1843" s="8" t="n">
        <x:f>Source!F1837/100</x:f>
        <x:v>0</x:v>
      </x:c>
      <x:c r="G1843" s="8" t="n">
        <x:f>Source!G1837/100</x:f>
        <x:v>204.46</x:v>
      </x:c>
      <x:c r="H1843" s="8" t="n">
        <x:f>G1843-D1843</x:f>
        <x:v>102.23</x:v>
      </x:c>
      <x:c r="I1843" s="1" t="str">
        <x:f>IF(H1843&gt;0,"Overbilled","Shortfall")</x:f>
        <x:v>Overbilled</x:v>
      </x:c>
      <x:c r="J1843" s="7"/>
      <x:c r="K1843" s="7" t="str">
        <x:v>Open</x:v>
      </x:c>
      <x:c r="L1843" s="7"/>
    </x:row>
    <x:row r="1844" ht="21" customHeight="1">
      <x:c r="A1844" s="1" t="str">
        <x:f>Source!A1838</x:f>
        <x:v>C0016914</x:v>
      </x:c>
      <x:c r="B1844" s="1" t="str">
        <x:f>_xlfn.IFNA(VLOOKUP(Source!B1838,Advertisers!$A$5:$B$34,2,FALSE),"Missing advertiser")</x:f>
        <x:v>Synthetic advertiser 13</x:v>
      </x:c>
      <x:c r="C1844" s="1" t="n">
        <x:f>Source!C1838</x:f>
        <x:v>13</x:v>
      </x:c>
      <x:c r="D1844" s="8" t="n">
        <x:f>Source!D1838/100</x:f>
        <x:v>102.23</x:v>
      </x:c>
      <x:c r="E1844" s="8" t="n">
        <x:f>Source!E1838/100</x:f>
        <x:v>204.46</x:v>
      </x:c>
      <x:c r="F1844" s="8" t="n">
        <x:f>Source!F1838/100</x:f>
        <x:v>0</x:v>
      </x:c>
      <x:c r="G1844" s="8" t="n">
        <x:f>Source!G1838/100</x:f>
        <x:v>204.46</x:v>
      </x:c>
      <x:c r="H1844" s="8" t="n">
        <x:f>G1844-D1844</x:f>
        <x:v>102.23</x:v>
      </x:c>
      <x:c r="I1844" s="1" t="str">
        <x:f>IF(H1844&gt;0,"Overbilled","Shortfall")</x:f>
        <x:v>Overbilled</x:v>
      </x:c>
      <x:c r="J1844" s="7"/>
      <x:c r="K1844" s="7" t="str">
        <x:v>Open</x:v>
      </x:c>
      <x:c r="L1844" s="7"/>
    </x:row>
    <x:row r="1845" ht="21" customHeight="1">
      <x:c r="A1845" s="1" t="str">
        <x:f>Source!A1839</x:f>
        <x:v>C0017812</x:v>
      </x:c>
      <x:c r="B1845" s="1" t="str">
        <x:f>_xlfn.IFNA(VLOOKUP(Source!B1839,Advertisers!$A$5:$B$34,2,FALSE),"Missing advertiser")</x:f>
        <x:v>Synthetic advertiser 6</x:v>
      </x:c>
      <x:c r="C1845" s="1" t="n">
        <x:f>Source!C1839</x:f>
        <x:v>96</x:v>
      </x:c>
      <x:c r="D1845" s="8" t="n">
        <x:f>Source!D1839/100</x:f>
        <x:v>101.6</x:v>
      </x:c>
      <x:c r="E1845" s="8" t="n">
        <x:f>Source!E1839/100</x:f>
        <x:v>203.2</x:v>
      </x:c>
      <x:c r="F1845" s="8" t="n">
        <x:f>Source!F1839/100</x:f>
        <x:v>0</x:v>
      </x:c>
      <x:c r="G1845" s="8" t="n">
        <x:f>Source!G1839/100</x:f>
        <x:v>203.2</x:v>
      </x:c>
      <x:c r="H1845" s="8" t="n">
        <x:f>G1845-D1845</x:f>
        <x:v>101.6</x:v>
      </x:c>
      <x:c r="I1845" s="1" t="str">
        <x:f>IF(H1845&gt;0,"Overbilled","Shortfall")</x:f>
        <x:v>Overbilled</x:v>
      </x:c>
      <x:c r="J1845" s="7"/>
      <x:c r="K1845" s="7" t="str">
        <x:v>Open</x:v>
      </x:c>
      <x:c r="L1845" s="7"/>
    </x:row>
    <x:row r="1846" ht="21" customHeight="1">
      <x:c r="A1846" s="1" t="str">
        <x:f>Source!A1840</x:f>
        <x:v>C0014093</x:v>
      </x:c>
      <x:c r="B1846" s="1" t="str">
        <x:f>_xlfn.IFNA(VLOOKUP(Source!B1840,Advertisers!$A$5:$B$34,2,FALSE),"Missing advertiser")</x:f>
        <x:v>Synthetic advertiser 6</x:v>
      </x:c>
      <x:c r="C1846" s="1" t="n">
        <x:f>Source!C1840</x:f>
        <x:v>96</x:v>
      </x:c>
      <x:c r="D1846" s="8" t="n">
        <x:f>Source!D1840/100</x:f>
        <x:v>101.6</x:v>
      </x:c>
      <x:c r="E1846" s="8" t="n">
        <x:f>Source!E1840/100</x:f>
        <x:v>203.2</x:v>
      </x:c>
      <x:c r="F1846" s="8" t="n">
        <x:f>Source!F1840/100</x:f>
        <x:v>0</x:v>
      </x:c>
      <x:c r="G1846" s="8" t="n">
        <x:f>Source!G1840/100</x:f>
        <x:v>203.2</x:v>
      </x:c>
      <x:c r="H1846" s="8" t="n">
        <x:f>G1846-D1846</x:f>
        <x:v>101.6</x:v>
      </x:c>
      <x:c r="I1846" s="1" t="str">
        <x:f>IF(H1846&gt;0,"Overbilled","Shortfall")</x:f>
        <x:v>Overbilled</x:v>
      </x:c>
      <x:c r="J1846" s="7"/>
      <x:c r="K1846" s="7" t="str">
        <x:v>Open</x:v>
      </x:c>
      <x:c r="L1846" s="7"/>
    </x:row>
    <x:row r="1847" ht="21" customHeight="1">
      <x:c r="A1847" s="1" t="str">
        <x:f>Source!A1841</x:f>
        <x:v>C0016331</x:v>
      </x:c>
      <x:c r="B1847" s="1" t="str">
        <x:f>_xlfn.IFNA(VLOOKUP(Source!B1841,Advertisers!$A$5:$B$34,2,FALSE),"Missing advertiser")</x:f>
        <x:v>Synthetic advertiser 6</x:v>
      </x:c>
      <x:c r="C1847" s="1" t="n">
        <x:f>Source!C1841</x:f>
        <x:v>96</x:v>
      </x:c>
      <x:c r="D1847" s="8" t="n">
        <x:f>Source!D1841/100</x:f>
        <x:v>101.6</x:v>
      </x:c>
      <x:c r="E1847" s="8" t="n">
        <x:f>Source!E1841/100</x:f>
        <x:v>203.2</x:v>
      </x:c>
      <x:c r="F1847" s="8" t="n">
        <x:f>Source!F1841/100</x:f>
        <x:v>0</x:v>
      </x:c>
      <x:c r="G1847" s="8" t="n">
        <x:f>Source!G1841/100</x:f>
        <x:v>203.2</x:v>
      </x:c>
      <x:c r="H1847" s="8" t="n">
        <x:f>G1847-D1847</x:f>
        <x:v>101.6</x:v>
      </x:c>
      <x:c r="I1847" s="1" t="str">
        <x:f>IF(H1847&gt;0,"Overbilled","Shortfall")</x:f>
        <x:v>Overbilled</x:v>
      </x:c>
      <x:c r="J1847" s="7"/>
      <x:c r="K1847" s="7" t="str">
        <x:v>Open</x:v>
      </x:c>
      <x:c r="L1847" s="7"/>
    </x:row>
    <x:row r="1848" ht="21" customHeight="1">
      <x:c r="A1848" s="1" t="str">
        <x:f>Source!A1842</x:f>
        <x:v>C0010455</x:v>
      </x:c>
      <x:c r="B1848" s="1" t="str">
        <x:f>_xlfn.IFNA(VLOOKUP(Source!B1842,Advertisers!$A$5:$B$34,2,FALSE),"Missing advertiser")</x:f>
        <x:v>Synthetic advertiser 6</x:v>
      </x:c>
      <x:c r="C1848" s="1" t="n">
        <x:f>Source!C1842</x:f>
        <x:v>96</x:v>
      </x:c>
      <x:c r="D1848" s="8" t="n">
        <x:f>Source!D1842/100</x:f>
        <x:v>101.6</x:v>
      </x:c>
      <x:c r="E1848" s="8" t="n">
        <x:f>Source!E1842/100</x:f>
        <x:v>203.2</x:v>
      </x:c>
      <x:c r="F1848" s="8" t="n">
        <x:f>Source!F1842/100</x:f>
        <x:v>0</x:v>
      </x:c>
      <x:c r="G1848" s="8" t="n">
        <x:f>Source!G1842/100</x:f>
        <x:v>203.2</x:v>
      </x:c>
      <x:c r="H1848" s="8" t="n">
        <x:f>G1848-D1848</x:f>
        <x:v>101.6</x:v>
      </x:c>
      <x:c r="I1848" s="1" t="str">
        <x:f>IF(H1848&gt;0,"Overbilled","Shortfall")</x:f>
        <x:v>Overbilled</x:v>
      </x:c>
      <x:c r="J1848" s="7"/>
      <x:c r="K1848" s="7" t="str">
        <x:v>Open</x:v>
      </x:c>
      <x:c r="L1848" s="7"/>
    </x:row>
    <x:row r="1849" ht="21" customHeight="1">
      <x:c r="A1849" s="1" t="str">
        <x:f>Source!A1843</x:f>
        <x:v>C0017982</x:v>
      </x:c>
      <x:c r="B1849" s="1" t="str">
        <x:f>_xlfn.IFNA(VLOOKUP(Source!B1843,Advertisers!$A$5:$B$34,2,FALSE),"Missing advertiser")</x:f>
        <x:v>Synthetic advertiser 6</x:v>
      </x:c>
      <x:c r="C1849" s="1" t="n">
        <x:f>Source!C1843</x:f>
        <x:v>96</x:v>
      </x:c>
      <x:c r="D1849" s="8" t="n">
        <x:f>Source!D1843/100</x:f>
        <x:v>101.6</x:v>
      </x:c>
      <x:c r="E1849" s="8" t="n">
        <x:f>Source!E1843/100</x:f>
        <x:v>203.2</x:v>
      </x:c>
      <x:c r="F1849" s="8" t="n">
        <x:f>Source!F1843/100</x:f>
        <x:v>0</x:v>
      </x:c>
      <x:c r="G1849" s="8" t="n">
        <x:f>Source!G1843/100</x:f>
        <x:v>203.2</x:v>
      </x:c>
      <x:c r="H1849" s="8" t="n">
        <x:f>G1849-D1849</x:f>
        <x:v>101.6</x:v>
      </x:c>
      <x:c r="I1849" s="1" t="str">
        <x:f>IF(H1849&gt;0,"Overbilled","Shortfall")</x:f>
        <x:v>Overbilled</x:v>
      </x:c>
      <x:c r="J1849" s="7"/>
      <x:c r="K1849" s="7" t="str">
        <x:v>Open</x:v>
      </x:c>
      <x:c r="L1849" s="7"/>
    </x:row>
    <x:row r="1850" ht="21" customHeight="1">
      <x:c r="A1850" s="1" t="str">
        <x:f>Source!A1844</x:f>
        <x:v>C0015710</x:v>
      </x:c>
      <x:c r="B1850" s="1" t="str">
        <x:f>_xlfn.IFNA(VLOOKUP(Source!B1844,Advertisers!$A$5:$B$34,2,FALSE),"Missing advertiser")</x:f>
        <x:v>Synthetic advertiser 6</x:v>
      </x:c>
      <x:c r="C1850" s="1" t="n">
        <x:f>Source!C1844</x:f>
        <x:v>96</x:v>
      </x:c>
      <x:c r="D1850" s="8" t="n">
        <x:f>Source!D1844/100</x:f>
        <x:v>101.6</x:v>
      </x:c>
      <x:c r="E1850" s="8" t="n">
        <x:f>Source!E1844/100</x:f>
        <x:v>0</x:v>
      </x:c>
      <x:c r="F1850" s="8" t="n">
        <x:f>Source!F1844/100</x:f>
        <x:v>0</x:v>
      </x:c>
      <x:c r="G1850" s="8" t="n">
        <x:f>Source!G1844/100</x:f>
        <x:v>0</x:v>
      </x:c>
      <x:c r="H1850" s="8" t="n">
        <x:f>G1850-D1850</x:f>
        <x:v>-101.6</x:v>
      </x:c>
      <x:c r="I1850" s="1" t="str">
        <x:f>IF(H1850&gt;0,"Overbilled","Shortfall")</x:f>
        <x:v>Shortfall</x:v>
      </x:c>
      <x:c r="J1850" s="7"/>
      <x:c r="K1850" s="7" t="str">
        <x:v>Open</x:v>
      </x:c>
      <x:c r="L1850" s="7"/>
    </x:row>
    <x:row r="1851" ht="21" customHeight="1">
      <x:c r="A1851" s="1" t="str">
        <x:f>Source!A1845</x:f>
        <x:v>C0011590</x:v>
      </x:c>
      <x:c r="B1851" s="1" t="str">
        <x:f>_xlfn.IFNA(VLOOKUP(Source!B1845,Advertisers!$A$5:$B$34,2,FALSE),"Missing advertiser")</x:f>
        <x:v>Synthetic advertiser 6</x:v>
      </x:c>
      <x:c r="C1851" s="1" t="n">
        <x:f>Source!C1845</x:f>
        <x:v>96</x:v>
      </x:c>
      <x:c r="D1851" s="8" t="n">
        <x:f>Source!D1845/100</x:f>
        <x:v>101.6</x:v>
      </x:c>
      <x:c r="E1851" s="8" t="n">
        <x:f>Source!E1845/100</x:f>
        <x:v>203.2</x:v>
      </x:c>
      <x:c r="F1851" s="8" t="n">
        <x:f>Source!F1845/100</x:f>
        <x:v>0</x:v>
      </x:c>
      <x:c r="G1851" s="8" t="n">
        <x:f>Source!G1845/100</x:f>
        <x:v>203.2</x:v>
      </x:c>
      <x:c r="H1851" s="8" t="n">
        <x:f>G1851-D1851</x:f>
        <x:v>101.6</x:v>
      </x:c>
      <x:c r="I1851" s="1" t="str">
        <x:f>IF(H1851&gt;0,"Overbilled","Shortfall")</x:f>
        <x:v>Overbilled</x:v>
      </x:c>
      <x:c r="J1851" s="7"/>
      <x:c r="K1851" s="7" t="str">
        <x:v>Open</x:v>
      </x:c>
      <x:c r="L1851" s="7"/>
    </x:row>
    <x:row r="1852" ht="21" customHeight="1">
      <x:c r="A1852" s="1" t="str">
        <x:f>Source!A1846</x:f>
        <x:v>C0000286</x:v>
      </x:c>
      <x:c r="B1852" s="1" t="str">
        <x:f>_xlfn.IFNA(VLOOKUP(Source!B1846,Advertisers!$A$5:$B$34,2,FALSE),"Missing advertiser")</x:f>
        <x:v>Synthetic advertiser 6</x:v>
      </x:c>
      <x:c r="C1852" s="1" t="n">
        <x:f>Source!C1846</x:f>
        <x:v>96</x:v>
      </x:c>
      <x:c r="D1852" s="8" t="n">
        <x:f>Source!D1846/100</x:f>
        <x:v>101.6</x:v>
      </x:c>
      <x:c r="E1852" s="8" t="n">
        <x:f>Source!E1846/100</x:f>
        <x:v>0</x:v>
      </x:c>
      <x:c r="F1852" s="8" t="n">
        <x:f>Source!F1846/100</x:f>
        <x:v>0</x:v>
      </x:c>
      <x:c r="G1852" s="8" t="n">
        <x:f>Source!G1846/100</x:f>
        <x:v>0</x:v>
      </x:c>
      <x:c r="H1852" s="8" t="n">
        <x:f>G1852-D1852</x:f>
        <x:v>-101.6</x:v>
      </x:c>
      <x:c r="I1852" s="1" t="str">
        <x:f>IF(H1852&gt;0,"Overbilled","Shortfall")</x:f>
        <x:v>Shortfall</x:v>
      </x:c>
      <x:c r="J1852" s="7"/>
      <x:c r="K1852" s="7" t="str">
        <x:v>Open</x:v>
      </x:c>
      <x:c r="L1852" s="7"/>
    </x:row>
    <x:row r="1853" ht="21" customHeight="1">
      <x:c r="A1853" s="1" t="str">
        <x:f>Source!A1847</x:f>
        <x:v>C0015430</x:v>
      </x:c>
      <x:c r="B1853" s="1" t="str">
        <x:f>_xlfn.IFNA(VLOOKUP(Source!B1847,Advertisers!$A$5:$B$34,2,FALSE),"Missing advertiser")</x:f>
        <x:v>Synthetic advertiser 6</x:v>
      </x:c>
      <x:c r="C1853" s="1" t="n">
        <x:f>Source!C1847</x:f>
        <x:v>96</x:v>
      </x:c>
      <x:c r="D1853" s="8" t="n">
        <x:f>Source!D1847/100</x:f>
        <x:v>101.6</x:v>
      </x:c>
      <x:c r="E1853" s="8" t="n">
        <x:f>Source!E1847/100</x:f>
        <x:v>0</x:v>
      </x:c>
      <x:c r="F1853" s="8" t="n">
        <x:f>Source!F1847/100</x:f>
        <x:v>0</x:v>
      </x:c>
      <x:c r="G1853" s="8" t="n">
        <x:f>Source!G1847/100</x:f>
        <x:v>0</x:v>
      </x:c>
      <x:c r="H1853" s="8" t="n">
        <x:f>G1853-D1853</x:f>
        <x:v>-101.6</x:v>
      </x:c>
      <x:c r="I1853" s="1" t="str">
        <x:f>IF(H1853&gt;0,"Overbilled","Shortfall")</x:f>
        <x:v>Shortfall</x:v>
      </x:c>
      <x:c r="J1853" s="7"/>
      <x:c r="K1853" s="7" t="str">
        <x:v>Open</x:v>
      </x:c>
      <x:c r="L1853" s="7"/>
    </x:row>
    <x:row r="1854" ht="21" customHeight="1">
      <x:c r="A1854" s="1" t="str">
        <x:f>Source!A1848</x:f>
        <x:v>C0005484</x:v>
      </x:c>
      <x:c r="B1854" s="1" t="str">
        <x:f>_xlfn.IFNA(VLOOKUP(Source!B1848,Advertisers!$A$5:$B$34,2,FALSE),"Missing advertiser")</x:f>
        <x:v>Synthetic advertiser 6</x:v>
      </x:c>
      <x:c r="C1854" s="1" t="n">
        <x:f>Source!C1848</x:f>
        <x:v>96</x:v>
      </x:c>
      <x:c r="D1854" s="8" t="n">
        <x:f>Source!D1848/100</x:f>
        <x:v>0</x:v>
      </x:c>
      <x:c r="E1854" s="8" t="n">
        <x:f>Source!E1848/100</x:f>
        <x:v>101.6</x:v>
      </x:c>
      <x:c r="F1854" s="8" t="n">
        <x:f>Source!F1848/100</x:f>
        <x:v>0</x:v>
      </x:c>
      <x:c r="G1854" s="8" t="n">
        <x:f>Source!G1848/100</x:f>
        <x:v>101.6</x:v>
      </x:c>
      <x:c r="H1854" s="8" t="n">
        <x:f>G1854-D1854</x:f>
        <x:v>101.6</x:v>
      </x:c>
      <x:c r="I1854" s="1" t="str">
        <x:f>IF(H1854&gt;0,"Overbilled","Shortfall")</x:f>
        <x:v>Overbilled</x:v>
      </x:c>
      <x:c r="J1854" s="7"/>
      <x:c r="K1854" s="7" t="str">
        <x:v>Open</x:v>
      </x:c>
      <x:c r="L1854" s="7"/>
    </x:row>
    <x:row r="1855" ht="21" customHeight="1">
      <x:c r="A1855" s="1" t="str">
        <x:f>Source!A1849</x:f>
        <x:v>C0000100</x:v>
      </x:c>
      <x:c r="B1855" s="1" t="str">
        <x:f>_xlfn.IFNA(VLOOKUP(Source!B1849,Advertisers!$A$5:$B$34,2,FALSE),"Missing advertiser")</x:f>
        <x:v>Synthetic advertiser 4</x:v>
      </x:c>
      <x:c r="C1855" s="1" t="n">
        <x:f>Source!C1849</x:f>
        <x:v>34</x:v>
      </x:c>
      <x:c r="D1855" s="8" t="n">
        <x:f>Source!D1849/100</x:f>
        <x:v>99.88</x:v>
      </x:c>
      <x:c r="E1855" s="8" t="n">
        <x:f>Source!E1849/100</x:f>
        <x:v>0</x:v>
      </x:c>
      <x:c r="F1855" s="8" t="n">
        <x:f>Source!F1849/100</x:f>
        <x:v>0</x:v>
      </x:c>
      <x:c r="G1855" s="8" t="n">
        <x:f>Source!G1849/100</x:f>
        <x:v>0</x:v>
      </x:c>
      <x:c r="H1855" s="8" t="n">
        <x:f>G1855-D1855</x:f>
        <x:v>-99.88</x:v>
      </x:c>
      <x:c r="I1855" s="1" t="str">
        <x:f>IF(H1855&gt;0,"Overbilled","Shortfall")</x:f>
        <x:v>Shortfall</x:v>
      </x:c>
      <x:c r="J1855" s="7"/>
      <x:c r="K1855" s="7" t="str">
        <x:v>Open</x:v>
      </x:c>
      <x:c r="L1855" s="7"/>
    </x:row>
    <x:row r="1856" ht="21" customHeight="1">
      <x:c r="A1856" s="1" t="str">
        <x:f>Source!A1850</x:f>
        <x:v>C0012978</x:v>
      </x:c>
      <x:c r="B1856" s="1" t="str">
        <x:f>_xlfn.IFNA(VLOOKUP(Source!B1850,Advertisers!$A$5:$B$34,2,FALSE),"Missing advertiser")</x:f>
        <x:v>Synthetic advertiser 4</x:v>
      </x:c>
      <x:c r="C1856" s="1" t="n">
        <x:f>Source!C1850</x:f>
        <x:v>34</x:v>
      </x:c>
      <x:c r="D1856" s="8" t="n">
        <x:f>Source!D1850/100</x:f>
        <x:v>0</x:v>
      </x:c>
      <x:c r="E1856" s="8" t="n">
        <x:f>Source!E1850/100</x:f>
        <x:v>99.88</x:v>
      </x:c>
      <x:c r="F1856" s="8" t="n">
        <x:f>Source!F1850/100</x:f>
        <x:v>0</x:v>
      </x:c>
      <x:c r="G1856" s="8" t="n">
        <x:f>Source!G1850/100</x:f>
        <x:v>99.88</x:v>
      </x:c>
      <x:c r="H1856" s="8" t="n">
        <x:f>G1856-D1856</x:f>
        <x:v>99.88</x:v>
      </x:c>
      <x:c r="I1856" s="1" t="str">
        <x:f>IF(H1856&gt;0,"Overbilled","Shortfall")</x:f>
        <x:v>Overbilled</x:v>
      </x:c>
      <x:c r="J1856" s="7"/>
      <x:c r="K1856" s="7" t="str">
        <x:v>Open</x:v>
      </x:c>
      <x:c r="L1856" s="7"/>
    </x:row>
    <x:row r="1857" ht="21" customHeight="1">
      <x:c r="A1857" s="1" t="str">
        <x:f>Source!A1851</x:f>
        <x:v>C0017799</x:v>
      </x:c>
      <x:c r="B1857" s="1" t="str">
        <x:f>_xlfn.IFNA(VLOOKUP(Source!B1851,Advertisers!$A$5:$B$34,2,FALSE),"Missing advertiser")</x:f>
        <x:v>Synthetic advertiser 4</x:v>
      </x:c>
      <x:c r="C1857" s="1" t="n">
        <x:f>Source!C1851</x:f>
        <x:v>34</x:v>
      </x:c>
      <x:c r="D1857" s="8" t="n">
        <x:f>Source!D1851/100</x:f>
        <x:v>99.88</x:v>
      </x:c>
      <x:c r="E1857" s="8" t="n">
        <x:f>Source!E1851/100</x:f>
        <x:v>199.76</x:v>
      </x:c>
      <x:c r="F1857" s="8" t="n">
        <x:f>Source!F1851/100</x:f>
        <x:v>0</x:v>
      </x:c>
      <x:c r="G1857" s="8" t="n">
        <x:f>Source!G1851/100</x:f>
        <x:v>199.76</x:v>
      </x:c>
      <x:c r="H1857" s="8" t="n">
        <x:f>G1857-D1857</x:f>
        <x:v>99.88</x:v>
      </x:c>
      <x:c r="I1857" s="1" t="str">
        <x:f>IF(H1857&gt;0,"Overbilled","Shortfall")</x:f>
        <x:v>Overbilled</x:v>
      </x:c>
      <x:c r="J1857" s="7"/>
      <x:c r="K1857" s="7" t="str">
        <x:v>Open</x:v>
      </x:c>
      <x:c r="L1857" s="7"/>
    </x:row>
    <x:row r="1858" ht="21" customHeight="1">
      <x:c r="A1858" s="1" t="str">
        <x:f>Source!A1852</x:f>
        <x:v>C0000426</x:v>
      </x:c>
      <x:c r="B1858" s="1" t="str">
        <x:f>_xlfn.IFNA(VLOOKUP(Source!B1852,Advertisers!$A$5:$B$34,2,FALSE),"Missing advertiser")</x:f>
        <x:v>Synthetic advertiser 4</x:v>
      </x:c>
      <x:c r="C1858" s="1" t="n">
        <x:f>Source!C1852</x:f>
        <x:v>34</x:v>
      </x:c>
      <x:c r="D1858" s="8" t="n">
        <x:f>Source!D1852/100</x:f>
        <x:v>99.88</x:v>
      </x:c>
      <x:c r="E1858" s="8" t="n">
        <x:f>Source!E1852/100</x:f>
        <x:v>199.76</x:v>
      </x:c>
      <x:c r="F1858" s="8" t="n">
        <x:f>Source!F1852/100</x:f>
        <x:v>0</x:v>
      </x:c>
      <x:c r="G1858" s="8" t="n">
        <x:f>Source!G1852/100</x:f>
        <x:v>199.76</x:v>
      </x:c>
      <x:c r="H1858" s="8" t="n">
        <x:f>G1858-D1858</x:f>
        <x:v>99.88</x:v>
      </x:c>
      <x:c r="I1858" s="1" t="str">
        <x:f>IF(H1858&gt;0,"Overbilled","Shortfall")</x:f>
        <x:v>Overbilled</x:v>
      </x:c>
      <x:c r="J1858" s="7"/>
      <x:c r="K1858" s="7" t="str">
        <x:v>Open</x:v>
      </x:c>
      <x:c r="L1858" s="7"/>
    </x:row>
    <x:row r="1859" ht="21" customHeight="1">
      <x:c r="A1859" s="1" t="str">
        <x:f>Source!A1853</x:f>
        <x:v>C0011094</x:v>
      </x:c>
      <x:c r="B1859" s="1" t="str">
        <x:f>_xlfn.IFNA(VLOOKUP(Source!B1853,Advertisers!$A$5:$B$34,2,FALSE),"Missing advertiser")</x:f>
        <x:v>Synthetic advertiser 4</x:v>
      </x:c>
      <x:c r="C1859" s="1" t="n">
        <x:f>Source!C1853</x:f>
        <x:v>34</x:v>
      </x:c>
      <x:c r="D1859" s="8" t="n">
        <x:f>Source!D1853/100</x:f>
        <x:v>99.88</x:v>
      </x:c>
      <x:c r="E1859" s="8" t="n">
        <x:f>Source!E1853/100</x:f>
        <x:v>199.76</x:v>
      </x:c>
      <x:c r="F1859" s="8" t="n">
        <x:f>Source!F1853/100</x:f>
        <x:v>0</x:v>
      </x:c>
      <x:c r="G1859" s="8" t="n">
        <x:f>Source!G1853/100</x:f>
        <x:v>199.76</x:v>
      </x:c>
      <x:c r="H1859" s="8" t="n">
        <x:f>G1859-D1859</x:f>
        <x:v>99.88</x:v>
      </x:c>
      <x:c r="I1859" s="1" t="str">
        <x:f>IF(H1859&gt;0,"Overbilled","Shortfall")</x:f>
        <x:v>Overbilled</x:v>
      </x:c>
      <x:c r="J1859" s="7"/>
      <x:c r="K1859" s="7" t="str">
        <x:v>Open</x:v>
      </x:c>
      <x:c r="L1859" s="7"/>
    </x:row>
    <x:row r="1860" ht="21" customHeight="1">
      <x:c r="A1860" s="1" t="str">
        <x:f>Source!A1854</x:f>
        <x:v>C0017329</x:v>
      </x:c>
      <x:c r="B1860" s="1" t="str">
        <x:f>_xlfn.IFNA(VLOOKUP(Source!B1854,Advertisers!$A$5:$B$34,2,FALSE),"Missing advertiser")</x:f>
        <x:v>Synthetic advertiser 22</x:v>
      </x:c>
      <x:c r="C1860" s="1" t="n">
        <x:f>Source!C1854</x:f>
        <x:v>112</x:v>
      </x:c>
      <x:c r="D1860" s="8" t="n">
        <x:f>Source!D1854/100</x:f>
        <x:v>99.68</x:v>
      </x:c>
      <x:c r="E1860" s="8" t="n">
        <x:f>Source!E1854/100</x:f>
        <x:v>199.36</x:v>
      </x:c>
      <x:c r="F1860" s="8" t="n">
        <x:f>Source!F1854/100</x:f>
        <x:v>0</x:v>
      </x:c>
      <x:c r="G1860" s="8" t="n">
        <x:f>Source!G1854/100</x:f>
        <x:v>199.36</x:v>
      </x:c>
      <x:c r="H1860" s="8" t="n">
        <x:f>G1860-D1860</x:f>
        <x:v>99.68</x:v>
      </x:c>
      <x:c r="I1860" s="1" t="str">
        <x:f>IF(H1860&gt;0,"Overbilled","Shortfall")</x:f>
        <x:v>Overbilled</x:v>
      </x:c>
      <x:c r="J1860" s="7"/>
      <x:c r="K1860" s="7" t="str">
        <x:v>Open</x:v>
      </x:c>
      <x:c r="L1860" s="7"/>
    </x:row>
    <x:row r="1861" ht="21" customHeight="1">
      <x:c r="A1861" s="1" t="str">
        <x:f>Source!A1855</x:f>
        <x:v>C0012991</x:v>
      </x:c>
      <x:c r="B1861" s="1" t="str">
        <x:f>_xlfn.IFNA(VLOOKUP(Source!B1855,Advertisers!$A$5:$B$34,2,FALSE),"Missing advertiser")</x:f>
        <x:v>Synthetic advertiser 22</x:v>
      </x:c>
      <x:c r="C1861" s="1" t="n">
        <x:f>Source!C1855</x:f>
        <x:v>112</x:v>
      </x:c>
      <x:c r="D1861" s="8" t="n">
        <x:f>Source!D1855/100</x:f>
        <x:v>99.68</x:v>
      </x:c>
      <x:c r="E1861" s="8" t="n">
        <x:f>Source!E1855/100</x:f>
        <x:v>0</x:v>
      </x:c>
      <x:c r="F1861" s="8" t="n">
        <x:f>Source!F1855/100</x:f>
        <x:v>0</x:v>
      </x:c>
      <x:c r="G1861" s="8" t="n">
        <x:f>Source!G1855/100</x:f>
        <x:v>0</x:v>
      </x:c>
      <x:c r="H1861" s="8" t="n">
        <x:f>G1861-D1861</x:f>
        <x:v>-99.68</x:v>
      </x:c>
      <x:c r="I1861" s="1" t="str">
        <x:f>IF(H1861&gt;0,"Overbilled","Shortfall")</x:f>
        <x:v>Shortfall</x:v>
      </x:c>
      <x:c r="J1861" s="7"/>
      <x:c r="K1861" s="7" t="str">
        <x:v>Open</x:v>
      </x:c>
      <x:c r="L1861" s="7"/>
    </x:row>
    <x:row r="1862" ht="21" customHeight="1">
      <x:c r="A1862" s="1" t="str">
        <x:f>Source!A1856</x:f>
        <x:v>C0004720</x:v>
      </x:c>
      <x:c r="B1862" s="1" t="str">
        <x:f>_xlfn.IFNA(VLOOKUP(Source!B1856,Advertisers!$A$5:$B$34,2,FALSE),"Missing advertiser")</x:f>
        <x:v>Synthetic advertiser 22</x:v>
      </x:c>
      <x:c r="C1862" s="1" t="n">
        <x:f>Source!C1856</x:f>
        <x:v>112</x:v>
      </x:c>
      <x:c r="D1862" s="8" t="n">
        <x:f>Source!D1856/100</x:f>
        <x:v>99.68</x:v>
      </x:c>
      <x:c r="E1862" s="8" t="n">
        <x:f>Source!E1856/100</x:f>
        <x:v>199.36</x:v>
      </x:c>
      <x:c r="F1862" s="8" t="n">
        <x:f>Source!F1856/100</x:f>
        <x:v>0</x:v>
      </x:c>
      <x:c r="G1862" s="8" t="n">
        <x:f>Source!G1856/100</x:f>
        <x:v>199.36</x:v>
      </x:c>
      <x:c r="H1862" s="8" t="n">
        <x:f>G1862-D1862</x:f>
        <x:v>99.68</x:v>
      </x:c>
      <x:c r="I1862" s="1" t="str">
        <x:f>IF(H1862&gt;0,"Overbilled","Shortfall")</x:f>
        <x:v>Overbilled</x:v>
      </x:c>
      <x:c r="J1862" s="7"/>
      <x:c r="K1862" s="7" t="str">
        <x:v>Open</x:v>
      </x:c>
      <x:c r="L1862" s="7"/>
    </x:row>
    <x:row r="1863" ht="21" customHeight="1">
      <x:c r="A1863" s="1" t="str">
        <x:f>Source!A1857</x:f>
        <x:v>C0013181</x:v>
      </x:c>
      <x:c r="B1863" s="1" t="str">
        <x:f>_xlfn.IFNA(VLOOKUP(Source!B1857,Advertisers!$A$5:$B$34,2,FALSE),"Missing advertiser")</x:f>
        <x:v>Synthetic advertiser 22</x:v>
      </x:c>
      <x:c r="C1863" s="1" t="n">
        <x:f>Source!C1857</x:f>
        <x:v>112</x:v>
      </x:c>
      <x:c r="D1863" s="8" t="n">
        <x:f>Source!D1857/100</x:f>
        <x:v>99.68</x:v>
      </x:c>
      <x:c r="E1863" s="8" t="n">
        <x:f>Source!E1857/100</x:f>
        <x:v>0</x:v>
      </x:c>
      <x:c r="F1863" s="8" t="n">
        <x:f>Source!F1857/100</x:f>
        <x:v>0</x:v>
      </x:c>
      <x:c r="G1863" s="8" t="n">
        <x:f>Source!G1857/100</x:f>
        <x:v>0</x:v>
      </x:c>
      <x:c r="H1863" s="8" t="n">
        <x:f>G1863-D1863</x:f>
        <x:v>-99.68</x:v>
      </x:c>
      <x:c r="I1863" s="1" t="str">
        <x:f>IF(H1863&gt;0,"Overbilled","Shortfall")</x:f>
        <x:v>Shortfall</x:v>
      </x:c>
      <x:c r="J1863" s="7"/>
      <x:c r="K1863" s="7" t="str">
        <x:v>Open</x:v>
      </x:c>
      <x:c r="L1863" s="7"/>
    </x:row>
    <x:row r="1864" ht="21" customHeight="1">
      <x:c r="A1864" s="1" t="str">
        <x:f>Source!A1858</x:f>
        <x:v>C0015304</x:v>
      </x:c>
      <x:c r="B1864" s="1" t="str">
        <x:f>_xlfn.IFNA(VLOOKUP(Source!B1858,Advertisers!$A$5:$B$34,2,FALSE),"Missing advertiser")</x:f>
        <x:v>Synthetic advertiser 22</x:v>
      </x:c>
      <x:c r="C1864" s="1" t="n">
        <x:f>Source!C1858</x:f>
        <x:v>112</x:v>
      </x:c>
      <x:c r="D1864" s="8" t="n">
        <x:f>Source!D1858/100</x:f>
        <x:v>99.68</x:v>
      </x:c>
      <x:c r="E1864" s="8" t="n">
        <x:f>Source!E1858/100</x:f>
        <x:v>0</x:v>
      </x:c>
      <x:c r="F1864" s="8" t="n">
        <x:f>Source!F1858/100</x:f>
        <x:v>0</x:v>
      </x:c>
      <x:c r="G1864" s="8" t="n">
        <x:f>Source!G1858/100</x:f>
        <x:v>0</x:v>
      </x:c>
      <x:c r="H1864" s="8" t="n">
        <x:f>G1864-D1864</x:f>
        <x:v>-99.68</x:v>
      </x:c>
      <x:c r="I1864" s="1" t="str">
        <x:f>IF(H1864&gt;0,"Overbilled","Shortfall")</x:f>
        <x:v>Shortfall</x:v>
      </x:c>
      <x:c r="J1864" s="7"/>
      <x:c r="K1864" s="7" t="str">
        <x:v>Open</x:v>
      </x:c>
      <x:c r="L1864" s="7"/>
    </x:row>
    <x:row r="1865" ht="21" customHeight="1">
      <x:c r="A1865" s="1" t="str">
        <x:f>Source!A1859</x:f>
        <x:v>C0007840</x:v>
      </x:c>
      <x:c r="B1865" s="1" t="str">
        <x:f>_xlfn.IFNA(VLOOKUP(Source!B1859,Advertisers!$A$5:$B$34,2,FALSE),"Missing advertiser")</x:f>
        <x:v>Synthetic advertiser 22</x:v>
      </x:c>
      <x:c r="C1865" s="1" t="n">
        <x:f>Source!C1859</x:f>
        <x:v>112</x:v>
      </x:c>
      <x:c r="D1865" s="8" t="n">
        <x:f>Source!D1859/100</x:f>
        <x:v>99.68</x:v>
      </x:c>
      <x:c r="E1865" s="8" t="n">
        <x:f>Source!E1859/100</x:f>
        <x:v>199.36</x:v>
      </x:c>
      <x:c r="F1865" s="8" t="n">
        <x:f>Source!F1859/100</x:f>
        <x:v>0</x:v>
      </x:c>
      <x:c r="G1865" s="8" t="n">
        <x:f>Source!G1859/100</x:f>
        <x:v>199.36</x:v>
      </x:c>
      <x:c r="H1865" s="8" t="n">
        <x:f>G1865-D1865</x:f>
        <x:v>99.68</x:v>
      </x:c>
      <x:c r="I1865" s="1" t="str">
        <x:f>IF(H1865&gt;0,"Overbilled","Shortfall")</x:f>
        <x:v>Overbilled</x:v>
      </x:c>
      <x:c r="J1865" s="7"/>
      <x:c r="K1865" s="7" t="str">
        <x:v>Open</x:v>
      </x:c>
      <x:c r="L1865" s="7"/>
    </x:row>
    <x:row r="1866" ht="21" customHeight="1">
      <x:c r="A1866" s="1" t="str">
        <x:f>Source!A1860</x:f>
        <x:v>C0014520</x:v>
      </x:c>
      <x:c r="B1866" s="1" t="str">
        <x:f>_xlfn.IFNA(VLOOKUP(Source!B1860,Advertisers!$A$5:$B$34,2,FALSE),"Missing advertiser")</x:f>
        <x:v>Synthetic advertiser 22</x:v>
      </x:c>
      <x:c r="C1866" s="1" t="n">
        <x:f>Source!C1860</x:f>
        <x:v>112</x:v>
      </x:c>
      <x:c r="D1866" s="8" t="n">
        <x:f>Source!D1860/100</x:f>
        <x:v>99.68</x:v>
      </x:c>
      <x:c r="E1866" s="8" t="n">
        <x:f>Source!E1860/100</x:f>
        <x:v>199.36</x:v>
      </x:c>
      <x:c r="F1866" s="8" t="n">
        <x:f>Source!F1860/100</x:f>
        <x:v>0</x:v>
      </x:c>
      <x:c r="G1866" s="8" t="n">
        <x:f>Source!G1860/100</x:f>
        <x:v>199.36</x:v>
      </x:c>
      <x:c r="H1866" s="8" t="n">
        <x:f>G1866-D1866</x:f>
        <x:v>99.68</x:v>
      </x:c>
      <x:c r="I1866" s="1" t="str">
        <x:f>IF(H1866&gt;0,"Overbilled","Shortfall")</x:f>
        <x:v>Overbilled</x:v>
      </x:c>
      <x:c r="J1866" s="7"/>
      <x:c r="K1866" s="7" t="str">
        <x:v>Open</x:v>
      </x:c>
      <x:c r="L1866" s="7"/>
    </x:row>
    <x:row r="1867" ht="21" customHeight="1">
      <x:c r="A1867" s="1" t="str">
        <x:f>Source!A1861</x:f>
        <x:v>C0000892</x:v>
      </x:c>
      <x:c r="B1867" s="1" t="str">
        <x:f>_xlfn.IFNA(VLOOKUP(Source!B1861,Advertisers!$A$5:$B$34,2,FALSE),"Missing advertiser")</x:f>
        <x:v>Synthetic advertiser 22</x:v>
      </x:c>
      <x:c r="C1867" s="1" t="n">
        <x:f>Source!C1861</x:f>
        <x:v>112</x:v>
      </x:c>
      <x:c r="D1867" s="8" t="n">
        <x:f>Source!D1861/100</x:f>
        <x:v>99.68</x:v>
      </x:c>
      <x:c r="E1867" s="8" t="n">
        <x:f>Source!E1861/100</x:f>
        <x:v>0</x:v>
      </x:c>
      <x:c r="F1867" s="8" t="n">
        <x:f>Source!F1861/100</x:f>
        <x:v>0</x:v>
      </x:c>
      <x:c r="G1867" s="8" t="n">
        <x:f>Source!G1861/100</x:f>
        <x:v>0</x:v>
      </x:c>
      <x:c r="H1867" s="8" t="n">
        <x:f>G1867-D1867</x:f>
        <x:v>-99.68</x:v>
      </x:c>
      <x:c r="I1867" s="1" t="str">
        <x:f>IF(H1867&gt;0,"Overbilled","Shortfall")</x:f>
        <x:v>Shortfall</x:v>
      </x:c>
      <x:c r="J1867" s="7"/>
      <x:c r="K1867" s="7" t="str">
        <x:v>Open</x:v>
      </x:c>
      <x:c r="L1867" s="7"/>
    </x:row>
    <x:row r="1868" ht="21" customHeight="1">
      <x:c r="A1868" s="1" t="str">
        <x:f>Source!A1862</x:f>
        <x:v>C0012541</x:v>
      </x:c>
      <x:c r="B1868" s="1" t="str">
        <x:f>_xlfn.IFNA(VLOOKUP(Source!B1862,Advertisers!$A$5:$B$34,2,FALSE),"Missing advertiser")</x:f>
        <x:v>Synthetic advertiser 22</x:v>
      </x:c>
      <x:c r="C1868" s="1" t="n">
        <x:f>Source!C1862</x:f>
        <x:v>112</x:v>
      </x:c>
      <x:c r="D1868" s="8" t="n">
        <x:f>Source!D1862/100</x:f>
        <x:v>99.68</x:v>
      </x:c>
      <x:c r="E1868" s="8" t="n">
        <x:f>Source!E1862/100</x:f>
        <x:v>199.36</x:v>
      </x:c>
      <x:c r="F1868" s="8" t="n">
        <x:f>Source!F1862/100</x:f>
        <x:v>0</x:v>
      </x:c>
      <x:c r="G1868" s="8" t="n">
        <x:f>Source!G1862/100</x:f>
        <x:v>199.36</x:v>
      </x:c>
      <x:c r="H1868" s="8" t="n">
        <x:f>G1868-D1868</x:f>
        <x:v>99.68</x:v>
      </x:c>
      <x:c r="I1868" s="1" t="str">
        <x:f>IF(H1868&gt;0,"Overbilled","Shortfall")</x:f>
        <x:v>Overbilled</x:v>
      </x:c>
      <x:c r="J1868" s="7"/>
      <x:c r="K1868" s="7" t="str">
        <x:v>Open</x:v>
      </x:c>
      <x:c r="L1868" s="7"/>
    </x:row>
    <x:row r="1869" ht="21" customHeight="1">
      <x:c r="A1869" s="1" t="str">
        <x:f>Source!A1863</x:f>
        <x:v>C0008532</x:v>
      </x:c>
      <x:c r="B1869" s="1" t="str">
        <x:f>_xlfn.IFNA(VLOOKUP(Source!B1863,Advertisers!$A$5:$B$34,2,FALSE),"Missing advertiser")</x:f>
        <x:v>Synthetic advertiser 25</x:v>
      </x:c>
      <x:c r="C1869" s="1" t="n">
        <x:f>Source!C1863</x:f>
        <x:v>55</x:v>
      </x:c>
      <x:c r="D1869" s="8" t="n">
        <x:f>Source!D1863/100</x:f>
        <x:v>99.66</x:v>
      </x:c>
      <x:c r="E1869" s="8" t="n">
        <x:f>Source!E1863/100</x:f>
        <x:v>199.32</x:v>
      </x:c>
      <x:c r="F1869" s="8" t="n">
        <x:f>Source!F1863/100</x:f>
        <x:v>0</x:v>
      </x:c>
      <x:c r="G1869" s="8" t="n">
        <x:f>Source!G1863/100</x:f>
        <x:v>199.32</x:v>
      </x:c>
      <x:c r="H1869" s="8" t="n">
        <x:f>G1869-D1869</x:f>
        <x:v>99.66</x:v>
      </x:c>
      <x:c r="I1869" s="1" t="str">
        <x:f>IF(H1869&gt;0,"Overbilled","Shortfall")</x:f>
        <x:v>Overbilled</x:v>
      </x:c>
      <x:c r="J1869" s="7"/>
      <x:c r="K1869" s="7" t="str">
        <x:v>Open</x:v>
      </x:c>
      <x:c r="L1869" s="7"/>
    </x:row>
    <x:row r="1870" ht="21" customHeight="1">
      <x:c r="A1870" s="1" t="str">
        <x:f>Source!A1864</x:f>
        <x:v>C0010847</x:v>
      </x:c>
      <x:c r="B1870" s="1" t="str">
        <x:f>_xlfn.IFNA(VLOOKUP(Source!B1864,Advertisers!$A$5:$B$34,2,FALSE),"Missing advertiser")</x:f>
        <x:v>Synthetic advertiser 25</x:v>
      </x:c>
      <x:c r="C1870" s="1" t="n">
        <x:f>Source!C1864</x:f>
        <x:v>55</x:v>
      </x:c>
      <x:c r="D1870" s="8" t="n">
        <x:f>Source!D1864/100</x:f>
        <x:v>99.66</x:v>
      </x:c>
      <x:c r="E1870" s="8" t="n">
        <x:f>Source!E1864/100</x:f>
        <x:v>199.32</x:v>
      </x:c>
      <x:c r="F1870" s="8" t="n">
        <x:f>Source!F1864/100</x:f>
        <x:v>0</x:v>
      </x:c>
      <x:c r="G1870" s="8" t="n">
        <x:f>Source!G1864/100</x:f>
        <x:v>199.32</x:v>
      </x:c>
      <x:c r="H1870" s="8" t="n">
        <x:f>G1870-D1870</x:f>
        <x:v>99.66</x:v>
      </x:c>
      <x:c r="I1870" s="1" t="str">
        <x:f>IF(H1870&gt;0,"Overbilled","Shortfall")</x:f>
        <x:v>Overbilled</x:v>
      </x:c>
      <x:c r="J1870" s="7"/>
      <x:c r="K1870" s="7" t="str">
        <x:v>Open</x:v>
      </x:c>
      <x:c r="L1870" s="7"/>
    </x:row>
    <x:row r="1871" ht="21" customHeight="1">
      <x:c r="A1871" s="1" t="str">
        <x:f>Source!A1865</x:f>
        <x:v>C0012932</x:v>
      </x:c>
      <x:c r="B1871" s="1" t="str">
        <x:f>_xlfn.IFNA(VLOOKUP(Source!B1865,Advertisers!$A$5:$B$34,2,FALSE),"Missing advertiser")</x:f>
        <x:v>Synthetic advertiser 25</x:v>
      </x:c>
      <x:c r="C1871" s="1" t="n">
        <x:f>Source!C1865</x:f>
        <x:v>55</x:v>
      </x:c>
      <x:c r="D1871" s="8" t="n">
        <x:f>Source!D1865/100</x:f>
        <x:v>0</x:v>
      </x:c>
      <x:c r="E1871" s="8" t="n">
        <x:f>Source!E1865/100</x:f>
        <x:v>99.66</x:v>
      </x:c>
      <x:c r="F1871" s="8" t="n">
        <x:f>Source!F1865/100</x:f>
        <x:v>0</x:v>
      </x:c>
      <x:c r="G1871" s="8" t="n">
        <x:f>Source!G1865/100</x:f>
        <x:v>99.66</x:v>
      </x:c>
      <x:c r="H1871" s="8" t="n">
        <x:f>G1871-D1871</x:f>
        <x:v>99.66</x:v>
      </x:c>
      <x:c r="I1871" s="1" t="str">
        <x:f>IF(H1871&gt;0,"Overbilled","Shortfall")</x:f>
        <x:v>Overbilled</x:v>
      </x:c>
      <x:c r="J1871" s="7"/>
      <x:c r="K1871" s="7" t="str">
        <x:v>Open</x:v>
      </x:c>
      <x:c r="L1871" s="7"/>
    </x:row>
    <x:row r="1872" ht="21" customHeight="1">
      <x:c r="A1872" s="1" t="str">
        <x:f>Source!A1866</x:f>
        <x:v>C0005242</x:v>
      </x:c>
      <x:c r="B1872" s="1" t="str">
        <x:f>_xlfn.IFNA(VLOOKUP(Source!B1866,Advertisers!$A$5:$B$34,2,FALSE),"Missing advertiser")</x:f>
        <x:v>Synthetic advertiser 25</x:v>
      </x:c>
      <x:c r="C1872" s="1" t="n">
        <x:f>Source!C1866</x:f>
        <x:v>55</x:v>
      </x:c>
      <x:c r="D1872" s="8" t="n">
        <x:f>Source!D1866/100</x:f>
        <x:v>99.66</x:v>
      </x:c>
      <x:c r="E1872" s="8" t="n">
        <x:f>Source!E1866/100</x:f>
        <x:v>199.32</x:v>
      </x:c>
      <x:c r="F1872" s="8" t="n">
        <x:f>Source!F1866/100</x:f>
        <x:v>0</x:v>
      </x:c>
      <x:c r="G1872" s="8" t="n">
        <x:f>Source!G1866/100</x:f>
        <x:v>199.32</x:v>
      </x:c>
      <x:c r="H1872" s="8" t="n">
        <x:f>G1872-D1872</x:f>
        <x:v>99.66</x:v>
      </x:c>
      <x:c r="I1872" s="1" t="str">
        <x:f>IF(H1872&gt;0,"Overbilled","Shortfall")</x:f>
        <x:v>Overbilled</x:v>
      </x:c>
      <x:c r="J1872" s="7"/>
      <x:c r="K1872" s="7" t="str">
        <x:v>Open</x:v>
      </x:c>
      <x:c r="L1872" s="7"/>
    </x:row>
    <x:row r="1873" ht="21" customHeight="1">
      <x:c r="A1873" s="1" t="str">
        <x:f>Source!A1867</x:f>
        <x:v>C0000755</x:v>
      </x:c>
      <x:c r="B1873" s="1" t="str">
        <x:f>_xlfn.IFNA(VLOOKUP(Source!B1867,Advertisers!$A$5:$B$34,2,FALSE),"Missing advertiser")</x:f>
        <x:v>Synthetic advertiser 25</x:v>
      </x:c>
      <x:c r="C1873" s="1" t="n">
        <x:f>Source!C1867</x:f>
        <x:v>55</x:v>
      </x:c>
      <x:c r="D1873" s="8" t="n">
        <x:f>Source!D1867/100</x:f>
        <x:v>99.66</x:v>
      </x:c>
      <x:c r="E1873" s="8" t="n">
        <x:f>Source!E1867/100</x:f>
        <x:v>199.32</x:v>
      </x:c>
      <x:c r="F1873" s="8" t="n">
        <x:f>Source!F1867/100</x:f>
        <x:v>0</x:v>
      </x:c>
      <x:c r="G1873" s="8" t="n">
        <x:f>Source!G1867/100</x:f>
        <x:v>199.32</x:v>
      </x:c>
      <x:c r="H1873" s="8" t="n">
        <x:f>G1873-D1873</x:f>
        <x:v>99.66</x:v>
      </x:c>
      <x:c r="I1873" s="1" t="str">
        <x:f>IF(H1873&gt;0,"Overbilled","Shortfall")</x:f>
        <x:v>Overbilled</x:v>
      </x:c>
      <x:c r="J1873" s="7"/>
      <x:c r="K1873" s="7" t="str">
        <x:v>Open</x:v>
      </x:c>
      <x:c r="L1873" s="7"/>
    </x:row>
    <x:row r="1874" ht="21" customHeight="1">
      <x:c r="A1874" s="1" t="str">
        <x:f>Source!A1868</x:f>
        <x:v>C0009271</x:v>
      </x:c>
      <x:c r="B1874" s="1" t="str">
        <x:f>_xlfn.IFNA(VLOOKUP(Source!B1868,Advertisers!$A$5:$B$34,2,FALSE),"Missing advertiser")</x:f>
        <x:v>Synthetic advertiser 7</x:v>
      </x:c>
      <x:c r="C1874" s="1" t="n">
        <x:f>Source!C1868</x:f>
        <x:v>7</x:v>
      </x:c>
      <x:c r="D1874" s="8" t="n">
        <x:f>Source!D1868/100</x:f>
        <x:v>99.09</x:v>
      </x:c>
      <x:c r="E1874" s="8" t="n">
        <x:f>Source!E1868/100</x:f>
        <x:v>0</x:v>
      </x:c>
      <x:c r="F1874" s="8" t="n">
        <x:f>Source!F1868/100</x:f>
        <x:v>0</x:v>
      </x:c>
      <x:c r="G1874" s="8" t="n">
        <x:f>Source!G1868/100</x:f>
        <x:v>0</x:v>
      </x:c>
      <x:c r="H1874" s="8" t="n">
        <x:f>G1874-D1874</x:f>
        <x:v>-99.09</x:v>
      </x:c>
      <x:c r="I1874" s="1" t="str">
        <x:f>IF(H1874&gt;0,"Overbilled","Shortfall")</x:f>
        <x:v>Shortfall</x:v>
      </x:c>
      <x:c r="J1874" s="7"/>
      <x:c r="K1874" s="7" t="str">
        <x:v>Open</x:v>
      </x:c>
      <x:c r="L1874" s="7"/>
    </x:row>
    <x:row r="1875" ht="21" customHeight="1">
      <x:c r="A1875" s="1" t="str">
        <x:f>Source!A1869</x:f>
        <x:v>C0017619</x:v>
      </x:c>
      <x:c r="B1875" s="1" t="str">
        <x:f>_xlfn.IFNA(VLOOKUP(Source!B1869,Advertisers!$A$5:$B$34,2,FALSE),"Missing advertiser")</x:f>
        <x:v>Synthetic advertiser 7</x:v>
      </x:c>
      <x:c r="C1875" s="1" t="n">
        <x:f>Source!C1869</x:f>
        <x:v>7</x:v>
      </x:c>
      <x:c r="D1875" s="8" t="n">
        <x:f>Source!D1869/100</x:f>
        <x:v>99.09</x:v>
      </x:c>
      <x:c r="E1875" s="8" t="n">
        <x:f>Source!E1869/100</x:f>
        <x:v>198.18</x:v>
      </x:c>
      <x:c r="F1875" s="8" t="n">
        <x:f>Source!F1869/100</x:f>
        <x:v>0</x:v>
      </x:c>
      <x:c r="G1875" s="8" t="n">
        <x:f>Source!G1869/100</x:f>
        <x:v>198.18</x:v>
      </x:c>
      <x:c r="H1875" s="8" t="n">
        <x:f>G1875-D1875</x:f>
        <x:v>99.09</x:v>
      </x:c>
      <x:c r="I1875" s="1" t="str">
        <x:f>IF(H1875&gt;0,"Overbilled","Shortfall")</x:f>
        <x:v>Overbilled</x:v>
      </x:c>
      <x:c r="J1875" s="7"/>
      <x:c r="K1875" s="7" t="str">
        <x:v>Open</x:v>
      </x:c>
      <x:c r="L1875" s="7"/>
    </x:row>
    <x:row r="1876" ht="21" customHeight="1">
      <x:c r="A1876" s="1" t="str">
        <x:f>Source!A1870</x:f>
        <x:v>C0007757</x:v>
      </x:c>
      <x:c r="B1876" s="1" t="str">
        <x:f>_xlfn.IFNA(VLOOKUP(Source!B1870,Advertisers!$A$5:$B$34,2,FALSE),"Missing advertiser")</x:f>
        <x:v>Synthetic advertiser 7</x:v>
      </x:c>
      <x:c r="C1876" s="1" t="n">
        <x:f>Source!C1870</x:f>
        <x:v>7</x:v>
      </x:c>
      <x:c r="D1876" s="8" t="n">
        <x:f>Source!D1870/100</x:f>
        <x:v>99.09</x:v>
      </x:c>
      <x:c r="E1876" s="8" t="n">
        <x:f>Source!E1870/100</x:f>
        <x:v>198.18</x:v>
      </x:c>
      <x:c r="F1876" s="8" t="n">
        <x:f>Source!F1870/100</x:f>
        <x:v>0</x:v>
      </x:c>
      <x:c r="G1876" s="8" t="n">
        <x:f>Source!G1870/100</x:f>
        <x:v>198.18</x:v>
      </x:c>
      <x:c r="H1876" s="8" t="n">
        <x:f>G1876-D1876</x:f>
        <x:v>99.09</x:v>
      </x:c>
      <x:c r="I1876" s="1" t="str">
        <x:f>IF(H1876&gt;0,"Overbilled","Shortfall")</x:f>
        <x:v>Overbilled</x:v>
      </x:c>
      <x:c r="J1876" s="7"/>
      <x:c r="K1876" s="7" t="str">
        <x:v>Open</x:v>
      </x:c>
      <x:c r="L1876" s="7"/>
    </x:row>
    <x:row r="1877" ht="21" customHeight="1">
      <x:c r="A1877" s="1" t="str">
        <x:f>Source!A1871</x:f>
        <x:v>C0003022</x:v>
      </x:c>
      <x:c r="B1877" s="1" t="str">
        <x:f>_xlfn.IFNA(VLOOKUP(Source!B1871,Advertisers!$A$5:$B$34,2,FALSE),"Missing advertiser")</x:f>
        <x:v>Synthetic advertiser 7</x:v>
      </x:c>
      <x:c r="C1877" s="1" t="n">
        <x:f>Source!C1871</x:f>
        <x:v>7</x:v>
      </x:c>
      <x:c r="D1877" s="8" t="n">
        <x:f>Source!D1871/100</x:f>
        <x:v>99.09</x:v>
      </x:c>
      <x:c r="E1877" s="8" t="n">
        <x:f>Source!E1871/100</x:f>
        <x:v>0</x:v>
      </x:c>
      <x:c r="F1877" s="8" t="n">
        <x:f>Source!F1871/100</x:f>
        <x:v>0</x:v>
      </x:c>
      <x:c r="G1877" s="8" t="n">
        <x:f>Source!G1871/100</x:f>
        <x:v>0</x:v>
      </x:c>
      <x:c r="H1877" s="8" t="n">
        <x:f>G1877-D1877</x:f>
        <x:v>-99.09</x:v>
      </x:c>
      <x:c r="I1877" s="1" t="str">
        <x:f>IF(H1877&gt;0,"Overbilled","Shortfall")</x:f>
        <x:v>Shortfall</x:v>
      </x:c>
      <x:c r="J1877" s="7"/>
      <x:c r="K1877" s="7" t="str">
        <x:v>Open</x:v>
      </x:c>
      <x:c r="L1877" s="7"/>
    </x:row>
    <x:row r="1878" ht="21" customHeight="1">
      <x:c r="A1878" s="1" t="str">
        <x:f>Source!A1872</x:f>
        <x:v>C0004690</x:v>
      </x:c>
      <x:c r="B1878" s="1" t="str">
        <x:f>_xlfn.IFNA(VLOOKUP(Source!B1872,Advertisers!$A$5:$B$34,2,FALSE),"Missing advertiser")</x:f>
        <x:v>Synthetic advertiser 7</x:v>
      </x:c>
      <x:c r="C1878" s="1" t="n">
        <x:f>Source!C1872</x:f>
        <x:v>7</x:v>
      </x:c>
      <x:c r="D1878" s="8" t="n">
        <x:f>Source!D1872/100</x:f>
        <x:v>99.09</x:v>
      </x:c>
      <x:c r="E1878" s="8" t="n">
        <x:f>Source!E1872/100</x:f>
        <x:v>198.18</x:v>
      </x:c>
      <x:c r="F1878" s="8" t="n">
        <x:f>Source!F1872/100</x:f>
        <x:v>0</x:v>
      </x:c>
      <x:c r="G1878" s="8" t="n">
        <x:f>Source!G1872/100</x:f>
        <x:v>198.18</x:v>
      </x:c>
      <x:c r="H1878" s="8" t="n">
        <x:f>G1878-D1878</x:f>
        <x:v>99.09</x:v>
      </x:c>
      <x:c r="I1878" s="1" t="str">
        <x:f>IF(H1878&gt;0,"Overbilled","Shortfall")</x:f>
        <x:v>Overbilled</x:v>
      </x:c>
      <x:c r="J1878" s="7"/>
      <x:c r="K1878" s="7" t="str">
        <x:v>Open</x:v>
      </x:c>
      <x:c r="L1878" s="7"/>
    </x:row>
    <x:row r="1879" ht="21" customHeight="1">
      <x:c r="A1879" s="1" t="str">
        <x:f>Source!A1873</x:f>
        <x:v>C0011994</x:v>
      </x:c>
      <x:c r="B1879" s="1" t="str">
        <x:f>_xlfn.IFNA(VLOOKUP(Source!B1873,Advertisers!$A$5:$B$34,2,FALSE),"Missing advertiser")</x:f>
        <x:v>Synthetic advertiser 7</x:v>
      </x:c>
      <x:c r="C1879" s="1" t="n">
        <x:f>Source!C1873</x:f>
        <x:v>7</x:v>
      </x:c>
      <x:c r="D1879" s="8" t="n">
        <x:f>Source!D1873/100</x:f>
        <x:v>99.09</x:v>
      </x:c>
      <x:c r="E1879" s="8" t="n">
        <x:f>Source!E1873/100</x:f>
        <x:v>198.18</x:v>
      </x:c>
      <x:c r="F1879" s="8" t="n">
        <x:f>Source!F1873/100</x:f>
        <x:v>0</x:v>
      </x:c>
      <x:c r="G1879" s="8" t="n">
        <x:f>Source!G1873/100</x:f>
        <x:v>198.18</x:v>
      </x:c>
      <x:c r="H1879" s="8" t="n">
        <x:f>G1879-D1879</x:f>
        <x:v>99.09</x:v>
      </x:c>
      <x:c r="I1879" s="1" t="str">
        <x:f>IF(H1879&gt;0,"Overbilled","Shortfall")</x:f>
        <x:v>Overbilled</x:v>
      </x:c>
      <x:c r="J1879" s="7"/>
      <x:c r="K1879" s="7" t="str">
        <x:v>Open</x:v>
      </x:c>
      <x:c r="L1879" s="7"/>
    </x:row>
    <x:row r="1880" ht="21" customHeight="1">
      <x:c r="A1880" s="1" t="str">
        <x:f>Source!A1874</x:f>
        <x:v>C0017446</x:v>
      </x:c>
      <x:c r="B1880" s="1" t="str">
        <x:f>_xlfn.IFNA(VLOOKUP(Source!B1874,Advertisers!$A$5:$B$34,2,FALSE),"Missing advertiser")</x:f>
        <x:v>Synthetic advertiser 7</x:v>
      </x:c>
      <x:c r="C1880" s="1" t="n">
        <x:f>Source!C1874</x:f>
        <x:v>7</x:v>
      </x:c>
      <x:c r="D1880" s="8" t="n">
        <x:f>Source!D1874/100</x:f>
        <x:v>99.09</x:v>
      </x:c>
      <x:c r="E1880" s="8" t="n">
        <x:f>Source!E1874/100</x:f>
        <x:v>198.18</x:v>
      </x:c>
      <x:c r="F1880" s="8" t="n">
        <x:f>Source!F1874/100</x:f>
        <x:v>0</x:v>
      </x:c>
      <x:c r="G1880" s="8" t="n">
        <x:f>Source!G1874/100</x:f>
        <x:v>198.18</x:v>
      </x:c>
      <x:c r="H1880" s="8" t="n">
        <x:f>G1880-D1880</x:f>
        <x:v>99.09</x:v>
      </x:c>
      <x:c r="I1880" s="1" t="str">
        <x:f>IF(H1880&gt;0,"Overbilled","Shortfall")</x:f>
        <x:v>Overbilled</x:v>
      </x:c>
      <x:c r="J1880" s="7"/>
      <x:c r="K1880" s="7" t="str">
        <x:v>Open</x:v>
      </x:c>
      <x:c r="L1880" s="7"/>
    </x:row>
    <x:row r="1881" ht="21" customHeight="1">
      <x:c r="A1881" s="1" t="str">
        <x:f>Source!A1875</x:f>
        <x:v>C0009738</x:v>
      </x:c>
      <x:c r="B1881" s="1" t="str">
        <x:f>_xlfn.IFNA(VLOOKUP(Source!B1875,Advertisers!$A$5:$B$34,2,FALSE),"Missing advertiser")</x:f>
        <x:v>Synthetic advertiser 7</x:v>
      </x:c>
      <x:c r="C1881" s="1" t="n">
        <x:f>Source!C1875</x:f>
        <x:v>7</x:v>
      </x:c>
      <x:c r="D1881" s="8" t="n">
        <x:f>Source!D1875/100</x:f>
        <x:v>99.09</x:v>
      </x:c>
      <x:c r="E1881" s="8" t="n">
        <x:f>Source!E1875/100</x:f>
        <x:v>0</x:v>
      </x:c>
      <x:c r="F1881" s="8" t="n">
        <x:f>Source!F1875/100</x:f>
        <x:v>0</x:v>
      </x:c>
      <x:c r="G1881" s="8" t="n">
        <x:f>Source!G1875/100</x:f>
        <x:v>0</x:v>
      </x:c>
      <x:c r="H1881" s="8" t="n">
        <x:f>G1881-D1881</x:f>
        <x:v>-99.09</x:v>
      </x:c>
      <x:c r="I1881" s="1" t="str">
        <x:f>IF(H1881&gt;0,"Overbilled","Shortfall")</x:f>
        <x:v>Shortfall</x:v>
      </x:c>
      <x:c r="J1881" s="7"/>
      <x:c r="K1881" s="7" t="str">
        <x:v>Open</x:v>
      </x:c>
      <x:c r="L1881" s="7"/>
    </x:row>
    <x:row r="1882" ht="21" customHeight="1">
      <x:c r="A1882" s="1" t="str">
        <x:f>Source!A1876</x:f>
        <x:v>C0002312</x:v>
      </x:c>
      <x:c r="B1882" s="1" t="str">
        <x:f>_xlfn.IFNA(VLOOKUP(Source!B1876,Advertisers!$A$5:$B$34,2,FALSE),"Missing advertiser")</x:f>
        <x:v>Synthetic advertiser 1</x:v>
      </x:c>
      <x:c r="C1882" s="1" t="n">
        <x:f>Source!C1876</x:f>
        <x:v>91</x:v>
      </x:c>
      <x:c r="D1882" s="8" t="n">
        <x:f>Source!D1876/100</x:f>
        <x:v>98.33</x:v>
      </x:c>
      <x:c r="E1882" s="8" t="n">
        <x:f>Source!E1876/100</x:f>
        <x:v>0</x:v>
      </x:c>
      <x:c r="F1882" s="8" t="n">
        <x:f>Source!F1876/100</x:f>
        <x:v>0</x:v>
      </x:c>
      <x:c r="G1882" s="8" t="n">
        <x:f>Source!G1876/100</x:f>
        <x:v>0</x:v>
      </x:c>
      <x:c r="H1882" s="8" t="n">
        <x:f>G1882-D1882</x:f>
        <x:v>-98.33</x:v>
      </x:c>
      <x:c r="I1882" s="1" t="str">
        <x:f>IF(H1882&gt;0,"Overbilled","Shortfall")</x:f>
        <x:v>Shortfall</x:v>
      </x:c>
      <x:c r="J1882" s="7"/>
      <x:c r="K1882" s="7" t="str">
        <x:v>Open</x:v>
      </x:c>
      <x:c r="L1882" s="7"/>
    </x:row>
    <x:row r="1883" ht="21" customHeight="1">
      <x:c r="A1883" s="1" t="str">
        <x:f>Source!A1877</x:f>
        <x:v>C0006959</x:v>
      </x:c>
      <x:c r="B1883" s="1" t="str">
        <x:f>_xlfn.IFNA(VLOOKUP(Source!B1877,Advertisers!$A$5:$B$34,2,FALSE),"Missing advertiser")</x:f>
        <x:v>Synthetic advertiser 1</x:v>
      </x:c>
      <x:c r="C1883" s="1" t="n">
        <x:f>Source!C1877</x:f>
        <x:v>91</x:v>
      </x:c>
      <x:c r="D1883" s="8" t="n">
        <x:f>Source!D1877/100</x:f>
        <x:v>98.33</x:v>
      </x:c>
      <x:c r="E1883" s="8" t="n">
        <x:f>Source!E1877/100</x:f>
        <x:v>0</x:v>
      </x:c>
      <x:c r="F1883" s="8" t="n">
        <x:f>Source!F1877/100</x:f>
        <x:v>0</x:v>
      </x:c>
      <x:c r="G1883" s="8" t="n">
        <x:f>Source!G1877/100</x:f>
        <x:v>0</x:v>
      </x:c>
      <x:c r="H1883" s="8" t="n">
        <x:f>G1883-D1883</x:f>
        <x:v>-98.33</x:v>
      </x:c>
      <x:c r="I1883" s="1" t="str">
        <x:f>IF(H1883&gt;0,"Overbilled","Shortfall")</x:f>
        <x:v>Shortfall</x:v>
      </x:c>
      <x:c r="J1883" s="7"/>
      <x:c r="K1883" s="7" t="str">
        <x:v>Open</x:v>
      </x:c>
      <x:c r="L1883" s="7"/>
    </x:row>
    <x:row r="1884" ht="21" customHeight="1">
      <x:c r="A1884" s="1" t="str">
        <x:f>Source!A1878</x:f>
        <x:v>C0002172</x:v>
      </x:c>
      <x:c r="B1884" s="1" t="str">
        <x:f>_xlfn.IFNA(VLOOKUP(Source!B1878,Advertisers!$A$5:$B$34,2,FALSE),"Missing advertiser")</x:f>
        <x:v>Synthetic advertiser 6</x:v>
      </x:c>
      <x:c r="C1884" s="1" t="n">
        <x:f>Source!C1878</x:f>
        <x:v>6</x:v>
      </x:c>
      <x:c r="D1884" s="8" t="n">
        <x:f>Source!D1878/100</x:f>
        <x:v>97.91</x:v>
      </x:c>
      <x:c r="E1884" s="8" t="n">
        <x:f>Source!E1878/100</x:f>
        <x:v>195.82</x:v>
      </x:c>
      <x:c r="F1884" s="8" t="n">
        <x:f>Source!F1878/100</x:f>
        <x:v>0</x:v>
      </x:c>
      <x:c r="G1884" s="8" t="n">
        <x:f>Source!G1878/100</x:f>
        <x:v>195.82</x:v>
      </x:c>
      <x:c r="H1884" s="8" t="n">
        <x:f>G1884-D1884</x:f>
        <x:v>97.91</x:v>
      </x:c>
      <x:c r="I1884" s="1" t="str">
        <x:f>IF(H1884&gt;0,"Overbilled","Shortfall")</x:f>
        <x:v>Overbilled</x:v>
      </x:c>
      <x:c r="J1884" s="7"/>
      <x:c r="K1884" s="7" t="str">
        <x:v>Open</x:v>
      </x:c>
      <x:c r="L1884" s="7"/>
    </x:row>
    <x:row r="1885" ht="21" customHeight="1">
      <x:c r="A1885" s="1" t="str">
        <x:f>Source!A1879</x:f>
        <x:v>C0005481</x:v>
      </x:c>
      <x:c r="B1885" s="1" t="str">
        <x:f>_xlfn.IFNA(VLOOKUP(Source!B1879,Advertisers!$A$5:$B$34,2,FALSE),"Missing advertiser")</x:f>
        <x:v>Synthetic advertiser 6</x:v>
      </x:c>
      <x:c r="C1885" s="1" t="n">
        <x:f>Source!C1879</x:f>
        <x:v>6</x:v>
      </x:c>
      <x:c r="D1885" s="8" t="n">
        <x:f>Source!D1879/100</x:f>
        <x:v>97.91</x:v>
      </x:c>
      <x:c r="E1885" s="8" t="n">
        <x:f>Source!E1879/100</x:f>
        <x:v>0</x:v>
      </x:c>
      <x:c r="F1885" s="8" t="n">
        <x:f>Source!F1879/100</x:f>
        <x:v>0</x:v>
      </x:c>
      <x:c r="G1885" s="8" t="n">
        <x:f>Source!G1879/100</x:f>
        <x:v>0</x:v>
      </x:c>
      <x:c r="H1885" s="8" t="n">
        <x:f>G1885-D1885</x:f>
        <x:v>-97.91</x:v>
      </x:c>
      <x:c r="I1885" s="1" t="str">
        <x:f>IF(H1885&gt;0,"Overbilled","Shortfall")</x:f>
        <x:v>Shortfall</x:v>
      </x:c>
      <x:c r="J1885" s="7"/>
      <x:c r="K1885" s="7" t="str">
        <x:v>Open</x:v>
      </x:c>
      <x:c r="L1885" s="7"/>
    </x:row>
    <x:row r="1886" ht="21" customHeight="1">
      <x:c r="A1886" s="1" t="str">
        <x:f>Source!A1880</x:f>
        <x:v>C0000017</x:v>
      </x:c>
      <x:c r="B1886" s="1" t="str">
        <x:f>_xlfn.IFNA(VLOOKUP(Source!B1880,Advertisers!$A$5:$B$34,2,FALSE),"Missing advertiser")</x:f>
        <x:v>Synthetic advertiser 6</x:v>
      </x:c>
      <x:c r="C1886" s="1" t="n">
        <x:f>Source!C1880</x:f>
        <x:v>6</x:v>
      </x:c>
      <x:c r="D1886" s="8" t="n">
        <x:f>Source!D1880/100</x:f>
        <x:v>97.91</x:v>
      </x:c>
      <x:c r="E1886" s="8" t="n">
        <x:f>Source!E1880/100</x:f>
        <x:v>0</x:v>
      </x:c>
      <x:c r="F1886" s="8" t="n">
        <x:f>Source!F1880/100</x:f>
        <x:v>0</x:v>
      </x:c>
      <x:c r="G1886" s="8" t="n">
        <x:f>Source!G1880/100</x:f>
        <x:v>0</x:v>
      </x:c>
      <x:c r="H1886" s="8" t="n">
        <x:f>G1886-D1886</x:f>
        <x:v>-97.91</x:v>
      </x:c>
      <x:c r="I1886" s="1" t="str">
        <x:f>IF(H1886&gt;0,"Overbilled","Shortfall")</x:f>
        <x:v>Shortfall</x:v>
      </x:c>
      <x:c r="J1886" s="7"/>
      <x:c r="K1886" s="7" t="str">
        <x:v>Open</x:v>
      </x:c>
      <x:c r="L1886" s="7"/>
    </x:row>
    <x:row r="1887" ht="21" customHeight="1">
      <x:c r="A1887" s="1" t="str">
        <x:f>Source!A1881</x:f>
        <x:v>C0007238</x:v>
      </x:c>
      <x:c r="B1887" s="1" t="str">
        <x:f>_xlfn.IFNA(VLOOKUP(Source!B1881,Advertisers!$A$5:$B$34,2,FALSE),"Missing advertiser")</x:f>
        <x:v>Synthetic advertiser 6</x:v>
      </x:c>
      <x:c r="C1887" s="1" t="n">
        <x:f>Source!C1881</x:f>
        <x:v>6</x:v>
      </x:c>
      <x:c r="D1887" s="8" t="n">
        <x:f>Source!D1881/100</x:f>
        <x:v>97.91</x:v>
      </x:c>
      <x:c r="E1887" s="8" t="n">
        <x:f>Source!E1881/100</x:f>
        <x:v>0</x:v>
      </x:c>
      <x:c r="F1887" s="8" t="n">
        <x:f>Source!F1881/100</x:f>
        <x:v>0</x:v>
      </x:c>
      <x:c r="G1887" s="8" t="n">
        <x:f>Source!G1881/100</x:f>
        <x:v>0</x:v>
      </x:c>
      <x:c r="H1887" s="8" t="n">
        <x:f>G1887-D1887</x:f>
        <x:v>-97.91</x:v>
      </x:c>
      <x:c r="I1887" s="1" t="str">
        <x:f>IF(H1887&gt;0,"Overbilled","Shortfall")</x:f>
        <x:v>Shortfall</x:v>
      </x:c>
      <x:c r="J1887" s="7"/>
      <x:c r="K1887" s="7" t="str">
        <x:v>Open</x:v>
      </x:c>
      <x:c r="L1887" s="7"/>
    </x:row>
    <x:row r="1888" ht="21" customHeight="1">
      <x:c r="A1888" s="1" t="str">
        <x:f>Source!A1882</x:f>
        <x:v>C0011272</x:v>
      </x:c>
      <x:c r="B1888" s="1" t="str">
        <x:f>_xlfn.IFNA(VLOOKUP(Source!B1882,Advertisers!$A$5:$B$34,2,FALSE),"Missing advertiser")</x:f>
        <x:v>Synthetic advertiser 6</x:v>
      </x:c>
      <x:c r="C1888" s="1" t="n">
        <x:f>Source!C1882</x:f>
        <x:v>6</x:v>
      </x:c>
      <x:c r="D1888" s="8" t="n">
        <x:f>Source!D1882/100</x:f>
        <x:v>97.91</x:v>
      </x:c>
      <x:c r="E1888" s="8" t="n">
        <x:f>Source!E1882/100</x:f>
        <x:v>0</x:v>
      </x:c>
      <x:c r="F1888" s="8" t="n">
        <x:f>Source!F1882/100</x:f>
        <x:v>0</x:v>
      </x:c>
      <x:c r="G1888" s="8" t="n">
        <x:f>Source!G1882/100</x:f>
        <x:v>0</x:v>
      </x:c>
      <x:c r="H1888" s="8" t="n">
        <x:f>G1888-D1888</x:f>
        <x:v>-97.91</x:v>
      </x:c>
      <x:c r="I1888" s="1" t="str">
        <x:f>IF(H1888&gt;0,"Overbilled","Shortfall")</x:f>
        <x:v>Shortfall</x:v>
      </x:c>
      <x:c r="J1888" s="7"/>
      <x:c r="K1888" s="7" t="str">
        <x:v>Open</x:v>
      </x:c>
      <x:c r="L1888" s="7"/>
    </x:row>
    <x:row r="1889" ht="21" customHeight="1">
      <x:c r="A1889" s="1" t="str">
        <x:f>Source!A1883</x:f>
        <x:v>C0013701</x:v>
      </x:c>
      <x:c r="B1889" s="1" t="str">
        <x:f>_xlfn.IFNA(VLOOKUP(Source!B1883,Advertisers!$A$5:$B$34,2,FALSE),"Missing advertiser")</x:f>
        <x:v>Synthetic advertiser 6</x:v>
      </x:c>
      <x:c r="C1889" s="1" t="n">
        <x:f>Source!C1883</x:f>
        <x:v>6</x:v>
      </x:c>
      <x:c r="D1889" s="8" t="n">
        <x:f>Source!D1883/100</x:f>
        <x:v>97.91</x:v>
      </x:c>
      <x:c r="E1889" s="8" t="n">
        <x:f>Source!E1883/100</x:f>
        <x:v>195.82</x:v>
      </x:c>
      <x:c r="F1889" s="8" t="n">
        <x:f>Source!F1883/100</x:f>
        <x:v>0</x:v>
      </x:c>
      <x:c r="G1889" s="8" t="n">
        <x:f>Source!G1883/100</x:f>
        <x:v>195.82</x:v>
      </x:c>
      <x:c r="H1889" s="8" t="n">
        <x:f>G1889-D1889</x:f>
        <x:v>97.91</x:v>
      </x:c>
      <x:c r="I1889" s="1" t="str">
        <x:f>IF(H1889&gt;0,"Overbilled","Shortfall")</x:f>
        <x:v>Overbilled</x:v>
      </x:c>
      <x:c r="J1889" s="7"/>
      <x:c r="K1889" s="7" t="str">
        <x:v>Open</x:v>
      </x:c>
      <x:c r="L1889" s="7"/>
    </x:row>
    <x:row r="1890" ht="21" customHeight="1">
      <x:c r="A1890" s="1" t="str">
        <x:f>Source!A1884</x:f>
        <x:v>C0003413</x:v>
      </x:c>
      <x:c r="B1890" s="1" t="str">
        <x:f>_xlfn.IFNA(VLOOKUP(Source!B1884,Advertisers!$A$5:$B$34,2,FALSE),"Missing advertiser")</x:f>
        <x:v>Synthetic advertiser 6</x:v>
      </x:c>
      <x:c r="C1890" s="1" t="n">
        <x:f>Source!C1884</x:f>
        <x:v>6</x:v>
      </x:c>
      <x:c r="D1890" s="8" t="n">
        <x:f>Source!D1884/100</x:f>
        <x:v>97.91</x:v>
      </x:c>
      <x:c r="E1890" s="8" t="n">
        <x:f>Source!E1884/100</x:f>
        <x:v>0</x:v>
      </x:c>
      <x:c r="F1890" s="8" t="n">
        <x:f>Source!F1884/100</x:f>
        <x:v>0</x:v>
      </x:c>
      <x:c r="G1890" s="8" t="n">
        <x:f>Source!G1884/100</x:f>
        <x:v>0</x:v>
      </x:c>
      <x:c r="H1890" s="8" t="n">
        <x:f>G1890-D1890</x:f>
        <x:v>-97.91</x:v>
      </x:c>
      <x:c r="I1890" s="1" t="str">
        <x:f>IF(H1890&gt;0,"Overbilled","Shortfall")</x:f>
        <x:v>Shortfall</x:v>
      </x:c>
      <x:c r="J1890" s="7"/>
      <x:c r="K1890" s="7" t="str">
        <x:v>Open</x:v>
      </x:c>
      <x:c r="L1890" s="7"/>
    </x:row>
    <x:row r="1891" ht="21" customHeight="1">
      <x:c r="A1891" s="1" t="str">
        <x:f>Source!A1885</x:f>
        <x:v>C0001683</x:v>
      </x:c>
      <x:c r="B1891" s="1" t="str">
        <x:f>_xlfn.IFNA(VLOOKUP(Source!B1885,Advertisers!$A$5:$B$34,2,FALSE),"Missing advertiser")</x:f>
        <x:v>Synthetic advertiser 6</x:v>
      </x:c>
      <x:c r="C1891" s="1" t="n">
        <x:f>Source!C1885</x:f>
        <x:v>6</x:v>
      </x:c>
      <x:c r="D1891" s="8" t="n">
        <x:f>Source!D1885/100</x:f>
        <x:v>97.91</x:v>
      </x:c>
      <x:c r="E1891" s="8" t="n">
        <x:f>Source!E1885/100</x:f>
        <x:v>0</x:v>
      </x:c>
      <x:c r="F1891" s="8" t="n">
        <x:f>Source!F1885/100</x:f>
        <x:v>0</x:v>
      </x:c>
      <x:c r="G1891" s="8" t="n">
        <x:f>Source!G1885/100</x:f>
        <x:v>0</x:v>
      </x:c>
      <x:c r="H1891" s="8" t="n">
        <x:f>G1891-D1891</x:f>
        <x:v>-97.91</x:v>
      </x:c>
      <x:c r="I1891" s="1" t="str">
        <x:f>IF(H1891&gt;0,"Overbilled","Shortfall")</x:f>
        <x:v>Shortfall</x:v>
      </x:c>
      <x:c r="J1891" s="7"/>
      <x:c r="K1891" s="7" t="str">
        <x:v>Open</x:v>
      </x:c>
      <x:c r="L1891" s="7"/>
    </x:row>
    <x:row r="1892" ht="21" customHeight="1">
      <x:c r="A1892" s="1" t="str">
        <x:f>Source!A1886</x:f>
        <x:v>C0005848</x:v>
      </x:c>
      <x:c r="B1892" s="1" t="str">
        <x:f>_xlfn.IFNA(VLOOKUP(Source!B1886,Advertisers!$A$5:$B$34,2,FALSE),"Missing advertiser")</x:f>
        <x:v>Synthetic advertiser 30</x:v>
      </x:c>
      <x:c r="C1892" s="1" t="n">
        <x:f>Source!C1886</x:f>
        <x:v>30</x:v>
      </x:c>
      <x:c r="D1892" s="8" t="n">
        <x:f>Source!D1886/100</x:f>
        <x:v>97.33</x:v>
      </x:c>
      <x:c r="E1892" s="8" t="n">
        <x:f>Source!E1886/100</x:f>
        <x:v>194.66</x:v>
      </x:c>
      <x:c r="F1892" s="8" t="n">
        <x:f>Source!F1886/100</x:f>
        <x:v>0</x:v>
      </x:c>
      <x:c r="G1892" s="8" t="n">
        <x:f>Source!G1886/100</x:f>
        <x:v>194.66</x:v>
      </x:c>
      <x:c r="H1892" s="8" t="n">
        <x:f>G1892-D1892</x:f>
        <x:v>97.33</x:v>
      </x:c>
      <x:c r="I1892" s="1" t="str">
        <x:f>IF(H1892&gt;0,"Overbilled","Shortfall")</x:f>
        <x:v>Overbilled</x:v>
      </x:c>
      <x:c r="J1892" s="7"/>
      <x:c r="K1892" s="7" t="str">
        <x:v>Open</x:v>
      </x:c>
      <x:c r="L1892" s="7"/>
    </x:row>
    <x:row r="1893" ht="21" customHeight="1">
      <x:c r="A1893" s="1" t="str">
        <x:f>Source!A1887</x:f>
        <x:v>C0003746</x:v>
      </x:c>
      <x:c r="B1893" s="1" t="str">
        <x:f>_xlfn.IFNA(VLOOKUP(Source!B1887,Advertisers!$A$5:$B$34,2,FALSE),"Missing advertiser")</x:f>
        <x:v>Synthetic advertiser 30</x:v>
      </x:c>
      <x:c r="C1893" s="1" t="n">
        <x:f>Source!C1887</x:f>
        <x:v>30</x:v>
      </x:c>
      <x:c r="D1893" s="8" t="n">
        <x:f>Source!D1887/100</x:f>
        <x:v>97.33</x:v>
      </x:c>
      <x:c r="E1893" s="8" t="n">
        <x:f>Source!E1887/100</x:f>
        <x:v>0</x:v>
      </x:c>
      <x:c r="F1893" s="8" t="n">
        <x:f>Source!F1887/100</x:f>
        <x:v>0</x:v>
      </x:c>
      <x:c r="G1893" s="8" t="n">
        <x:f>Source!G1887/100</x:f>
        <x:v>0</x:v>
      </x:c>
      <x:c r="H1893" s="8" t="n">
        <x:f>G1893-D1893</x:f>
        <x:v>-97.33</x:v>
      </x:c>
      <x:c r="I1893" s="1" t="str">
        <x:f>IF(H1893&gt;0,"Overbilled","Shortfall")</x:f>
        <x:v>Shortfall</x:v>
      </x:c>
      <x:c r="J1893" s="7"/>
      <x:c r="K1893" s="7" t="str">
        <x:v>Open</x:v>
      </x:c>
      <x:c r="L1893" s="7"/>
    </x:row>
    <x:row r="1894" ht="21" customHeight="1">
      <x:c r="A1894" s="1" t="str">
        <x:f>Source!A1888</x:f>
        <x:v>C0009976</x:v>
      </x:c>
      <x:c r="B1894" s="1" t="str">
        <x:f>_xlfn.IFNA(VLOOKUP(Source!B1888,Advertisers!$A$5:$B$34,2,FALSE),"Missing advertiser")</x:f>
        <x:v>Synthetic advertiser 30</x:v>
      </x:c>
      <x:c r="C1894" s="1" t="n">
        <x:f>Source!C1888</x:f>
        <x:v>30</x:v>
      </x:c>
      <x:c r="D1894" s="8" t="n">
        <x:f>Source!D1888/100</x:f>
        <x:v>97.33</x:v>
      </x:c>
      <x:c r="E1894" s="8" t="n">
        <x:f>Source!E1888/100</x:f>
        <x:v>0</x:v>
      </x:c>
      <x:c r="F1894" s="8" t="n">
        <x:f>Source!F1888/100</x:f>
        <x:v>0</x:v>
      </x:c>
      <x:c r="G1894" s="8" t="n">
        <x:f>Source!G1888/100</x:f>
        <x:v>0</x:v>
      </x:c>
      <x:c r="H1894" s="8" t="n">
        <x:f>G1894-D1894</x:f>
        <x:v>-97.33</x:v>
      </x:c>
      <x:c r="I1894" s="1" t="str">
        <x:f>IF(H1894&gt;0,"Overbilled","Shortfall")</x:f>
        <x:v>Shortfall</x:v>
      </x:c>
      <x:c r="J1894" s="7"/>
      <x:c r="K1894" s="7" t="str">
        <x:v>Open</x:v>
      </x:c>
      <x:c r="L1894" s="7"/>
    </x:row>
    <x:row r="1895" ht="21" customHeight="1">
      <x:c r="A1895" s="1" t="str">
        <x:f>Source!A1889</x:f>
        <x:v>C0000557</x:v>
      </x:c>
      <x:c r="B1895" s="1" t="str">
        <x:f>_xlfn.IFNA(VLOOKUP(Source!B1889,Advertisers!$A$5:$B$34,2,FALSE),"Missing advertiser")</x:f>
        <x:v>Synthetic advertiser 30</x:v>
      </x:c>
      <x:c r="C1895" s="1" t="n">
        <x:f>Source!C1889</x:f>
        <x:v>30</x:v>
      </x:c>
      <x:c r="D1895" s="8" t="n">
        <x:f>Source!D1889/100</x:f>
        <x:v>97.33</x:v>
      </x:c>
      <x:c r="E1895" s="8" t="n">
        <x:f>Source!E1889/100</x:f>
        <x:v>0</x:v>
      </x:c>
      <x:c r="F1895" s="8" t="n">
        <x:f>Source!F1889/100</x:f>
        <x:v>0</x:v>
      </x:c>
      <x:c r="G1895" s="8" t="n">
        <x:f>Source!G1889/100</x:f>
        <x:v>0</x:v>
      </x:c>
      <x:c r="H1895" s="8" t="n">
        <x:f>G1895-D1895</x:f>
        <x:v>-97.33</x:v>
      </x:c>
      <x:c r="I1895" s="1" t="str">
        <x:f>IF(H1895&gt;0,"Overbilled","Shortfall")</x:f>
        <x:v>Shortfall</x:v>
      </x:c>
      <x:c r="J1895" s="7"/>
      <x:c r="K1895" s="7" t="str">
        <x:v>Open</x:v>
      </x:c>
      <x:c r="L1895" s="7"/>
    </x:row>
    <x:row r="1896" ht="21" customHeight="1">
      <x:c r="A1896" s="1" t="str">
        <x:f>Source!A1890</x:f>
        <x:v>C0005188</x:v>
      </x:c>
      <x:c r="B1896" s="1" t="str">
        <x:f>_xlfn.IFNA(VLOOKUP(Source!B1890,Advertisers!$A$5:$B$34,2,FALSE),"Missing advertiser")</x:f>
        <x:v>Synthetic advertiser 30</x:v>
      </x:c>
      <x:c r="C1896" s="1" t="n">
        <x:f>Source!C1890</x:f>
        <x:v>30</x:v>
      </x:c>
      <x:c r="D1896" s="8" t="n">
        <x:f>Source!D1890/100</x:f>
        <x:v>97.33</x:v>
      </x:c>
      <x:c r="E1896" s="8" t="n">
        <x:f>Source!E1890/100</x:f>
        <x:v>194.66</x:v>
      </x:c>
      <x:c r="F1896" s="8" t="n">
        <x:f>Source!F1890/100</x:f>
        <x:v>0</x:v>
      </x:c>
      <x:c r="G1896" s="8" t="n">
        <x:f>Source!G1890/100</x:f>
        <x:v>194.66</x:v>
      </x:c>
      <x:c r="H1896" s="8" t="n">
        <x:f>G1896-D1896</x:f>
        <x:v>97.33</x:v>
      </x:c>
      <x:c r="I1896" s="1" t="str">
        <x:f>IF(H1896&gt;0,"Overbilled","Shortfall")</x:f>
        <x:v>Overbilled</x:v>
      </x:c>
      <x:c r="J1896" s="7"/>
      <x:c r="K1896" s="7" t="str">
        <x:v>Open</x:v>
      </x:c>
      <x:c r="L1896" s="7"/>
    </x:row>
    <x:row r="1897" ht="21" customHeight="1">
      <x:c r="A1897" s="1" t="str">
        <x:f>Source!A1891</x:f>
        <x:v>C0002023</x:v>
      </x:c>
      <x:c r="B1897" s="1" t="str">
        <x:f>_xlfn.IFNA(VLOOKUP(Source!B1891,Advertisers!$A$5:$B$34,2,FALSE),"Missing advertiser")</x:f>
        <x:v>Synthetic advertiser 30</x:v>
      </x:c>
      <x:c r="C1897" s="1" t="n">
        <x:f>Source!C1891</x:f>
        <x:v>30</x:v>
      </x:c>
      <x:c r="D1897" s="8" t="n">
        <x:f>Source!D1891/100</x:f>
        <x:v>97.33</x:v>
      </x:c>
      <x:c r="E1897" s="8" t="n">
        <x:f>Source!E1891/100</x:f>
        <x:v>0</x:v>
      </x:c>
      <x:c r="F1897" s="8" t="n">
        <x:f>Source!F1891/100</x:f>
        <x:v>0</x:v>
      </x:c>
      <x:c r="G1897" s="8" t="n">
        <x:f>Source!G1891/100</x:f>
        <x:v>0</x:v>
      </x:c>
      <x:c r="H1897" s="8" t="n">
        <x:f>G1897-D1897</x:f>
        <x:v>-97.33</x:v>
      </x:c>
      <x:c r="I1897" s="1" t="str">
        <x:f>IF(H1897&gt;0,"Overbilled","Shortfall")</x:f>
        <x:v>Shortfall</x:v>
      </x:c>
      <x:c r="J1897" s="7"/>
      <x:c r="K1897" s="7" t="str">
        <x:v>Open</x:v>
      </x:c>
      <x:c r="L1897" s="7"/>
    </x:row>
    <x:row r="1898" ht="21" customHeight="1">
      <x:c r="A1898" s="1" t="str">
        <x:f>Source!A1892</x:f>
        <x:v>C0011329</x:v>
      </x:c>
      <x:c r="B1898" s="1" t="str">
        <x:f>_xlfn.IFNA(VLOOKUP(Source!B1892,Advertisers!$A$5:$B$34,2,FALSE),"Missing advertiser")</x:f>
        <x:v>Synthetic advertiser 21</x:v>
      </x:c>
      <x:c r="C1898" s="1" t="n">
        <x:f>Source!C1892</x:f>
        <x:v>111</x:v>
      </x:c>
      <x:c r="D1898" s="8" t="n">
        <x:f>Source!D1892/100</x:f>
        <x:v>96.58</x:v>
      </x:c>
      <x:c r="E1898" s="8" t="n">
        <x:f>Source!E1892/100</x:f>
        <x:v>193.16</x:v>
      </x:c>
      <x:c r="F1898" s="8" t="n">
        <x:f>Source!F1892/100</x:f>
        <x:v>0</x:v>
      </x:c>
      <x:c r="G1898" s="8" t="n">
        <x:f>Source!G1892/100</x:f>
        <x:v>193.16</x:v>
      </x:c>
      <x:c r="H1898" s="8" t="n">
        <x:f>G1898-D1898</x:f>
        <x:v>96.58</x:v>
      </x:c>
      <x:c r="I1898" s="1" t="str">
        <x:f>IF(H1898&gt;0,"Overbilled","Shortfall")</x:f>
        <x:v>Overbilled</x:v>
      </x:c>
      <x:c r="J1898" s="7"/>
      <x:c r="K1898" s="7" t="str">
        <x:v>Open</x:v>
      </x:c>
      <x:c r="L1898" s="7"/>
    </x:row>
    <x:row r="1899" ht="21" customHeight="1">
      <x:c r="A1899" s="1" t="str">
        <x:f>Source!A1893</x:f>
        <x:v>C0015455</x:v>
      </x:c>
      <x:c r="B1899" s="1" t="str">
        <x:f>_xlfn.IFNA(VLOOKUP(Source!B1893,Advertisers!$A$5:$B$34,2,FALSE),"Missing advertiser")</x:f>
        <x:v>Synthetic advertiser 21</x:v>
      </x:c>
      <x:c r="C1899" s="1" t="n">
        <x:f>Source!C1893</x:f>
        <x:v>111</x:v>
      </x:c>
      <x:c r="D1899" s="8" t="n">
        <x:f>Source!D1893/100</x:f>
        <x:v>96.58</x:v>
      </x:c>
      <x:c r="E1899" s="8" t="n">
        <x:f>Source!E1893/100</x:f>
        <x:v>0</x:v>
      </x:c>
      <x:c r="F1899" s="8" t="n">
        <x:f>Source!F1893/100</x:f>
        <x:v>0</x:v>
      </x:c>
      <x:c r="G1899" s="8" t="n">
        <x:f>Source!G1893/100</x:f>
        <x:v>0</x:v>
      </x:c>
      <x:c r="H1899" s="8" t="n">
        <x:f>G1899-D1899</x:f>
        <x:v>-96.58</x:v>
      </x:c>
      <x:c r="I1899" s="1" t="str">
        <x:f>IF(H1899&gt;0,"Overbilled","Shortfall")</x:f>
        <x:v>Shortfall</x:v>
      </x:c>
      <x:c r="J1899" s="7"/>
      <x:c r="K1899" s="7" t="str">
        <x:v>Open</x:v>
      </x:c>
      <x:c r="L1899" s="7"/>
    </x:row>
    <x:row r="1900" ht="21" customHeight="1">
      <x:c r="A1900" s="1" t="str">
        <x:f>Source!A1894</x:f>
        <x:v>C0008269</x:v>
      </x:c>
      <x:c r="B1900" s="1" t="str">
        <x:f>_xlfn.IFNA(VLOOKUP(Source!B1894,Advertisers!$A$5:$B$34,2,FALSE),"Missing advertiser")</x:f>
        <x:v>Synthetic advertiser 21</x:v>
      </x:c>
      <x:c r="C1900" s="1" t="n">
        <x:f>Source!C1894</x:f>
        <x:v>111</x:v>
      </x:c>
      <x:c r="D1900" s="8" t="n">
        <x:f>Source!D1894/100</x:f>
        <x:v>96.58</x:v>
      </x:c>
      <x:c r="E1900" s="8" t="n">
        <x:f>Source!E1894/100</x:f>
        <x:v>193.16</x:v>
      </x:c>
      <x:c r="F1900" s="8" t="n">
        <x:f>Source!F1894/100</x:f>
        <x:v>0</x:v>
      </x:c>
      <x:c r="G1900" s="8" t="n">
        <x:f>Source!G1894/100</x:f>
        <x:v>193.16</x:v>
      </x:c>
      <x:c r="H1900" s="8" t="n">
        <x:f>G1900-D1900</x:f>
        <x:v>96.58</x:v>
      </x:c>
      <x:c r="I1900" s="1" t="str">
        <x:f>IF(H1900&gt;0,"Overbilled","Shortfall")</x:f>
        <x:v>Overbilled</x:v>
      </x:c>
      <x:c r="J1900" s="7"/>
      <x:c r="K1900" s="7" t="str">
        <x:v>Open</x:v>
      </x:c>
      <x:c r="L1900" s="7"/>
    </x:row>
    <x:row r="1901" ht="21" customHeight="1">
      <x:c r="A1901" s="1" t="str">
        <x:f>Source!A1895</x:f>
        <x:v>C0004563</x:v>
      </x:c>
      <x:c r="B1901" s="1" t="str">
        <x:f>_xlfn.IFNA(VLOOKUP(Source!B1895,Advertisers!$A$5:$B$34,2,FALSE),"Missing advertiser")</x:f>
        <x:v>Synthetic advertiser 21</x:v>
      </x:c>
      <x:c r="C1901" s="1" t="n">
        <x:f>Source!C1895</x:f>
        <x:v>111</x:v>
      </x:c>
      <x:c r="D1901" s="8" t="n">
        <x:f>Source!D1895/100</x:f>
        <x:v>96.58</x:v>
      </x:c>
      <x:c r="E1901" s="8" t="n">
        <x:f>Source!E1895/100</x:f>
        <x:v>0</x:v>
      </x:c>
      <x:c r="F1901" s="8" t="n">
        <x:f>Source!F1895/100</x:f>
        <x:v>0</x:v>
      </x:c>
      <x:c r="G1901" s="8" t="n">
        <x:f>Source!G1895/100</x:f>
        <x:v>0</x:v>
      </x:c>
      <x:c r="H1901" s="8" t="n">
        <x:f>G1901-D1901</x:f>
        <x:v>-96.58</x:v>
      </x:c>
      <x:c r="I1901" s="1" t="str">
        <x:f>IF(H1901&gt;0,"Overbilled","Shortfall")</x:f>
        <x:v>Shortfall</x:v>
      </x:c>
      <x:c r="J1901" s="7"/>
      <x:c r="K1901" s="7" t="str">
        <x:v>Open</x:v>
      </x:c>
      <x:c r="L1901" s="7"/>
    </x:row>
    <x:row r="1902" ht="21" customHeight="1">
      <x:c r="A1902" s="1" t="str">
        <x:f>Source!A1896</x:f>
        <x:v>C0004806</x:v>
      </x:c>
      <x:c r="B1902" s="1" t="str">
        <x:f>_xlfn.IFNA(VLOOKUP(Source!B1896,Advertisers!$A$5:$B$34,2,FALSE),"Missing advertiser")</x:f>
        <x:v>Synthetic advertiser 21</x:v>
      </x:c>
      <x:c r="C1902" s="1" t="n">
        <x:f>Source!C1896</x:f>
        <x:v>111</x:v>
      </x:c>
      <x:c r="D1902" s="8" t="n">
        <x:f>Source!D1896/100</x:f>
        <x:v>96.58</x:v>
      </x:c>
      <x:c r="E1902" s="8" t="n">
        <x:f>Source!E1896/100</x:f>
        <x:v>193.16</x:v>
      </x:c>
      <x:c r="F1902" s="8" t="n">
        <x:f>Source!F1896/100</x:f>
        <x:v>0</x:v>
      </x:c>
      <x:c r="G1902" s="8" t="n">
        <x:f>Source!G1896/100</x:f>
        <x:v>193.16</x:v>
      </x:c>
      <x:c r="H1902" s="8" t="n">
        <x:f>G1902-D1902</x:f>
        <x:v>96.58</x:v>
      </x:c>
      <x:c r="I1902" s="1" t="str">
        <x:f>IF(H1902&gt;0,"Overbilled","Shortfall")</x:f>
        <x:v>Overbilled</x:v>
      </x:c>
      <x:c r="J1902" s="7"/>
      <x:c r="K1902" s="7" t="str">
        <x:v>Open</x:v>
      </x:c>
      <x:c r="L1902" s="7"/>
    </x:row>
    <x:row r="1903" ht="21" customHeight="1">
      <x:c r="A1903" s="1" t="str">
        <x:f>Source!A1897</x:f>
        <x:v>C0008059</x:v>
      </x:c>
      <x:c r="B1903" s="1" t="str">
        <x:f>_xlfn.IFNA(VLOOKUP(Source!B1897,Advertisers!$A$5:$B$34,2,FALSE),"Missing advertiser")</x:f>
        <x:v>Synthetic advertiser 21</x:v>
      </x:c>
      <x:c r="C1903" s="1" t="n">
        <x:f>Source!C1897</x:f>
        <x:v>111</x:v>
      </x:c>
      <x:c r="D1903" s="8" t="n">
        <x:f>Source!D1897/100</x:f>
        <x:v>96.58</x:v>
      </x:c>
      <x:c r="E1903" s="8" t="n">
        <x:f>Source!E1897/100</x:f>
        <x:v>193.16</x:v>
      </x:c>
      <x:c r="F1903" s="8" t="n">
        <x:f>Source!F1897/100</x:f>
        <x:v>0</x:v>
      </x:c>
      <x:c r="G1903" s="8" t="n">
        <x:f>Source!G1897/100</x:f>
        <x:v>193.16</x:v>
      </x:c>
      <x:c r="H1903" s="8" t="n">
        <x:f>G1903-D1903</x:f>
        <x:v>96.58</x:v>
      </x:c>
      <x:c r="I1903" s="1" t="str">
        <x:f>IF(H1903&gt;0,"Overbilled","Shortfall")</x:f>
        <x:v>Overbilled</x:v>
      </x:c>
      <x:c r="J1903" s="7"/>
      <x:c r="K1903" s="7" t="str">
        <x:v>Open</x:v>
      </x:c>
      <x:c r="L1903" s="7"/>
    </x:row>
    <x:row r="1904" ht="21" customHeight="1">
      <x:c r="A1904" s="1" t="str">
        <x:f>Source!A1898</x:f>
        <x:v>C0008578</x:v>
      </x:c>
      <x:c r="B1904" s="1" t="str">
        <x:f>_xlfn.IFNA(VLOOKUP(Source!B1898,Advertisers!$A$5:$B$34,2,FALSE),"Missing advertiser")</x:f>
        <x:v>Synthetic advertiser 21</x:v>
      </x:c>
      <x:c r="C1904" s="1" t="n">
        <x:f>Source!C1898</x:f>
        <x:v>111</x:v>
      </x:c>
      <x:c r="D1904" s="8" t="n">
        <x:f>Source!D1898/100</x:f>
        <x:v>96.58</x:v>
      </x:c>
      <x:c r="E1904" s="8" t="n">
        <x:f>Source!E1898/100</x:f>
        <x:v>193.16</x:v>
      </x:c>
      <x:c r="F1904" s="8" t="n">
        <x:f>Source!F1898/100</x:f>
        <x:v>0</x:v>
      </x:c>
      <x:c r="G1904" s="8" t="n">
        <x:f>Source!G1898/100</x:f>
        <x:v>193.16</x:v>
      </x:c>
      <x:c r="H1904" s="8" t="n">
        <x:f>G1904-D1904</x:f>
        <x:v>96.58</x:v>
      </x:c>
      <x:c r="I1904" s="1" t="str">
        <x:f>IF(H1904&gt;0,"Overbilled","Shortfall")</x:f>
        <x:v>Overbilled</x:v>
      </x:c>
      <x:c r="J1904" s="7"/>
      <x:c r="K1904" s="7" t="str">
        <x:v>Open</x:v>
      </x:c>
      <x:c r="L1904" s="7"/>
    </x:row>
    <x:row r="1905" ht="21" customHeight="1">
      <x:c r="A1905" s="1" t="str">
        <x:f>Source!A1899</x:f>
        <x:v>C0017422</x:v>
      </x:c>
      <x:c r="B1905" s="1" t="str">
        <x:f>_xlfn.IFNA(VLOOKUP(Source!B1899,Advertisers!$A$5:$B$34,2,FALSE),"Missing advertiser")</x:f>
        <x:v>Synthetic advertiser 21</x:v>
      </x:c>
      <x:c r="C1905" s="1" t="n">
        <x:f>Source!C1899</x:f>
        <x:v>111</x:v>
      </x:c>
      <x:c r="D1905" s="8" t="n">
        <x:f>Source!D1899/100</x:f>
        <x:v>96.58</x:v>
      </x:c>
      <x:c r="E1905" s="8" t="n">
        <x:f>Source!E1899/100</x:f>
        <x:v>193.16</x:v>
      </x:c>
      <x:c r="F1905" s="8" t="n">
        <x:f>Source!F1899/100</x:f>
        <x:v>0</x:v>
      </x:c>
      <x:c r="G1905" s="8" t="n">
        <x:f>Source!G1899/100</x:f>
        <x:v>193.16</x:v>
      </x:c>
      <x:c r="H1905" s="8" t="n">
        <x:f>G1905-D1905</x:f>
        <x:v>96.58</x:v>
      </x:c>
      <x:c r="I1905" s="1" t="str">
        <x:f>IF(H1905&gt;0,"Overbilled","Shortfall")</x:f>
        <x:v>Overbilled</x:v>
      </x:c>
      <x:c r="J1905" s="7"/>
      <x:c r="K1905" s="7" t="str">
        <x:v>Open</x:v>
      </x:c>
      <x:c r="L1905" s="7"/>
    </x:row>
    <x:row r="1906" ht="21" customHeight="1">
      <x:c r="A1906" s="1" t="str">
        <x:f>Source!A1900</x:f>
        <x:v>C0008858</x:v>
      </x:c>
      <x:c r="B1906" s="1" t="str">
        <x:f>_xlfn.IFNA(VLOOKUP(Source!B1900,Advertisers!$A$5:$B$34,2,FALSE),"Missing advertiser")</x:f>
        <x:v>Synthetic advertiser 21</x:v>
      </x:c>
      <x:c r="C1906" s="1" t="n">
        <x:f>Source!C1900</x:f>
        <x:v>111</x:v>
      </x:c>
      <x:c r="D1906" s="8" t="n">
        <x:f>Source!D1900/100</x:f>
        <x:v>96.58</x:v>
      </x:c>
      <x:c r="E1906" s="8" t="n">
        <x:f>Source!E1900/100</x:f>
        <x:v>193.16</x:v>
      </x:c>
      <x:c r="F1906" s="8" t="n">
        <x:f>Source!F1900/100</x:f>
        <x:v>0</x:v>
      </x:c>
      <x:c r="G1906" s="8" t="n">
        <x:f>Source!G1900/100</x:f>
        <x:v>193.16</x:v>
      </x:c>
      <x:c r="H1906" s="8" t="n">
        <x:f>G1906-D1906</x:f>
        <x:v>96.58</x:v>
      </x:c>
      <x:c r="I1906" s="1" t="str">
        <x:f>IF(H1906&gt;0,"Overbilled","Shortfall")</x:f>
        <x:v>Overbilled</x:v>
      </x:c>
      <x:c r="J1906" s="7"/>
      <x:c r="K1906" s="7" t="str">
        <x:v>Open</x:v>
      </x:c>
      <x:c r="L1906" s="7"/>
    </x:row>
    <x:row r="1907" ht="21" customHeight="1">
      <x:c r="A1907" s="1" t="str">
        <x:f>Source!A1901</x:f>
        <x:v>C0003023</x:v>
      </x:c>
      <x:c r="B1907" s="1" t="str">
        <x:f>_xlfn.IFNA(VLOOKUP(Source!B1901,Advertisers!$A$5:$B$34,2,FALSE),"Missing advertiser")</x:f>
        <x:v>Synthetic advertiser 6</x:v>
      </x:c>
      <x:c r="C1907" s="1" t="n">
        <x:f>Source!C1901</x:f>
        <x:v>66</x:v>
      </x:c>
      <x:c r="D1907" s="8" t="n">
        <x:f>Source!D1901/100</x:f>
        <x:v>0</x:v>
      </x:c>
      <x:c r="E1907" s="8" t="n">
        <x:f>Source!E1901/100</x:f>
        <x:v>96.57</x:v>
      </x:c>
      <x:c r="F1907" s="8" t="n">
        <x:f>Source!F1901/100</x:f>
        <x:v>0</x:v>
      </x:c>
      <x:c r="G1907" s="8" t="n">
        <x:f>Source!G1901/100</x:f>
        <x:v>96.57</x:v>
      </x:c>
      <x:c r="H1907" s="8" t="n">
        <x:f>G1907-D1907</x:f>
        <x:v>96.57</x:v>
      </x:c>
      <x:c r="I1907" s="1" t="str">
        <x:f>IF(H1907&gt;0,"Overbilled","Shortfall")</x:f>
        <x:v>Overbilled</x:v>
      </x:c>
      <x:c r="J1907" s="7"/>
      <x:c r="K1907" s="7" t="str">
        <x:v>Open</x:v>
      </x:c>
      <x:c r="L1907" s="7"/>
    </x:row>
    <x:row r="1908" ht="21" customHeight="1">
      <x:c r="A1908" s="1" t="str">
        <x:f>Source!A1902</x:f>
        <x:v>C0013317</x:v>
      </x:c>
      <x:c r="B1908" s="1" t="str">
        <x:f>_xlfn.IFNA(VLOOKUP(Source!B1902,Advertisers!$A$5:$B$34,2,FALSE),"Missing advertiser")</x:f>
        <x:v>Synthetic advertiser 6</x:v>
      </x:c>
      <x:c r="C1908" s="1" t="n">
        <x:f>Source!C1902</x:f>
        <x:v>66</x:v>
      </x:c>
      <x:c r="D1908" s="8" t="n">
        <x:f>Source!D1902/100</x:f>
        <x:v>96.57</x:v>
      </x:c>
      <x:c r="E1908" s="8" t="n">
        <x:f>Source!E1902/100</x:f>
        <x:v>193.14</x:v>
      </x:c>
      <x:c r="F1908" s="8" t="n">
        <x:f>Source!F1902/100</x:f>
        <x:v>0</x:v>
      </x:c>
      <x:c r="G1908" s="8" t="n">
        <x:f>Source!G1902/100</x:f>
        <x:v>193.14</x:v>
      </x:c>
      <x:c r="H1908" s="8" t="n">
        <x:f>G1908-D1908</x:f>
        <x:v>96.57</x:v>
      </x:c>
      <x:c r="I1908" s="1" t="str">
        <x:f>IF(H1908&gt;0,"Overbilled","Shortfall")</x:f>
        <x:v>Overbilled</x:v>
      </x:c>
      <x:c r="J1908" s="7"/>
      <x:c r="K1908" s="7" t="str">
        <x:v>Open</x:v>
      </x:c>
      <x:c r="L1908" s="7"/>
    </x:row>
    <x:row r="1909" ht="21" customHeight="1">
      <x:c r="A1909" s="1" t="str">
        <x:f>Source!A1903</x:f>
        <x:v>C0013081</x:v>
      </x:c>
      <x:c r="B1909" s="1" t="str">
        <x:f>_xlfn.IFNA(VLOOKUP(Source!B1903,Advertisers!$A$5:$B$34,2,FALSE),"Missing advertiser")</x:f>
        <x:v>Synthetic advertiser 6</x:v>
      </x:c>
      <x:c r="C1909" s="1" t="n">
        <x:f>Source!C1903</x:f>
        <x:v>66</x:v>
      </x:c>
      <x:c r="D1909" s="8" t="n">
        <x:f>Source!D1903/100</x:f>
        <x:v>96.57</x:v>
      </x:c>
      <x:c r="E1909" s="8" t="n">
        <x:f>Source!E1903/100</x:f>
        <x:v>193.14</x:v>
      </x:c>
      <x:c r="F1909" s="8" t="n">
        <x:f>Source!F1903/100</x:f>
        <x:v>0</x:v>
      </x:c>
      <x:c r="G1909" s="8" t="n">
        <x:f>Source!G1903/100</x:f>
        <x:v>193.14</x:v>
      </x:c>
      <x:c r="H1909" s="8" t="n">
        <x:f>G1909-D1909</x:f>
        <x:v>96.57</x:v>
      </x:c>
      <x:c r="I1909" s="1" t="str">
        <x:f>IF(H1909&gt;0,"Overbilled","Shortfall")</x:f>
        <x:v>Overbilled</x:v>
      </x:c>
      <x:c r="J1909" s="7"/>
      <x:c r="K1909" s="7" t="str">
        <x:v>Open</x:v>
      </x:c>
      <x:c r="L1909" s="7"/>
    </x:row>
    <x:row r="1910" ht="21" customHeight="1">
      <x:c r="A1910" s="1" t="str">
        <x:f>Source!A1904</x:f>
        <x:v>C0013241</x:v>
      </x:c>
      <x:c r="B1910" s="1" t="str">
        <x:f>_xlfn.IFNA(VLOOKUP(Source!B1904,Advertisers!$A$5:$B$34,2,FALSE),"Missing advertiser")</x:f>
        <x:v>Synthetic advertiser 6</x:v>
      </x:c>
      <x:c r="C1910" s="1" t="n">
        <x:f>Source!C1904</x:f>
        <x:v>66</x:v>
      </x:c>
      <x:c r="D1910" s="8" t="n">
        <x:f>Source!D1904/100</x:f>
        <x:v>96.57</x:v>
      </x:c>
      <x:c r="E1910" s="8" t="n">
        <x:f>Source!E1904/100</x:f>
        <x:v>193.14</x:v>
      </x:c>
      <x:c r="F1910" s="8" t="n">
        <x:f>Source!F1904/100</x:f>
        <x:v>0</x:v>
      </x:c>
      <x:c r="G1910" s="8" t="n">
        <x:f>Source!G1904/100</x:f>
        <x:v>193.14</x:v>
      </x:c>
      <x:c r="H1910" s="8" t="n">
        <x:f>G1910-D1910</x:f>
        <x:v>96.57</x:v>
      </x:c>
      <x:c r="I1910" s="1" t="str">
        <x:f>IF(H1910&gt;0,"Overbilled","Shortfall")</x:f>
        <x:v>Overbilled</x:v>
      </x:c>
      <x:c r="J1910" s="7"/>
      <x:c r="K1910" s="7" t="str">
        <x:v>Open</x:v>
      </x:c>
      <x:c r="L1910" s="7"/>
    </x:row>
    <x:row r="1911" ht="21" customHeight="1">
      <x:c r="A1911" s="1" t="str">
        <x:f>Source!A1905</x:f>
        <x:v>C0013130</x:v>
      </x:c>
      <x:c r="B1911" s="1" t="str">
        <x:f>_xlfn.IFNA(VLOOKUP(Source!B1905,Advertisers!$A$5:$B$34,2,FALSE),"Missing advertiser")</x:f>
        <x:v>Synthetic advertiser 6</x:v>
      </x:c>
      <x:c r="C1911" s="1" t="n">
        <x:f>Source!C1905</x:f>
        <x:v>66</x:v>
      </x:c>
      <x:c r="D1911" s="8" t="n">
        <x:f>Source!D1905/100</x:f>
        <x:v>96.57</x:v>
      </x:c>
      <x:c r="E1911" s="8" t="n">
        <x:f>Source!E1905/100</x:f>
        <x:v>193.14</x:v>
      </x:c>
      <x:c r="F1911" s="8" t="n">
        <x:f>Source!F1905/100</x:f>
        <x:v>0</x:v>
      </x:c>
      <x:c r="G1911" s="8" t="n">
        <x:f>Source!G1905/100</x:f>
        <x:v>193.14</x:v>
      </x:c>
      <x:c r="H1911" s="8" t="n">
        <x:f>G1911-D1911</x:f>
        <x:v>96.57</x:v>
      </x:c>
      <x:c r="I1911" s="1" t="str">
        <x:f>IF(H1911&gt;0,"Overbilled","Shortfall")</x:f>
        <x:v>Overbilled</x:v>
      </x:c>
      <x:c r="J1911" s="7"/>
      <x:c r="K1911" s="7" t="str">
        <x:v>Open</x:v>
      </x:c>
      <x:c r="L1911" s="7"/>
    </x:row>
    <x:row r="1912" ht="21" customHeight="1">
      <x:c r="A1912" s="1" t="str">
        <x:f>Source!A1906</x:f>
        <x:v>C0017214</x:v>
      </x:c>
      <x:c r="B1912" s="1" t="str">
        <x:f>_xlfn.IFNA(VLOOKUP(Source!B1906,Advertisers!$A$5:$B$34,2,FALSE),"Missing advertiser")</x:f>
        <x:v>Synthetic advertiser 6</x:v>
      </x:c>
      <x:c r="C1912" s="1" t="n">
        <x:f>Source!C1906</x:f>
        <x:v>66</x:v>
      </x:c>
      <x:c r="D1912" s="8" t="n">
        <x:f>Source!D1906/100</x:f>
        <x:v>96.57</x:v>
      </x:c>
      <x:c r="E1912" s="8" t="n">
        <x:f>Source!E1906/100</x:f>
        <x:v>0</x:v>
      </x:c>
      <x:c r="F1912" s="8" t="n">
        <x:f>Source!F1906/100</x:f>
        <x:v>0</x:v>
      </x:c>
      <x:c r="G1912" s="8" t="n">
        <x:f>Source!G1906/100</x:f>
        <x:v>0</x:v>
      </x:c>
      <x:c r="H1912" s="8" t="n">
        <x:f>G1912-D1912</x:f>
        <x:v>-96.57</x:v>
      </x:c>
      <x:c r="I1912" s="1" t="str">
        <x:f>IF(H1912&gt;0,"Overbilled","Shortfall")</x:f>
        <x:v>Shortfall</x:v>
      </x:c>
      <x:c r="J1912" s="7"/>
      <x:c r="K1912" s="7" t="str">
        <x:v>Open</x:v>
      </x:c>
      <x:c r="L1912" s="7"/>
    </x:row>
    <x:row r="1913" ht="21" customHeight="1">
      <x:c r="A1913" s="1" t="str">
        <x:f>Source!A1907</x:f>
        <x:v>C0009707</x:v>
      </x:c>
      <x:c r="B1913" s="1" t="str">
        <x:f>_xlfn.IFNA(VLOOKUP(Source!B1907,Advertisers!$A$5:$B$34,2,FALSE),"Missing advertiser")</x:f>
        <x:v>Synthetic advertiser 6</x:v>
      </x:c>
      <x:c r="C1913" s="1" t="n">
        <x:f>Source!C1907</x:f>
        <x:v>66</x:v>
      </x:c>
      <x:c r="D1913" s="8" t="n">
        <x:f>Source!D1907/100</x:f>
        <x:v>96.57</x:v>
      </x:c>
      <x:c r="E1913" s="8" t="n">
        <x:f>Source!E1907/100</x:f>
        <x:v>0</x:v>
      </x:c>
      <x:c r="F1913" s="8" t="n">
        <x:f>Source!F1907/100</x:f>
        <x:v>0</x:v>
      </x:c>
      <x:c r="G1913" s="8" t="n">
        <x:f>Source!G1907/100</x:f>
        <x:v>0</x:v>
      </x:c>
      <x:c r="H1913" s="8" t="n">
        <x:f>G1913-D1913</x:f>
        <x:v>-96.57</x:v>
      </x:c>
      <x:c r="I1913" s="1" t="str">
        <x:f>IF(H1913&gt;0,"Overbilled","Shortfall")</x:f>
        <x:v>Shortfall</x:v>
      </x:c>
      <x:c r="J1913" s="7"/>
      <x:c r="K1913" s="7" t="str">
        <x:v>Open</x:v>
      </x:c>
      <x:c r="L1913" s="7"/>
    </x:row>
    <x:row r="1914" ht="21" customHeight="1">
      <x:c r="A1914" s="1" t="str">
        <x:f>Source!A1908</x:f>
        <x:v>C0005913</x:v>
      </x:c>
      <x:c r="B1914" s="1" t="str">
        <x:f>_xlfn.IFNA(VLOOKUP(Source!B1908,Advertisers!$A$5:$B$34,2,FALSE),"Missing advertiser")</x:f>
        <x:v>Synthetic advertiser 6</x:v>
      </x:c>
      <x:c r="C1914" s="1" t="n">
        <x:f>Source!C1908</x:f>
        <x:v>66</x:v>
      </x:c>
      <x:c r="D1914" s="8" t="n">
        <x:f>Source!D1908/100</x:f>
        <x:v>96.57</x:v>
      </x:c>
      <x:c r="E1914" s="8" t="n">
        <x:f>Source!E1908/100</x:f>
        <x:v>193.14</x:v>
      </x:c>
      <x:c r="F1914" s="8" t="n">
        <x:f>Source!F1908/100</x:f>
        <x:v>0</x:v>
      </x:c>
      <x:c r="G1914" s="8" t="n">
        <x:f>Source!G1908/100</x:f>
        <x:v>193.14</x:v>
      </x:c>
      <x:c r="H1914" s="8" t="n">
        <x:f>G1914-D1914</x:f>
        <x:v>96.57</x:v>
      </x:c>
      <x:c r="I1914" s="1" t="str">
        <x:f>IF(H1914&gt;0,"Overbilled","Shortfall")</x:f>
        <x:v>Overbilled</x:v>
      </x:c>
      <x:c r="J1914" s="7"/>
      <x:c r="K1914" s="7" t="str">
        <x:v>Open</x:v>
      </x:c>
      <x:c r="L1914" s="7"/>
    </x:row>
    <x:row r="1915" ht="21" customHeight="1">
      <x:c r="A1915" s="1" t="str">
        <x:f>Source!A1909</x:f>
        <x:v>C0003715</x:v>
      </x:c>
      <x:c r="B1915" s="1" t="str">
        <x:f>_xlfn.IFNA(VLOOKUP(Source!B1909,Advertisers!$A$5:$B$34,2,FALSE),"Missing advertiser")</x:f>
        <x:v>Synthetic advertiser 6</x:v>
      </x:c>
      <x:c r="C1915" s="1" t="n">
        <x:f>Source!C1909</x:f>
        <x:v>66</x:v>
      </x:c>
      <x:c r="D1915" s="8" t="n">
        <x:f>Source!D1909/100</x:f>
        <x:v>96.57</x:v>
      </x:c>
      <x:c r="E1915" s="8" t="n">
        <x:f>Source!E1909/100</x:f>
        <x:v>193.14</x:v>
      </x:c>
      <x:c r="F1915" s="8" t="n">
        <x:f>Source!F1909/100</x:f>
        <x:v>0</x:v>
      </x:c>
      <x:c r="G1915" s="8" t="n">
        <x:f>Source!G1909/100</x:f>
        <x:v>193.14</x:v>
      </x:c>
      <x:c r="H1915" s="8" t="n">
        <x:f>G1915-D1915</x:f>
        <x:v>96.57</x:v>
      </x:c>
      <x:c r="I1915" s="1" t="str">
        <x:f>IF(H1915&gt;0,"Overbilled","Shortfall")</x:f>
        <x:v>Overbilled</x:v>
      </x:c>
      <x:c r="J1915" s="7"/>
      <x:c r="K1915" s="7" t="str">
        <x:v>Open</x:v>
      </x:c>
      <x:c r="L1915" s="7"/>
    </x:row>
    <x:row r="1916" ht="21" customHeight="1">
      <x:c r="A1916" s="1" t="str">
        <x:f>Source!A1910</x:f>
        <x:v>C0003422</x:v>
      </x:c>
      <x:c r="B1916" s="1" t="str">
        <x:f>_xlfn.IFNA(VLOOKUP(Source!B1910,Advertisers!$A$5:$B$34,2,FALSE),"Missing advertiser")</x:f>
        <x:v>Synthetic advertiser 6</x:v>
      </x:c>
      <x:c r="C1916" s="1" t="n">
        <x:f>Source!C1910</x:f>
        <x:v>66</x:v>
      </x:c>
      <x:c r="D1916" s="8" t="n">
        <x:f>Source!D1910/100</x:f>
        <x:v>96.57</x:v>
      </x:c>
      <x:c r="E1916" s="8" t="n">
        <x:f>Source!E1910/100</x:f>
        <x:v>0</x:v>
      </x:c>
      <x:c r="F1916" s="8" t="n">
        <x:f>Source!F1910/100</x:f>
        <x:v>0</x:v>
      </x:c>
      <x:c r="G1916" s="8" t="n">
        <x:f>Source!G1910/100</x:f>
        <x:v>0</x:v>
      </x:c>
      <x:c r="H1916" s="8" t="n">
        <x:f>G1916-D1916</x:f>
        <x:v>-96.57</x:v>
      </x:c>
      <x:c r="I1916" s="1" t="str">
        <x:f>IF(H1916&gt;0,"Overbilled","Shortfall")</x:f>
        <x:v>Shortfall</x:v>
      </x:c>
      <x:c r="J1916" s="7"/>
      <x:c r="K1916" s="7" t="str">
        <x:v>Open</x:v>
      </x:c>
      <x:c r="L1916" s="7"/>
    </x:row>
    <x:row r="1917" ht="21" customHeight="1">
      <x:c r="A1917" s="1" t="str">
        <x:f>Source!A1911</x:f>
        <x:v>C0014964</x:v>
      </x:c>
      <x:c r="B1917" s="1" t="str">
        <x:f>_xlfn.IFNA(VLOOKUP(Source!B1911,Advertisers!$A$5:$B$34,2,FALSE),"Missing advertiser")</x:f>
        <x:v>Synthetic advertiser 6</x:v>
      </x:c>
      <x:c r="C1917" s="1" t="n">
        <x:f>Source!C1911</x:f>
        <x:v>66</x:v>
      </x:c>
      <x:c r="D1917" s="8" t="n">
        <x:f>Source!D1911/100</x:f>
        <x:v>96.57</x:v>
      </x:c>
      <x:c r="E1917" s="8" t="n">
        <x:f>Source!E1911/100</x:f>
        <x:v>0</x:v>
      </x:c>
      <x:c r="F1917" s="8" t="n">
        <x:f>Source!F1911/100</x:f>
        <x:v>0</x:v>
      </x:c>
      <x:c r="G1917" s="8" t="n">
        <x:f>Source!G1911/100</x:f>
        <x:v>0</x:v>
      </x:c>
      <x:c r="H1917" s="8" t="n">
        <x:f>G1917-D1917</x:f>
        <x:v>-96.57</x:v>
      </x:c>
      <x:c r="I1917" s="1" t="str">
        <x:f>IF(H1917&gt;0,"Overbilled","Shortfall")</x:f>
        <x:v>Shortfall</x:v>
      </x:c>
      <x:c r="J1917" s="7"/>
      <x:c r="K1917" s="7" t="str">
        <x:v>Open</x:v>
      </x:c>
      <x:c r="L1917" s="7"/>
    </x:row>
    <x:row r="1918" ht="21" customHeight="1">
      <x:c r="A1918" s="1" t="str">
        <x:f>Source!A1912</x:f>
        <x:v>C0004109</x:v>
      </x:c>
      <x:c r="B1918" s="1" t="str">
        <x:f>_xlfn.IFNA(VLOOKUP(Source!B1912,Advertisers!$A$5:$B$34,2,FALSE),"Missing advertiser")</x:f>
        <x:v>Synthetic advertiser 6</x:v>
      </x:c>
      <x:c r="C1918" s="1" t="n">
        <x:f>Source!C1912</x:f>
        <x:v>66</x:v>
      </x:c>
      <x:c r="D1918" s="8" t="n">
        <x:f>Source!D1912/100</x:f>
        <x:v>96.57</x:v>
      </x:c>
      <x:c r="E1918" s="8" t="n">
        <x:f>Source!E1912/100</x:f>
        <x:v>193.14</x:v>
      </x:c>
      <x:c r="F1918" s="8" t="n">
        <x:f>Source!F1912/100</x:f>
        <x:v>0</x:v>
      </x:c>
      <x:c r="G1918" s="8" t="n">
        <x:f>Source!G1912/100</x:f>
        <x:v>193.14</x:v>
      </x:c>
      <x:c r="H1918" s="8" t="n">
        <x:f>G1918-D1918</x:f>
        <x:v>96.57</x:v>
      </x:c>
      <x:c r="I1918" s="1" t="str">
        <x:f>IF(H1918&gt;0,"Overbilled","Shortfall")</x:f>
        <x:v>Overbilled</x:v>
      </x:c>
      <x:c r="J1918" s="7"/>
      <x:c r="K1918" s="7" t="str">
        <x:v>Open</x:v>
      </x:c>
      <x:c r="L1918" s="7"/>
    </x:row>
    <x:row r="1919" ht="21" customHeight="1">
      <x:c r="A1919" s="1" t="str">
        <x:f>Source!A1913</x:f>
        <x:v>C0008263</x:v>
      </x:c>
      <x:c r="B1919" s="1" t="str">
        <x:f>_xlfn.IFNA(VLOOKUP(Source!B1913,Advertisers!$A$5:$B$34,2,FALSE),"Missing advertiser")</x:f>
        <x:v>Synthetic advertiser 8</x:v>
      </x:c>
      <x:c r="C1919" s="1" t="n">
        <x:f>Source!C1913</x:f>
        <x:v>98</x:v>
      </x:c>
      <x:c r="D1919" s="8" t="n">
        <x:f>Source!D1913/100</x:f>
        <x:v>96.25</x:v>
      </x:c>
      <x:c r="E1919" s="8" t="n">
        <x:f>Source!E1913/100</x:f>
        <x:v>192.5</x:v>
      </x:c>
      <x:c r="F1919" s="8" t="n">
        <x:f>Source!F1913/100</x:f>
        <x:v>0</x:v>
      </x:c>
      <x:c r="G1919" s="8" t="n">
        <x:f>Source!G1913/100</x:f>
        <x:v>192.5</x:v>
      </x:c>
      <x:c r="H1919" s="8" t="n">
        <x:f>G1919-D1919</x:f>
        <x:v>96.25</x:v>
      </x:c>
      <x:c r="I1919" s="1" t="str">
        <x:f>IF(H1919&gt;0,"Overbilled","Shortfall")</x:f>
        <x:v>Overbilled</x:v>
      </x:c>
      <x:c r="J1919" s="7"/>
      <x:c r="K1919" s="7" t="str">
        <x:v>Open</x:v>
      </x:c>
      <x:c r="L1919" s="7"/>
    </x:row>
    <x:row r="1920" ht="21" customHeight="1">
      <x:c r="A1920" s="1" t="str">
        <x:f>Source!A1914</x:f>
        <x:v>C0012136</x:v>
      </x:c>
      <x:c r="B1920" s="1" t="str">
        <x:f>_xlfn.IFNA(VLOOKUP(Source!B1914,Advertisers!$A$5:$B$34,2,FALSE),"Missing advertiser")</x:f>
        <x:v>Synthetic advertiser 8</x:v>
      </x:c>
      <x:c r="C1920" s="1" t="n">
        <x:f>Source!C1914</x:f>
        <x:v>98</x:v>
      </x:c>
      <x:c r="D1920" s="8" t="n">
        <x:f>Source!D1914/100</x:f>
        <x:v>96.25</x:v>
      </x:c>
      <x:c r="E1920" s="8" t="n">
        <x:f>Source!E1914/100</x:f>
        <x:v>192.5</x:v>
      </x:c>
      <x:c r="F1920" s="8" t="n">
        <x:f>Source!F1914/100</x:f>
        <x:v>0</x:v>
      </x:c>
      <x:c r="G1920" s="8" t="n">
        <x:f>Source!G1914/100</x:f>
        <x:v>192.5</x:v>
      </x:c>
      <x:c r="H1920" s="8" t="n">
        <x:f>G1920-D1920</x:f>
        <x:v>96.25</x:v>
      </x:c>
      <x:c r="I1920" s="1" t="str">
        <x:f>IF(H1920&gt;0,"Overbilled","Shortfall")</x:f>
        <x:v>Overbilled</x:v>
      </x:c>
      <x:c r="J1920" s="7"/>
      <x:c r="K1920" s="7" t="str">
        <x:v>Open</x:v>
      </x:c>
      <x:c r="L1920" s="7"/>
    </x:row>
    <x:row r="1921" ht="21" customHeight="1">
      <x:c r="A1921" s="1" t="str">
        <x:f>Source!A1915</x:f>
        <x:v>C0004835</x:v>
      </x:c>
      <x:c r="B1921" s="1" t="str">
        <x:f>_xlfn.IFNA(VLOOKUP(Source!B1915,Advertisers!$A$5:$B$34,2,FALSE),"Missing advertiser")</x:f>
        <x:v>Synthetic advertiser 8</x:v>
      </x:c>
      <x:c r="C1921" s="1" t="n">
        <x:f>Source!C1915</x:f>
        <x:v>98</x:v>
      </x:c>
      <x:c r="D1921" s="8" t="n">
        <x:f>Source!D1915/100</x:f>
        <x:v>96.25</x:v>
      </x:c>
      <x:c r="E1921" s="8" t="n">
        <x:f>Source!E1915/100</x:f>
        <x:v>192.5</x:v>
      </x:c>
      <x:c r="F1921" s="8" t="n">
        <x:f>Source!F1915/100</x:f>
        <x:v>0</x:v>
      </x:c>
      <x:c r="G1921" s="8" t="n">
        <x:f>Source!G1915/100</x:f>
        <x:v>192.5</x:v>
      </x:c>
      <x:c r="H1921" s="8" t="n">
        <x:f>G1921-D1921</x:f>
        <x:v>96.25</x:v>
      </x:c>
      <x:c r="I1921" s="1" t="str">
        <x:f>IF(H1921&gt;0,"Overbilled","Shortfall")</x:f>
        <x:v>Overbilled</x:v>
      </x:c>
      <x:c r="J1921" s="7"/>
      <x:c r="K1921" s="7" t="str">
        <x:v>Open</x:v>
      </x:c>
      <x:c r="L1921" s="7"/>
    </x:row>
    <x:row r="1922" ht="21" customHeight="1">
      <x:c r="A1922" s="1" t="str">
        <x:f>Source!A1916</x:f>
        <x:v>C0011562</x:v>
      </x:c>
      <x:c r="B1922" s="1" t="str">
        <x:f>_xlfn.IFNA(VLOOKUP(Source!B1916,Advertisers!$A$5:$B$34,2,FALSE),"Missing advertiser")</x:f>
        <x:v>Synthetic advertiser 8</x:v>
      </x:c>
      <x:c r="C1922" s="1" t="n">
        <x:f>Source!C1916</x:f>
        <x:v>98</x:v>
      </x:c>
      <x:c r="D1922" s="8" t="n">
        <x:f>Source!D1916/100</x:f>
        <x:v>96.25</x:v>
      </x:c>
      <x:c r="E1922" s="8" t="n">
        <x:f>Source!E1916/100</x:f>
        <x:v>0</x:v>
      </x:c>
      <x:c r="F1922" s="8" t="n">
        <x:f>Source!F1916/100</x:f>
        <x:v>0</x:v>
      </x:c>
      <x:c r="G1922" s="8" t="n">
        <x:f>Source!G1916/100</x:f>
        <x:v>0</x:v>
      </x:c>
      <x:c r="H1922" s="8" t="n">
        <x:f>G1922-D1922</x:f>
        <x:v>-96.25</x:v>
      </x:c>
      <x:c r="I1922" s="1" t="str">
        <x:f>IF(H1922&gt;0,"Overbilled","Shortfall")</x:f>
        <x:v>Shortfall</x:v>
      </x:c>
      <x:c r="J1922" s="7"/>
      <x:c r="K1922" s="7" t="str">
        <x:v>Open</x:v>
      </x:c>
      <x:c r="L1922" s="7"/>
    </x:row>
    <x:row r="1923" ht="21" customHeight="1">
      <x:c r="A1923" s="1" t="str">
        <x:f>Source!A1917</x:f>
        <x:v>C0012077</x:v>
      </x:c>
      <x:c r="B1923" s="1" t="str">
        <x:f>_xlfn.IFNA(VLOOKUP(Source!B1917,Advertisers!$A$5:$B$34,2,FALSE),"Missing advertiser")</x:f>
        <x:v>Synthetic advertiser 27</x:v>
      </x:c>
      <x:c r="C1923" s="1" t="n">
        <x:f>Source!C1917</x:f>
        <x:v>87</x:v>
      </x:c>
      <x:c r="D1923" s="8" t="n">
        <x:f>Source!D1917/100</x:f>
        <x:v>96.11</x:v>
      </x:c>
      <x:c r="E1923" s="8" t="n">
        <x:f>Source!E1917/100</x:f>
        <x:v>192.22</x:v>
      </x:c>
      <x:c r="F1923" s="8" t="n">
        <x:f>Source!F1917/100</x:f>
        <x:v>0</x:v>
      </x:c>
      <x:c r="G1923" s="8" t="n">
        <x:f>Source!G1917/100</x:f>
        <x:v>192.22</x:v>
      </x:c>
      <x:c r="H1923" s="8" t="n">
        <x:f>G1923-D1923</x:f>
        <x:v>96.11</x:v>
      </x:c>
      <x:c r="I1923" s="1" t="str">
        <x:f>IF(H1923&gt;0,"Overbilled","Shortfall")</x:f>
        <x:v>Overbilled</x:v>
      </x:c>
      <x:c r="J1923" s="7"/>
      <x:c r="K1923" s="7" t="str">
        <x:v>Open</x:v>
      </x:c>
      <x:c r="L1923" s="7"/>
    </x:row>
    <x:row r="1924" ht="21" customHeight="1">
      <x:c r="A1924" s="1" t="str">
        <x:f>Source!A1918</x:f>
        <x:v>C0017602</x:v>
      </x:c>
      <x:c r="B1924" s="1" t="str">
        <x:f>_xlfn.IFNA(VLOOKUP(Source!B1918,Advertisers!$A$5:$B$34,2,FALSE),"Missing advertiser")</x:f>
        <x:v>Synthetic advertiser 27</x:v>
      </x:c>
      <x:c r="C1924" s="1" t="n">
        <x:f>Source!C1918</x:f>
        <x:v>87</x:v>
      </x:c>
      <x:c r="D1924" s="8" t="n">
        <x:f>Source!D1918/100</x:f>
        <x:v>96.11</x:v>
      </x:c>
      <x:c r="E1924" s="8" t="n">
        <x:f>Source!E1918/100</x:f>
        <x:v>0</x:v>
      </x:c>
      <x:c r="F1924" s="8" t="n">
        <x:f>Source!F1918/100</x:f>
        <x:v>0</x:v>
      </x:c>
      <x:c r="G1924" s="8" t="n">
        <x:f>Source!G1918/100</x:f>
        <x:v>0</x:v>
      </x:c>
      <x:c r="H1924" s="8" t="n">
        <x:f>G1924-D1924</x:f>
        <x:v>-96.11</x:v>
      </x:c>
      <x:c r="I1924" s="1" t="str">
        <x:f>IF(H1924&gt;0,"Overbilled","Shortfall")</x:f>
        <x:v>Shortfall</x:v>
      </x:c>
      <x:c r="J1924" s="7"/>
      <x:c r="K1924" s="7" t="str">
        <x:v>Open</x:v>
      </x:c>
      <x:c r="L1924" s="7"/>
    </x:row>
    <x:row r="1925" ht="21" customHeight="1">
      <x:c r="A1925" s="1" t="str">
        <x:f>Source!A1919</x:f>
        <x:v>C0012612</x:v>
      </x:c>
      <x:c r="B1925" s="1" t="str">
        <x:f>_xlfn.IFNA(VLOOKUP(Source!B1919,Advertisers!$A$5:$B$34,2,FALSE),"Missing advertiser")</x:f>
        <x:v>Synthetic advertiser 27</x:v>
      </x:c>
      <x:c r="C1925" s="1" t="n">
        <x:f>Source!C1919</x:f>
        <x:v>87</x:v>
      </x:c>
      <x:c r="D1925" s="8" t="n">
        <x:f>Source!D1919/100</x:f>
        <x:v>96.11</x:v>
      </x:c>
      <x:c r="E1925" s="8" t="n">
        <x:f>Source!E1919/100</x:f>
        <x:v>0</x:v>
      </x:c>
      <x:c r="F1925" s="8" t="n">
        <x:f>Source!F1919/100</x:f>
        <x:v>0</x:v>
      </x:c>
      <x:c r="G1925" s="8" t="n">
        <x:f>Source!G1919/100</x:f>
        <x:v>0</x:v>
      </x:c>
      <x:c r="H1925" s="8" t="n">
        <x:f>G1925-D1925</x:f>
        <x:v>-96.11</x:v>
      </x:c>
      <x:c r="I1925" s="1" t="str">
        <x:f>IF(H1925&gt;0,"Overbilled","Shortfall")</x:f>
        <x:v>Shortfall</x:v>
      </x:c>
      <x:c r="J1925" s="7"/>
      <x:c r="K1925" s="7" t="str">
        <x:v>Open</x:v>
      </x:c>
      <x:c r="L1925" s="7"/>
    </x:row>
    <x:row r="1926" ht="21" customHeight="1">
      <x:c r="A1926" s="1" t="str">
        <x:f>Source!A1920</x:f>
        <x:v>C0015808</x:v>
      </x:c>
      <x:c r="B1926" s="1" t="str">
        <x:f>_xlfn.IFNA(VLOOKUP(Source!B1920,Advertisers!$A$5:$B$34,2,FALSE),"Missing advertiser")</x:f>
        <x:v>Synthetic advertiser 27</x:v>
      </x:c>
      <x:c r="C1926" s="1" t="n">
        <x:f>Source!C1920</x:f>
        <x:v>87</x:v>
      </x:c>
      <x:c r="D1926" s="8" t="n">
        <x:f>Source!D1920/100</x:f>
        <x:v>0</x:v>
      </x:c>
      <x:c r="E1926" s="8" t="n">
        <x:f>Source!E1920/100</x:f>
        <x:v>96.11</x:v>
      </x:c>
      <x:c r="F1926" s="8" t="n">
        <x:f>Source!F1920/100</x:f>
        <x:v>0</x:v>
      </x:c>
      <x:c r="G1926" s="8" t="n">
        <x:f>Source!G1920/100</x:f>
        <x:v>96.11</x:v>
      </x:c>
      <x:c r="H1926" s="8" t="n">
        <x:f>G1926-D1926</x:f>
        <x:v>96.11</x:v>
      </x:c>
      <x:c r="I1926" s="1" t="str">
        <x:f>IF(H1926&gt;0,"Overbilled","Shortfall")</x:f>
        <x:v>Overbilled</x:v>
      </x:c>
      <x:c r="J1926" s="7"/>
      <x:c r="K1926" s="7" t="str">
        <x:v>Open</x:v>
      </x:c>
      <x:c r="L1926" s="7"/>
    </x:row>
    <x:row r="1927" ht="21" customHeight="1">
      <x:c r="A1927" s="1" t="str">
        <x:f>Source!A1921</x:f>
        <x:v>C0001179</x:v>
      </x:c>
      <x:c r="B1927" s="1" t="str">
        <x:f>_xlfn.IFNA(VLOOKUP(Source!B1921,Advertisers!$A$5:$B$34,2,FALSE),"Missing advertiser")</x:f>
        <x:v>Synthetic advertiser 27</x:v>
      </x:c>
      <x:c r="C1927" s="1" t="n">
        <x:f>Source!C1921</x:f>
        <x:v>87</x:v>
      </x:c>
      <x:c r="D1927" s="8" t="n">
        <x:f>Source!D1921/100</x:f>
        <x:v>96.11</x:v>
      </x:c>
      <x:c r="E1927" s="8" t="n">
        <x:f>Source!E1921/100</x:f>
        <x:v>192.22</x:v>
      </x:c>
      <x:c r="F1927" s="8" t="n">
        <x:f>Source!F1921/100</x:f>
        <x:v>0</x:v>
      </x:c>
      <x:c r="G1927" s="8" t="n">
        <x:f>Source!G1921/100</x:f>
        <x:v>192.22</x:v>
      </x:c>
      <x:c r="H1927" s="8" t="n">
        <x:f>G1927-D1927</x:f>
        <x:v>96.11</x:v>
      </x:c>
      <x:c r="I1927" s="1" t="str">
        <x:f>IF(H1927&gt;0,"Overbilled","Shortfall")</x:f>
        <x:v>Overbilled</x:v>
      </x:c>
      <x:c r="J1927" s="7"/>
      <x:c r="K1927" s="7" t="str">
        <x:v>Open</x:v>
      </x:c>
      <x:c r="L1927" s="7"/>
    </x:row>
    <x:row r="1928" ht="21" customHeight="1">
      <x:c r="A1928" s="1" t="str">
        <x:f>Source!A1922</x:f>
        <x:v>C0000918</x:v>
      </x:c>
      <x:c r="B1928" s="1" t="str">
        <x:f>_xlfn.IFNA(VLOOKUP(Source!B1922,Advertisers!$A$5:$B$34,2,FALSE),"Missing advertiser")</x:f>
        <x:v>Synthetic advertiser 27</x:v>
      </x:c>
      <x:c r="C1928" s="1" t="n">
        <x:f>Source!C1922</x:f>
        <x:v>87</x:v>
      </x:c>
      <x:c r="D1928" s="8" t="n">
        <x:f>Source!D1922/100</x:f>
        <x:v>96.11</x:v>
      </x:c>
      <x:c r="E1928" s="8" t="n">
        <x:f>Source!E1922/100</x:f>
        <x:v>192.22</x:v>
      </x:c>
      <x:c r="F1928" s="8" t="n">
        <x:f>Source!F1922/100</x:f>
        <x:v>0</x:v>
      </x:c>
      <x:c r="G1928" s="8" t="n">
        <x:f>Source!G1922/100</x:f>
        <x:v>192.22</x:v>
      </x:c>
      <x:c r="H1928" s="8" t="n">
        <x:f>G1928-D1928</x:f>
        <x:v>96.11</x:v>
      </x:c>
      <x:c r="I1928" s="1" t="str">
        <x:f>IF(H1928&gt;0,"Overbilled","Shortfall")</x:f>
        <x:v>Overbilled</x:v>
      </x:c>
      <x:c r="J1928" s="7"/>
      <x:c r="K1928" s="7" t="str">
        <x:v>Open</x:v>
      </x:c>
      <x:c r="L1928" s="7"/>
    </x:row>
    <x:row r="1929" ht="21" customHeight="1">
      <x:c r="A1929" s="1" t="str">
        <x:f>Source!A1923</x:f>
        <x:v>C0017887</x:v>
      </x:c>
      <x:c r="B1929" s="1" t="str">
        <x:f>_xlfn.IFNA(VLOOKUP(Source!B1923,Advertisers!$A$5:$B$34,2,FALSE),"Missing advertiser")</x:f>
        <x:v>Synthetic advertiser 27</x:v>
      </x:c>
      <x:c r="C1929" s="1" t="n">
        <x:f>Source!C1923</x:f>
        <x:v>87</x:v>
      </x:c>
      <x:c r="D1929" s="8" t="n">
        <x:f>Source!D1923/100</x:f>
        <x:v>96.11</x:v>
      </x:c>
      <x:c r="E1929" s="8" t="n">
        <x:f>Source!E1923/100</x:f>
        <x:v>192.22</x:v>
      </x:c>
      <x:c r="F1929" s="8" t="n">
        <x:f>Source!F1923/100</x:f>
        <x:v>0</x:v>
      </x:c>
      <x:c r="G1929" s="8" t="n">
        <x:f>Source!G1923/100</x:f>
        <x:v>192.22</x:v>
      </x:c>
      <x:c r="H1929" s="8" t="n">
        <x:f>G1929-D1929</x:f>
        <x:v>96.11</x:v>
      </x:c>
      <x:c r="I1929" s="1" t="str">
        <x:f>IF(H1929&gt;0,"Overbilled","Shortfall")</x:f>
        <x:v>Overbilled</x:v>
      </x:c>
      <x:c r="J1929" s="7"/>
      <x:c r="K1929" s="7" t="str">
        <x:v>Open</x:v>
      </x:c>
      <x:c r="L1929" s="7"/>
    </x:row>
    <x:row r="1930" ht="21" customHeight="1">
      <x:c r="A1930" s="1" t="str">
        <x:f>Source!A1924</x:f>
        <x:v>C0005769</x:v>
      </x:c>
      <x:c r="B1930" s="1" t="str">
        <x:f>_xlfn.IFNA(VLOOKUP(Source!B1924,Advertisers!$A$5:$B$34,2,FALSE),"Missing advertiser")</x:f>
        <x:v>Synthetic advertiser 27</x:v>
      </x:c>
      <x:c r="C1930" s="1" t="n">
        <x:f>Source!C1924</x:f>
        <x:v>87</x:v>
      </x:c>
      <x:c r="D1930" s="8" t="n">
        <x:f>Source!D1924/100</x:f>
        <x:v>96.11</x:v>
      </x:c>
      <x:c r="E1930" s="8" t="n">
        <x:f>Source!E1924/100</x:f>
        <x:v>0</x:v>
      </x:c>
      <x:c r="F1930" s="8" t="n">
        <x:f>Source!F1924/100</x:f>
        <x:v>0</x:v>
      </x:c>
      <x:c r="G1930" s="8" t="n">
        <x:f>Source!G1924/100</x:f>
        <x:v>0</x:v>
      </x:c>
      <x:c r="H1930" s="8" t="n">
        <x:f>G1930-D1930</x:f>
        <x:v>-96.11</x:v>
      </x:c>
      <x:c r="I1930" s="1" t="str">
        <x:f>IF(H1930&gt;0,"Overbilled","Shortfall")</x:f>
        <x:v>Shortfall</x:v>
      </x:c>
      <x:c r="J1930" s="7"/>
      <x:c r="K1930" s="7" t="str">
        <x:v>Open</x:v>
      </x:c>
      <x:c r="L1930" s="7"/>
    </x:row>
    <x:row r="1931" ht="21" customHeight="1">
      <x:c r="A1931" s="1" t="str">
        <x:f>Source!A1925</x:f>
        <x:v>C0002259</x:v>
      </x:c>
      <x:c r="B1931" s="1" t="str">
        <x:f>_xlfn.IFNA(VLOOKUP(Source!B1925,Advertisers!$A$5:$B$34,2,FALSE),"Missing advertiser")</x:f>
        <x:v>Synthetic advertiser 27</x:v>
      </x:c>
      <x:c r="C1931" s="1" t="n">
        <x:f>Source!C1925</x:f>
        <x:v>87</x:v>
      </x:c>
      <x:c r="D1931" s="8" t="n">
        <x:f>Source!D1925/100</x:f>
        <x:v>0</x:v>
      </x:c>
      <x:c r="E1931" s="8" t="n">
        <x:f>Source!E1925/100</x:f>
        <x:v>96.11</x:v>
      </x:c>
      <x:c r="F1931" s="8" t="n">
        <x:f>Source!F1925/100</x:f>
        <x:v>0</x:v>
      </x:c>
      <x:c r="G1931" s="8" t="n">
        <x:f>Source!G1925/100</x:f>
        <x:v>96.11</x:v>
      </x:c>
      <x:c r="H1931" s="8" t="n">
        <x:f>G1931-D1931</x:f>
        <x:v>96.11</x:v>
      </x:c>
      <x:c r="I1931" s="1" t="str">
        <x:f>IF(H1931&gt;0,"Overbilled","Shortfall")</x:f>
        <x:v>Overbilled</x:v>
      </x:c>
      <x:c r="J1931" s="7"/>
      <x:c r="K1931" s="7" t="str">
        <x:v>Open</x:v>
      </x:c>
      <x:c r="L1931" s="7"/>
    </x:row>
    <x:row r="1932" ht="21" customHeight="1">
      <x:c r="A1932" s="1" t="str">
        <x:f>Source!A1926</x:f>
        <x:v>C0002156</x:v>
      </x:c>
      <x:c r="B1932" s="1" t="str">
        <x:f>_xlfn.IFNA(VLOOKUP(Source!B1926,Advertisers!$A$5:$B$34,2,FALSE),"Missing advertiser")</x:f>
        <x:v>Synthetic advertiser 27</x:v>
      </x:c>
      <x:c r="C1932" s="1" t="n">
        <x:f>Source!C1926</x:f>
        <x:v>87</x:v>
      </x:c>
      <x:c r="D1932" s="8" t="n">
        <x:f>Source!D1926/100</x:f>
        <x:v>96.11</x:v>
      </x:c>
      <x:c r="E1932" s="8" t="n">
        <x:f>Source!E1926/100</x:f>
        <x:v>192.22</x:v>
      </x:c>
      <x:c r="F1932" s="8" t="n">
        <x:f>Source!F1926/100</x:f>
        <x:v>0</x:v>
      </x:c>
      <x:c r="G1932" s="8" t="n">
        <x:f>Source!G1926/100</x:f>
        <x:v>192.22</x:v>
      </x:c>
      <x:c r="H1932" s="8" t="n">
        <x:f>G1932-D1932</x:f>
        <x:v>96.11</x:v>
      </x:c>
      <x:c r="I1932" s="1" t="str">
        <x:f>IF(H1932&gt;0,"Overbilled","Shortfall")</x:f>
        <x:v>Overbilled</x:v>
      </x:c>
      <x:c r="J1932" s="7"/>
      <x:c r="K1932" s="7" t="str">
        <x:v>Open</x:v>
      </x:c>
      <x:c r="L1932" s="7"/>
    </x:row>
    <x:row r="1933" ht="21" customHeight="1">
      <x:c r="A1933" s="1" t="str">
        <x:f>Source!A1927</x:f>
        <x:v>C0000261</x:v>
      </x:c>
      <x:c r="B1933" s="1" t="str">
        <x:f>_xlfn.IFNA(VLOOKUP(Source!B1927,Advertisers!$A$5:$B$34,2,FALSE),"Missing advertiser")</x:f>
        <x:v>Synthetic advertiser 27</x:v>
      </x:c>
      <x:c r="C1933" s="1" t="n">
        <x:f>Source!C1927</x:f>
        <x:v>87</x:v>
      </x:c>
      <x:c r="D1933" s="8" t="n">
        <x:f>Source!D1927/100</x:f>
        <x:v>96.11</x:v>
      </x:c>
      <x:c r="E1933" s="8" t="n">
        <x:f>Source!E1927/100</x:f>
        <x:v>0</x:v>
      </x:c>
      <x:c r="F1933" s="8" t="n">
        <x:f>Source!F1927/100</x:f>
        <x:v>0</x:v>
      </x:c>
      <x:c r="G1933" s="8" t="n">
        <x:f>Source!G1927/100</x:f>
        <x:v>0</x:v>
      </x:c>
      <x:c r="H1933" s="8" t="n">
        <x:f>G1933-D1933</x:f>
        <x:v>-96.11</x:v>
      </x:c>
      <x:c r="I1933" s="1" t="str">
        <x:f>IF(H1933&gt;0,"Overbilled","Shortfall")</x:f>
        <x:v>Shortfall</x:v>
      </x:c>
      <x:c r="J1933" s="7"/>
      <x:c r="K1933" s="7" t="str">
        <x:v>Open</x:v>
      </x:c>
      <x:c r="L1933" s="7"/>
    </x:row>
    <x:row r="1934" ht="21" customHeight="1">
      <x:c r="A1934" s="1" t="str">
        <x:f>Source!A1928</x:f>
        <x:v>C0011973</x:v>
      </x:c>
      <x:c r="B1934" s="1" t="str">
        <x:f>_xlfn.IFNA(VLOOKUP(Source!B1928,Advertisers!$A$5:$B$34,2,FALSE),"Missing advertiser")</x:f>
        <x:v>Synthetic advertiser 29</x:v>
      </x:c>
      <x:c r="C1934" s="1" t="n">
        <x:f>Source!C1928</x:f>
        <x:v>89</x:v>
      </x:c>
      <x:c r="D1934" s="8" t="n">
        <x:f>Source!D1928/100</x:f>
        <x:v>95.8</x:v>
      </x:c>
      <x:c r="E1934" s="8" t="n">
        <x:f>Source!E1928/100</x:f>
        <x:v>191.6</x:v>
      </x:c>
      <x:c r="F1934" s="8" t="n">
        <x:f>Source!F1928/100</x:f>
        <x:v>0</x:v>
      </x:c>
      <x:c r="G1934" s="8" t="n">
        <x:f>Source!G1928/100</x:f>
        <x:v>191.6</x:v>
      </x:c>
      <x:c r="H1934" s="8" t="n">
        <x:f>G1934-D1934</x:f>
        <x:v>95.8</x:v>
      </x:c>
      <x:c r="I1934" s="1" t="str">
        <x:f>IF(H1934&gt;0,"Overbilled","Shortfall")</x:f>
        <x:v>Overbilled</x:v>
      </x:c>
      <x:c r="J1934" s="7"/>
      <x:c r="K1934" s="7" t="str">
        <x:v>Open</x:v>
      </x:c>
      <x:c r="L1934" s="7"/>
    </x:row>
    <x:row r="1935" ht="21" customHeight="1">
      <x:c r="A1935" s="1" t="str">
        <x:f>Source!A1929</x:f>
        <x:v>C0011291</x:v>
      </x:c>
      <x:c r="B1935" s="1" t="str">
        <x:f>_xlfn.IFNA(VLOOKUP(Source!B1929,Advertisers!$A$5:$B$34,2,FALSE),"Missing advertiser")</x:f>
        <x:v>Synthetic advertiser 29</x:v>
      </x:c>
      <x:c r="C1935" s="1" t="n">
        <x:f>Source!C1929</x:f>
        <x:v>89</x:v>
      </x:c>
      <x:c r="D1935" s="8" t="n">
        <x:f>Source!D1929/100</x:f>
        <x:v>95.8</x:v>
      </x:c>
      <x:c r="E1935" s="8" t="n">
        <x:f>Source!E1929/100</x:f>
        <x:v>191.6</x:v>
      </x:c>
      <x:c r="F1935" s="8" t="n">
        <x:f>Source!F1929/100</x:f>
        <x:v>0</x:v>
      </x:c>
      <x:c r="G1935" s="8" t="n">
        <x:f>Source!G1929/100</x:f>
        <x:v>191.6</x:v>
      </x:c>
      <x:c r="H1935" s="8" t="n">
        <x:f>G1935-D1935</x:f>
        <x:v>95.8</x:v>
      </x:c>
      <x:c r="I1935" s="1" t="str">
        <x:f>IF(H1935&gt;0,"Overbilled","Shortfall")</x:f>
        <x:v>Overbilled</x:v>
      </x:c>
      <x:c r="J1935" s="7"/>
      <x:c r="K1935" s="7" t="str">
        <x:v>Open</x:v>
      </x:c>
      <x:c r="L1935" s="7"/>
    </x:row>
    <x:row r="1936" ht="21" customHeight="1">
      <x:c r="A1936" s="1" t="str">
        <x:f>Source!A1930</x:f>
        <x:v>C0014523</x:v>
      </x:c>
      <x:c r="B1936" s="1" t="str">
        <x:f>_xlfn.IFNA(VLOOKUP(Source!B1930,Advertisers!$A$5:$B$34,2,FALSE),"Missing advertiser")</x:f>
        <x:v>Synthetic advertiser 29</x:v>
      </x:c>
      <x:c r="C1936" s="1" t="n">
        <x:f>Source!C1930</x:f>
        <x:v>89</x:v>
      </x:c>
      <x:c r="D1936" s="8" t="n">
        <x:f>Source!D1930/100</x:f>
        <x:v>95.8</x:v>
      </x:c>
      <x:c r="E1936" s="8" t="n">
        <x:f>Source!E1930/100</x:f>
        <x:v>0</x:v>
      </x:c>
      <x:c r="F1936" s="8" t="n">
        <x:f>Source!F1930/100</x:f>
        <x:v>0</x:v>
      </x:c>
      <x:c r="G1936" s="8" t="n">
        <x:f>Source!G1930/100</x:f>
        <x:v>0</x:v>
      </x:c>
      <x:c r="H1936" s="8" t="n">
        <x:f>G1936-D1936</x:f>
        <x:v>-95.8</x:v>
      </x:c>
      <x:c r="I1936" s="1" t="str">
        <x:f>IF(H1936&gt;0,"Overbilled","Shortfall")</x:f>
        <x:v>Shortfall</x:v>
      </x:c>
      <x:c r="J1936" s="7"/>
      <x:c r="K1936" s="7" t="str">
        <x:v>Open</x:v>
      </x:c>
      <x:c r="L1936" s="7"/>
    </x:row>
    <x:row r="1937" ht="21" customHeight="1">
      <x:c r="A1937" s="1" t="str">
        <x:f>Source!A1931</x:f>
        <x:v>C0002278</x:v>
      </x:c>
      <x:c r="B1937" s="1" t="str">
        <x:f>_xlfn.IFNA(VLOOKUP(Source!B1931,Advertisers!$A$5:$B$34,2,FALSE),"Missing advertiser")</x:f>
        <x:v>Synthetic advertiser 29</x:v>
      </x:c>
      <x:c r="C1937" s="1" t="n">
        <x:f>Source!C1931</x:f>
        <x:v>89</x:v>
      </x:c>
      <x:c r="D1937" s="8" t="n">
        <x:f>Source!D1931/100</x:f>
        <x:v>0</x:v>
      </x:c>
      <x:c r="E1937" s="8" t="n">
        <x:f>Source!E1931/100</x:f>
        <x:v>95.8</x:v>
      </x:c>
      <x:c r="F1937" s="8" t="n">
        <x:f>Source!F1931/100</x:f>
        <x:v>0</x:v>
      </x:c>
      <x:c r="G1937" s="8" t="n">
        <x:f>Source!G1931/100</x:f>
        <x:v>95.8</x:v>
      </x:c>
      <x:c r="H1937" s="8" t="n">
        <x:f>G1937-D1937</x:f>
        <x:v>95.8</x:v>
      </x:c>
      <x:c r="I1937" s="1" t="str">
        <x:f>IF(H1937&gt;0,"Overbilled","Shortfall")</x:f>
        <x:v>Overbilled</x:v>
      </x:c>
      <x:c r="J1937" s="7"/>
      <x:c r="K1937" s="7" t="str">
        <x:v>Open</x:v>
      </x:c>
      <x:c r="L1937" s="7"/>
    </x:row>
    <x:row r="1938" ht="21" customHeight="1">
      <x:c r="A1938" s="1" t="str">
        <x:f>Source!A1932</x:f>
        <x:v>C0007370</x:v>
      </x:c>
      <x:c r="B1938" s="1" t="str">
        <x:f>_xlfn.IFNA(VLOOKUP(Source!B1932,Advertisers!$A$5:$B$34,2,FALSE),"Missing advertiser")</x:f>
        <x:v>Synthetic advertiser 29</x:v>
      </x:c>
      <x:c r="C1938" s="1" t="n">
        <x:f>Source!C1932</x:f>
        <x:v>89</x:v>
      </x:c>
      <x:c r="D1938" s="8" t="n">
        <x:f>Source!D1932/100</x:f>
        <x:v>95.8</x:v>
      </x:c>
      <x:c r="E1938" s="8" t="n">
        <x:f>Source!E1932/100</x:f>
        <x:v>191.6</x:v>
      </x:c>
      <x:c r="F1938" s="8" t="n">
        <x:f>Source!F1932/100</x:f>
        <x:v>0</x:v>
      </x:c>
      <x:c r="G1938" s="8" t="n">
        <x:f>Source!G1932/100</x:f>
        <x:v>191.6</x:v>
      </x:c>
      <x:c r="H1938" s="8" t="n">
        <x:f>G1938-D1938</x:f>
        <x:v>95.8</x:v>
      </x:c>
      <x:c r="I1938" s="1" t="str">
        <x:f>IF(H1938&gt;0,"Overbilled","Shortfall")</x:f>
        <x:v>Overbilled</x:v>
      </x:c>
      <x:c r="J1938" s="7"/>
      <x:c r="K1938" s="7" t="str">
        <x:v>Open</x:v>
      </x:c>
      <x:c r="L1938" s="7"/>
    </x:row>
    <x:row r="1939" ht="21" customHeight="1">
      <x:c r="A1939" s="1" t="str">
        <x:f>Source!A1933</x:f>
        <x:v>C0015691</x:v>
      </x:c>
      <x:c r="B1939" s="1" t="str">
        <x:f>_xlfn.IFNA(VLOOKUP(Source!B1933,Advertisers!$A$5:$B$34,2,FALSE),"Missing advertiser")</x:f>
        <x:v>Synthetic advertiser 29</x:v>
      </x:c>
      <x:c r="C1939" s="1" t="n">
        <x:f>Source!C1933</x:f>
        <x:v>89</x:v>
      </x:c>
      <x:c r="D1939" s="8" t="n">
        <x:f>Source!D1933/100</x:f>
        <x:v>95.8</x:v>
      </x:c>
      <x:c r="E1939" s="8" t="n">
        <x:f>Source!E1933/100</x:f>
        <x:v>191.6</x:v>
      </x:c>
      <x:c r="F1939" s="8" t="n">
        <x:f>Source!F1933/100</x:f>
        <x:v>0</x:v>
      </x:c>
      <x:c r="G1939" s="8" t="n">
        <x:f>Source!G1933/100</x:f>
        <x:v>191.6</x:v>
      </x:c>
      <x:c r="H1939" s="8" t="n">
        <x:f>G1939-D1939</x:f>
        <x:v>95.8</x:v>
      </x:c>
      <x:c r="I1939" s="1" t="str">
        <x:f>IF(H1939&gt;0,"Overbilled","Shortfall")</x:f>
        <x:v>Overbilled</x:v>
      </x:c>
      <x:c r="J1939" s="7"/>
      <x:c r="K1939" s="7" t="str">
        <x:v>Open</x:v>
      </x:c>
      <x:c r="L1939" s="7"/>
    </x:row>
    <x:row r="1940" ht="21" customHeight="1">
      <x:c r="A1940" s="1" t="str">
        <x:f>Source!A1934</x:f>
        <x:v>C0017019</x:v>
      </x:c>
      <x:c r="B1940" s="1" t="str">
        <x:f>_xlfn.IFNA(VLOOKUP(Source!B1934,Advertisers!$A$5:$B$34,2,FALSE),"Missing advertiser")</x:f>
        <x:v>Synthetic advertiser 29</x:v>
      </x:c>
      <x:c r="C1940" s="1" t="n">
        <x:f>Source!C1934</x:f>
        <x:v>89</x:v>
      </x:c>
      <x:c r="D1940" s="8" t="n">
        <x:f>Source!D1934/100</x:f>
        <x:v>95.8</x:v>
      </x:c>
      <x:c r="E1940" s="8" t="n">
        <x:f>Source!E1934/100</x:f>
        <x:v>0</x:v>
      </x:c>
      <x:c r="F1940" s="8" t="n">
        <x:f>Source!F1934/100</x:f>
        <x:v>0</x:v>
      </x:c>
      <x:c r="G1940" s="8" t="n">
        <x:f>Source!G1934/100</x:f>
        <x:v>0</x:v>
      </x:c>
      <x:c r="H1940" s="8" t="n">
        <x:f>G1940-D1940</x:f>
        <x:v>-95.8</x:v>
      </x:c>
      <x:c r="I1940" s="1" t="str">
        <x:f>IF(H1940&gt;0,"Overbilled","Shortfall")</x:f>
        <x:v>Shortfall</x:v>
      </x:c>
      <x:c r="J1940" s="7"/>
      <x:c r="K1940" s="7" t="str">
        <x:v>Open</x:v>
      </x:c>
      <x:c r="L1940" s="7"/>
    </x:row>
    <x:row r="1941" ht="21" customHeight="1">
      <x:c r="A1941" s="1" t="str">
        <x:f>Source!A1935</x:f>
        <x:v>C0012666</x:v>
      </x:c>
      <x:c r="B1941" s="1" t="str">
        <x:f>_xlfn.IFNA(VLOOKUP(Source!B1935,Advertisers!$A$5:$B$34,2,FALSE),"Missing advertiser")</x:f>
        <x:v>Synthetic advertiser 29</x:v>
      </x:c>
      <x:c r="C1941" s="1" t="n">
        <x:f>Source!C1935</x:f>
        <x:v>89</x:v>
      </x:c>
      <x:c r="D1941" s="8" t="n">
        <x:f>Source!D1935/100</x:f>
        <x:v>95.8</x:v>
      </x:c>
      <x:c r="E1941" s="8" t="n">
        <x:f>Source!E1935/100</x:f>
        <x:v>0</x:v>
      </x:c>
      <x:c r="F1941" s="8" t="n">
        <x:f>Source!F1935/100</x:f>
        <x:v>0</x:v>
      </x:c>
      <x:c r="G1941" s="8" t="n">
        <x:f>Source!G1935/100</x:f>
        <x:v>0</x:v>
      </x:c>
      <x:c r="H1941" s="8" t="n">
        <x:f>G1941-D1941</x:f>
        <x:v>-95.8</x:v>
      </x:c>
      <x:c r="I1941" s="1" t="str">
        <x:f>IF(H1941&gt;0,"Overbilled","Shortfall")</x:f>
        <x:v>Shortfall</x:v>
      </x:c>
      <x:c r="J1941" s="7"/>
      <x:c r="K1941" s="7" t="str">
        <x:v>Open</x:v>
      </x:c>
      <x:c r="L1941" s="7"/>
    </x:row>
    <x:row r="1942" ht="21" customHeight="1">
      <x:c r="A1942" s="1" t="str">
        <x:f>Source!A1936</x:f>
        <x:v>C0013185</x:v>
      </x:c>
      <x:c r="B1942" s="1" t="str">
        <x:f>_xlfn.IFNA(VLOOKUP(Source!B1936,Advertisers!$A$5:$B$34,2,FALSE),"Missing advertiser")</x:f>
        <x:v>Synthetic advertiser 29</x:v>
      </x:c>
      <x:c r="C1942" s="1" t="n">
        <x:f>Source!C1936</x:f>
        <x:v>89</x:v>
      </x:c>
      <x:c r="D1942" s="8" t="n">
        <x:f>Source!D1936/100</x:f>
        <x:v>95.8</x:v>
      </x:c>
      <x:c r="E1942" s="8" t="n">
        <x:f>Source!E1936/100</x:f>
        <x:v>191.6</x:v>
      </x:c>
      <x:c r="F1942" s="8" t="n">
        <x:f>Source!F1936/100</x:f>
        <x:v>0</x:v>
      </x:c>
      <x:c r="G1942" s="8" t="n">
        <x:f>Source!G1936/100</x:f>
        <x:v>191.6</x:v>
      </x:c>
      <x:c r="H1942" s="8" t="n">
        <x:f>G1942-D1942</x:f>
        <x:v>95.8</x:v>
      </x:c>
      <x:c r="I1942" s="1" t="str">
        <x:f>IF(H1942&gt;0,"Overbilled","Shortfall")</x:f>
        <x:v>Overbilled</x:v>
      </x:c>
      <x:c r="J1942" s="7"/>
      <x:c r="K1942" s="7" t="str">
        <x:v>Open</x:v>
      </x:c>
      <x:c r="L1942" s="7"/>
    </x:row>
    <x:row r="1943" ht="21" customHeight="1">
      <x:c r="A1943" s="1" t="str">
        <x:f>Source!A1937</x:f>
        <x:v>C0002599</x:v>
      </x:c>
      <x:c r="B1943" s="1" t="str">
        <x:f>_xlfn.IFNA(VLOOKUP(Source!B1937,Advertisers!$A$5:$B$34,2,FALSE),"Missing advertiser")</x:f>
        <x:v>Synthetic advertiser 29</x:v>
      </x:c>
      <x:c r="C1943" s="1" t="n">
        <x:f>Source!C1937</x:f>
        <x:v>89</x:v>
      </x:c>
      <x:c r="D1943" s="8" t="n">
        <x:f>Source!D1937/100</x:f>
        <x:v>95.8</x:v>
      </x:c>
      <x:c r="E1943" s="8" t="n">
        <x:f>Source!E1937/100</x:f>
        <x:v>0</x:v>
      </x:c>
      <x:c r="F1943" s="8" t="n">
        <x:f>Source!F1937/100</x:f>
        <x:v>0</x:v>
      </x:c>
      <x:c r="G1943" s="8" t="n">
        <x:f>Source!G1937/100</x:f>
        <x:v>0</x:v>
      </x:c>
      <x:c r="H1943" s="8" t="n">
        <x:f>G1943-D1943</x:f>
        <x:v>-95.8</x:v>
      </x:c>
      <x:c r="I1943" s="1" t="str">
        <x:f>IF(H1943&gt;0,"Overbilled","Shortfall")</x:f>
        <x:v>Shortfall</x:v>
      </x:c>
      <x:c r="J1943" s="7"/>
      <x:c r="K1943" s="7" t="str">
        <x:v>Open</x:v>
      </x:c>
      <x:c r="L1943" s="7"/>
    </x:row>
    <x:row r="1944" ht="21" customHeight="1">
      <x:c r="A1944" s="1" t="str">
        <x:f>Source!A1938</x:f>
        <x:v>C0016225</x:v>
      </x:c>
      <x:c r="B1944" s="1" t="str">
        <x:f>_xlfn.IFNA(VLOOKUP(Source!B1938,Advertisers!$A$5:$B$34,2,FALSE),"Missing advertiser")</x:f>
        <x:v>Synthetic advertiser 28</x:v>
      </x:c>
      <x:c r="C1944" s="1" t="n">
        <x:f>Source!C1938</x:f>
        <x:v>58</x:v>
      </x:c>
      <x:c r="D1944" s="8" t="n">
        <x:f>Source!D1938/100</x:f>
        <x:v>95.12</x:v>
      </x:c>
      <x:c r="E1944" s="8" t="n">
        <x:f>Source!E1938/100</x:f>
        <x:v>190.24</x:v>
      </x:c>
      <x:c r="F1944" s="8" t="n">
        <x:f>Source!F1938/100</x:f>
        <x:v>0</x:v>
      </x:c>
      <x:c r="G1944" s="8" t="n">
        <x:f>Source!G1938/100</x:f>
        <x:v>190.24</x:v>
      </x:c>
      <x:c r="H1944" s="8" t="n">
        <x:f>G1944-D1944</x:f>
        <x:v>95.12</x:v>
      </x:c>
      <x:c r="I1944" s="1" t="str">
        <x:f>IF(H1944&gt;0,"Overbilled","Shortfall")</x:f>
        <x:v>Overbilled</x:v>
      </x:c>
      <x:c r="J1944" s="7"/>
      <x:c r="K1944" s="7" t="str">
        <x:v>Open</x:v>
      </x:c>
      <x:c r="L1944" s="7"/>
    </x:row>
    <x:row r="1945" ht="21" customHeight="1">
      <x:c r="A1945" s="1" t="str">
        <x:f>Source!A1939</x:f>
        <x:v>C0005760</x:v>
      </x:c>
      <x:c r="B1945" s="1" t="str">
        <x:f>_xlfn.IFNA(VLOOKUP(Source!B1939,Advertisers!$A$5:$B$34,2,FALSE),"Missing advertiser")</x:f>
        <x:v>Synthetic advertiser 28</x:v>
      </x:c>
      <x:c r="C1945" s="1" t="n">
        <x:f>Source!C1939</x:f>
        <x:v>58</x:v>
      </x:c>
      <x:c r="D1945" s="8" t="n">
        <x:f>Source!D1939/100</x:f>
        <x:v>95.12</x:v>
      </x:c>
      <x:c r="E1945" s="8" t="n">
        <x:f>Source!E1939/100</x:f>
        <x:v>0</x:v>
      </x:c>
      <x:c r="F1945" s="8" t="n">
        <x:f>Source!F1939/100</x:f>
        <x:v>0</x:v>
      </x:c>
      <x:c r="G1945" s="8" t="n">
        <x:f>Source!G1939/100</x:f>
        <x:v>0</x:v>
      </x:c>
      <x:c r="H1945" s="8" t="n">
        <x:f>G1945-D1945</x:f>
        <x:v>-95.12</x:v>
      </x:c>
      <x:c r="I1945" s="1" t="str">
        <x:f>IF(H1945&gt;0,"Overbilled","Shortfall")</x:f>
        <x:v>Shortfall</x:v>
      </x:c>
      <x:c r="J1945" s="7"/>
      <x:c r="K1945" s="7" t="str">
        <x:v>Open</x:v>
      </x:c>
      <x:c r="L1945" s="7"/>
    </x:row>
    <x:row r="1946" ht="21" customHeight="1">
      <x:c r="A1946" s="1" t="str">
        <x:f>Source!A1940</x:f>
        <x:v>C0001818</x:v>
      </x:c>
      <x:c r="B1946" s="1" t="str">
        <x:f>_xlfn.IFNA(VLOOKUP(Source!B1940,Advertisers!$A$5:$B$34,2,FALSE),"Missing advertiser")</x:f>
        <x:v>Synthetic advertiser 28</x:v>
      </x:c>
      <x:c r="C1946" s="1" t="n">
        <x:f>Source!C1940</x:f>
        <x:v>58</x:v>
      </x:c>
      <x:c r="D1946" s="8" t="n">
        <x:f>Source!D1940/100</x:f>
        <x:v>95.12</x:v>
      </x:c>
      <x:c r="E1946" s="8" t="n">
        <x:f>Source!E1940/100</x:f>
        <x:v>190.24</x:v>
      </x:c>
      <x:c r="F1946" s="8" t="n">
        <x:f>Source!F1940/100</x:f>
        <x:v>0</x:v>
      </x:c>
      <x:c r="G1946" s="8" t="n">
        <x:f>Source!G1940/100</x:f>
        <x:v>190.24</x:v>
      </x:c>
      <x:c r="H1946" s="8" t="n">
        <x:f>G1946-D1946</x:f>
        <x:v>95.12</x:v>
      </x:c>
      <x:c r="I1946" s="1" t="str">
        <x:f>IF(H1946&gt;0,"Overbilled","Shortfall")</x:f>
        <x:v>Overbilled</x:v>
      </x:c>
      <x:c r="J1946" s="7"/>
      <x:c r="K1946" s="7" t="str">
        <x:v>Open</x:v>
      </x:c>
      <x:c r="L1946" s="7"/>
    </x:row>
    <x:row r="1947" ht="21" customHeight="1">
      <x:c r="A1947" s="1" t="str">
        <x:f>Source!A1941</x:f>
        <x:v>C0002166</x:v>
      </x:c>
      <x:c r="B1947" s="1" t="str">
        <x:f>_xlfn.IFNA(VLOOKUP(Source!B1941,Advertisers!$A$5:$B$34,2,FALSE),"Missing advertiser")</x:f>
        <x:v>Synthetic advertiser 28</x:v>
      </x:c>
      <x:c r="C1947" s="1" t="n">
        <x:f>Source!C1941</x:f>
        <x:v>58</x:v>
      </x:c>
      <x:c r="D1947" s="8" t="n">
        <x:f>Source!D1941/100</x:f>
        <x:v>95.12</x:v>
      </x:c>
      <x:c r="E1947" s="8" t="n">
        <x:f>Source!E1941/100</x:f>
        <x:v>190.24</x:v>
      </x:c>
      <x:c r="F1947" s="8" t="n">
        <x:f>Source!F1941/100</x:f>
        <x:v>0</x:v>
      </x:c>
      <x:c r="G1947" s="8" t="n">
        <x:f>Source!G1941/100</x:f>
        <x:v>190.24</x:v>
      </x:c>
      <x:c r="H1947" s="8" t="n">
        <x:f>G1947-D1947</x:f>
        <x:v>95.12</x:v>
      </x:c>
      <x:c r="I1947" s="1" t="str">
        <x:f>IF(H1947&gt;0,"Overbilled","Shortfall")</x:f>
        <x:v>Overbilled</x:v>
      </x:c>
      <x:c r="J1947" s="7"/>
      <x:c r="K1947" s="7" t="str">
        <x:v>Open</x:v>
      </x:c>
      <x:c r="L1947" s="7"/>
    </x:row>
    <x:row r="1948" ht="21" customHeight="1">
      <x:c r="A1948" s="1" t="str">
        <x:f>Source!A1942</x:f>
        <x:v>C0010041</x:v>
      </x:c>
      <x:c r="B1948" s="1" t="str">
        <x:f>_xlfn.IFNA(VLOOKUP(Source!B1942,Advertisers!$A$5:$B$34,2,FALSE),"Missing advertiser")</x:f>
        <x:v>Synthetic advertiser 27</x:v>
      </x:c>
      <x:c r="C1948" s="1" t="n">
        <x:f>Source!C1942</x:f>
        <x:v>57</x:v>
      </x:c>
      <x:c r="D1948" s="8" t="n">
        <x:f>Source!D1942/100</x:f>
        <x:v>0</x:v>
      </x:c>
      <x:c r="E1948" s="8" t="n">
        <x:f>Source!E1942/100</x:f>
        <x:v>93.52</x:v>
      </x:c>
      <x:c r="F1948" s="8" t="n">
        <x:f>Source!F1942/100</x:f>
        <x:v>0</x:v>
      </x:c>
      <x:c r="G1948" s="8" t="n">
        <x:f>Source!G1942/100</x:f>
        <x:v>93.52</x:v>
      </x:c>
      <x:c r="H1948" s="8" t="n">
        <x:f>G1948-D1948</x:f>
        <x:v>93.52</x:v>
      </x:c>
      <x:c r="I1948" s="1" t="str">
        <x:f>IF(H1948&gt;0,"Overbilled","Shortfall")</x:f>
        <x:v>Overbilled</x:v>
      </x:c>
      <x:c r="J1948" s="7"/>
      <x:c r="K1948" s="7" t="str">
        <x:v>Open</x:v>
      </x:c>
      <x:c r="L1948" s="7"/>
    </x:row>
    <x:row r="1949" ht="21" customHeight="1">
      <x:c r="A1949" s="1" t="str">
        <x:f>Source!A1943</x:f>
        <x:v>C0005507</x:v>
      </x:c>
      <x:c r="B1949" s="1" t="str">
        <x:f>_xlfn.IFNA(VLOOKUP(Source!B1943,Advertisers!$A$5:$B$34,2,FALSE),"Missing advertiser")</x:f>
        <x:v>Synthetic advertiser 27</x:v>
      </x:c>
      <x:c r="C1949" s="1" t="n">
        <x:f>Source!C1943</x:f>
        <x:v>57</x:v>
      </x:c>
      <x:c r="D1949" s="8" t="n">
        <x:f>Source!D1943/100</x:f>
        <x:v>93.52</x:v>
      </x:c>
      <x:c r="E1949" s="8" t="n">
        <x:f>Source!E1943/100</x:f>
        <x:v>0</x:v>
      </x:c>
      <x:c r="F1949" s="8" t="n">
        <x:f>Source!F1943/100</x:f>
        <x:v>0</x:v>
      </x:c>
      <x:c r="G1949" s="8" t="n">
        <x:f>Source!G1943/100</x:f>
        <x:v>0</x:v>
      </x:c>
      <x:c r="H1949" s="8" t="n">
        <x:f>G1949-D1949</x:f>
        <x:v>-93.52</x:v>
      </x:c>
      <x:c r="I1949" s="1" t="str">
        <x:f>IF(H1949&gt;0,"Overbilled","Shortfall")</x:f>
        <x:v>Shortfall</x:v>
      </x:c>
      <x:c r="J1949" s="7"/>
      <x:c r="K1949" s="7" t="str">
        <x:v>Open</x:v>
      </x:c>
      <x:c r="L1949" s="7"/>
    </x:row>
    <x:row r="1950" ht="21" customHeight="1">
      <x:c r="A1950" s="1" t="str">
        <x:f>Source!A1944</x:f>
        <x:v>C0001443</x:v>
      </x:c>
      <x:c r="B1950" s="1" t="str">
        <x:f>_xlfn.IFNA(VLOOKUP(Source!B1944,Advertisers!$A$5:$B$34,2,FALSE),"Missing advertiser")</x:f>
        <x:v>Synthetic advertiser 27</x:v>
      </x:c>
      <x:c r="C1950" s="1" t="n">
        <x:f>Source!C1944</x:f>
        <x:v>57</x:v>
      </x:c>
      <x:c r="D1950" s="8" t="n">
        <x:f>Source!D1944/100</x:f>
        <x:v>93.52</x:v>
      </x:c>
      <x:c r="E1950" s="8" t="n">
        <x:f>Source!E1944/100</x:f>
        <x:v>187.04</x:v>
      </x:c>
      <x:c r="F1950" s="8" t="n">
        <x:f>Source!F1944/100</x:f>
        <x:v>0</x:v>
      </x:c>
      <x:c r="G1950" s="8" t="n">
        <x:f>Source!G1944/100</x:f>
        <x:v>187.04</x:v>
      </x:c>
      <x:c r="H1950" s="8" t="n">
        <x:f>G1950-D1950</x:f>
        <x:v>93.52</x:v>
      </x:c>
      <x:c r="I1950" s="1" t="str">
        <x:f>IF(H1950&gt;0,"Overbilled","Shortfall")</x:f>
        <x:v>Overbilled</x:v>
      </x:c>
      <x:c r="J1950" s="7"/>
      <x:c r="K1950" s="7" t="str">
        <x:v>Open</x:v>
      </x:c>
      <x:c r="L1950" s="7"/>
    </x:row>
    <x:row r="1951" ht="21" customHeight="1">
      <x:c r="A1951" s="1" t="str">
        <x:f>Source!A1945</x:f>
        <x:v>C0006527</x:v>
      </x:c>
      <x:c r="B1951" s="1" t="str">
        <x:f>_xlfn.IFNA(VLOOKUP(Source!B1945,Advertisers!$A$5:$B$34,2,FALSE),"Missing advertiser")</x:f>
        <x:v>Synthetic advertiser 27</x:v>
      </x:c>
      <x:c r="C1951" s="1" t="n">
        <x:f>Source!C1945</x:f>
        <x:v>57</x:v>
      </x:c>
      <x:c r="D1951" s="8" t="n">
        <x:f>Source!D1945/100</x:f>
        <x:v>93.52</x:v>
      </x:c>
      <x:c r="E1951" s="8" t="n">
        <x:f>Source!E1945/100</x:f>
        <x:v>0</x:v>
      </x:c>
      <x:c r="F1951" s="8" t="n">
        <x:f>Source!F1945/100</x:f>
        <x:v>0</x:v>
      </x:c>
      <x:c r="G1951" s="8" t="n">
        <x:f>Source!G1945/100</x:f>
        <x:v>0</x:v>
      </x:c>
      <x:c r="H1951" s="8" t="n">
        <x:f>G1951-D1951</x:f>
        <x:v>-93.52</x:v>
      </x:c>
      <x:c r="I1951" s="1" t="str">
        <x:f>IF(H1951&gt;0,"Overbilled","Shortfall")</x:f>
        <x:v>Shortfall</x:v>
      </x:c>
      <x:c r="J1951" s="7"/>
      <x:c r="K1951" s="7" t="str">
        <x:v>Open</x:v>
      </x:c>
      <x:c r="L1951" s="7"/>
    </x:row>
    <x:row r="1952" ht="21" customHeight="1">
      <x:c r="A1952" s="1" t="str">
        <x:f>Source!A1946</x:f>
        <x:v>C0005988</x:v>
      </x:c>
      <x:c r="B1952" s="1" t="str">
        <x:f>_xlfn.IFNA(VLOOKUP(Source!B1946,Advertisers!$A$5:$B$34,2,FALSE),"Missing advertiser")</x:f>
        <x:v>Synthetic advertiser 27</x:v>
      </x:c>
      <x:c r="C1952" s="1" t="n">
        <x:f>Source!C1946</x:f>
        <x:v>57</x:v>
      </x:c>
      <x:c r="D1952" s="8" t="n">
        <x:f>Source!D1946/100</x:f>
        <x:v>93.52</x:v>
      </x:c>
      <x:c r="E1952" s="8" t="n">
        <x:f>Source!E1946/100</x:f>
        <x:v>187.04</x:v>
      </x:c>
      <x:c r="F1952" s="8" t="n">
        <x:f>Source!F1946/100</x:f>
        <x:v>0</x:v>
      </x:c>
      <x:c r="G1952" s="8" t="n">
        <x:f>Source!G1946/100</x:f>
        <x:v>187.04</x:v>
      </x:c>
      <x:c r="H1952" s="8" t="n">
        <x:f>G1952-D1952</x:f>
        <x:v>93.52</x:v>
      </x:c>
      <x:c r="I1952" s="1" t="str">
        <x:f>IF(H1952&gt;0,"Overbilled","Shortfall")</x:f>
        <x:v>Overbilled</x:v>
      </x:c>
      <x:c r="J1952" s="7"/>
      <x:c r="K1952" s="7" t="str">
        <x:v>Open</x:v>
      </x:c>
      <x:c r="L1952" s="7"/>
    </x:row>
    <x:row r="1953" ht="21" customHeight="1">
      <x:c r="A1953" s="1" t="str">
        <x:f>Source!A1947</x:f>
        <x:v>C0004089</x:v>
      </x:c>
      <x:c r="B1953" s="1" t="str">
        <x:f>_xlfn.IFNA(VLOOKUP(Source!B1947,Advertisers!$A$5:$B$34,2,FALSE),"Missing advertiser")</x:f>
        <x:v>Synthetic advertiser 27</x:v>
      </x:c>
      <x:c r="C1953" s="1" t="n">
        <x:f>Source!C1947</x:f>
        <x:v>57</x:v>
      </x:c>
      <x:c r="D1953" s="8" t="n">
        <x:f>Source!D1947/100</x:f>
        <x:v>0</x:v>
      </x:c>
      <x:c r="E1953" s="8" t="n">
        <x:f>Source!E1947/100</x:f>
        <x:v>93.52</x:v>
      </x:c>
      <x:c r="F1953" s="8" t="n">
        <x:f>Source!F1947/100</x:f>
        <x:v>0</x:v>
      </x:c>
      <x:c r="G1953" s="8" t="n">
        <x:f>Source!G1947/100</x:f>
        <x:v>93.52</x:v>
      </x:c>
      <x:c r="H1953" s="8" t="n">
        <x:f>G1953-D1953</x:f>
        <x:v>93.52</x:v>
      </x:c>
      <x:c r="I1953" s="1" t="str">
        <x:f>IF(H1953&gt;0,"Overbilled","Shortfall")</x:f>
        <x:v>Overbilled</x:v>
      </x:c>
      <x:c r="J1953" s="7"/>
      <x:c r="K1953" s="7" t="str">
        <x:v>Open</x:v>
      </x:c>
      <x:c r="L1953" s="7"/>
    </x:row>
    <x:row r="1954" ht="21" customHeight="1">
      <x:c r="A1954" s="1" t="str">
        <x:f>Source!A1948</x:f>
        <x:v>C0016172</x:v>
      </x:c>
      <x:c r="B1954" s="1" t="str">
        <x:f>_xlfn.IFNA(VLOOKUP(Source!B1948,Advertisers!$A$5:$B$34,2,FALSE),"Missing advertiser")</x:f>
        <x:v>Synthetic advertiser 27</x:v>
      </x:c>
      <x:c r="C1954" s="1" t="n">
        <x:f>Source!C1948</x:f>
        <x:v>57</x:v>
      </x:c>
      <x:c r="D1954" s="8" t="n">
        <x:f>Source!D1948/100</x:f>
        <x:v>0</x:v>
      </x:c>
      <x:c r="E1954" s="8" t="n">
        <x:f>Source!E1948/100</x:f>
        <x:v>93.52</x:v>
      </x:c>
      <x:c r="F1954" s="8" t="n">
        <x:f>Source!F1948/100</x:f>
        <x:v>0</x:v>
      </x:c>
      <x:c r="G1954" s="8" t="n">
        <x:f>Source!G1948/100</x:f>
        <x:v>93.52</x:v>
      </x:c>
      <x:c r="H1954" s="8" t="n">
        <x:f>G1954-D1954</x:f>
        <x:v>93.52</x:v>
      </x:c>
      <x:c r="I1954" s="1" t="str">
        <x:f>IF(H1954&gt;0,"Overbilled","Shortfall")</x:f>
        <x:v>Overbilled</x:v>
      </x:c>
      <x:c r="J1954" s="7"/>
      <x:c r="K1954" s="7" t="str">
        <x:v>Open</x:v>
      </x:c>
      <x:c r="L1954" s="7"/>
    </x:row>
    <x:row r="1955" ht="21" customHeight="1">
      <x:c r="A1955" s="1" t="str">
        <x:f>Source!A1949</x:f>
        <x:v>C0006299</x:v>
      </x:c>
      <x:c r="B1955" s="1" t="str">
        <x:f>_xlfn.IFNA(VLOOKUP(Source!B1949,Advertisers!$A$5:$B$34,2,FALSE),"Missing advertiser")</x:f>
        <x:v>Synthetic advertiser 27</x:v>
      </x:c>
      <x:c r="C1955" s="1" t="n">
        <x:f>Source!C1949</x:f>
        <x:v>57</x:v>
      </x:c>
      <x:c r="D1955" s="8" t="n">
        <x:f>Source!D1949/100</x:f>
        <x:v>93.52</x:v>
      </x:c>
      <x:c r="E1955" s="8" t="n">
        <x:f>Source!E1949/100</x:f>
        <x:v>187.04</x:v>
      </x:c>
      <x:c r="F1955" s="8" t="n">
        <x:f>Source!F1949/100</x:f>
        <x:v>0</x:v>
      </x:c>
      <x:c r="G1955" s="8" t="n">
        <x:f>Source!G1949/100</x:f>
        <x:v>187.04</x:v>
      </x:c>
      <x:c r="H1955" s="8" t="n">
        <x:f>G1955-D1955</x:f>
        <x:v>93.52</x:v>
      </x:c>
      <x:c r="I1955" s="1" t="str">
        <x:f>IF(H1955&gt;0,"Overbilled","Shortfall")</x:f>
        <x:v>Overbilled</x:v>
      </x:c>
      <x:c r="J1955" s="7"/>
      <x:c r="K1955" s="7" t="str">
        <x:v>Open</x:v>
      </x:c>
      <x:c r="L1955" s="7"/>
    </x:row>
    <x:row r="1956" ht="21" customHeight="1">
      <x:c r="A1956" s="1" t="str">
        <x:f>Source!A1950</x:f>
        <x:v>C0004963</x:v>
      </x:c>
      <x:c r="B1956" s="1" t="str">
        <x:f>_xlfn.IFNA(VLOOKUP(Source!B1950,Advertisers!$A$5:$B$34,2,FALSE),"Missing advertiser")</x:f>
        <x:v>Synthetic advertiser 27</x:v>
      </x:c>
      <x:c r="C1956" s="1" t="n">
        <x:f>Source!C1950</x:f>
        <x:v>117</x:v>
      </x:c>
      <x:c r="D1956" s="8" t="n">
        <x:f>Source!D1950/100</x:f>
        <x:v>92.13</x:v>
      </x:c>
      <x:c r="E1956" s="8" t="n">
        <x:f>Source!E1950/100</x:f>
        <x:v>0</x:v>
      </x:c>
      <x:c r="F1956" s="8" t="n">
        <x:f>Source!F1950/100</x:f>
        <x:v>0</x:v>
      </x:c>
      <x:c r="G1956" s="8" t="n">
        <x:f>Source!G1950/100</x:f>
        <x:v>0</x:v>
      </x:c>
      <x:c r="H1956" s="8" t="n">
        <x:f>G1956-D1956</x:f>
        <x:v>-92.13</x:v>
      </x:c>
      <x:c r="I1956" s="1" t="str">
        <x:f>IF(H1956&gt;0,"Overbilled","Shortfall")</x:f>
        <x:v>Shortfall</x:v>
      </x:c>
      <x:c r="J1956" s="7"/>
      <x:c r="K1956" s="7" t="str">
        <x:v>Open</x:v>
      </x:c>
      <x:c r="L1956" s="7"/>
    </x:row>
    <x:row r="1957" ht="21" customHeight="1">
      <x:c r="A1957" s="1" t="str">
        <x:f>Source!A1951</x:f>
        <x:v>C0006090</x:v>
      </x:c>
      <x:c r="B1957" s="1" t="str">
        <x:f>_xlfn.IFNA(VLOOKUP(Source!B1951,Advertisers!$A$5:$B$34,2,FALSE),"Missing advertiser")</x:f>
        <x:v>Synthetic advertiser 27</x:v>
      </x:c>
      <x:c r="C1957" s="1" t="n">
        <x:f>Source!C1951</x:f>
        <x:v>117</x:v>
      </x:c>
      <x:c r="D1957" s="8" t="n">
        <x:f>Source!D1951/100</x:f>
        <x:v>92.13</x:v>
      </x:c>
      <x:c r="E1957" s="8" t="n">
        <x:f>Source!E1951/100</x:f>
        <x:v>184.26</x:v>
      </x:c>
      <x:c r="F1957" s="8" t="n">
        <x:f>Source!F1951/100</x:f>
        <x:v>0</x:v>
      </x:c>
      <x:c r="G1957" s="8" t="n">
        <x:f>Source!G1951/100</x:f>
        <x:v>184.26</x:v>
      </x:c>
      <x:c r="H1957" s="8" t="n">
        <x:f>G1957-D1957</x:f>
        <x:v>92.13</x:v>
      </x:c>
      <x:c r="I1957" s="1" t="str">
        <x:f>IF(H1957&gt;0,"Overbilled","Shortfall")</x:f>
        <x:v>Overbilled</x:v>
      </x:c>
      <x:c r="J1957" s="7"/>
      <x:c r="K1957" s="7" t="str">
        <x:v>Open</x:v>
      </x:c>
      <x:c r="L1957" s="7"/>
    </x:row>
    <x:row r="1958" ht="21" customHeight="1">
      <x:c r="A1958" s="1" t="str">
        <x:f>Source!A1952</x:f>
        <x:v>C0008803</x:v>
      </x:c>
      <x:c r="B1958" s="1" t="str">
        <x:f>_xlfn.IFNA(VLOOKUP(Source!B1952,Advertisers!$A$5:$B$34,2,FALSE),"Missing advertiser")</x:f>
        <x:v>Synthetic advertiser 27</x:v>
      </x:c>
      <x:c r="C1958" s="1" t="n">
        <x:f>Source!C1952</x:f>
        <x:v>117</x:v>
      </x:c>
      <x:c r="D1958" s="8" t="n">
        <x:f>Source!D1952/100</x:f>
        <x:v>0</x:v>
      </x:c>
      <x:c r="E1958" s="8" t="n">
        <x:f>Source!E1952/100</x:f>
        <x:v>92.13</x:v>
      </x:c>
      <x:c r="F1958" s="8" t="n">
        <x:f>Source!F1952/100</x:f>
        <x:v>0</x:v>
      </x:c>
      <x:c r="G1958" s="8" t="n">
        <x:f>Source!G1952/100</x:f>
        <x:v>92.13</x:v>
      </x:c>
      <x:c r="H1958" s="8" t="n">
        <x:f>G1958-D1958</x:f>
        <x:v>92.13</x:v>
      </x:c>
      <x:c r="I1958" s="1" t="str">
        <x:f>IF(H1958&gt;0,"Overbilled","Shortfall")</x:f>
        <x:v>Overbilled</x:v>
      </x:c>
      <x:c r="J1958" s="7"/>
      <x:c r="K1958" s="7" t="str">
        <x:v>Open</x:v>
      </x:c>
      <x:c r="L1958" s="7"/>
    </x:row>
    <x:row r="1959" ht="21" customHeight="1">
      <x:c r="A1959" s="1" t="str">
        <x:f>Source!A1953</x:f>
        <x:v>C0013680</x:v>
      </x:c>
      <x:c r="B1959" s="1" t="str">
        <x:f>_xlfn.IFNA(VLOOKUP(Source!B1953,Advertisers!$A$5:$B$34,2,FALSE),"Missing advertiser")</x:f>
        <x:v>Synthetic advertiser 27</x:v>
      </x:c>
      <x:c r="C1959" s="1" t="n">
        <x:f>Source!C1953</x:f>
        <x:v>117</x:v>
      </x:c>
      <x:c r="D1959" s="8" t="n">
        <x:f>Source!D1953/100</x:f>
        <x:v>92.13</x:v>
      </x:c>
      <x:c r="E1959" s="8" t="n">
        <x:f>Source!E1953/100</x:f>
        <x:v>0</x:v>
      </x:c>
      <x:c r="F1959" s="8" t="n">
        <x:f>Source!F1953/100</x:f>
        <x:v>0</x:v>
      </x:c>
      <x:c r="G1959" s="8" t="n">
        <x:f>Source!G1953/100</x:f>
        <x:v>0</x:v>
      </x:c>
      <x:c r="H1959" s="8" t="n">
        <x:f>G1959-D1959</x:f>
        <x:v>-92.13</x:v>
      </x:c>
      <x:c r="I1959" s="1" t="str">
        <x:f>IF(H1959&gt;0,"Overbilled","Shortfall")</x:f>
        <x:v>Shortfall</x:v>
      </x:c>
      <x:c r="J1959" s="7"/>
      <x:c r="K1959" s="7" t="str">
        <x:v>Open</x:v>
      </x:c>
      <x:c r="L1959" s="7"/>
    </x:row>
    <x:row r="1960" ht="21" customHeight="1">
      <x:c r="A1960" s="1" t="str">
        <x:f>Source!A1954</x:f>
        <x:v>C0011066</x:v>
      </x:c>
      <x:c r="B1960" s="1" t="str">
        <x:f>_xlfn.IFNA(VLOOKUP(Source!B1954,Advertisers!$A$5:$B$34,2,FALSE),"Missing advertiser")</x:f>
        <x:v>Synthetic advertiser 27</x:v>
      </x:c>
      <x:c r="C1960" s="1" t="n">
        <x:f>Source!C1954</x:f>
        <x:v>117</x:v>
      </x:c>
      <x:c r="D1960" s="8" t="n">
        <x:f>Source!D1954/100</x:f>
        <x:v>92.13</x:v>
      </x:c>
      <x:c r="E1960" s="8" t="n">
        <x:f>Source!E1954/100</x:f>
        <x:v>184.26</x:v>
      </x:c>
      <x:c r="F1960" s="8" t="n">
        <x:f>Source!F1954/100</x:f>
        <x:v>0</x:v>
      </x:c>
      <x:c r="G1960" s="8" t="n">
        <x:f>Source!G1954/100</x:f>
        <x:v>184.26</x:v>
      </x:c>
      <x:c r="H1960" s="8" t="n">
        <x:f>G1960-D1960</x:f>
        <x:v>92.13</x:v>
      </x:c>
      <x:c r="I1960" s="1" t="str">
        <x:f>IF(H1960&gt;0,"Overbilled","Shortfall")</x:f>
        <x:v>Overbilled</x:v>
      </x:c>
      <x:c r="J1960" s="7"/>
      <x:c r="K1960" s="7" t="str">
        <x:v>Open</x:v>
      </x:c>
      <x:c r="L1960" s="7"/>
    </x:row>
    <x:row r="1961" ht="21" customHeight="1">
      <x:c r="A1961" s="1" t="str">
        <x:f>Source!A1955</x:f>
        <x:v>C0012581</x:v>
      </x:c>
      <x:c r="B1961" s="1" t="str">
        <x:f>_xlfn.IFNA(VLOOKUP(Source!B1955,Advertisers!$A$5:$B$34,2,FALSE),"Missing advertiser")</x:f>
        <x:v>Synthetic advertiser 27</x:v>
      </x:c>
      <x:c r="C1961" s="1" t="n">
        <x:f>Source!C1955</x:f>
        <x:v>117</x:v>
      </x:c>
      <x:c r="D1961" s="8" t="n">
        <x:f>Source!D1955/100</x:f>
        <x:v>0</x:v>
      </x:c>
      <x:c r="E1961" s="8" t="n">
        <x:f>Source!E1955/100</x:f>
        <x:v>92.13</x:v>
      </x:c>
      <x:c r="F1961" s="8" t="n">
        <x:f>Source!F1955/100</x:f>
        <x:v>0</x:v>
      </x:c>
      <x:c r="G1961" s="8" t="n">
        <x:f>Source!G1955/100</x:f>
        <x:v>92.13</x:v>
      </x:c>
      <x:c r="H1961" s="8" t="n">
        <x:f>G1961-D1961</x:f>
        <x:v>92.13</x:v>
      </x:c>
      <x:c r="I1961" s="1" t="str">
        <x:f>IF(H1961&gt;0,"Overbilled","Shortfall")</x:f>
        <x:v>Overbilled</x:v>
      </x:c>
      <x:c r="J1961" s="7"/>
      <x:c r="K1961" s="7" t="str">
        <x:v>Open</x:v>
      </x:c>
      <x:c r="L1961" s="7"/>
    </x:row>
    <x:row r="1962" ht="21" customHeight="1">
      <x:c r="A1962" s="1" t="str">
        <x:f>Source!A1956</x:f>
        <x:v>C0011418</x:v>
      </x:c>
      <x:c r="B1962" s="1" t="str">
        <x:f>_xlfn.IFNA(VLOOKUP(Source!B1956,Advertisers!$A$5:$B$34,2,FALSE),"Missing advertiser")</x:f>
        <x:v>Synthetic advertiser 27</x:v>
      </x:c>
      <x:c r="C1962" s="1" t="n">
        <x:f>Source!C1956</x:f>
        <x:v>87</x:v>
      </x:c>
      <x:c r="D1962" s="8" t="n">
        <x:f>Source!D1956/100</x:f>
        <x:v>91.4</x:v>
      </x:c>
      <x:c r="E1962" s="8" t="n">
        <x:f>Source!E1956/100</x:f>
        <x:v>0</x:v>
      </x:c>
      <x:c r="F1962" s="8" t="n">
        <x:f>Source!F1956/100</x:f>
        <x:v>0</x:v>
      </x:c>
      <x:c r="G1962" s="8" t="n">
        <x:f>Source!G1956/100</x:f>
        <x:v>0</x:v>
      </x:c>
      <x:c r="H1962" s="8" t="n">
        <x:f>G1962-D1962</x:f>
        <x:v>-91.4</x:v>
      </x:c>
      <x:c r="I1962" s="1" t="str">
        <x:f>IF(H1962&gt;0,"Overbilled","Shortfall")</x:f>
        <x:v>Shortfall</x:v>
      </x:c>
      <x:c r="J1962" s="7"/>
      <x:c r="K1962" s="7" t="str">
        <x:v>Open</x:v>
      </x:c>
      <x:c r="L1962" s="7"/>
    </x:row>
    <x:row r="1963" ht="21" customHeight="1">
      <x:c r="A1963" s="1" t="str">
        <x:f>Source!A1957</x:f>
        <x:v>C0007955</x:v>
      </x:c>
      <x:c r="B1963" s="1" t="str">
        <x:f>_xlfn.IFNA(VLOOKUP(Source!B1957,Advertisers!$A$5:$B$34,2,FALSE),"Missing advertiser")</x:f>
        <x:v>Synthetic advertiser 27</x:v>
      </x:c>
      <x:c r="C1963" s="1" t="n">
        <x:f>Source!C1957</x:f>
        <x:v>87</x:v>
      </x:c>
      <x:c r="D1963" s="8" t="n">
        <x:f>Source!D1957/100</x:f>
        <x:v>91.4</x:v>
      </x:c>
      <x:c r="E1963" s="8" t="n">
        <x:f>Source!E1957/100</x:f>
        <x:v>0</x:v>
      </x:c>
      <x:c r="F1963" s="8" t="n">
        <x:f>Source!F1957/100</x:f>
        <x:v>0</x:v>
      </x:c>
      <x:c r="G1963" s="8" t="n">
        <x:f>Source!G1957/100</x:f>
        <x:v>0</x:v>
      </x:c>
      <x:c r="H1963" s="8" t="n">
        <x:f>G1963-D1963</x:f>
        <x:v>-91.4</x:v>
      </x:c>
      <x:c r="I1963" s="1" t="str">
        <x:f>IF(H1963&gt;0,"Overbilled","Shortfall")</x:f>
        <x:v>Shortfall</x:v>
      </x:c>
      <x:c r="J1963" s="7"/>
      <x:c r="K1963" s="7" t="str">
        <x:v>Open</x:v>
      </x:c>
      <x:c r="L1963" s="7"/>
    </x:row>
    <x:row r="1964" ht="21" customHeight="1">
      <x:c r="A1964" s="1" t="str">
        <x:f>Source!A1958</x:f>
        <x:v>C0010902</x:v>
      </x:c>
      <x:c r="B1964" s="1" t="str">
        <x:f>_xlfn.IFNA(VLOOKUP(Source!B1958,Advertisers!$A$5:$B$34,2,FALSE),"Missing advertiser")</x:f>
        <x:v>Synthetic advertiser 27</x:v>
      </x:c>
      <x:c r="C1964" s="1" t="n">
        <x:f>Source!C1958</x:f>
        <x:v>87</x:v>
      </x:c>
      <x:c r="D1964" s="8" t="n">
        <x:f>Source!D1958/100</x:f>
        <x:v>91.4</x:v>
      </x:c>
      <x:c r="E1964" s="8" t="n">
        <x:f>Source!E1958/100</x:f>
        <x:v>0</x:v>
      </x:c>
      <x:c r="F1964" s="8" t="n">
        <x:f>Source!F1958/100</x:f>
        <x:v>0</x:v>
      </x:c>
      <x:c r="G1964" s="8" t="n">
        <x:f>Source!G1958/100</x:f>
        <x:v>0</x:v>
      </x:c>
      <x:c r="H1964" s="8" t="n">
        <x:f>G1964-D1964</x:f>
        <x:v>-91.4</x:v>
      </x:c>
      <x:c r="I1964" s="1" t="str">
        <x:f>IF(H1964&gt;0,"Overbilled","Shortfall")</x:f>
        <x:v>Shortfall</x:v>
      </x:c>
      <x:c r="J1964" s="7"/>
      <x:c r="K1964" s="7" t="str">
        <x:v>Open</x:v>
      </x:c>
      <x:c r="L1964" s="7"/>
    </x:row>
    <x:row r="1965" ht="21" customHeight="1">
      <x:c r="A1965" s="1" t="str">
        <x:f>Source!A1959</x:f>
        <x:v>C0012574</x:v>
      </x:c>
      <x:c r="B1965" s="1" t="str">
        <x:f>_xlfn.IFNA(VLOOKUP(Source!B1959,Advertisers!$A$5:$B$34,2,FALSE),"Missing advertiser")</x:f>
        <x:v>Synthetic advertiser 9</x:v>
      </x:c>
      <x:c r="C1965" s="1" t="n">
        <x:f>Source!C1959</x:f>
        <x:v>39</x:v>
      </x:c>
      <x:c r="D1965" s="8" t="n">
        <x:f>Source!D1959/100</x:f>
        <x:v>90.47</x:v>
      </x:c>
      <x:c r="E1965" s="8" t="n">
        <x:f>Source!E1959/100</x:f>
        <x:v>180.94</x:v>
      </x:c>
      <x:c r="F1965" s="8" t="n">
        <x:f>Source!F1959/100</x:f>
        <x:v>0</x:v>
      </x:c>
      <x:c r="G1965" s="8" t="n">
        <x:f>Source!G1959/100</x:f>
        <x:v>180.94</x:v>
      </x:c>
      <x:c r="H1965" s="8" t="n">
        <x:f>G1965-D1965</x:f>
        <x:v>90.47</x:v>
      </x:c>
      <x:c r="I1965" s="1" t="str">
        <x:f>IF(H1965&gt;0,"Overbilled","Shortfall")</x:f>
        <x:v>Overbilled</x:v>
      </x:c>
      <x:c r="J1965" s="7"/>
      <x:c r="K1965" s="7" t="str">
        <x:v>Open</x:v>
      </x:c>
      <x:c r="L1965" s="7"/>
    </x:row>
    <x:row r="1966" ht="21" customHeight="1">
      <x:c r="A1966" s="1" t="str">
        <x:f>Source!A1960</x:f>
        <x:v>C0013952</x:v>
      </x:c>
      <x:c r="B1966" s="1" t="str">
        <x:f>_xlfn.IFNA(VLOOKUP(Source!B1960,Advertisers!$A$5:$B$34,2,FALSE),"Missing advertiser")</x:f>
        <x:v>Synthetic advertiser 9</x:v>
      </x:c>
      <x:c r="C1966" s="1" t="n">
        <x:f>Source!C1960</x:f>
        <x:v>39</x:v>
      </x:c>
      <x:c r="D1966" s="8" t="n">
        <x:f>Source!D1960/100</x:f>
        <x:v>90.47</x:v>
      </x:c>
      <x:c r="E1966" s="8" t="n">
        <x:f>Source!E1960/100</x:f>
        <x:v>180.94</x:v>
      </x:c>
      <x:c r="F1966" s="8" t="n">
        <x:f>Source!F1960/100</x:f>
        <x:v>0</x:v>
      </x:c>
      <x:c r="G1966" s="8" t="n">
        <x:f>Source!G1960/100</x:f>
        <x:v>180.94</x:v>
      </x:c>
      <x:c r="H1966" s="8" t="n">
        <x:f>G1966-D1966</x:f>
        <x:v>90.47</x:v>
      </x:c>
      <x:c r="I1966" s="1" t="str">
        <x:f>IF(H1966&gt;0,"Overbilled","Shortfall")</x:f>
        <x:v>Overbilled</x:v>
      </x:c>
      <x:c r="J1966" s="7"/>
      <x:c r="K1966" s="7" t="str">
        <x:v>Open</x:v>
      </x:c>
      <x:c r="L1966" s="7"/>
    </x:row>
    <x:row r="1967" ht="21" customHeight="1">
      <x:c r="A1967" s="1" t="str">
        <x:f>Source!A1961</x:f>
        <x:v>C0012290</x:v>
      </x:c>
      <x:c r="B1967" s="1" t="str">
        <x:f>_xlfn.IFNA(VLOOKUP(Source!B1961,Advertisers!$A$5:$B$34,2,FALSE),"Missing advertiser")</x:f>
        <x:v>Synthetic advertiser 9</x:v>
      </x:c>
      <x:c r="C1967" s="1" t="n">
        <x:f>Source!C1961</x:f>
        <x:v>39</x:v>
      </x:c>
      <x:c r="D1967" s="8" t="n">
        <x:f>Source!D1961/100</x:f>
        <x:v>90.47</x:v>
      </x:c>
      <x:c r="E1967" s="8" t="n">
        <x:f>Source!E1961/100</x:f>
        <x:v>0</x:v>
      </x:c>
      <x:c r="F1967" s="8" t="n">
        <x:f>Source!F1961/100</x:f>
        <x:v>0</x:v>
      </x:c>
      <x:c r="G1967" s="8" t="n">
        <x:f>Source!G1961/100</x:f>
        <x:v>0</x:v>
      </x:c>
      <x:c r="H1967" s="8" t="n">
        <x:f>G1967-D1967</x:f>
        <x:v>-90.47</x:v>
      </x:c>
      <x:c r="I1967" s="1" t="str">
        <x:f>IF(H1967&gt;0,"Overbilled","Shortfall")</x:f>
        <x:v>Shortfall</x:v>
      </x:c>
      <x:c r="J1967" s="7"/>
      <x:c r="K1967" s="7" t="str">
        <x:v>Open</x:v>
      </x:c>
      <x:c r="L1967" s="7"/>
    </x:row>
    <x:row r="1968" ht="21" customHeight="1">
      <x:c r="A1968" s="1" t="str">
        <x:f>Source!A1962</x:f>
        <x:v>C0007894</x:v>
      </x:c>
      <x:c r="B1968" s="1" t="str">
        <x:f>_xlfn.IFNA(VLOOKUP(Source!B1962,Advertisers!$A$5:$B$34,2,FALSE),"Missing advertiser")</x:f>
        <x:v>Synthetic advertiser 9</x:v>
      </x:c>
      <x:c r="C1968" s="1" t="n">
        <x:f>Source!C1962</x:f>
        <x:v>39</x:v>
      </x:c>
      <x:c r="D1968" s="8" t="n">
        <x:f>Source!D1962/100</x:f>
        <x:v>90.47</x:v>
      </x:c>
      <x:c r="E1968" s="8" t="n">
        <x:f>Source!E1962/100</x:f>
        <x:v>180.94</x:v>
      </x:c>
      <x:c r="F1968" s="8" t="n">
        <x:f>Source!F1962/100</x:f>
        <x:v>0</x:v>
      </x:c>
      <x:c r="G1968" s="8" t="n">
        <x:f>Source!G1962/100</x:f>
        <x:v>180.94</x:v>
      </x:c>
      <x:c r="H1968" s="8" t="n">
        <x:f>G1968-D1968</x:f>
        <x:v>90.47</x:v>
      </x:c>
      <x:c r="I1968" s="1" t="str">
        <x:f>IF(H1968&gt;0,"Overbilled","Shortfall")</x:f>
        <x:v>Overbilled</x:v>
      </x:c>
      <x:c r="J1968" s="7"/>
      <x:c r="K1968" s="7" t="str">
        <x:v>Open</x:v>
      </x:c>
      <x:c r="L1968" s="7"/>
    </x:row>
    <x:row r="1969" ht="21" customHeight="1">
      <x:c r="A1969" s="1" t="str">
        <x:f>Source!A1963</x:f>
        <x:v>C0000115</x:v>
      </x:c>
      <x:c r="B1969" s="1" t="str">
        <x:f>_xlfn.IFNA(VLOOKUP(Source!B1963,Advertisers!$A$5:$B$34,2,FALSE),"Missing advertiser")</x:f>
        <x:v>Synthetic advertiser 9</x:v>
      </x:c>
      <x:c r="C1969" s="1" t="n">
        <x:f>Source!C1963</x:f>
        <x:v>39</x:v>
      </x:c>
      <x:c r="D1969" s="8" t="n">
        <x:f>Source!D1963/100</x:f>
        <x:v>90.47</x:v>
      </x:c>
      <x:c r="E1969" s="8" t="n">
        <x:f>Source!E1963/100</x:f>
        <x:v>180.94</x:v>
      </x:c>
      <x:c r="F1969" s="8" t="n">
        <x:f>Source!F1963/100</x:f>
        <x:v>0</x:v>
      </x:c>
      <x:c r="G1969" s="8" t="n">
        <x:f>Source!G1963/100</x:f>
        <x:v>180.94</x:v>
      </x:c>
      <x:c r="H1969" s="8" t="n">
        <x:f>G1969-D1969</x:f>
        <x:v>90.47</x:v>
      </x:c>
      <x:c r="I1969" s="1" t="str">
        <x:f>IF(H1969&gt;0,"Overbilled","Shortfall")</x:f>
        <x:v>Overbilled</x:v>
      </x:c>
      <x:c r="J1969" s="7"/>
      <x:c r="K1969" s="7" t="str">
        <x:v>Open</x:v>
      </x:c>
      <x:c r="L1969" s="7"/>
    </x:row>
    <x:row r="1970" ht="21" customHeight="1">
      <x:c r="A1970" s="1" t="str">
        <x:f>Source!A1964</x:f>
        <x:v>C0014075</x:v>
      </x:c>
      <x:c r="B1970" s="1" t="str">
        <x:f>_xlfn.IFNA(VLOOKUP(Source!B1964,Advertisers!$A$5:$B$34,2,FALSE),"Missing advertiser")</x:f>
        <x:v>Synthetic advertiser 6</x:v>
      </x:c>
      <x:c r="C1970" s="1" t="n">
        <x:f>Source!C1964</x:f>
        <x:v>6</x:v>
      </x:c>
      <x:c r="D1970" s="8" t="n">
        <x:f>Source!D1964/100</x:f>
        <x:v>89.98</x:v>
      </x:c>
      <x:c r="E1970" s="8" t="n">
        <x:f>Source!E1964/100</x:f>
        <x:v>179.96</x:v>
      </x:c>
      <x:c r="F1970" s="8" t="n">
        <x:f>Source!F1964/100</x:f>
        <x:v>0</x:v>
      </x:c>
      <x:c r="G1970" s="8" t="n">
        <x:f>Source!G1964/100</x:f>
        <x:v>179.96</x:v>
      </x:c>
      <x:c r="H1970" s="8" t="n">
        <x:f>G1970-D1970</x:f>
        <x:v>89.98</x:v>
      </x:c>
      <x:c r="I1970" s="1" t="str">
        <x:f>IF(H1970&gt;0,"Overbilled","Shortfall")</x:f>
        <x:v>Overbilled</x:v>
      </x:c>
      <x:c r="J1970" s="7"/>
      <x:c r="K1970" s="7" t="str">
        <x:v>Open</x:v>
      </x:c>
      <x:c r="L1970" s="7"/>
    </x:row>
    <x:row r="1971" ht="21" customHeight="1">
      <x:c r="A1971" s="1" t="str">
        <x:f>Source!A1965</x:f>
        <x:v>C0007109</x:v>
      </x:c>
      <x:c r="B1971" s="1" t="str">
        <x:f>_xlfn.IFNA(VLOOKUP(Source!B1965,Advertisers!$A$5:$B$34,2,FALSE),"Missing advertiser")</x:f>
        <x:v>Synthetic advertiser 6</x:v>
      </x:c>
      <x:c r="C1971" s="1" t="n">
        <x:f>Source!C1965</x:f>
        <x:v>6</x:v>
      </x:c>
      <x:c r="D1971" s="8" t="n">
        <x:f>Source!D1965/100</x:f>
        <x:v>89.98</x:v>
      </x:c>
      <x:c r="E1971" s="8" t="n">
        <x:f>Source!E1965/100</x:f>
        <x:v>0</x:v>
      </x:c>
      <x:c r="F1971" s="8" t="n">
        <x:f>Source!F1965/100</x:f>
        <x:v>0</x:v>
      </x:c>
      <x:c r="G1971" s="8" t="n">
        <x:f>Source!G1965/100</x:f>
        <x:v>0</x:v>
      </x:c>
      <x:c r="H1971" s="8" t="n">
        <x:f>G1971-D1971</x:f>
        <x:v>-89.98</x:v>
      </x:c>
      <x:c r="I1971" s="1" t="str">
        <x:f>IF(H1971&gt;0,"Overbilled","Shortfall")</x:f>
        <x:v>Shortfall</x:v>
      </x:c>
      <x:c r="J1971" s="7"/>
      <x:c r="K1971" s="7" t="str">
        <x:v>Open</x:v>
      </x:c>
      <x:c r="L1971" s="7"/>
    </x:row>
    <x:row r="1972" ht="21" customHeight="1">
      <x:c r="A1972" s="1" t="str">
        <x:f>Source!A1966</x:f>
        <x:v>C0013353</x:v>
      </x:c>
      <x:c r="B1972" s="1" t="str">
        <x:f>_xlfn.IFNA(VLOOKUP(Source!B1966,Advertisers!$A$5:$B$34,2,FALSE),"Missing advertiser")</x:f>
        <x:v>Synthetic advertiser 6</x:v>
      </x:c>
      <x:c r="C1972" s="1" t="n">
        <x:f>Source!C1966</x:f>
        <x:v>6</x:v>
      </x:c>
      <x:c r="D1972" s="8" t="n">
        <x:f>Source!D1966/100</x:f>
        <x:v>89.98</x:v>
      </x:c>
      <x:c r="E1972" s="8" t="n">
        <x:f>Source!E1966/100</x:f>
        <x:v>179.96</x:v>
      </x:c>
      <x:c r="F1972" s="8" t="n">
        <x:f>Source!F1966/100</x:f>
        <x:v>0</x:v>
      </x:c>
      <x:c r="G1972" s="8" t="n">
        <x:f>Source!G1966/100</x:f>
        <x:v>179.96</x:v>
      </x:c>
      <x:c r="H1972" s="8" t="n">
        <x:f>G1972-D1972</x:f>
        <x:v>89.98</x:v>
      </x:c>
      <x:c r="I1972" s="1" t="str">
        <x:f>IF(H1972&gt;0,"Overbilled","Shortfall")</x:f>
        <x:v>Overbilled</x:v>
      </x:c>
      <x:c r="J1972" s="7"/>
      <x:c r="K1972" s="7" t="str">
        <x:v>Open</x:v>
      </x:c>
      <x:c r="L1972" s="7"/>
    </x:row>
    <x:row r="1973" ht="21" customHeight="1">
      <x:c r="A1973" s="1" t="str">
        <x:f>Source!A1967</x:f>
        <x:v>C0012832</x:v>
      </x:c>
      <x:c r="B1973" s="1" t="str">
        <x:f>_xlfn.IFNA(VLOOKUP(Source!B1967,Advertisers!$A$5:$B$34,2,FALSE),"Missing advertiser")</x:f>
        <x:v>Synthetic advertiser 6</x:v>
      </x:c>
      <x:c r="C1973" s="1" t="n">
        <x:f>Source!C1967</x:f>
        <x:v>6</x:v>
      </x:c>
      <x:c r="D1973" s="8" t="n">
        <x:f>Source!D1967/100</x:f>
        <x:v>0</x:v>
      </x:c>
      <x:c r="E1973" s="8" t="n">
        <x:f>Source!E1967/100</x:f>
        <x:v>89.98</x:v>
      </x:c>
      <x:c r="F1973" s="8" t="n">
        <x:f>Source!F1967/100</x:f>
        <x:v>0</x:v>
      </x:c>
      <x:c r="G1973" s="8" t="n">
        <x:f>Source!G1967/100</x:f>
        <x:v>89.98</x:v>
      </x:c>
      <x:c r="H1973" s="8" t="n">
        <x:f>G1973-D1973</x:f>
        <x:v>89.98</x:v>
      </x:c>
      <x:c r="I1973" s="1" t="str">
        <x:f>IF(H1973&gt;0,"Overbilled","Shortfall")</x:f>
        <x:v>Overbilled</x:v>
      </x:c>
      <x:c r="J1973" s="7"/>
      <x:c r="K1973" s="7" t="str">
        <x:v>Open</x:v>
      </x:c>
      <x:c r="L1973" s="7"/>
    </x:row>
    <x:row r="1974" ht="21" customHeight="1">
      <x:c r="A1974" s="1" t="str">
        <x:f>Source!A1968</x:f>
        <x:v>C0015572</x:v>
      </x:c>
      <x:c r="B1974" s="1" t="str">
        <x:f>_xlfn.IFNA(VLOOKUP(Source!B1968,Advertisers!$A$5:$B$34,2,FALSE),"Missing advertiser")</x:f>
        <x:v>Synthetic advertiser 6</x:v>
      </x:c>
      <x:c r="C1974" s="1" t="n">
        <x:f>Source!C1968</x:f>
        <x:v>6</x:v>
      </x:c>
      <x:c r="D1974" s="8" t="n">
        <x:f>Source!D1968/100</x:f>
        <x:v>89.98</x:v>
      </x:c>
      <x:c r="E1974" s="8" t="n">
        <x:f>Source!E1968/100</x:f>
        <x:v>179.96</x:v>
      </x:c>
      <x:c r="F1974" s="8" t="n">
        <x:f>Source!F1968/100</x:f>
        <x:v>0</x:v>
      </x:c>
      <x:c r="G1974" s="8" t="n">
        <x:f>Source!G1968/100</x:f>
        <x:v>179.96</x:v>
      </x:c>
      <x:c r="H1974" s="8" t="n">
        <x:f>G1974-D1974</x:f>
        <x:v>89.98</x:v>
      </x:c>
      <x:c r="I1974" s="1" t="str">
        <x:f>IF(H1974&gt;0,"Overbilled","Shortfall")</x:f>
        <x:v>Overbilled</x:v>
      </x:c>
      <x:c r="J1974" s="7"/>
      <x:c r="K1974" s="7" t="str">
        <x:v>Open</x:v>
      </x:c>
      <x:c r="L1974" s="7"/>
    </x:row>
    <x:row r="1975" ht="21" customHeight="1">
      <x:c r="A1975" s="1" t="str">
        <x:f>Source!A1969</x:f>
        <x:v>C0007373</x:v>
      </x:c>
      <x:c r="B1975" s="1" t="str">
        <x:f>_xlfn.IFNA(VLOOKUP(Source!B1969,Advertisers!$A$5:$B$34,2,FALSE),"Missing advertiser")</x:f>
        <x:v>Synthetic advertiser 6</x:v>
      </x:c>
      <x:c r="C1975" s="1" t="n">
        <x:f>Source!C1969</x:f>
        <x:v>6</x:v>
      </x:c>
      <x:c r="D1975" s="8" t="n">
        <x:f>Source!D1969/100</x:f>
        <x:v>89.98</x:v>
      </x:c>
      <x:c r="E1975" s="8" t="n">
        <x:f>Source!E1969/100</x:f>
        <x:v>0</x:v>
      </x:c>
      <x:c r="F1975" s="8" t="n">
        <x:f>Source!F1969/100</x:f>
        <x:v>0</x:v>
      </x:c>
      <x:c r="G1975" s="8" t="n">
        <x:f>Source!G1969/100</x:f>
        <x:v>0</x:v>
      </x:c>
      <x:c r="H1975" s="8" t="n">
        <x:f>G1975-D1975</x:f>
        <x:v>-89.98</x:v>
      </x:c>
      <x:c r="I1975" s="1" t="str">
        <x:f>IF(H1975&gt;0,"Overbilled","Shortfall")</x:f>
        <x:v>Shortfall</x:v>
      </x:c>
      <x:c r="J1975" s="7"/>
      <x:c r="K1975" s="7" t="str">
        <x:v>Open</x:v>
      </x:c>
      <x:c r="L1975" s="7"/>
    </x:row>
    <x:row r="1976" ht="21" customHeight="1">
      <x:c r="A1976" s="1" t="str">
        <x:f>Source!A1970</x:f>
        <x:v>C0010701</x:v>
      </x:c>
      <x:c r="B1976" s="1" t="str">
        <x:f>_xlfn.IFNA(VLOOKUP(Source!B1970,Advertisers!$A$5:$B$34,2,FALSE),"Missing advertiser")</x:f>
        <x:v>Synthetic advertiser 6</x:v>
      </x:c>
      <x:c r="C1976" s="1" t="n">
        <x:f>Source!C1970</x:f>
        <x:v>6</x:v>
      </x:c>
      <x:c r="D1976" s="8" t="n">
        <x:f>Source!D1970/100</x:f>
        <x:v>89.98</x:v>
      </x:c>
      <x:c r="E1976" s="8" t="n">
        <x:f>Source!E1970/100</x:f>
        <x:v>0</x:v>
      </x:c>
      <x:c r="F1976" s="8" t="n">
        <x:f>Source!F1970/100</x:f>
        <x:v>0</x:v>
      </x:c>
      <x:c r="G1976" s="8" t="n">
        <x:f>Source!G1970/100</x:f>
        <x:v>0</x:v>
      </x:c>
      <x:c r="H1976" s="8" t="n">
        <x:f>G1976-D1976</x:f>
        <x:v>-89.98</x:v>
      </x:c>
      <x:c r="I1976" s="1" t="str">
        <x:f>IF(H1976&gt;0,"Overbilled","Shortfall")</x:f>
        <x:v>Shortfall</x:v>
      </x:c>
      <x:c r="J1976" s="7"/>
      <x:c r="K1976" s="7" t="str">
        <x:v>Open</x:v>
      </x:c>
      <x:c r="L1976" s="7"/>
    </x:row>
    <x:row r="1977" ht="21" customHeight="1">
      <x:c r="A1977" s="1" t="str">
        <x:f>Source!A1971</x:f>
        <x:v>C0010383</x:v>
      </x:c>
      <x:c r="B1977" s="1" t="str">
        <x:f>_xlfn.IFNA(VLOOKUP(Source!B1971,Advertisers!$A$5:$B$34,2,FALSE),"Missing advertiser")</x:f>
        <x:v>Synthetic advertiser 6</x:v>
      </x:c>
      <x:c r="C1977" s="1" t="n">
        <x:f>Source!C1971</x:f>
        <x:v>6</x:v>
      </x:c>
      <x:c r="D1977" s="8" t="n">
        <x:f>Source!D1971/100</x:f>
        <x:v>89.98</x:v>
      </x:c>
      <x:c r="E1977" s="8" t="n">
        <x:f>Source!E1971/100</x:f>
        <x:v>0</x:v>
      </x:c>
      <x:c r="F1977" s="8" t="n">
        <x:f>Source!F1971/100</x:f>
        <x:v>0</x:v>
      </x:c>
      <x:c r="G1977" s="8" t="n">
        <x:f>Source!G1971/100</x:f>
        <x:v>0</x:v>
      </x:c>
      <x:c r="H1977" s="8" t="n">
        <x:f>G1977-D1977</x:f>
        <x:v>-89.98</x:v>
      </x:c>
      <x:c r="I1977" s="1" t="str">
        <x:f>IF(H1977&gt;0,"Overbilled","Shortfall")</x:f>
        <x:v>Shortfall</x:v>
      </x:c>
      <x:c r="J1977" s="7"/>
      <x:c r="K1977" s="7" t="str">
        <x:v>Open</x:v>
      </x:c>
      <x:c r="L1977" s="7"/>
    </x:row>
    <x:row r="1978" ht="21" customHeight="1">
      <x:c r="A1978" s="1" t="str">
        <x:f>Source!A1972</x:f>
        <x:v>C0006441</x:v>
      </x:c>
      <x:c r="B1978" s="1" t="str">
        <x:f>_xlfn.IFNA(VLOOKUP(Source!B1972,Advertisers!$A$5:$B$34,2,FALSE),"Missing advertiser")</x:f>
        <x:v>Synthetic advertiser 29</x:v>
      </x:c>
      <x:c r="C1978" s="1" t="n">
        <x:f>Source!C1972</x:f>
        <x:v>59</x:v>
      </x:c>
      <x:c r="D1978" s="8" t="n">
        <x:f>Source!D1972/100</x:f>
        <x:v>89.39</x:v>
      </x:c>
      <x:c r="E1978" s="8" t="n">
        <x:f>Source!E1972/100</x:f>
        <x:v>0</x:v>
      </x:c>
      <x:c r="F1978" s="8" t="n">
        <x:f>Source!F1972/100</x:f>
        <x:v>0</x:v>
      </x:c>
      <x:c r="G1978" s="8" t="n">
        <x:f>Source!G1972/100</x:f>
        <x:v>0</x:v>
      </x:c>
      <x:c r="H1978" s="8" t="n">
        <x:f>G1978-D1978</x:f>
        <x:v>-89.39</x:v>
      </x:c>
      <x:c r="I1978" s="1" t="str">
        <x:f>IF(H1978&gt;0,"Overbilled","Shortfall")</x:f>
        <x:v>Shortfall</x:v>
      </x:c>
      <x:c r="J1978" s="7"/>
      <x:c r="K1978" s="7" t="str">
        <x:v>Open</x:v>
      </x:c>
      <x:c r="L1978" s="7"/>
    </x:row>
    <x:row r="1979" ht="21" customHeight="1">
      <x:c r="A1979" s="1" t="str">
        <x:f>Source!A1973</x:f>
        <x:v>C0004780</x:v>
      </x:c>
      <x:c r="B1979" s="1" t="str">
        <x:f>_xlfn.IFNA(VLOOKUP(Source!B1973,Advertisers!$A$5:$B$34,2,FALSE),"Missing advertiser")</x:f>
        <x:v>Synthetic advertiser 29</x:v>
      </x:c>
      <x:c r="C1979" s="1" t="n">
        <x:f>Source!C1973</x:f>
        <x:v>59</x:v>
      </x:c>
      <x:c r="D1979" s="8" t="n">
        <x:f>Source!D1973/100</x:f>
        <x:v>89.39</x:v>
      </x:c>
      <x:c r="E1979" s="8" t="n">
        <x:f>Source!E1973/100</x:f>
        <x:v>0</x:v>
      </x:c>
      <x:c r="F1979" s="8" t="n">
        <x:f>Source!F1973/100</x:f>
        <x:v>0</x:v>
      </x:c>
      <x:c r="G1979" s="8" t="n">
        <x:f>Source!G1973/100</x:f>
        <x:v>0</x:v>
      </x:c>
      <x:c r="H1979" s="8" t="n">
        <x:f>G1979-D1979</x:f>
        <x:v>-89.39</x:v>
      </x:c>
      <x:c r="I1979" s="1" t="str">
        <x:f>IF(H1979&gt;0,"Overbilled","Shortfall")</x:f>
        <x:v>Shortfall</x:v>
      </x:c>
      <x:c r="J1979" s="7"/>
      <x:c r="K1979" s="7" t="str">
        <x:v>Open</x:v>
      </x:c>
      <x:c r="L1979" s="7"/>
    </x:row>
    <x:row r="1980" ht="21" customHeight="1">
      <x:c r="A1980" s="1" t="str">
        <x:f>Source!A1974</x:f>
        <x:v>C0008189</x:v>
      </x:c>
      <x:c r="B1980" s="1" t="str">
        <x:f>_xlfn.IFNA(VLOOKUP(Source!B1974,Advertisers!$A$5:$B$34,2,FALSE),"Missing advertiser")</x:f>
        <x:v>Synthetic advertiser 29</x:v>
      </x:c>
      <x:c r="C1980" s="1" t="n">
        <x:f>Source!C1974</x:f>
        <x:v>59</x:v>
      </x:c>
      <x:c r="D1980" s="8" t="n">
        <x:f>Source!D1974/100</x:f>
        <x:v>89.39</x:v>
      </x:c>
      <x:c r="E1980" s="8" t="n">
        <x:f>Source!E1974/100</x:f>
        <x:v>0</x:v>
      </x:c>
      <x:c r="F1980" s="8" t="n">
        <x:f>Source!F1974/100</x:f>
        <x:v>0</x:v>
      </x:c>
      <x:c r="G1980" s="8" t="n">
        <x:f>Source!G1974/100</x:f>
        <x:v>0</x:v>
      </x:c>
      <x:c r="H1980" s="8" t="n">
        <x:f>G1980-D1980</x:f>
        <x:v>-89.39</x:v>
      </x:c>
      <x:c r="I1980" s="1" t="str">
        <x:f>IF(H1980&gt;0,"Overbilled","Shortfall")</x:f>
        <x:v>Shortfall</x:v>
      </x:c>
      <x:c r="J1980" s="7"/>
      <x:c r="K1980" s="7" t="str">
        <x:v>Open</x:v>
      </x:c>
      <x:c r="L1980" s="7"/>
    </x:row>
    <x:row r="1981" ht="21" customHeight="1">
      <x:c r="A1981" s="1" t="str">
        <x:f>Source!A1975</x:f>
        <x:v>C0003699</x:v>
      </x:c>
      <x:c r="B1981" s="1" t="str">
        <x:f>_xlfn.IFNA(VLOOKUP(Source!B1975,Advertisers!$A$5:$B$34,2,FALSE),"Missing advertiser")</x:f>
        <x:v>Synthetic advertiser 29</x:v>
      </x:c>
      <x:c r="C1981" s="1" t="n">
        <x:f>Source!C1975</x:f>
        <x:v>59</x:v>
      </x:c>
      <x:c r="D1981" s="8" t="n">
        <x:f>Source!D1975/100</x:f>
        <x:v>0</x:v>
      </x:c>
      <x:c r="E1981" s="8" t="n">
        <x:f>Source!E1975/100</x:f>
        <x:v>89.39</x:v>
      </x:c>
      <x:c r="F1981" s="8" t="n">
        <x:f>Source!F1975/100</x:f>
        <x:v>0</x:v>
      </x:c>
      <x:c r="G1981" s="8" t="n">
        <x:f>Source!G1975/100</x:f>
        <x:v>89.39</x:v>
      </x:c>
      <x:c r="H1981" s="8" t="n">
        <x:f>G1981-D1981</x:f>
        <x:v>89.39</x:v>
      </x:c>
      <x:c r="I1981" s="1" t="str">
        <x:f>IF(H1981&gt;0,"Overbilled","Shortfall")</x:f>
        <x:v>Overbilled</x:v>
      </x:c>
      <x:c r="J1981" s="7"/>
      <x:c r="K1981" s="7" t="str">
        <x:v>Open</x:v>
      </x:c>
      <x:c r="L1981" s="7"/>
    </x:row>
    <x:row r="1982" ht="21" customHeight="1">
      <x:c r="A1982" s="1" t="str">
        <x:f>Source!A1976</x:f>
        <x:v>C0007624</x:v>
      </x:c>
      <x:c r="B1982" s="1" t="str">
        <x:f>_xlfn.IFNA(VLOOKUP(Source!B1976,Advertisers!$A$5:$B$34,2,FALSE),"Missing advertiser")</x:f>
        <x:v>Synthetic advertiser 7</x:v>
      </x:c>
      <x:c r="C1982" s="1" t="n">
        <x:f>Source!C1976</x:f>
        <x:v>97</x:v>
      </x:c>
      <x:c r="D1982" s="8" t="n">
        <x:f>Source!D1976/100</x:f>
        <x:v>86.47</x:v>
      </x:c>
      <x:c r="E1982" s="8" t="n">
        <x:f>Source!E1976/100</x:f>
        <x:v>0</x:v>
      </x:c>
      <x:c r="F1982" s="8" t="n">
        <x:f>Source!F1976/100</x:f>
        <x:v>0</x:v>
      </x:c>
      <x:c r="G1982" s="8" t="n">
        <x:f>Source!G1976/100</x:f>
        <x:v>0</x:v>
      </x:c>
      <x:c r="H1982" s="8" t="n">
        <x:f>G1982-D1982</x:f>
        <x:v>-86.47</x:v>
      </x:c>
      <x:c r="I1982" s="1" t="str">
        <x:f>IF(H1982&gt;0,"Overbilled","Shortfall")</x:f>
        <x:v>Shortfall</x:v>
      </x:c>
      <x:c r="J1982" s="7"/>
      <x:c r="K1982" s="7" t="str">
        <x:v>Open</x:v>
      </x:c>
      <x:c r="L1982" s="7"/>
    </x:row>
    <x:row r="1983" ht="21" customHeight="1">
      <x:c r="A1983" s="1" t="str">
        <x:f>Source!A1977</x:f>
        <x:v>C0003682</x:v>
      </x:c>
      <x:c r="B1983" s="1" t="str">
        <x:f>_xlfn.IFNA(VLOOKUP(Source!B1977,Advertisers!$A$5:$B$34,2,FALSE),"Missing advertiser")</x:f>
        <x:v>Synthetic advertiser 7</x:v>
      </x:c>
      <x:c r="C1983" s="1" t="n">
        <x:f>Source!C1977</x:f>
        <x:v>97</x:v>
      </x:c>
      <x:c r="D1983" s="8" t="n">
        <x:f>Source!D1977/100</x:f>
        <x:v>86.47</x:v>
      </x:c>
      <x:c r="E1983" s="8" t="n">
        <x:f>Source!E1977/100</x:f>
        <x:v>172.94</x:v>
      </x:c>
      <x:c r="F1983" s="8" t="n">
        <x:f>Source!F1977/100</x:f>
        <x:v>0</x:v>
      </x:c>
      <x:c r="G1983" s="8" t="n">
        <x:f>Source!G1977/100</x:f>
        <x:v>172.94</x:v>
      </x:c>
      <x:c r="H1983" s="8" t="n">
        <x:f>G1983-D1983</x:f>
        <x:v>86.47</x:v>
      </x:c>
      <x:c r="I1983" s="1" t="str">
        <x:f>IF(H1983&gt;0,"Overbilled","Shortfall")</x:f>
        <x:v>Overbilled</x:v>
      </x:c>
      <x:c r="J1983" s="7"/>
      <x:c r="K1983" s="7" t="str">
        <x:v>Open</x:v>
      </x:c>
      <x:c r="L1983" s="7"/>
    </x:row>
    <x:row r="1984" ht="21" customHeight="1">
      <x:c r="A1984" s="1" t="str">
        <x:f>Source!A1978</x:f>
        <x:v>C0001377</x:v>
      </x:c>
      <x:c r="B1984" s="1" t="str">
        <x:f>_xlfn.IFNA(VLOOKUP(Source!B1978,Advertisers!$A$5:$B$34,2,FALSE),"Missing advertiser")</x:f>
        <x:v>Synthetic advertiser 7</x:v>
      </x:c>
      <x:c r="C1984" s="1" t="n">
        <x:f>Source!C1978</x:f>
        <x:v>97</x:v>
      </x:c>
      <x:c r="D1984" s="8" t="n">
        <x:f>Source!D1978/100</x:f>
        <x:v>0</x:v>
      </x:c>
      <x:c r="E1984" s="8" t="n">
        <x:f>Source!E1978/100</x:f>
        <x:v>86.47</x:v>
      </x:c>
      <x:c r="F1984" s="8" t="n">
        <x:f>Source!F1978/100</x:f>
        <x:v>0</x:v>
      </x:c>
      <x:c r="G1984" s="8" t="n">
        <x:f>Source!G1978/100</x:f>
        <x:v>86.47</x:v>
      </x:c>
      <x:c r="H1984" s="8" t="n">
        <x:f>G1984-D1984</x:f>
        <x:v>86.47</x:v>
      </x:c>
      <x:c r="I1984" s="1" t="str">
        <x:f>IF(H1984&gt;0,"Overbilled","Shortfall")</x:f>
        <x:v>Overbilled</x:v>
      </x:c>
      <x:c r="J1984" s="7"/>
      <x:c r="K1984" s="7" t="str">
        <x:v>Open</x:v>
      </x:c>
      <x:c r="L1984" s="7"/>
    </x:row>
    <x:row r="1985" ht="21" customHeight="1">
      <x:c r="A1985" s="1" t="str">
        <x:f>Source!A1979</x:f>
        <x:v>C0011207</x:v>
      </x:c>
      <x:c r="B1985" s="1" t="str">
        <x:f>_xlfn.IFNA(VLOOKUP(Source!B1979,Advertisers!$A$5:$B$34,2,FALSE),"Missing advertiser")</x:f>
        <x:v>Synthetic advertiser 7</x:v>
      </x:c>
      <x:c r="C1985" s="1" t="n">
        <x:f>Source!C1979</x:f>
        <x:v>97</x:v>
      </x:c>
      <x:c r="D1985" s="8" t="n">
        <x:f>Source!D1979/100</x:f>
        <x:v>0</x:v>
      </x:c>
      <x:c r="E1985" s="8" t="n">
        <x:f>Source!E1979/100</x:f>
        <x:v>86.47</x:v>
      </x:c>
      <x:c r="F1985" s="8" t="n">
        <x:f>Source!F1979/100</x:f>
        <x:v>0</x:v>
      </x:c>
      <x:c r="G1985" s="8" t="n">
        <x:f>Source!G1979/100</x:f>
        <x:v>86.47</x:v>
      </x:c>
      <x:c r="H1985" s="8" t="n">
        <x:f>G1985-D1985</x:f>
        <x:v>86.47</x:v>
      </x:c>
      <x:c r="I1985" s="1" t="str">
        <x:f>IF(H1985&gt;0,"Overbilled","Shortfall")</x:f>
        <x:v>Overbilled</x:v>
      </x:c>
      <x:c r="J1985" s="7"/>
      <x:c r="K1985" s="7" t="str">
        <x:v>Open</x:v>
      </x:c>
      <x:c r="L1985" s="7"/>
    </x:row>
    <x:row r="1986" ht="21" customHeight="1">
      <x:c r="A1986" s="1" t="str">
        <x:f>Source!A1980</x:f>
        <x:v>C0017226</x:v>
      </x:c>
      <x:c r="B1986" s="1" t="str">
        <x:f>_xlfn.IFNA(VLOOKUP(Source!B1980,Advertisers!$A$5:$B$34,2,FALSE),"Missing advertiser")</x:f>
        <x:v>Synthetic advertiser 7</x:v>
      </x:c>
      <x:c r="C1986" s="1" t="n">
        <x:f>Source!C1980</x:f>
        <x:v>97</x:v>
      </x:c>
      <x:c r="D1986" s="8" t="n">
        <x:f>Source!D1980/100</x:f>
        <x:v>86.47</x:v>
      </x:c>
      <x:c r="E1986" s="8" t="n">
        <x:f>Source!E1980/100</x:f>
        <x:v>0</x:v>
      </x:c>
      <x:c r="F1986" s="8" t="n">
        <x:f>Source!F1980/100</x:f>
        <x:v>0</x:v>
      </x:c>
      <x:c r="G1986" s="8" t="n">
        <x:f>Source!G1980/100</x:f>
        <x:v>0</x:v>
      </x:c>
      <x:c r="H1986" s="8" t="n">
        <x:f>G1986-D1986</x:f>
        <x:v>-86.47</x:v>
      </x:c>
      <x:c r="I1986" s="1" t="str">
        <x:f>IF(H1986&gt;0,"Overbilled","Shortfall")</x:f>
        <x:v>Shortfall</x:v>
      </x:c>
      <x:c r="J1986" s="7"/>
      <x:c r="K1986" s="7" t="str">
        <x:v>Open</x:v>
      </x:c>
      <x:c r="L1986" s="7"/>
    </x:row>
    <x:row r="1987" ht="21" customHeight="1">
      <x:c r="A1987" s="1" t="str">
        <x:f>Source!A1981</x:f>
        <x:v>C0000817</x:v>
      </x:c>
      <x:c r="B1987" s="1" t="str">
        <x:f>_xlfn.IFNA(VLOOKUP(Source!B1981,Advertisers!$A$5:$B$34,2,FALSE),"Missing advertiser")</x:f>
        <x:v>Synthetic advertiser 7</x:v>
      </x:c>
      <x:c r="C1987" s="1" t="n">
        <x:f>Source!C1981</x:f>
        <x:v>97</x:v>
      </x:c>
      <x:c r="D1987" s="8" t="n">
        <x:f>Source!D1981/100</x:f>
        <x:v>86.47</x:v>
      </x:c>
      <x:c r="E1987" s="8" t="n">
        <x:f>Source!E1981/100</x:f>
        <x:v>172.94</x:v>
      </x:c>
      <x:c r="F1987" s="8" t="n">
        <x:f>Source!F1981/100</x:f>
        <x:v>0</x:v>
      </x:c>
      <x:c r="G1987" s="8" t="n">
        <x:f>Source!G1981/100</x:f>
        <x:v>172.94</x:v>
      </x:c>
      <x:c r="H1987" s="8" t="n">
        <x:f>G1987-D1987</x:f>
        <x:v>86.47</x:v>
      </x:c>
      <x:c r="I1987" s="1" t="str">
        <x:f>IF(H1987&gt;0,"Overbilled","Shortfall")</x:f>
        <x:v>Overbilled</x:v>
      </x:c>
      <x:c r="J1987" s="7"/>
      <x:c r="K1987" s="7" t="str">
        <x:v>Open</x:v>
      </x:c>
      <x:c r="L1987" s="7"/>
    </x:row>
    <x:row r="1988" ht="21" customHeight="1">
      <x:c r="A1988" s="1" t="str">
        <x:f>Source!A1982</x:f>
        <x:v>C0002644</x:v>
      </x:c>
      <x:c r="B1988" s="1" t="str">
        <x:f>_xlfn.IFNA(VLOOKUP(Source!B1982,Advertisers!$A$5:$B$34,2,FALSE),"Missing advertiser")</x:f>
        <x:v>Synthetic advertiser 2</x:v>
      </x:c>
      <x:c r="C1988" s="1" t="n">
        <x:f>Source!C1982</x:f>
        <x:v>32</x:v>
      </x:c>
      <x:c r="D1988" s="8" t="n">
        <x:f>Source!D1982/100</x:f>
        <x:v>84.93</x:v>
      </x:c>
      <x:c r="E1988" s="8" t="n">
        <x:f>Source!E1982/100</x:f>
        <x:v>0</x:v>
      </x:c>
      <x:c r="F1988" s="8" t="n">
        <x:f>Source!F1982/100</x:f>
        <x:v>0</x:v>
      </x:c>
      <x:c r="G1988" s="8" t="n">
        <x:f>Source!G1982/100</x:f>
        <x:v>0</x:v>
      </x:c>
      <x:c r="H1988" s="8" t="n">
        <x:f>G1988-D1988</x:f>
        <x:v>-84.93</x:v>
      </x:c>
      <x:c r="I1988" s="1" t="str">
        <x:f>IF(H1988&gt;0,"Overbilled","Shortfall")</x:f>
        <x:v>Shortfall</x:v>
      </x:c>
      <x:c r="J1988" s="7"/>
      <x:c r="K1988" s="7" t="str">
        <x:v>Open</x:v>
      </x:c>
      <x:c r="L1988" s="7"/>
    </x:row>
    <x:row r="1989" ht="21" customHeight="1">
      <x:c r="A1989" s="1" t="str">
        <x:f>Source!A1983</x:f>
        <x:v>C0006416</x:v>
      </x:c>
      <x:c r="B1989" s="1" t="str">
        <x:f>_xlfn.IFNA(VLOOKUP(Source!B1983,Advertisers!$A$5:$B$34,2,FALSE),"Missing advertiser")</x:f>
        <x:v>Synthetic advertiser 2</x:v>
      </x:c>
      <x:c r="C1989" s="1" t="n">
        <x:f>Source!C1983</x:f>
        <x:v>32</x:v>
      </x:c>
      <x:c r="D1989" s="8" t="n">
        <x:f>Source!D1983/100</x:f>
        <x:v>84.93</x:v>
      </x:c>
      <x:c r="E1989" s="8" t="n">
        <x:f>Source!E1983/100</x:f>
        <x:v>0</x:v>
      </x:c>
      <x:c r="F1989" s="8" t="n">
        <x:f>Source!F1983/100</x:f>
        <x:v>0</x:v>
      </x:c>
      <x:c r="G1989" s="8" t="n">
        <x:f>Source!G1983/100</x:f>
        <x:v>0</x:v>
      </x:c>
      <x:c r="H1989" s="8" t="n">
        <x:f>G1989-D1989</x:f>
        <x:v>-84.93</x:v>
      </x:c>
      <x:c r="I1989" s="1" t="str">
        <x:f>IF(H1989&gt;0,"Overbilled","Shortfall")</x:f>
        <x:v>Shortfall</x:v>
      </x:c>
      <x:c r="J1989" s="7"/>
      <x:c r="K1989" s="7" t="str">
        <x:v>Open</x:v>
      </x:c>
      <x:c r="L1989" s="7"/>
    </x:row>
    <x:row r="1990" ht="21" customHeight="1">
      <x:c r="A1990" s="1" t="str">
        <x:f>Source!A1984</x:f>
        <x:v>C0000812</x:v>
      </x:c>
      <x:c r="B1990" s="1" t="str">
        <x:f>_xlfn.IFNA(VLOOKUP(Source!B1984,Advertisers!$A$5:$B$34,2,FALSE),"Missing advertiser")</x:f>
        <x:v>Synthetic advertiser 2</x:v>
      </x:c>
      <x:c r="C1990" s="1" t="n">
        <x:f>Source!C1984</x:f>
        <x:v>32</x:v>
      </x:c>
      <x:c r="D1990" s="8" t="n">
        <x:f>Source!D1984/100</x:f>
        <x:v>84.93</x:v>
      </x:c>
      <x:c r="E1990" s="8" t="n">
        <x:f>Source!E1984/100</x:f>
        <x:v>0</x:v>
      </x:c>
      <x:c r="F1990" s="8" t="n">
        <x:f>Source!F1984/100</x:f>
        <x:v>0</x:v>
      </x:c>
      <x:c r="G1990" s="8" t="n">
        <x:f>Source!G1984/100</x:f>
        <x:v>0</x:v>
      </x:c>
      <x:c r="H1990" s="8" t="n">
        <x:f>G1990-D1990</x:f>
        <x:v>-84.93</x:v>
      </x:c>
      <x:c r="I1990" s="1" t="str">
        <x:f>IF(H1990&gt;0,"Overbilled","Shortfall")</x:f>
        <x:v>Shortfall</x:v>
      </x:c>
      <x:c r="J1990" s="7"/>
      <x:c r="K1990" s="7" t="str">
        <x:v>Open</x:v>
      </x:c>
      <x:c r="L1990" s="7"/>
    </x:row>
    <x:row r="1991" ht="21" customHeight="1">
      <x:c r="A1991" s="1" t="str">
        <x:f>Source!A1985</x:f>
        <x:v>C0012233</x:v>
      </x:c>
      <x:c r="B1991" s="1" t="str">
        <x:f>_xlfn.IFNA(VLOOKUP(Source!B1985,Advertisers!$A$5:$B$34,2,FALSE),"Missing advertiser")</x:f>
        <x:v>Synthetic advertiser 2</x:v>
      </x:c>
      <x:c r="C1991" s="1" t="n">
        <x:f>Source!C1985</x:f>
        <x:v>32</x:v>
      </x:c>
      <x:c r="D1991" s="8" t="n">
        <x:f>Source!D1985/100</x:f>
        <x:v>0</x:v>
      </x:c>
      <x:c r="E1991" s="8" t="n">
        <x:f>Source!E1985/100</x:f>
        <x:v>84.93</x:v>
      </x:c>
      <x:c r="F1991" s="8" t="n">
        <x:f>Source!F1985/100</x:f>
        <x:v>0</x:v>
      </x:c>
      <x:c r="G1991" s="8" t="n">
        <x:f>Source!G1985/100</x:f>
        <x:v>84.93</x:v>
      </x:c>
      <x:c r="H1991" s="8" t="n">
        <x:f>G1991-D1991</x:f>
        <x:v>84.93</x:v>
      </x:c>
      <x:c r="I1991" s="1" t="str">
        <x:f>IF(H1991&gt;0,"Overbilled","Shortfall")</x:f>
        <x:v>Overbilled</x:v>
      </x:c>
      <x:c r="J1991" s="7"/>
      <x:c r="K1991" s="7" t="str">
        <x:v>Open</x:v>
      </x:c>
      <x:c r="L1991" s="7"/>
    </x:row>
    <x:row r="1992" ht="21" customHeight="1">
      <x:c r="A1992" s="1" t="str">
        <x:f>Source!A1986</x:f>
        <x:v>C0008058</x:v>
      </x:c>
      <x:c r="B1992" s="1" t="str">
        <x:f>_xlfn.IFNA(VLOOKUP(Source!B1986,Advertisers!$A$5:$B$34,2,FALSE),"Missing advertiser")</x:f>
        <x:v>Synthetic advertiser 24</x:v>
      </x:c>
      <x:c r="C1992" s="1" t="n">
        <x:f>Source!C1986</x:f>
        <x:v>54</x:v>
      </x:c>
      <x:c r="D1992" s="8" t="n">
        <x:f>Source!D1986/100</x:f>
        <x:v>84.62</x:v>
      </x:c>
      <x:c r="E1992" s="8" t="n">
        <x:f>Source!E1986/100</x:f>
        <x:v>0</x:v>
      </x:c>
      <x:c r="F1992" s="8" t="n">
        <x:f>Source!F1986/100</x:f>
        <x:v>0</x:v>
      </x:c>
      <x:c r="G1992" s="8" t="n">
        <x:f>Source!G1986/100</x:f>
        <x:v>0</x:v>
      </x:c>
      <x:c r="H1992" s="8" t="n">
        <x:f>G1992-D1992</x:f>
        <x:v>-84.62</x:v>
      </x:c>
      <x:c r="I1992" s="1" t="str">
        <x:f>IF(H1992&gt;0,"Overbilled","Shortfall")</x:f>
        <x:v>Shortfall</x:v>
      </x:c>
      <x:c r="J1992" s="7"/>
      <x:c r="K1992" s="7" t="str">
        <x:v>Open</x:v>
      </x:c>
      <x:c r="L1992" s="7"/>
    </x:row>
    <x:row r="1993" ht="21" customHeight="1">
      <x:c r="A1993" s="1" t="str">
        <x:f>Source!A1987</x:f>
        <x:v>C0000841</x:v>
      </x:c>
      <x:c r="B1993" s="1" t="str">
        <x:f>_xlfn.IFNA(VLOOKUP(Source!B1987,Advertisers!$A$5:$B$34,2,FALSE),"Missing advertiser")</x:f>
        <x:v>Synthetic advertiser 24</x:v>
      </x:c>
      <x:c r="C1993" s="1" t="n">
        <x:f>Source!C1987</x:f>
        <x:v>54</x:v>
      </x:c>
      <x:c r="D1993" s="8" t="n">
        <x:f>Source!D1987/100</x:f>
        <x:v>84.62</x:v>
      </x:c>
      <x:c r="E1993" s="8" t="n">
        <x:f>Source!E1987/100</x:f>
        <x:v>0</x:v>
      </x:c>
      <x:c r="F1993" s="8" t="n">
        <x:f>Source!F1987/100</x:f>
        <x:v>0</x:v>
      </x:c>
      <x:c r="G1993" s="8" t="n">
        <x:f>Source!G1987/100</x:f>
        <x:v>0</x:v>
      </x:c>
      <x:c r="H1993" s="8" t="n">
        <x:f>G1993-D1993</x:f>
        <x:v>-84.62</x:v>
      </x:c>
      <x:c r="I1993" s="1" t="str">
        <x:f>IF(H1993&gt;0,"Overbilled","Shortfall")</x:f>
        <x:v>Shortfall</x:v>
      </x:c>
      <x:c r="J1993" s="7"/>
      <x:c r="K1993" s="7" t="str">
        <x:v>Open</x:v>
      </x:c>
      <x:c r="L1993" s="7"/>
    </x:row>
    <x:row r="1994" ht="21" customHeight="1">
      <x:c r="A1994" s="1" t="str">
        <x:f>Source!A1988</x:f>
        <x:v>C0003415</x:v>
      </x:c>
      <x:c r="B1994" s="1" t="str">
        <x:f>_xlfn.IFNA(VLOOKUP(Source!B1988,Advertisers!$A$5:$B$34,2,FALSE),"Missing advertiser")</x:f>
        <x:v>Synthetic advertiser 24</x:v>
      </x:c>
      <x:c r="C1994" s="1" t="n">
        <x:f>Source!C1988</x:f>
        <x:v>54</x:v>
      </x:c>
      <x:c r="D1994" s="8" t="n">
        <x:f>Source!D1988/100</x:f>
        <x:v>84.62</x:v>
      </x:c>
      <x:c r="E1994" s="8" t="n">
        <x:f>Source!E1988/100</x:f>
        <x:v>169.24</x:v>
      </x:c>
      <x:c r="F1994" s="8" t="n">
        <x:f>Source!F1988/100</x:f>
        <x:v>0</x:v>
      </x:c>
      <x:c r="G1994" s="8" t="n">
        <x:f>Source!G1988/100</x:f>
        <x:v>169.24</x:v>
      </x:c>
      <x:c r="H1994" s="8" t="n">
        <x:f>G1994-D1994</x:f>
        <x:v>84.62</x:v>
      </x:c>
      <x:c r="I1994" s="1" t="str">
        <x:f>IF(H1994&gt;0,"Overbilled","Shortfall")</x:f>
        <x:v>Overbilled</x:v>
      </x:c>
      <x:c r="J1994" s="7"/>
      <x:c r="K1994" s="7" t="str">
        <x:v>Open</x:v>
      </x:c>
      <x:c r="L1994" s="7"/>
    </x:row>
    <x:row r="1995" ht="21" customHeight="1">
      <x:c r="A1995" s="1" t="str">
        <x:f>Source!A1989</x:f>
        <x:v>C0006402</x:v>
      </x:c>
      <x:c r="B1995" s="1" t="str">
        <x:f>_xlfn.IFNA(VLOOKUP(Source!B1989,Advertisers!$A$5:$B$34,2,FALSE),"Missing advertiser")</x:f>
        <x:v>Synthetic advertiser 24</x:v>
      </x:c>
      <x:c r="C1995" s="1" t="n">
        <x:f>Source!C1989</x:f>
        <x:v>54</x:v>
      </x:c>
      <x:c r="D1995" s="8" t="n">
        <x:f>Source!D1989/100</x:f>
        <x:v>0</x:v>
      </x:c>
      <x:c r="E1995" s="8" t="n">
        <x:f>Source!E1989/100</x:f>
        <x:v>84.62</x:v>
      </x:c>
      <x:c r="F1995" s="8" t="n">
        <x:f>Source!F1989/100</x:f>
        <x:v>0</x:v>
      </x:c>
      <x:c r="G1995" s="8" t="n">
        <x:f>Source!G1989/100</x:f>
        <x:v>84.62</x:v>
      </x:c>
      <x:c r="H1995" s="8" t="n">
        <x:f>G1995-D1995</x:f>
        <x:v>84.62</x:v>
      </x:c>
      <x:c r="I1995" s="1" t="str">
        <x:f>IF(H1995&gt;0,"Overbilled","Shortfall")</x:f>
        <x:v>Overbilled</x:v>
      </x:c>
      <x:c r="J1995" s="7"/>
      <x:c r="K1995" s="7" t="str">
        <x:v>Open</x:v>
      </x:c>
      <x:c r="L1995" s="7"/>
    </x:row>
    <x:row r="1996" ht="21" customHeight="1">
      <x:c r="A1996" s="1" t="str">
        <x:f>Source!A1990</x:f>
        <x:v>C0001696</x:v>
      </x:c>
      <x:c r="B1996" s="1" t="str">
        <x:f>_xlfn.IFNA(VLOOKUP(Source!B1990,Advertisers!$A$5:$B$34,2,FALSE),"Missing advertiser")</x:f>
        <x:v>Synthetic advertiser 1</x:v>
      </x:c>
      <x:c r="C1996" s="1" t="n">
        <x:f>Source!C1990</x:f>
        <x:v>61</x:v>
      </x:c>
      <x:c r="D1996" s="8" t="n">
        <x:f>Source!D1990/100</x:f>
        <x:v>84.6</x:v>
      </x:c>
      <x:c r="E1996" s="8" t="n">
        <x:f>Source!E1990/100</x:f>
        <x:v>169.2</x:v>
      </x:c>
      <x:c r="F1996" s="8" t="n">
        <x:f>Source!F1990/100</x:f>
        <x:v>0</x:v>
      </x:c>
      <x:c r="G1996" s="8" t="n">
        <x:f>Source!G1990/100</x:f>
        <x:v>169.2</x:v>
      </x:c>
      <x:c r="H1996" s="8" t="n">
        <x:f>G1996-D1996</x:f>
        <x:v>84.6</x:v>
      </x:c>
      <x:c r="I1996" s="1" t="str">
        <x:f>IF(H1996&gt;0,"Overbilled","Shortfall")</x:f>
        <x:v>Overbilled</x:v>
      </x:c>
      <x:c r="J1996" s="7"/>
      <x:c r="K1996" s="7" t="str">
        <x:v>Open</x:v>
      </x:c>
      <x:c r="L1996" s="7"/>
    </x:row>
    <x:row r="1997" ht="21" customHeight="1">
      <x:c r="A1997" s="1" t="str">
        <x:f>Source!A1991</x:f>
        <x:v>C0002446</x:v>
      </x:c>
      <x:c r="B1997" s="1" t="str">
        <x:f>_xlfn.IFNA(VLOOKUP(Source!B1991,Advertisers!$A$5:$B$34,2,FALSE),"Missing advertiser")</x:f>
        <x:v>Synthetic advertiser 1</x:v>
      </x:c>
      <x:c r="C1997" s="1" t="n">
        <x:f>Source!C1991</x:f>
        <x:v>61</x:v>
      </x:c>
      <x:c r="D1997" s="8" t="n">
        <x:f>Source!D1991/100</x:f>
        <x:v>84.6</x:v>
      </x:c>
      <x:c r="E1997" s="8" t="n">
        <x:f>Source!E1991/100</x:f>
        <x:v>169.2</x:v>
      </x:c>
      <x:c r="F1997" s="8" t="n">
        <x:f>Source!F1991/100</x:f>
        <x:v>0</x:v>
      </x:c>
      <x:c r="G1997" s="8" t="n">
        <x:f>Source!G1991/100</x:f>
        <x:v>169.2</x:v>
      </x:c>
      <x:c r="H1997" s="8" t="n">
        <x:f>G1997-D1997</x:f>
        <x:v>84.6</x:v>
      </x:c>
      <x:c r="I1997" s="1" t="str">
        <x:f>IF(H1997&gt;0,"Overbilled","Shortfall")</x:f>
        <x:v>Overbilled</x:v>
      </x:c>
      <x:c r="J1997" s="7"/>
      <x:c r="K1997" s="7" t="str">
        <x:v>Open</x:v>
      </x:c>
      <x:c r="L1997" s="7"/>
    </x:row>
    <x:row r="1998" ht="21" customHeight="1">
      <x:c r="A1998" s="1" t="str">
        <x:f>Source!A1992</x:f>
        <x:v>C0010894</x:v>
      </x:c>
      <x:c r="B1998" s="1" t="str">
        <x:f>_xlfn.IFNA(VLOOKUP(Source!B1992,Advertisers!$A$5:$B$34,2,FALSE),"Missing advertiser")</x:f>
        <x:v>Synthetic advertiser 1</x:v>
      </x:c>
      <x:c r="C1998" s="1" t="n">
        <x:f>Source!C1992</x:f>
        <x:v>61</x:v>
      </x:c>
      <x:c r="D1998" s="8" t="n">
        <x:f>Source!D1992/100</x:f>
        <x:v>84.6</x:v>
      </x:c>
      <x:c r="E1998" s="8" t="n">
        <x:f>Source!E1992/100</x:f>
        <x:v>0</x:v>
      </x:c>
      <x:c r="F1998" s="8" t="n">
        <x:f>Source!F1992/100</x:f>
        <x:v>0</x:v>
      </x:c>
      <x:c r="G1998" s="8" t="n">
        <x:f>Source!G1992/100</x:f>
        <x:v>0</x:v>
      </x:c>
      <x:c r="H1998" s="8" t="n">
        <x:f>G1998-D1998</x:f>
        <x:v>-84.6</x:v>
      </x:c>
      <x:c r="I1998" s="1" t="str">
        <x:f>IF(H1998&gt;0,"Overbilled","Shortfall")</x:f>
        <x:v>Shortfall</x:v>
      </x:c>
      <x:c r="J1998" s="7"/>
      <x:c r="K1998" s="7" t="str">
        <x:v>Open</x:v>
      </x:c>
      <x:c r="L1998" s="7"/>
    </x:row>
    <x:row r="1999" ht="21" customHeight="1">
      <x:c r="A1999" s="1" t="str">
        <x:f>Source!A1993</x:f>
        <x:v>C0006594</x:v>
      </x:c>
      <x:c r="B1999" s="1" t="str">
        <x:f>_xlfn.IFNA(VLOOKUP(Source!B1993,Advertisers!$A$5:$B$34,2,FALSE),"Missing advertiser")</x:f>
        <x:v>Synthetic advertiser 1</x:v>
      </x:c>
      <x:c r="C1999" s="1" t="n">
        <x:f>Source!C1993</x:f>
        <x:v>61</x:v>
      </x:c>
      <x:c r="D1999" s="8" t="n">
        <x:f>Source!D1993/100</x:f>
        <x:v>84.6</x:v>
      </x:c>
      <x:c r="E1999" s="8" t="n">
        <x:f>Source!E1993/100</x:f>
        <x:v>0</x:v>
      </x:c>
      <x:c r="F1999" s="8" t="n">
        <x:f>Source!F1993/100</x:f>
        <x:v>0</x:v>
      </x:c>
      <x:c r="G1999" s="8" t="n">
        <x:f>Source!G1993/100</x:f>
        <x:v>0</x:v>
      </x:c>
      <x:c r="H1999" s="8" t="n">
        <x:f>G1999-D1999</x:f>
        <x:v>-84.6</x:v>
      </x:c>
      <x:c r="I1999" s="1" t="str">
        <x:f>IF(H1999&gt;0,"Overbilled","Shortfall")</x:f>
        <x:v>Shortfall</x:v>
      </x:c>
      <x:c r="J1999" s="7"/>
      <x:c r="K1999" s="7" t="str">
        <x:v>Open</x:v>
      </x:c>
      <x:c r="L1999" s="7"/>
    </x:row>
    <x:row r="2000" ht="21" customHeight="1">
      <x:c r="A2000" s="1" t="str">
        <x:f>Source!A1994</x:f>
        <x:v>C0013282</x:v>
      </x:c>
      <x:c r="B2000" s="1" t="str">
        <x:f>_xlfn.IFNA(VLOOKUP(Source!B1994,Advertisers!$A$5:$B$34,2,FALSE),"Missing advertiser")</x:f>
        <x:v>Synthetic advertiser 1</x:v>
      </x:c>
      <x:c r="C2000" s="1" t="n">
        <x:f>Source!C1994</x:f>
        <x:v>61</x:v>
      </x:c>
      <x:c r="D2000" s="8" t="n">
        <x:f>Source!D1994/100</x:f>
        <x:v>84.6</x:v>
      </x:c>
      <x:c r="E2000" s="8" t="n">
        <x:f>Source!E1994/100</x:f>
        <x:v>0</x:v>
      </x:c>
      <x:c r="F2000" s="8" t="n">
        <x:f>Source!F1994/100</x:f>
        <x:v>0</x:v>
      </x:c>
      <x:c r="G2000" s="8" t="n">
        <x:f>Source!G1994/100</x:f>
        <x:v>0</x:v>
      </x:c>
      <x:c r="H2000" s="8" t="n">
        <x:f>G2000-D2000</x:f>
        <x:v>-84.6</x:v>
      </x:c>
      <x:c r="I2000" s="1" t="str">
        <x:f>IF(H2000&gt;0,"Overbilled","Shortfall")</x:f>
        <x:v>Shortfall</x:v>
      </x:c>
      <x:c r="J2000" s="7"/>
      <x:c r="K2000" s="7" t="str">
        <x:v>Open</x:v>
      </x:c>
      <x:c r="L2000" s="7"/>
    </x:row>
    <x:row r="2001" ht="21" customHeight="1">
      <x:c r="A2001" s="1" t="str">
        <x:f>Source!A1995</x:f>
        <x:v>C0008678</x:v>
      </x:c>
      <x:c r="B2001" s="1" t="str">
        <x:f>_xlfn.IFNA(VLOOKUP(Source!B1995,Advertisers!$A$5:$B$34,2,FALSE),"Missing advertiser")</x:f>
        <x:v>Synthetic advertiser 1</x:v>
      </x:c>
      <x:c r="C2001" s="1" t="n">
        <x:f>Source!C1995</x:f>
        <x:v>61</x:v>
      </x:c>
      <x:c r="D2001" s="8" t="n">
        <x:f>Source!D1995/100</x:f>
        <x:v>0</x:v>
      </x:c>
      <x:c r="E2001" s="8" t="n">
        <x:f>Source!E1995/100</x:f>
        <x:v>84.6</x:v>
      </x:c>
      <x:c r="F2001" s="8" t="n">
        <x:f>Source!F1995/100</x:f>
        <x:v>0</x:v>
      </x:c>
      <x:c r="G2001" s="8" t="n">
        <x:f>Source!G1995/100</x:f>
        <x:v>84.6</x:v>
      </x:c>
      <x:c r="H2001" s="8" t="n">
        <x:f>G2001-D2001</x:f>
        <x:v>84.6</x:v>
      </x:c>
      <x:c r="I2001" s="1" t="str">
        <x:f>IF(H2001&gt;0,"Overbilled","Shortfall")</x:f>
        <x:v>Overbilled</x:v>
      </x:c>
      <x:c r="J2001" s="7"/>
      <x:c r="K2001" s="7" t="str">
        <x:v>Open</x:v>
      </x:c>
      <x:c r="L2001" s="7"/>
    </x:row>
    <x:row r="2002" ht="21" customHeight="1">
      <x:c r="A2002" s="1" t="str">
        <x:f>Source!A1996</x:f>
        <x:v>C0012662</x:v>
      </x:c>
      <x:c r="B2002" s="1" t="str">
        <x:f>_xlfn.IFNA(VLOOKUP(Source!B1996,Advertisers!$A$5:$B$34,2,FALSE),"Missing advertiser")</x:f>
        <x:v>Synthetic advertiser 1</x:v>
      </x:c>
      <x:c r="C2002" s="1" t="n">
        <x:f>Source!C1996</x:f>
        <x:v>61</x:v>
      </x:c>
      <x:c r="D2002" s="8" t="n">
        <x:f>Source!D1996/100</x:f>
        <x:v>84.6</x:v>
      </x:c>
      <x:c r="E2002" s="8" t="n">
        <x:f>Source!E1996/100</x:f>
        <x:v>0</x:v>
      </x:c>
      <x:c r="F2002" s="8" t="n">
        <x:f>Source!F1996/100</x:f>
        <x:v>0</x:v>
      </x:c>
      <x:c r="G2002" s="8" t="n">
        <x:f>Source!G1996/100</x:f>
        <x:v>0</x:v>
      </x:c>
      <x:c r="H2002" s="8" t="n">
        <x:f>G2002-D2002</x:f>
        <x:v>-84.6</x:v>
      </x:c>
      <x:c r="I2002" s="1" t="str">
        <x:f>IF(H2002&gt;0,"Overbilled","Shortfall")</x:f>
        <x:v>Shortfall</x:v>
      </x:c>
      <x:c r="J2002" s="7"/>
      <x:c r="K2002" s="7" t="str">
        <x:v>Open</x:v>
      </x:c>
      <x:c r="L2002" s="7"/>
    </x:row>
    <x:row r="2003" ht="21" customHeight="1">
      <x:c r="A2003" s="1" t="str">
        <x:f>Source!A1997</x:f>
        <x:v>C0014888</x:v>
      </x:c>
      <x:c r="B2003" s="1" t="str">
        <x:f>_xlfn.IFNA(VLOOKUP(Source!B1997,Advertisers!$A$5:$B$34,2,FALSE),"Missing advertiser")</x:f>
        <x:v>Synthetic advertiser 1</x:v>
      </x:c>
      <x:c r="C2003" s="1" t="n">
        <x:f>Source!C1997</x:f>
        <x:v>61</x:v>
      </x:c>
      <x:c r="D2003" s="8" t="n">
        <x:f>Source!D1997/100</x:f>
        <x:v>0</x:v>
      </x:c>
      <x:c r="E2003" s="8" t="n">
        <x:f>Source!E1997/100</x:f>
        <x:v>84.6</x:v>
      </x:c>
      <x:c r="F2003" s="8" t="n">
        <x:f>Source!F1997/100</x:f>
        <x:v>0</x:v>
      </x:c>
      <x:c r="G2003" s="8" t="n">
        <x:f>Source!G1997/100</x:f>
        <x:v>84.6</x:v>
      </x:c>
      <x:c r="H2003" s="8" t="n">
        <x:f>G2003-D2003</x:f>
        <x:v>84.6</x:v>
      </x:c>
      <x:c r="I2003" s="1" t="str">
        <x:f>IF(H2003&gt;0,"Overbilled","Shortfall")</x:f>
        <x:v>Overbilled</x:v>
      </x:c>
      <x:c r="J2003" s="7"/>
      <x:c r="K2003" s="7" t="str">
        <x:v>Open</x:v>
      </x:c>
      <x:c r="L2003" s="7"/>
    </x:row>
    <x:row r="2004" ht="21" customHeight="1">
      <x:c r="A2004" s="1" t="str">
        <x:f>Source!A1998</x:f>
        <x:v>C0013571</x:v>
      </x:c>
      <x:c r="B2004" s="1" t="str">
        <x:f>_xlfn.IFNA(VLOOKUP(Source!B1998,Advertisers!$A$5:$B$34,2,FALSE),"Missing advertiser")</x:f>
        <x:v>Synthetic advertiser 12</x:v>
      </x:c>
      <x:c r="C2004" s="1" t="n">
        <x:f>Source!C1998</x:f>
        <x:v>42</x:v>
      </x:c>
      <x:c r="D2004" s="8" t="n">
        <x:f>Source!D1998/100</x:f>
        <x:v>84.25</x:v>
      </x:c>
      <x:c r="E2004" s="8" t="n">
        <x:f>Source!E1998/100</x:f>
        <x:v>168.5</x:v>
      </x:c>
      <x:c r="F2004" s="8" t="n">
        <x:f>Source!F1998/100</x:f>
        <x:v>0</x:v>
      </x:c>
      <x:c r="G2004" s="8" t="n">
        <x:f>Source!G1998/100</x:f>
        <x:v>168.5</x:v>
      </x:c>
      <x:c r="H2004" s="8" t="n">
        <x:f>G2004-D2004</x:f>
        <x:v>84.25</x:v>
      </x:c>
      <x:c r="I2004" s="1" t="str">
        <x:f>IF(H2004&gt;0,"Overbilled","Shortfall")</x:f>
        <x:v>Overbilled</x:v>
      </x:c>
      <x:c r="J2004" s="7"/>
      <x:c r="K2004" s="7" t="str">
        <x:v>Open</x:v>
      </x:c>
      <x:c r="L2004" s="7"/>
    </x:row>
    <x:row r="2005" ht="21" customHeight="1">
      <x:c r="A2005" s="1" t="str">
        <x:f>Source!A1999</x:f>
        <x:v>C0015170</x:v>
      </x:c>
      <x:c r="B2005" s="1" t="str">
        <x:f>_xlfn.IFNA(VLOOKUP(Source!B1999,Advertisers!$A$5:$B$34,2,FALSE),"Missing advertiser")</x:f>
        <x:v>Synthetic advertiser 12</x:v>
      </x:c>
      <x:c r="C2005" s="1" t="n">
        <x:f>Source!C1999</x:f>
        <x:v>42</x:v>
      </x:c>
      <x:c r="D2005" s="8" t="n">
        <x:f>Source!D1999/100</x:f>
        <x:v>84.25</x:v>
      </x:c>
      <x:c r="E2005" s="8" t="n">
        <x:f>Source!E1999/100</x:f>
        <x:v>0</x:v>
      </x:c>
      <x:c r="F2005" s="8" t="n">
        <x:f>Source!F1999/100</x:f>
        <x:v>0</x:v>
      </x:c>
      <x:c r="G2005" s="8" t="n">
        <x:f>Source!G1999/100</x:f>
        <x:v>0</x:v>
      </x:c>
      <x:c r="H2005" s="8" t="n">
        <x:f>G2005-D2005</x:f>
        <x:v>-84.25</x:v>
      </x:c>
      <x:c r="I2005" s="1" t="str">
        <x:f>IF(H2005&gt;0,"Overbilled","Shortfall")</x:f>
        <x:v>Shortfall</x:v>
      </x:c>
      <x:c r="J2005" s="7"/>
      <x:c r="K2005" s="7" t="str">
        <x:v>Open</x:v>
      </x:c>
      <x:c r="L2005" s="7"/>
    </x:row>
    <x:row r="2006" ht="21" customHeight="1">
      <x:c r="A2006" s="1" t="str">
        <x:f>Source!A2000</x:f>
        <x:v>C0006936</x:v>
      </x:c>
      <x:c r="B2006" s="1" t="str">
        <x:f>_xlfn.IFNA(VLOOKUP(Source!B2000,Advertisers!$A$5:$B$34,2,FALSE),"Missing advertiser")</x:f>
        <x:v>Synthetic advertiser 12</x:v>
      </x:c>
      <x:c r="C2006" s="1" t="n">
        <x:f>Source!C2000</x:f>
        <x:v>42</x:v>
      </x:c>
      <x:c r="D2006" s="8" t="n">
        <x:f>Source!D2000/100</x:f>
        <x:v>84.25</x:v>
      </x:c>
      <x:c r="E2006" s="8" t="n">
        <x:f>Source!E2000/100</x:f>
        <x:v>0</x:v>
      </x:c>
      <x:c r="F2006" s="8" t="n">
        <x:f>Source!F2000/100</x:f>
        <x:v>0</x:v>
      </x:c>
      <x:c r="G2006" s="8" t="n">
        <x:f>Source!G2000/100</x:f>
        <x:v>0</x:v>
      </x:c>
      <x:c r="H2006" s="8" t="n">
        <x:f>G2006-D2006</x:f>
        <x:v>-84.25</x:v>
      </x:c>
      <x:c r="I2006" s="1" t="str">
        <x:f>IF(H2006&gt;0,"Overbilled","Shortfall")</x:f>
        <x:v>Shortfall</x:v>
      </x:c>
      <x:c r="J2006" s="7"/>
      <x:c r="K2006" s="7" t="str">
        <x:v>Open</x:v>
      </x:c>
      <x:c r="L2006" s="7"/>
    </x:row>
    <x:row r="2007" ht="21" customHeight="1">
      <x:c r="A2007" s="1" t="str">
        <x:f>Source!A2001</x:f>
        <x:v>C0000811</x:v>
      </x:c>
      <x:c r="B2007" s="1" t="str">
        <x:f>_xlfn.IFNA(VLOOKUP(Source!B2001,Advertisers!$A$5:$B$34,2,FALSE),"Missing advertiser")</x:f>
        <x:v>Synthetic advertiser 12</x:v>
      </x:c>
      <x:c r="C2007" s="1" t="n">
        <x:f>Source!C2001</x:f>
        <x:v>42</x:v>
      </x:c>
      <x:c r="D2007" s="8" t="n">
        <x:f>Source!D2001/100</x:f>
        <x:v>84.25</x:v>
      </x:c>
      <x:c r="E2007" s="8" t="n">
        <x:f>Source!E2001/100</x:f>
        <x:v>168.5</x:v>
      </x:c>
      <x:c r="F2007" s="8" t="n">
        <x:f>Source!F2001/100</x:f>
        <x:v>0</x:v>
      </x:c>
      <x:c r="G2007" s="8" t="n">
        <x:f>Source!G2001/100</x:f>
        <x:v>168.5</x:v>
      </x:c>
      <x:c r="H2007" s="8" t="n">
        <x:f>G2007-D2007</x:f>
        <x:v>84.25</x:v>
      </x:c>
      <x:c r="I2007" s="1" t="str">
        <x:f>IF(H2007&gt;0,"Overbilled","Shortfall")</x:f>
        <x:v>Overbilled</x:v>
      </x:c>
      <x:c r="J2007" s="7"/>
      <x:c r="K2007" s="7" t="str">
        <x:v>Open</x:v>
      </x:c>
      <x:c r="L2007" s="7"/>
    </x:row>
    <x:row r="2008" ht="21" customHeight="1">
      <x:c r="A2008" s="1" t="str">
        <x:f>Source!A2002</x:f>
        <x:v>C0004179</x:v>
      </x:c>
      <x:c r="B2008" s="1" t="str">
        <x:f>_xlfn.IFNA(VLOOKUP(Source!B2002,Advertisers!$A$5:$B$34,2,FALSE),"Missing advertiser")</x:f>
        <x:v>Synthetic advertiser 12</x:v>
      </x:c>
      <x:c r="C2008" s="1" t="n">
        <x:f>Source!C2002</x:f>
        <x:v>42</x:v>
      </x:c>
      <x:c r="D2008" s="8" t="n">
        <x:f>Source!D2002/100</x:f>
        <x:v>84.25</x:v>
      </x:c>
      <x:c r="E2008" s="8" t="n">
        <x:f>Source!E2002/100</x:f>
        <x:v>168.5</x:v>
      </x:c>
      <x:c r="F2008" s="8" t="n">
        <x:f>Source!F2002/100</x:f>
        <x:v>0</x:v>
      </x:c>
      <x:c r="G2008" s="8" t="n">
        <x:f>Source!G2002/100</x:f>
        <x:v>168.5</x:v>
      </x:c>
      <x:c r="H2008" s="8" t="n">
        <x:f>G2008-D2008</x:f>
        <x:v>84.25</x:v>
      </x:c>
      <x:c r="I2008" s="1" t="str">
        <x:f>IF(H2008&gt;0,"Overbilled","Shortfall")</x:f>
        <x:v>Overbilled</x:v>
      </x:c>
      <x:c r="J2008" s="7"/>
      <x:c r="K2008" s="7" t="str">
        <x:v>Open</x:v>
      </x:c>
      <x:c r="L2008" s="7"/>
    </x:row>
    <x:row r="2009" ht="21" customHeight="1">
      <x:c r="A2009" s="1" t="str">
        <x:f>Source!A2003</x:f>
        <x:v>C0010568</x:v>
      </x:c>
      <x:c r="B2009" s="1" t="str">
        <x:f>_xlfn.IFNA(VLOOKUP(Source!B2003,Advertisers!$A$5:$B$34,2,FALSE),"Missing advertiser")</x:f>
        <x:v>Synthetic advertiser 12</x:v>
      </x:c>
      <x:c r="C2009" s="1" t="n">
        <x:f>Source!C2003</x:f>
        <x:v>42</x:v>
      </x:c>
      <x:c r="D2009" s="8" t="n">
        <x:f>Source!D2003/100</x:f>
        <x:v>84.25</x:v>
      </x:c>
      <x:c r="E2009" s="8" t="n">
        <x:f>Source!E2003/100</x:f>
        <x:v>0</x:v>
      </x:c>
      <x:c r="F2009" s="8" t="n">
        <x:f>Source!F2003/100</x:f>
        <x:v>0</x:v>
      </x:c>
      <x:c r="G2009" s="8" t="n">
        <x:f>Source!G2003/100</x:f>
        <x:v>0</x:v>
      </x:c>
      <x:c r="H2009" s="8" t="n">
        <x:f>G2009-D2009</x:f>
        <x:v>-84.25</x:v>
      </x:c>
      <x:c r="I2009" s="1" t="str">
        <x:f>IF(H2009&gt;0,"Overbilled","Shortfall")</x:f>
        <x:v>Shortfall</x:v>
      </x:c>
      <x:c r="J2009" s="7"/>
      <x:c r="K2009" s="7" t="str">
        <x:v>Open</x:v>
      </x:c>
      <x:c r="L2009" s="7"/>
    </x:row>
    <x:row r="2010" ht="21" customHeight="1">
      <x:c r="A2010" s="1" t="str">
        <x:f>Source!A2004</x:f>
        <x:v>C0003103</x:v>
      </x:c>
      <x:c r="B2010" s="1" t="str">
        <x:f>_xlfn.IFNA(VLOOKUP(Source!B2004,Advertisers!$A$5:$B$34,2,FALSE),"Missing advertiser")</x:f>
        <x:v>Synthetic advertiser 12</x:v>
      </x:c>
      <x:c r="C2010" s="1" t="n">
        <x:f>Source!C2004</x:f>
        <x:v>42</x:v>
      </x:c>
      <x:c r="D2010" s="8" t="n">
        <x:f>Source!D2004/100</x:f>
        <x:v>84.25</x:v>
      </x:c>
      <x:c r="E2010" s="8" t="n">
        <x:f>Source!E2004/100</x:f>
        <x:v>0</x:v>
      </x:c>
      <x:c r="F2010" s="8" t="n">
        <x:f>Source!F2004/100</x:f>
        <x:v>0</x:v>
      </x:c>
      <x:c r="G2010" s="8" t="n">
        <x:f>Source!G2004/100</x:f>
        <x:v>0</x:v>
      </x:c>
      <x:c r="H2010" s="8" t="n">
        <x:f>G2010-D2010</x:f>
        <x:v>-84.25</x:v>
      </x:c>
      <x:c r="I2010" s="1" t="str">
        <x:f>IF(H2010&gt;0,"Overbilled","Shortfall")</x:f>
        <x:v>Shortfall</x:v>
      </x:c>
      <x:c r="J2010" s="7"/>
      <x:c r="K2010" s="7" t="str">
        <x:v>Open</x:v>
      </x:c>
      <x:c r="L2010" s="7"/>
    </x:row>
    <x:row r="2011" ht="21" customHeight="1">
      <x:c r="A2011" s="1" t="str">
        <x:f>Source!A2005</x:f>
        <x:v>C0015213</x:v>
      </x:c>
      <x:c r="B2011" s="1" t="str">
        <x:f>_xlfn.IFNA(VLOOKUP(Source!B2005,Advertisers!$A$5:$B$34,2,FALSE),"Missing advertiser")</x:f>
        <x:v>Synthetic advertiser 16</x:v>
      </x:c>
      <x:c r="C2011" s="1" t="n">
        <x:f>Source!C2005</x:f>
        <x:v>16</x:v>
      </x:c>
      <x:c r="D2011" s="8" t="n">
        <x:f>Source!D2005/100</x:f>
        <x:v>84.12</x:v>
      </x:c>
      <x:c r="E2011" s="8" t="n">
        <x:f>Source!E2005/100</x:f>
        <x:v>168.24</x:v>
      </x:c>
      <x:c r="F2011" s="8" t="n">
        <x:f>Source!F2005/100</x:f>
        <x:v>0</x:v>
      </x:c>
      <x:c r="G2011" s="8" t="n">
        <x:f>Source!G2005/100</x:f>
        <x:v>168.24</x:v>
      </x:c>
      <x:c r="H2011" s="8" t="n">
        <x:f>G2011-D2011</x:f>
        <x:v>84.12</x:v>
      </x:c>
      <x:c r="I2011" s="1" t="str">
        <x:f>IF(H2011&gt;0,"Overbilled","Shortfall")</x:f>
        <x:v>Overbilled</x:v>
      </x:c>
      <x:c r="J2011" s="7"/>
      <x:c r="K2011" s="7" t="str">
        <x:v>Open</x:v>
      </x:c>
      <x:c r="L2011" s="7"/>
    </x:row>
    <x:row r="2012" ht="21" customHeight="1">
      <x:c r="A2012" s="1" t="str">
        <x:f>Source!A2006</x:f>
        <x:v>C0002141</x:v>
      </x:c>
      <x:c r="B2012" s="1" t="str">
        <x:f>_xlfn.IFNA(VLOOKUP(Source!B2006,Advertisers!$A$5:$B$34,2,FALSE),"Missing advertiser")</x:f>
        <x:v>Synthetic advertiser 16</x:v>
      </x:c>
      <x:c r="C2012" s="1" t="n">
        <x:f>Source!C2006</x:f>
        <x:v>16</x:v>
      </x:c>
      <x:c r="D2012" s="8" t="n">
        <x:f>Source!D2006/100</x:f>
        <x:v>84.12</x:v>
      </x:c>
      <x:c r="E2012" s="8" t="n">
        <x:f>Source!E2006/100</x:f>
        <x:v>168.24</x:v>
      </x:c>
      <x:c r="F2012" s="8" t="n">
        <x:f>Source!F2006/100</x:f>
        <x:v>0</x:v>
      </x:c>
      <x:c r="G2012" s="8" t="n">
        <x:f>Source!G2006/100</x:f>
        <x:v>168.24</x:v>
      </x:c>
      <x:c r="H2012" s="8" t="n">
        <x:f>G2012-D2012</x:f>
        <x:v>84.12</x:v>
      </x:c>
      <x:c r="I2012" s="1" t="str">
        <x:f>IF(H2012&gt;0,"Overbilled","Shortfall")</x:f>
        <x:v>Overbilled</x:v>
      </x:c>
      <x:c r="J2012" s="7"/>
      <x:c r="K2012" s="7" t="str">
        <x:v>Open</x:v>
      </x:c>
      <x:c r="L2012" s="7"/>
    </x:row>
    <x:row r="2013" ht="21" customHeight="1">
      <x:c r="A2013" s="1" t="str">
        <x:f>Source!A2007</x:f>
        <x:v>C0009017</x:v>
      </x:c>
      <x:c r="B2013" s="1" t="str">
        <x:f>_xlfn.IFNA(VLOOKUP(Source!B2007,Advertisers!$A$5:$B$34,2,FALSE),"Missing advertiser")</x:f>
        <x:v>Synthetic advertiser 16</x:v>
      </x:c>
      <x:c r="C2013" s="1" t="n">
        <x:f>Source!C2007</x:f>
        <x:v>16</x:v>
      </x:c>
      <x:c r="D2013" s="8" t="n">
        <x:f>Source!D2007/100</x:f>
        <x:v>84.12</x:v>
      </x:c>
      <x:c r="E2013" s="8" t="n">
        <x:f>Source!E2007/100</x:f>
        <x:v>168.24</x:v>
      </x:c>
      <x:c r="F2013" s="8" t="n">
        <x:f>Source!F2007/100</x:f>
        <x:v>0</x:v>
      </x:c>
      <x:c r="G2013" s="8" t="n">
        <x:f>Source!G2007/100</x:f>
        <x:v>168.24</x:v>
      </x:c>
      <x:c r="H2013" s="8" t="n">
        <x:f>G2013-D2013</x:f>
        <x:v>84.12</x:v>
      </x:c>
      <x:c r="I2013" s="1" t="str">
        <x:f>IF(H2013&gt;0,"Overbilled","Shortfall")</x:f>
        <x:v>Overbilled</x:v>
      </x:c>
      <x:c r="J2013" s="7"/>
      <x:c r="K2013" s="7" t="str">
        <x:v>Open</x:v>
      </x:c>
      <x:c r="L2013" s="7"/>
    </x:row>
    <x:row r="2014" ht="21" customHeight="1">
      <x:c r="A2014" s="1" t="str">
        <x:f>Source!A2008</x:f>
        <x:v>C0009155</x:v>
      </x:c>
      <x:c r="B2014" s="1" t="str">
        <x:f>_xlfn.IFNA(VLOOKUP(Source!B2008,Advertisers!$A$5:$B$34,2,FALSE),"Missing advertiser")</x:f>
        <x:v>Synthetic advertiser 16</x:v>
      </x:c>
      <x:c r="C2014" s="1" t="n">
        <x:f>Source!C2008</x:f>
        <x:v>16</x:v>
      </x:c>
      <x:c r="D2014" s="8" t="n">
        <x:f>Source!D2008/100</x:f>
        <x:v>84.12</x:v>
      </x:c>
      <x:c r="E2014" s="8" t="n">
        <x:f>Source!E2008/100</x:f>
        <x:v>0</x:v>
      </x:c>
      <x:c r="F2014" s="8" t="n">
        <x:f>Source!F2008/100</x:f>
        <x:v>0</x:v>
      </x:c>
      <x:c r="G2014" s="8" t="n">
        <x:f>Source!G2008/100</x:f>
        <x:v>0</x:v>
      </x:c>
      <x:c r="H2014" s="8" t="n">
        <x:f>G2014-D2014</x:f>
        <x:v>-84.12</x:v>
      </x:c>
      <x:c r="I2014" s="1" t="str">
        <x:f>IF(H2014&gt;0,"Overbilled","Shortfall")</x:f>
        <x:v>Shortfall</x:v>
      </x:c>
      <x:c r="J2014" s="7"/>
      <x:c r="K2014" s="7" t="str">
        <x:v>Open</x:v>
      </x:c>
      <x:c r="L2014" s="7"/>
    </x:row>
    <x:row r="2015" ht="21" customHeight="1">
      <x:c r="A2015" s="1" t="str">
        <x:f>Source!A2009</x:f>
        <x:v>C0004213</x:v>
      </x:c>
      <x:c r="B2015" s="1" t="str">
        <x:f>_xlfn.IFNA(VLOOKUP(Source!B2009,Advertisers!$A$5:$B$34,2,FALSE),"Missing advertiser")</x:f>
        <x:v>Synthetic advertiser 16</x:v>
      </x:c>
      <x:c r="C2015" s="1" t="n">
        <x:f>Source!C2009</x:f>
        <x:v>16</x:v>
      </x:c>
      <x:c r="D2015" s="8" t="n">
        <x:f>Source!D2009/100</x:f>
        <x:v>84.12</x:v>
      </x:c>
      <x:c r="E2015" s="8" t="n">
        <x:f>Source!E2009/100</x:f>
        <x:v>168.24</x:v>
      </x:c>
      <x:c r="F2015" s="8" t="n">
        <x:f>Source!F2009/100</x:f>
        <x:v>0</x:v>
      </x:c>
      <x:c r="G2015" s="8" t="n">
        <x:f>Source!G2009/100</x:f>
        <x:v>168.24</x:v>
      </x:c>
      <x:c r="H2015" s="8" t="n">
        <x:f>G2015-D2015</x:f>
        <x:v>84.12</x:v>
      </x:c>
      <x:c r="I2015" s="1" t="str">
        <x:f>IF(H2015&gt;0,"Overbilled","Shortfall")</x:f>
        <x:v>Overbilled</x:v>
      </x:c>
      <x:c r="J2015" s="7"/>
      <x:c r="K2015" s="7" t="str">
        <x:v>Open</x:v>
      </x:c>
      <x:c r="L2015" s="7"/>
    </x:row>
    <x:row r="2016" ht="21" customHeight="1">
      <x:c r="A2016" s="1" t="str">
        <x:f>Source!A2010</x:f>
        <x:v>C0001229</x:v>
      </x:c>
      <x:c r="B2016" s="1" t="str">
        <x:f>_xlfn.IFNA(VLOOKUP(Source!B2010,Advertisers!$A$5:$B$34,2,FALSE),"Missing advertiser")</x:f>
        <x:v>Synthetic advertiser 16</x:v>
      </x:c>
      <x:c r="C2016" s="1" t="n">
        <x:f>Source!C2010</x:f>
        <x:v>16</x:v>
      </x:c>
      <x:c r="D2016" s="8" t="n">
        <x:f>Source!D2010/100</x:f>
        <x:v>84.12</x:v>
      </x:c>
      <x:c r="E2016" s="8" t="n">
        <x:f>Source!E2010/100</x:f>
        <x:v>0</x:v>
      </x:c>
      <x:c r="F2016" s="8" t="n">
        <x:f>Source!F2010/100</x:f>
        <x:v>0</x:v>
      </x:c>
      <x:c r="G2016" s="8" t="n">
        <x:f>Source!G2010/100</x:f>
        <x:v>0</x:v>
      </x:c>
      <x:c r="H2016" s="8" t="n">
        <x:f>G2016-D2016</x:f>
        <x:v>-84.12</x:v>
      </x:c>
      <x:c r="I2016" s="1" t="str">
        <x:f>IF(H2016&gt;0,"Overbilled","Shortfall")</x:f>
        <x:v>Shortfall</x:v>
      </x:c>
      <x:c r="J2016" s="7"/>
      <x:c r="K2016" s="7" t="str">
        <x:v>Open</x:v>
      </x:c>
      <x:c r="L2016" s="7"/>
    </x:row>
    <x:row r="2017" ht="21" customHeight="1">
      <x:c r="A2017" s="1" t="str">
        <x:f>Source!A2011</x:f>
        <x:v>C0005049</x:v>
      </x:c>
      <x:c r="B2017" s="1" t="str">
        <x:f>_xlfn.IFNA(VLOOKUP(Source!B2011,Advertisers!$A$5:$B$34,2,FALSE),"Missing advertiser")</x:f>
        <x:v>Synthetic advertiser 16</x:v>
      </x:c>
      <x:c r="C2017" s="1" t="n">
        <x:f>Source!C2011</x:f>
        <x:v>16</x:v>
      </x:c>
      <x:c r="D2017" s="8" t="n">
        <x:f>Source!D2011/100</x:f>
        <x:v>84.12</x:v>
      </x:c>
      <x:c r="E2017" s="8" t="n">
        <x:f>Source!E2011/100</x:f>
        <x:v>168.24</x:v>
      </x:c>
      <x:c r="F2017" s="8" t="n">
        <x:f>Source!F2011/100</x:f>
        <x:v>0</x:v>
      </x:c>
      <x:c r="G2017" s="8" t="n">
        <x:f>Source!G2011/100</x:f>
        <x:v>168.24</x:v>
      </x:c>
      <x:c r="H2017" s="8" t="n">
        <x:f>G2017-D2017</x:f>
        <x:v>84.12</x:v>
      </x:c>
      <x:c r="I2017" s="1" t="str">
        <x:f>IF(H2017&gt;0,"Overbilled","Shortfall")</x:f>
        <x:v>Overbilled</x:v>
      </x:c>
      <x:c r="J2017" s="7"/>
      <x:c r="K2017" s="7" t="str">
        <x:v>Open</x:v>
      </x:c>
      <x:c r="L2017" s="7"/>
    </x:row>
    <x:row r="2018" ht="21" customHeight="1">
      <x:c r="A2018" s="1" t="str">
        <x:f>Source!A2012</x:f>
        <x:v>C0016691</x:v>
      </x:c>
      <x:c r="B2018" s="1" t="str">
        <x:f>_xlfn.IFNA(VLOOKUP(Source!B2012,Advertisers!$A$5:$B$34,2,FALSE),"Missing advertiser")</x:f>
        <x:v>Synthetic advertiser 16</x:v>
      </x:c>
      <x:c r="C2018" s="1" t="n">
        <x:f>Source!C2012</x:f>
        <x:v>16</x:v>
      </x:c>
      <x:c r="D2018" s="8" t="n">
        <x:f>Source!D2012/100</x:f>
        <x:v>84.12</x:v>
      </x:c>
      <x:c r="E2018" s="8" t="n">
        <x:f>Source!E2012/100</x:f>
        <x:v>168.24</x:v>
      </x:c>
      <x:c r="F2018" s="8" t="n">
        <x:f>Source!F2012/100</x:f>
        <x:v>0</x:v>
      </x:c>
      <x:c r="G2018" s="8" t="n">
        <x:f>Source!G2012/100</x:f>
        <x:v>168.24</x:v>
      </x:c>
      <x:c r="H2018" s="8" t="n">
        <x:f>G2018-D2018</x:f>
        <x:v>84.12</x:v>
      </x:c>
      <x:c r="I2018" s="1" t="str">
        <x:f>IF(H2018&gt;0,"Overbilled","Shortfall")</x:f>
        <x:v>Overbilled</x:v>
      </x:c>
      <x:c r="J2018" s="7"/>
      <x:c r="K2018" s="7" t="str">
        <x:v>Open</x:v>
      </x:c>
      <x:c r="L2018" s="7"/>
    </x:row>
    <x:row r="2019" ht="21" customHeight="1">
      <x:c r="A2019" s="1" t="str">
        <x:f>Source!A2013</x:f>
        <x:v>C0010311</x:v>
      </x:c>
      <x:c r="B2019" s="1" t="str">
        <x:f>_xlfn.IFNA(VLOOKUP(Source!B2013,Advertisers!$A$5:$B$34,2,FALSE),"Missing advertiser")</x:f>
        <x:v>Synthetic advertiser 11</x:v>
      </x:c>
      <x:c r="C2019" s="1" t="n">
        <x:f>Source!C2013</x:f>
        <x:v>11</x:v>
      </x:c>
      <x:c r="D2019" s="8" t="n">
        <x:f>Source!D2013/100</x:f>
        <x:v>83.24</x:v>
      </x:c>
      <x:c r="E2019" s="8" t="n">
        <x:f>Source!E2013/100</x:f>
        <x:v>166.48</x:v>
      </x:c>
      <x:c r="F2019" s="8" t="n">
        <x:f>Source!F2013/100</x:f>
        <x:v>0</x:v>
      </x:c>
      <x:c r="G2019" s="8" t="n">
        <x:f>Source!G2013/100</x:f>
        <x:v>166.48</x:v>
      </x:c>
      <x:c r="H2019" s="8" t="n">
        <x:f>G2019-D2019</x:f>
        <x:v>83.24</x:v>
      </x:c>
      <x:c r="I2019" s="1" t="str">
        <x:f>IF(H2019&gt;0,"Overbilled","Shortfall")</x:f>
        <x:v>Overbilled</x:v>
      </x:c>
      <x:c r="J2019" s="7"/>
      <x:c r="K2019" s="7" t="str">
        <x:v>Open</x:v>
      </x:c>
      <x:c r="L2019" s="7"/>
    </x:row>
    <x:row r="2020" ht="21" customHeight="1">
      <x:c r="A2020" s="1" t="str">
        <x:f>Source!A2014</x:f>
        <x:v>C0004356</x:v>
      </x:c>
      <x:c r="B2020" s="1" t="str">
        <x:f>_xlfn.IFNA(VLOOKUP(Source!B2014,Advertisers!$A$5:$B$34,2,FALSE),"Missing advertiser")</x:f>
        <x:v>Synthetic advertiser 11</x:v>
      </x:c>
      <x:c r="C2020" s="1" t="n">
        <x:f>Source!C2014</x:f>
        <x:v>11</x:v>
      </x:c>
      <x:c r="D2020" s="8" t="n">
        <x:f>Source!D2014/100</x:f>
        <x:v>83.24</x:v>
      </x:c>
      <x:c r="E2020" s="8" t="n">
        <x:f>Source!E2014/100</x:f>
        <x:v>0</x:v>
      </x:c>
      <x:c r="F2020" s="8" t="n">
        <x:f>Source!F2014/100</x:f>
        <x:v>0</x:v>
      </x:c>
      <x:c r="G2020" s="8" t="n">
        <x:f>Source!G2014/100</x:f>
        <x:v>0</x:v>
      </x:c>
      <x:c r="H2020" s="8" t="n">
        <x:f>G2020-D2020</x:f>
        <x:v>-83.24</x:v>
      </x:c>
      <x:c r="I2020" s="1" t="str">
        <x:f>IF(H2020&gt;0,"Overbilled","Shortfall")</x:f>
        <x:v>Shortfall</x:v>
      </x:c>
      <x:c r="J2020" s="7"/>
      <x:c r="K2020" s="7" t="str">
        <x:v>Open</x:v>
      </x:c>
      <x:c r="L2020" s="7"/>
    </x:row>
    <x:row r="2021" ht="21" customHeight="1">
      <x:c r="A2021" s="1" t="str">
        <x:f>Source!A2015</x:f>
        <x:v>C0001848</x:v>
      </x:c>
      <x:c r="B2021" s="1" t="str">
        <x:f>_xlfn.IFNA(VLOOKUP(Source!B2015,Advertisers!$A$5:$B$34,2,FALSE),"Missing advertiser")</x:f>
        <x:v>Synthetic advertiser 11</x:v>
      </x:c>
      <x:c r="C2021" s="1" t="n">
        <x:f>Source!C2015</x:f>
        <x:v>11</x:v>
      </x:c>
      <x:c r="D2021" s="8" t="n">
        <x:f>Source!D2015/100</x:f>
        <x:v>83.24</x:v>
      </x:c>
      <x:c r="E2021" s="8" t="n">
        <x:f>Source!E2015/100</x:f>
        <x:v>166.48</x:v>
      </x:c>
      <x:c r="F2021" s="8" t="n">
        <x:f>Source!F2015/100</x:f>
        <x:v>0</x:v>
      </x:c>
      <x:c r="G2021" s="8" t="n">
        <x:f>Source!G2015/100</x:f>
        <x:v>166.48</x:v>
      </x:c>
      <x:c r="H2021" s="8" t="n">
        <x:f>G2021-D2021</x:f>
        <x:v>83.24</x:v>
      </x:c>
      <x:c r="I2021" s="1" t="str">
        <x:f>IF(H2021&gt;0,"Overbilled","Shortfall")</x:f>
        <x:v>Overbilled</x:v>
      </x:c>
      <x:c r="J2021" s="7"/>
      <x:c r="K2021" s="7" t="str">
        <x:v>Open</x:v>
      </x:c>
      <x:c r="L2021" s="7"/>
    </x:row>
    <x:row r="2022" ht="21" customHeight="1">
      <x:c r="A2022" s="1" t="str">
        <x:f>Source!A2016</x:f>
        <x:v>C0001232</x:v>
      </x:c>
      <x:c r="B2022" s="1" t="str">
        <x:f>_xlfn.IFNA(VLOOKUP(Source!B2016,Advertisers!$A$5:$B$34,2,FALSE),"Missing advertiser")</x:f>
        <x:v>Synthetic advertiser 11</x:v>
      </x:c>
      <x:c r="C2022" s="1" t="n">
        <x:f>Source!C2016</x:f>
        <x:v>11</x:v>
      </x:c>
      <x:c r="D2022" s="8" t="n">
        <x:f>Source!D2016/100</x:f>
        <x:v>0</x:v>
      </x:c>
      <x:c r="E2022" s="8" t="n">
        <x:f>Source!E2016/100</x:f>
        <x:v>83.24</x:v>
      </x:c>
      <x:c r="F2022" s="8" t="n">
        <x:f>Source!F2016/100</x:f>
        <x:v>0</x:v>
      </x:c>
      <x:c r="G2022" s="8" t="n">
        <x:f>Source!G2016/100</x:f>
        <x:v>83.24</x:v>
      </x:c>
      <x:c r="H2022" s="8" t="n">
        <x:f>G2022-D2022</x:f>
        <x:v>83.24</x:v>
      </x:c>
      <x:c r="I2022" s="1" t="str">
        <x:f>IF(H2022&gt;0,"Overbilled","Shortfall")</x:f>
        <x:v>Overbilled</x:v>
      </x:c>
      <x:c r="J2022" s="7"/>
      <x:c r="K2022" s="7" t="str">
        <x:v>Open</x:v>
      </x:c>
      <x:c r="L2022" s="7"/>
    </x:row>
    <x:row r="2023" ht="21" customHeight="1">
      <x:c r="A2023" s="1" t="str">
        <x:f>Source!A2017</x:f>
        <x:v>C0005689</x:v>
      </x:c>
      <x:c r="B2023" s="1" t="str">
        <x:f>_xlfn.IFNA(VLOOKUP(Source!B2017,Advertisers!$A$5:$B$34,2,FALSE),"Missing advertiser")</x:f>
        <x:v>Synthetic advertiser 11</x:v>
      </x:c>
      <x:c r="C2023" s="1" t="n">
        <x:f>Source!C2017</x:f>
        <x:v>11</x:v>
      </x:c>
      <x:c r="D2023" s="8" t="n">
        <x:f>Source!D2017/100</x:f>
        <x:v>83.24</x:v>
      </x:c>
      <x:c r="E2023" s="8" t="n">
        <x:f>Source!E2017/100</x:f>
        <x:v>166.48</x:v>
      </x:c>
      <x:c r="F2023" s="8" t="n">
        <x:f>Source!F2017/100</x:f>
        <x:v>0</x:v>
      </x:c>
      <x:c r="G2023" s="8" t="n">
        <x:f>Source!G2017/100</x:f>
        <x:v>166.48</x:v>
      </x:c>
      <x:c r="H2023" s="8" t="n">
        <x:f>G2023-D2023</x:f>
        <x:v>83.24</x:v>
      </x:c>
      <x:c r="I2023" s="1" t="str">
        <x:f>IF(H2023&gt;0,"Overbilled","Shortfall")</x:f>
        <x:v>Overbilled</x:v>
      </x:c>
      <x:c r="J2023" s="7"/>
      <x:c r="K2023" s="7" t="str">
        <x:v>Open</x:v>
      </x:c>
      <x:c r="L2023" s="7"/>
    </x:row>
    <x:row r="2024" ht="21" customHeight="1">
      <x:c r="A2024" s="1" t="str">
        <x:f>Source!A2018</x:f>
        <x:v>C0016355</x:v>
      </x:c>
      <x:c r="B2024" s="1" t="str">
        <x:f>_xlfn.IFNA(VLOOKUP(Source!B2018,Advertisers!$A$5:$B$34,2,FALSE),"Missing advertiser")</x:f>
        <x:v>Synthetic advertiser 11</x:v>
      </x:c>
      <x:c r="C2024" s="1" t="n">
        <x:f>Source!C2018</x:f>
        <x:v>11</x:v>
      </x:c>
      <x:c r="D2024" s="8" t="n">
        <x:f>Source!D2018/100</x:f>
        <x:v>83.24</x:v>
      </x:c>
      <x:c r="E2024" s="8" t="n">
        <x:f>Source!E2018/100</x:f>
        <x:v>166.48</x:v>
      </x:c>
      <x:c r="F2024" s="8" t="n">
        <x:f>Source!F2018/100</x:f>
        <x:v>0</x:v>
      </x:c>
      <x:c r="G2024" s="8" t="n">
        <x:f>Source!G2018/100</x:f>
        <x:v>166.48</x:v>
      </x:c>
      <x:c r="H2024" s="8" t="n">
        <x:f>G2024-D2024</x:f>
        <x:v>83.24</x:v>
      </x:c>
      <x:c r="I2024" s="1" t="str">
        <x:f>IF(H2024&gt;0,"Overbilled","Shortfall")</x:f>
        <x:v>Overbilled</x:v>
      </x:c>
      <x:c r="J2024" s="7"/>
      <x:c r="K2024" s="7" t="str">
        <x:v>Open</x:v>
      </x:c>
      <x:c r="L2024" s="7"/>
    </x:row>
    <x:row r="2025" ht="21" customHeight="1">
      <x:c r="A2025" s="1" t="str">
        <x:f>Source!A2019</x:f>
        <x:v>C0016054</x:v>
      </x:c>
      <x:c r="B2025" s="1" t="str">
        <x:f>_xlfn.IFNA(VLOOKUP(Source!B2019,Advertisers!$A$5:$B$34,2,FALSE),"Missing advertiser")</x:f>
        <x:v>Synthetic advertiser 11</x:v>
      </x:c>
      <x:c r="C2025" s="1" t="n">
        <x:f>Source!C2019</x:f>
        <x:v>11</x:v>
      </x:c>
      <x:c r="D2025" s="8" t="n">
        <x:f>Source!D2019/100</x:f>
        <x:v>83.24</x:v>
      </x:c>
      <x:c r="E2025" s="8" t="n">
        <x:f>Source!E2019/100</x:f>
        <x:v>0</x:v>
      </x:c>
      <x:c r="F2025" s="8" t="n">
        <x:f>Source!F2019/100</x:f>
        <x:v>0</x:v>
      </x:c>
      <x:c r="G2025" s="8" t="n">
        <x:f>Source!G2019/100</x:f>
        <x:v>0</x:v>
      </x:c>
      <x:c r="H2025" s="8" t="n">
        <x:f>G2025-D2025</x:f>
        <x:v>-83.24</x:v>
      </x:c>
      <x:c r="I2025" s="1" t="str">
        <x:f>IF(H2025&gt;0,"Overbilled","Shortfall")</x:f>
        <x:v>Shortfall</x:v>
      </x:c>
      <x:c r="J2025" s="7"/>
      <x:c r="K2025" s="7" t="str">
        <x:v>Open</x:v>
      </x:c>
      <x:c r="L2025" s="7"/>
    </x:row>
    <x:row r="2026" ht="21" customHeight="1">
      <x:c r="A2026" s="1" t="str">
        <x:f>Source!A2020</x:f>
        <x:v>C0011239</x:v>
      </x:c>
      <x:c r="B2026" s="1" t="str">
        <x:f>_xlfn.IFNA(VLOOKUP(Source!B2020,Advertisers!$A$5:$B$34,2,FALSE),"Missing advertiser")</x:f>
        <x:v>Synthetic advertiser 11</x:v>
      </x:c>
      <x:c r="C2026" s="1" t="n">
        <x:f>Source!C2020</x:f>
        <x:v>11</x:v>
      </x:c>
      <x:c r="D2026" s="8" t="n">
        <x:f>Source!D2020/100</x:f>
        <x:v>0</x:v>
      </x:c>
      <x:c r="E2026" s="8" t="n">
        <x:f>Source!E2020/100</x:f>
        <x:v>83.24</x:v>
      </x:c>
      <x:c r="F2026" s="8" t="n">
        <x:f>Source!F2020/100</x:f>
        <x:v>0</x:v>
      </x:c>
      <x:c r="G2026" s="8" t="n">
        <x:f>Source!G2020/100</x:f>
        <x:v>83.24</x:v>
      </x:c>
      <x:c r="H2026" s="8" t="n">
        <x:f>G2026-D2026</x:f>
        <x:v>83.24</x:v>
      </x:c>
      <x:c r="I2026" s="1" t="str">
        <x:f>IF(H2026&gt;0,"Overbilled","Shortfall")</x:f>
        <x:v>Overbilled</x:v>
      </x:c>
      <x:c r="J2026" s="7"/>
      <x:c r="K2026" s="7" t="str">
        <x:v>Open</x:v>
      </x:c>
      <x:c r="L2026" s="7"/>
    </x:row>
    <x:row r="2027" ht="21" customHeight="1">
      <x:c r="A2027" s="1" t="str">
        <x:f>Source!A2021</x:f>
        <x:v>C0012157</x:v>
      </x:c>
      <x:c r="B2027" s="1" t="str">
        <x:f>_xlfn.IFNA(VLOOKUP(Source!B2021,Advertisers!$A$5:$B$34,2,FALSE),"Missing advertiser")</x:f>
        <x:v>Synthetic advertiser 11</x:v>
      </x:c>
      <x:c r="C2027" s="1" t="n">
        <x:f>Source!C2021</x:f>
        <x:v>11</x:v>
      </x:c>
      <x:c r="D2027" s="8" t="n">
        <x:f>Source!D2021/100</x:f>
        <x:v>83.24</x:v>
      </x:c>
      <x:c r="E2027" s="8" t="n">
        <x:f>Source!E2021/100</x:f>
        <x:v>0</x:v>
      </x:c>
      <x:c r="F2027" s="8" t="n">
        <x:f>Source!F2021/100</x:f>
        <x:v>0</x:v>
      </x:c>
      <x:c r="G2027" s="8" t="n">
        <x:f>Source!G2021/100</x:f>
        <x:v>0</x:v>
      </x:c>
      <x:c r="H2027" s="8" t="n">
        <x:f>G2027-D2027</x:f>
        <x:v>-83.24</x:v>
      </x:c>
      <x:c r="I2027" s="1" t="str">
        <x:f>IF(H2027&gt;0,"Overbilled","Shortfall")</x:f>
        <x:v>Shortfall</x:v>
      </x:c>
      <x:c r="J2027" s="7"/>
      <x:c r="K2027" s="7" t="str">
        <x:v>Open</x:v>
      </x:c>
      <x:c r="L2027" s="7"/>
    </x:row>
    <x:row r="2028" ht="21" customHeight="1">
      <x:c r="A2028" s="1" t="str">
        <x:f>Source!A2022</x:f>
        <x:v>C0011979</x:v>
      </x:c>
      <x:c r="B2028" s="1" t="str">
        <x:f>_xlfn.IFNA(VLOOKUP(Source!B2022,Advertisers!$A$5:$B$34,2,FALSE),"Missing advertiser")</x:f>
        <x:v>Synthetic advertiser 11</x:v>
      </x:c>
      <x:c r="C2028" s="1" t="n">
        <x:f>Source!C2022</x:f>
        <x:v>11</x:v>
      </x:c>
      <x:c r="D2028" s="8" t="n">
        <x:f>Source!D2022/100</x:f>
        <x:v>83.24</x:v>
      </x:c>
      <x:c r="E2028" s="8" t="n">
        <x:f>Source!E2022/100</x:f>
        <x:v>0</x:v>
      </x:c>
      <x:c r="F2028" s="8" t="n">
        <x:f>Source!F2022/100</x:f>
        <x:v>0</x:v>
      </x:c>
      <x:c r="G2028" s="8" t="n">
        <x:f>Source!G2022/100</x:f>
        <x:v>0</x:v>
      </x:c>
      <x:c r="H2028" s="8" t="n">
        <x:f>G2028-D2028</x:f>
        <x:v>-83.24</x:v>
      </x:c>
      <x:c r="I2028" s="1" t="str">
        <x:f>IF(H2028&gt;0,"Overbilled","Shortfall")</x:f>
        <x:v>Shortfall</x:v>
      </x:c>
      <x:c r="J2028" s="7"/>
      <x:c r="K2028" s="7" t="str">
        <x:v>Open</x:v>
      </x:c>
      <x:c r="L2028" s="7"/>
    </x:row>
    <x:row r="2029" ht="21" customHeight="1">
      <x:c r="A2029" s="1" t="str">
        <x:f>Source!A2023</x:f>
        <x:v>C0016422</x:v>
      </x:c>
      <x:c r="B2029" s="1" t="str">
        <x:f>_xlfn.IFNA(VLOOKUP(Source!B2023,Advertisers!$A$5:$B$34,2,FALSE),"Missing advertiser")</x:f>
        <x:v>Synthetic advertiser 11</x:v>
      </x:c>
      <x:c r="C2029" s="1" t="n">
        <x:f>Source!C2023</x:f>
        <x:v>11</x:v>
      </x:c>
      <x:c r="D2029" s="8" t="n">
        <x:f>Source!D2023/100</x:f>
        <x:v>83.24</x:v>
      </x:c>
      <x:c r="E2029" s="8" t="n">
        <x:f>Source!E2023/100</x:f>
        <x:v>0</x:v>
      </x:c>
      <x:c r="F2029" s="8" t="n">
        <x:f>Source!F2023/100</x:f>
        <x:v>0</x:v>
      </x:c>
      <x:c r="G2029" s="8" t="n">
        <x:f>Source!G2023/100</x:f>
        <x:v>0</x:v>
      </x:c>
      <x:c r="H2029" s="8" t="n">
        <x:f>G2029-D2029</x:f>
        <x:v>-83.24</x:v>
      </x:c>
      <x:c r="I2029" s="1" t="str">
        <x:f>IF(H2029&gt;0,"Overbilled","Shortfall")</x:f>
        <x:v>Shortfall</x:v>
      </x:c>
      <x:c r="J2029" s="7"/>
      <x:c r="K2029" s="7" t="str">
        <x:v>Open</x:v>
      </x:c>
      <x:c r="L2029" s="7"/>
    </x:row>
    <x:row r="2030" ht="21" customHeight="1">
      <x:c r="A2030" s="1" t="str">
        <x:f>Source!A2024</x:f>
        <x:v>C0013307</x:v>
      </x:c>
      <x:c r="B2030" s="1" t="str">
        <x:f>_xlfn.IFNA(VLOOKUP(Source!B2024,Advertisers!$A$5:$B$34,2,FALSE),"Missing advertiser")</x:f>
        <x:v>Synthetic advertiser 11</x:v>
      </x:c>
      <x:c r="C2030" s="1" t="n">
        <x:f>Source!C2024</x:f>
        <x:v>11</x:v>
      </x:c>
      <x:c r="D2030" s="8" t="n">
        <x:f>Source!D2024/100</x:f>
        <x:v>83.24</x:v>
      </x:c>
      <x:c r="E2030" s="8" t="n">
        <x:f>Source!E2024/100</x:f>
        <x:v>0</x:v>
      </x:c>
      <x:c r="F2030" s="8" t="n">
        <x:f>Source!F2024/100</x:f>
        <x:v>0</x:v>
      </x:c>
      <x:c r="G2030" s="8" t="n">
        <x:f>Source!G2024/100</x:f>
        <x:v>0</x:v>
      </x:c>
      <x:c r="H2030" s="8" t="n">
        <x:f>G2030-D2030</x:f>
        <x:v>-83.24</x:v>
      </x:c>
      <x:c r="I2030" s="1" t="str">
        <x:f>IF(H2030&gt;0,"Overbilled","Shortfall")</x:f>
        <x:v>Shortfall</x:v>
      </x:c>
      <x:c r="J2030" s="7"/>
      <x:c r="K2030" s="7" t="str">
        <x:v>Open</x:v>
      </x:c>
      <x:c r="L2030" s="7"/>
    </x:row>
    <x:row r="2031" ht="21" customHeight="1">
      <x:c r="A2031" s="1" t="str">
        <x:f>Source!A2025</x:f>
        <x:v>C0011816</x:v>
      </x:c>
      <x:c r="B2031" s="1" t="str">
        <x:f>_xlfn.IFNA(VLOOKUP(Source!B2025,Advertisers!$A$5:$B$34,2,FALSE),"Missing advertiser")</x:f>
        <x:v>Synthetic advertiser 4</x:v>
      </x:c>
      <x:c r="C2031" s="1" t="n">
        <x:f>Source!C2025</x:f>
        <x:v>64</x:v>
      </x:c>
      <x:c r="D2031" s="8" t="n">
        <x:f>Source!D2025/100</x:f>
        <x:v>83.18</x:v>
      </x:c>
      <x:c r="E2031" s="8" t="n">
        <x:f>Source!E2025/100</x:f>
        <x:v>166.36</x:v>
      </x:c>
      <x:c r="F2031" s="8" t="n">
        <x:f>Source!F2025/100</x:f>
        <x:v>0</x:v>
      </x:c>
      <x:c r="G2031" s="8" t="n">
        <x:f>Source!G2025/100</x:f>
        <x:v>166.36</x:v>
      </x:c>
      <x:c r="H2031" s="8" t="n">
        <x:f>G2031-D2031</x:f>
        <x:v>83.18</x:v>
      </x:c>
      <x:c r="I2031" s="1" t="str">
        <x:f>IF(H2031&gt;0,"Overbilled","Shortfall")</x:f>
        <x:v>Overbilled</x:v>
      </x:c>
      <x:c r="J2031" s="7"/>
      <x:c r="K2031" s="7" t="str">
        <x:v>Open</x:v>
      </x:c>
      <x:c r="L2031" s="7"/>
    </x:row>
    <x:row r="2032" ht="21" customHeight="1">
      <x:c r="A2032" s="1" t="str">
        <x:f>Source!A2026</x:f>
        <x:v>C0012355</x:v>
      </x:c>
      <x:c r="B2032" s="1" t="str">
        <x:f>_xlfn.IFNA(VLOOKUP(Source!B2026,Advertisers!$A$5:$B$34,2,FALSE),"Missing advertiser")</x:f>
        <x:v>Synthetic advertiser 4</x:v>
      </x:c>
      <x:c r="C2032" s="1" t="n">
        <x:f>Source!C2026</x:f>
        <x:v>64</x:v>
      </x:c>
      <x:c r="D2032" s="8" t="n">
        <x:f>Source!D2026/100</x:f>
        <x:v>83.18</x:v>
      </x:c>
      <x:c r="E2032" s="8" t="n">
        <x:f>Source!E2026/100</x:f>
        <x:v>166.36</x:v>
      </x:c>
      <x:c r="F2032" s="8" t="n">
        <x:f>Source!F2026/100</x:f>
        <x:v>0</x:v>
      </x:c>
      <x:c r="G2032" s="8" t="n">
        <x:f>Source!G2026/100</x:f>
        <x:v>166.36</x:v>
      </x:c>
      <x:c r="H2032" s="8" t="n">
        <x:f>G2032-D2032</x:f>
        <x:v>83.18</x:v>
      </x:c>
      <x:c r="I2032" s="1" t="str">
        <x:f>IF(H2032&gt;0,"Overbilled","Shortfall")</x:f>
        <x:v>Overbilled</x:v>
      </x:c>
      <x:c r="J2032" s="7"/>
      <x:c r="K2032" s="7" t="str">
        <x:v>Open</x:v>
      </x:c>
      <x:c r="L2032" s="7"/>
    </x:row>
    <x:row r="2033" ht="21" customHeight="1">
      <x:c r="A2033" s="1" t="str">
        <x:f>Source!A2027</x:f>
        <x:v>C0003837</x:v>
      </x:c>
      <x:c r="B2033" s="1" t="str">
        <x:f>_xlfn.IFNA(VLOOKUP(Source!B2027,Advertisers!$A$5:$B$34,2,FALSE),"Missing advertiser")</x:f>
        <x:v>Synthetic advertiser 4</x:v>
      </x:c>
      <x:c r="C2033" s="1" t="n">
        <x:f>Source!C2027</x:f>
        <x:v>64</x:v>
      </x:c>
      <x:c r="D2033" s="8" t="n">
        <x:f>Source!D2027/100</x:f>
        <x:v>83.18</x:v>
      </x:c>
      <x:c r="E2033" s="8" t="n">
        <x:f>Source!E2027/100</x:f>
        <x:v>166.36</x:v>
      </x:c>
      <x:c r="F2033" s="8" t="n">
        <x:f>Source!F2027/100</x:f>
        <x:v>0</x:v>
      </x:c>
      <x:c r="G2033" s="8" t="n">
        <x:f>Source!G2027/100</x:f>
        <x:v>166.36</x:v>
      </x:c>
      <x:c r="H2033" s="8" t="n">
        <x:f>G2033-D2033</x:f>
        <x:v>83.18</x:v>
      </x:c>
      <x:c r="I2033" s="1" t="str">
        <x:f>IF(H2033&gt;0,"Overbilled","Shortfall")</x:f>
        <x:v>Overbilled</x:v>
      </x:c>
      <x:c r="J2033" s="7"/>
      <x:c r="K2033" s="7" t="str">
        <x:v>Open</x:v>
      </x:c>
      <x:c r="L2033" s="7"/>
    </x:row>
    <x:row r="2034" ht="21" customHeight="1">
      <x:c r="A2034" s="1" t="str">
        <x:f>Source!A2028</x:f>
        <x:v>C0010673</x:v>
      </x:c>
      <x:c r="B2034" s="1" t="str">
        <x:f>_xlfn.IFNA(VLOOKUP(Source!B2028,Advertisers!$A$5:$B$34,2,FALSE),"Missing advertiser")</x:f>
        <x:v>Synthetic advertiser 4</x:v>
      </x:c>
      <x:c r="C2034" s="1" t="n">
        <x:f>Source!C2028</x:f>
        <x:v>64</x:v>
      </x:c>
      <x:c r="D2034" s="8" t="n">
        <x:f>Source!D2028/100</x:f>
        <x:v>83.18</x:v>
      </x:c>
      <x:c r="E2034" s="8" t="n">
        <x:f>Source!E2028/100</x:f>
        <x:v>0</x:v>
      </x:c>
      <x:c r="F2034" s="8" t="n">
        <x:f>Source!F2028/100</x:f>
        <x:v>0</x:v>
      </x:c>
      <x:c r="G2034" s="8" t="n">
        <x:f>Source!G2028/100</x:f>
        <x:v>0</x:v>
      </x:c>
      <x:c r="H2034" s="8" t="n">
        <x:f>G2034-D2034</x:f>
        <x:v>-83.18</x:v>
      </x:c>
      <x:c r="I2034" s="1" t="str">
        <x:f>IF(H2034&gt;0,"Overbilled","Shortfall")</x:f>
        <x:v>Shortfall</x:v>
      </x:c>
      <x:c r="J2034" s="7"/>
      <x:c r="K2034" s="7" t="str">
        <x:v>Open</x:v>
      </x:c>
      <x:c r="L2034" s="7"/>
    </x:row>
    <x:row r="2035" ht="21" customHeight="1">
      <x:c r="A2035" s="1" t="str">
        <x:f>Source!A2029</x:f>
        <x:v>C0001585</x:v>
      </x:c>
      <x:c r="B2035" s="1" t="str">
        <x:f>_xlfn.IFNA(VLOOKUP(Source!B2029,Advertisers!$A$5:$B$34,2,FALSE),"Missing advertiser")</x:f>
        <x:v>Synthetic advertiser 4</x:v>
      </x:c>
      <x:c r="C2035" s="1" t="n">
        <x:f>Source!C2029</x:f>
        <x:v>64</x:v>
      </x:c>
      <x:c r="D2035" s="8" t="n">
        <x:f>Source!D2029/100</x:f>
        <x:v>83.18</x:v>
      </x:c>
      <x:c r="E2035" s="8" t="n">
        <x:f>Source!E2029/100</x:f>
        <x:v>166.36</x:v>
      </x:c>
      <x:c r="F2035" s="8" t="n">
        <x:f>Source!F2029/100</x:f>
        <x:v>0</x:v>
      </x:c>
      <x:c r="G2035" s="8" t="n">
        <x:f>Source!G2029/100</x:f>
        <x:v>166.36</x:v>
      </x:c>
      <x:c r="H2035" s="8" t="n">
        <x:f>G2035-D2035</x:f>
        <x:v>83.18</x:v>
      </x:c>
      <x:c r="I2035" s="1" t="str">
        <x:f>IF(H2035&gt;0,"Overbilled","Shortfall")</x:f>
        <x:v>Overbilled</x:v>
      </x:c>
      <x:c r="J2035" s="7"/>
      <x:c r="K2035" s="7" t="str">
        <x:v>Open</x:v>
      </x:c>
      <x:c r="L2035" s="7"/>
    </x:row>
    <x:row r="2036" ht="21" customHeight="1">
      <x:c r="A2036" s="1" t="str">
        <x:f>Source!A2030</x:f>
        <x:v>C0011145</x:v>
      </x:c>
      <x:c r="B2036" s="1" t="str">
        <x:f>_xlfn.IFNA(VLOOKUP(Source!B2030,Advertisers!$A$5:$B$34,2,FALSE),"Missing advertiser")</x:f>
        <x:v>Synthetic advertiser 4</x:v>
      </x:c>
      <x:c r="C2036" s="1" t="n">
        <x:f>Source!C2030</x:f>
        <x:v>64</x:v>
      </x:c>
      <x:c r="D2036" s="8" t="n">
        <x:f>Source!D2030/100</x:f>
        <x:v>83.18</x:v>
      </x:c>
      <x:c r="E2036" s="8" t="n">
        <x:f>Source!E2030/100</x:f>
        <x:v>166.36</x:v>
      </x:c>
      <x:c r="F2036" s="8" t="n">
        <x:f>Source!F2030/100</x:f>
        <x:v>0</x:v>
      </x:c>
      <x:c r="G2036" s="8" t="n">
        <x:f>Source!G2030/100</x:f>
        <x:v>166.36</x:v>
      </x:c>
      <x:c r="H2036" s="8" t="n">
        <x:f>G2036-D2036</x:f>
        <x:v>83.18</x:v>
      </x:c>
      <x:c r="I2036" s="1" t="str">
        <x:f>IF(H2036&gt;0,"Overbilled","Shortfall")</x:f>
        <x:v>Overbilled</x:v>
      </x:c>
      <x:c r="J2036" s="7"/>
      <x:c r="K2036" s="7" t="str">
        <x:v>Open</x:v>
      </x:c>
      <x:c r="L2036" s="7"/>
    </x:row>
    <x:row r="2037" ht="21" customHeight="1">
      <x:c r="A2037" s="1" t="str">
        <x:f>Source!A2031</x:f>
        <x:v>C0013687</x:v>
      </x:c>
      <x:c r="B2037" s="1" t="str">
        <x:f>_xlfn.IFNA(VLOOKUP(Source!B2031,Advertisers!$A$5:$B$34,2,FALSE),"Missing advertiser")</x:f>
        <x:v>Synthetic advertiser 4</x:v>
      </x:c>
      <x:c r="C2037" s="1" t="n">
        <x:f>Source!C2031</x:f>
        <x:v>64</x:v>
      </x:c>
      <x:c r="D2037" s="8" t="n">
        <x:f>Source!D2031/100</x:f>
        <x:v>83.18</x:v>
      </x:c>
      <x:c r="E2037" s="8" t="n">
        <x:f>Source!E2031/100</x:f>
        <x:v>0</x:v>
      </x:c>
      <x:c r="F2037" s="8" t="n">
        <x:f>Source!F2031/100</x:f>
        <x:v>0</x:v>
      </x:c>
      <x:c r="G2037" s="8" t="n">
        <x:f>Source!G2031/100</x:f>
        <x:v>0</x:v>
      </x:c>
      <x:c r="H2037" s="8" t="n">
        <x:f>G2037-D2037</x:f>
        <x:v>-83.18</x:v>
      </x:c>
      <x:c r="I2037" s="1" t="str">
        <x:f>IF(H2037&gt;0,"Overbilled","Shortfall")</x:f>
        <x:v>Shortfall</x:v>
      </x:c>
      <x:c r="J2037" s="7"/>
      <x:c r="K2037" s="7" t="str">
        <x:v>Open</x:v>
      </x:c>
      <x:c r="L2037" s="7"/>
    </x:row>
    <x:row r="2038" ht="21" customHeight="1">
      <x:c r="A2038" s="1" t="str">
        <x:f>Source!A2032</x:f>
        <x:v>C0005023</x:v>
      </x:c>
      <x:c r="B2038" s="1" t="str">
        <x:f>_xlfn.IFNA(VLOOKUP(Source!B2032,Advertisers!$A$5:$B$34,2,FALSE),"Missing advertiser")</x:f>
        <x:v>Synthetic advertiser 4</x:v>
      </x:c>
      <x:c r="C2038" s="1" t="n">
        <x:f>Source!C2032</x:f>
        <x:v>64</x:v>
      </x:c>
      <x:c r="D2038" s="8" t="n">
        <x:f>Source!D2032/100</x:f>
        <x:v>83.18</x:v>
      </x:c>
      <x:c r="E2038" s="8" t="n">
        <x:f>Source!E2032/100</x:f>
        <x:v>0</x:v>
      </x:c>
      <x:c r="F2038" s="8" t="n">
        <x:f>Source!F2032/100</x:f>
        <x:v>0</x:v>
      </x:c>
      <x:c r="G2038" s="8" t="n">
        <x:f>Source!G2032/100</x:f>
        <x:v>0</x:v>
      </x:c>
      <x:c r="H2038" s="8" t="n">
        <x:f>G2038-D2038</x:f>
        <x:v>-83.18</x:v>
      </x:c>
      <x:c r="I2038" s="1" t="str">
        <x:f>IF(H2038&gt;0,"Overbilled","Shortfall")</x:f>
        <x:v>Shortfall</x:v>
      </x:c>
      <x:c r="J2038" s="7"/>
      <x:c r="K2038" s="7" t="str">
        <x:v>Open</x:v>
      </x:c>
      <x:c r="L2038" s="7"/>
    </x:row>
    <x:row r="2039" ht="21" customHeight="1">
      <x:c r="A2039" s="1" t="str">
        <x:f>Source!A2033</x:f>
        <x:v>C0005077</x:v>
      </x:c>
      <x:c r="B2039" s="1" t="str">
        <x:f>_xlfn.IFNA(VLOOKUP(Source!B2033,Advertisers!$A$5:$B$34,2,FALSE),"Missing advertiser")</x:f>
        <x:v>Synthetic advertiser 4</x:v>
      </x:c>
      <x:c r="C2039" s="1" t="n">
        <x:f>Source!C2033</x:f>
        <x:v>64</x:v>
      </x:c>
      <x:c r="D2039" s="8" t="n">
        <x:f>Source!D2033/100</x:f>
        <x:v>83.18</x:v>
      </x:c>
      <x:c r="E2039" s="8" t="n">
        <x:f>Source!E2033/100</x:f>
        <x:v>166.36</x:v>
      </x:c>
      <x:c r="F2039" s="8" t="n">
        <x:f>Source!F2033/100</x:f>
        <x:v>0</x:v>
      </x:c>
      <x:c r="G2039" s="8" t="n">
        <x:f>Source!G2033/100</x:f>
        <x:v>166.36</x:v>
      </x:c>
      <x:c r="H2039" s="8" t="n">
        <x:f>G2039-D2039</x:f>
        <x:v>83.18</x:v>
      </x:c>
      <x:c r="I2039" s="1" t="str">
        <x:f>IF(H2039&gt;0,"Overbilled","Shortfall")</x:f>
        <x:v>Overbilled</x:v>
      </x:c>
      <x:c r="J2039" s="7"/>
      <x:c r="K2039" s="7" t="str">
        <x:v>Open</x:v>
      </x:c>
      <x:c r="L2039" s="7"/>
    </x:row>
    <x:row r="2040" ht="21" customHeight="1">
      <x:c r="A2040" s="1" t="str">
        <x:f>Source!A2034</x:f>
        <x:v>C0014137</x:v>
      </x:c>
      <x:c r="B2040" s="1" t="str">
        <x:f>_xlfn.IFNA(VLOOKUP(Source!B2034,Advertisers!$A$5:$B$34,2,FALSE),"Missing advertiser")</x:f>
        <x:v>Synthetic advertiser 3</x:v>
      </x:c>
      <x:c r="C2040" s="1" t="n">
        <x:f>Source!C2034</x:f>
        <x:v>3</x:v>
      </x:c>
      <x:c r="D2040" s="8" t="n">
        <x:f>Source!D2034/100</x:f>
        <x:v>83.04</x:v>
      </x:c>
      <x:c r="E2040" s="8" t="n">
        <x:f>Source!E2034/100</x:f>
        <x:v>166.08</x:v>
      </x:c>
      <x:c r="F2040" s="8" t="n">
        <x:f>Source!F2034/100</x:f>
        <x:v>0</x:v>
      </x:c>
      <x:c r="G2040" s="8" t="n">
        <x:f>Source!G2034/100</x:f>
        <x:v>166.08</x:v>
      </x:c>
      <x:c r="H2040" s="8" t="n">
        <x:f>G2040-D2040</x:f>
        <x:v>83.04</x:v>
      </x:c>
      <x:c r="I2040" s="1" t="str">
        <x:f>IF(H2040&gt;0,"Overbilled","Shortfall")</x:f>
        <x:v>Overbilled</x:v>
      </x:c>
      <x:c r="J2040" s="7"/>
      <x:c r="K2040" s="7" t="str">
        <x:v>Open</x:v>
      </x:c>
      <x:c r="L2040" s="7"/>
    </x:row>
    <x:row r="2041" ht="21" customHeight="1">
      <x:c r="A2041" s="1" t="str">
        <x:f>Source!A2035</x:f>
        <x:v>C0007322</x:v>
      </x:c>
      <x:c r="B2041" s="1" t="str">
        <x:f>_xlfn.IFNA(VLOOKUP(Source!B2035,Advertisers!$A$5:$B$34,2,FALSE),"Missing advertiser")</x:f>
        <x:v>Synthetic advertiser 3</x:v>
      </x:c>
      <x:c r="C2041" s="1" t="n">
        <x:f>Source!C2035</x:f>
        <x:v>3</x:v>
      </x:c>
      <x:c r="D2041" s="8" t="n">
        <x:f>Source!D2035/100</x:f>
        <x:v>83.04</x:v>
      </x:c>
      <x:c r="E2041" s="8" t="n">
        <x:f>Source!E2035/100</x:f>
        <x:v>0</x:v>
      </x:c>
      <x:c r="F2041" s="8" t="n">
        <x:f>Source!F2035/100</x:f>
        <x:v>0</x:v>
      </x:c>
      <x:c r="G2041" s="8" t="n">
        <x:f>Source!G2035/100</x:f>
        <x:v>0</x:v>
      </x:c>
      <x:c r="H2041" s="8" t="n">
        <x:f>G2041-D2041</x:f>
        <x:v>-83.04</x:v>
      </x:c>
      <x:c r="I2041" s="1" t="str">
        <x:f>IF(H2041&gt;0,"Overbilled","Shortfall")</x:f>
        <x:v>Shortfall</x:v>
      </x:c>
      <x:c r="J2041" s="7"/>
      <x:c r="K2041" s="7" t="str">
        <x:v>Open</x:v>
      </x:c>
      <x:c r="L2041" s="7"/>
    </x:row>
    <x:row r="2042" ht="21" customHeight="1">
      <x:c r="A2042" s="1" t="str">
        <x:f>Source!A2036</x:f>
        <x:v>C0016871</x:v>
      </x:c>
      <x:c r="B2042" s="1" t="str">
        <x:f>_xlfn.IFNA(VLOOKUP(Source!B2036,Advertisers!$A$5:$B$34,2,FALSE),"Missing advertiser")</x:f>
        <x:v>Synthetic advertiser 3</x:v>
      </x:c>
      <x:c r="C2042" s="1" t="n">
        <x:f>Source!C2036</x:f>
        <x:v>3</x:v>
      </x:c>
      <x:c r="D2042" s="8" t="n">
        <x:f>Source!D2036/100</x:f>
        <x:v>83.04</x:v>
      </x:c>
      <x:c r="E2042" s="8" t="n">
        <x:f>Source!E2036/100</x:f>
        <x:v>0</x:v>
      </x:c>
      <x:c r="F2042" s="8" t="n">
        <x:f>Source!F2036/100</x:f>
        <x:v>0</x:v>
      </x:c>
      <x:c r="G2042" s="8" t="n">
        <x:f>Source!G2036/100</x:f>
        <x:v>0</x:v>
      </x:c>
      <x:c r="H2042" s="8" t="n">
        <x:f>G2042-D2042</x:f>
        <x:v>-83.04</x:v>
      </x:c>
      <x:c r="I2042" s="1" t="str">
        <x:f>IF(H2042&gt;0,"Overbilled","Shortfall")</x:f>
        <x:v>Shortfall</x:v>
      </x:c>
      <x:c r="J2042" s="7"/>
      <x:c r="K2042" s="7" t="str">
        <x:v>Open</x:v>
      </x:c>
      <x:c r="L2042" s="7"/>
    </x:row>
    <x:row r="2043" ht="21" customHeight="1">
      <x:c r="A2043" s="1" t="str">
        <x:f>Source!A2037</x:f>
        <x:v>C0008783</x:v>
      </x:c>
      <x:c r="B2043" s="1" t="str">
        <x:f>_xlfn.IFNA(VLOOKUP(Source!B2037,Advertisers!$A$5:$B$34,2,FALSE),"Missing advertiser")</x:f>
        <x:v>Synthetic advertiser 3</x:v>
      </x:c>
      <x:c r="C2043" s="1" t="n">
        <x:f>Source!C2037</x:f>
        <x:v>3</x:v>
      </x:c>
      <x:c r="D2043" s="8" t="n">
        <x:f>Source!D2037/100</x:f>
        <x:v>0</x:v>
      </x:c>
      <x:c r="E2043" s="8" t="n">
        <x:f>Source!E2037/100</x:f>
        <x:v>83.04</x:v>
      </x:c>
      <x:c r="F2043" s="8" t="n">
        <x:f>Source!F2037/100</x:f>
        <x:v>0</x:v>
      </x:c>
      <x:c r="G2043" s="8" t="n">
        <x:f>Source!G2037/100</x:f>
        <x:v>83.04</x:v>
      </x:c>
      <x:c r="H2043" s="8" t="n">
        <x:f>G2043-D2043</x:f>
        <x:v>83.04</x:v>
      </x:c>
      <x:c r="I2043" s="1" t="str">
        <x:f>IF(H2043&gt;0,"Overbilled","Shortfall")</x:f>
        <x:v>Overbilled</x:v>
      </x:c>
      <x:c r="J2043" s="7"/>
      <x:c r="K2043" s="7" t="str">
        <x:v>Open</x:v>
      </x:c>
      <x:c r="L2043" s="7"/>
    </x:row>
    <x:row r="2044" ht="21" customHeight="1">
      <x:c r="A2044" s="1" t="str">
        <x:f>Source!A2038</x:f>
        <x:v>C0011522</x:v>
      </x:c>
      <x:c r="B2044" s="1" t="str">
        <x:f>_xlfn.IFNA(VLOOKUP(Source!B2038,Advertisers!$A$5:$B$34,2,FALSE),"Missing advertiser")</x:f>
        <x:v>Synthetic advertiser 3</x:v>
      </x:c>
      <x:c r="C2044" s="1" t="n">
        <x:f>Source!C2038</x:f>
        <x:v>3</x:v>
      </x:c>
      <x:c r="D2044" s="8" t="n">
        <x:f>Source!D2038/100</x:f>
        <x:v>83.04</x:v>
      </x:c>
      <x:c r="E2044" s="8" t="n">
        <x:f>Source!E2038/100</x:f>
        <x:v>0</x:v>
      </x:c>
      <x:c r="F2044" s="8" t="n">
        <x:f>Source!F2038/100</x:f>
        <x:v>0</x:v>
      </x:c>
      <x:c r="G2044" s="8" t="n">
        <x:f>Source!G2038/100</x:f>
        <x:v>0</x:v>
      </x:c>
      <x:c r="H2044" s="8" t="n">
        <x:f>G2044-D2044</x:f>
        <x:v>-83.04</x:v>
      </x:c>
      <x:c r="I2044" s="1" t="str">
        <x:f>IF(H2044&gt;0,"Overbilled","Shortfall")</x:f>
        <x:v>Shortfall</x:v>
      </x:c>
      <x:c r="J2044" s="7"/>
      <x:c r="K2044" s="7" t="str">
        <x:v>Open</x:v>
      </x:c>
      <x:c r="L2044" s="7"/>
    </x:row>
    <x:row r="2045" ht="21" customHeight="1">
      <x:c r="A2045" s="1" t="str">
        <x:f>Source!A2039</x:f>
        <x:v>C0009839</x:v>
      </x:c>
      <x:c r="B2045" s="1" t="str">
        <x:f>_xlfn.IFNA(VLOOKUP(Source!B2039,Advertisers!$A$5:$B$34,2,FALSE),"Missing advertiser")</x:f>
        <x:v>Synthetic advertiser 3</x:v>
      </x:c>
      <x:c r="C2045" s="1" t="n">
        <x:f>Source!C2039</x:f>
        <x:v>3</x:v>
      </x:c>
      <x:c r="D2045" s="8" t="n">
        <x:f>Source!D2039/100</x:f>
        <x:v>83.04</x:v>
      </x:c>
      <x:c r="E2045" s="8" t="n">
        <x:f>Source!E2039/100</x:f>
        <x:v>0</x:v>
      </x:c>
      <x:c r="F2045" s="8" t="n">
        <x:f>Source!F2039/100</x:f>
        <x:v>0</x:v>
      </x:c>
      <x:c r="G2045" s="8" t="n">
        <x:f>Source!G2039/100</x:f>
        <x:v>0</x:v>
      </x:c>
      <x:c r="H2045" s="8" t="n">
        <x:f>G2045-D2045</x:f>
        <x:v>-83.04</x:v>
      </x:c>
      <x:c r="I2045" s="1" t="str">
        <x:f>IF(H2045&gt;0,"Overbilled","Shortfall")</x:f>
        <x:v>Shortfall</x:v>
      </x:c>
      <x:c r="J2045" s="7"/>
      <x:c r="K2045" s="7" t="str">
        <x:v>Open</x:v>
      </x:c>
      <x:c r="L2045" s="7"/>
    </x:row>
    <x:row r="2046" ht="21" customHeight="1">
      <x:c r="A2046" s="1" t="str">
        <x:f>Source!A2040</x:f>
        <x:v>C0016992</x:v>
      </x:c>
      <x:c r="B2046" s="1" t="str">
        <x:f>_xlfn.IFNA(VLOOKUP(Source!B2040,Advertisers!$A$5:$B$34,2,FALSE),"Missing advertiser")</x:f>
        <x:v>Synthetic advertiser 10</x:v>
      </x:c>
      <x:c r="C2046" s="1" t="n">
        <x:f>Source!C2040</x:f>
        <x:v>100</x:v>
      </x:c>
      <x:c r="D2046" s="8" t="n">
        <x:f>Source!D2040/100</x:f>
        <x:v>0</x:v>
      </x:c>
      <x:c r="E2046" s="8" t="n">
        <x:f>Source!E2040/100</x:f>
        <x:v>82</x:v>
      </x:c>
      <x:c r="F2046" s="8" t="n">
        <x:f>Source!F2040/100</x:f>
        <x:v>0</x:v>
      </x:c>
      <x:c r="G2046" s="8" t="n">
        <x:f>Source!G2040/100</x:f>
        <x:v>82</x:v>
      </x:c>
      <x:c r="H2046" s="8" t="n">
        <x:f>G2046-D2046</x:f>
        <x:v>82</x:v>
      </x:c>
      <x:c r="I2046" s="1" t="str">
        <x:f>IF(H2046&gt;0,"Overbilled","Shortfall")</x:f>
        <x:v>Overbilled</x:v>
      </x:c>
      <x:c r="J2046" s="7"/>
      <x:c r="K2046" s="7" t="str">
        <x:v>Open</x:v>
      </x:c>
      <x:c r="L2046" s="7"/>
    </x:row>
    <x:row r="2047" ht="21" customHeight="1">
      <x:c r="A2047" s="1" t="str">
        <x:f>Source!A2041</x:f>
        <x:v>C0016305</x:v>
      </x:c>
      <x:c r="B2047" s="1" t="str">
        <x:f>_xlfn.IFNA(VLOOKUP(Source!B2041,Advertisers!$A$5:$B$34,2,FALSE),"Missing advertiser")</x:f>
        <x:v>Synthetic advertiser 10</x:v>
      </x:c>
      <x:c r="C2047" s="1" t="n">
        <x:f>Source!C2041</x:f>
        <x:v>100</x:v>
      </x:c>
      <x:c r="D2047" s="8" t="n">
        <x:f>Source!D2041/100</x:f>
        <x:v>82</x:v>
      </x:c>
      <x:c r="E2047" s="8" t="n">
        <x:f>Source!E2041/100</x:f>
        <x:v>164</x:v>
      </x:c>
      <x:c r="F2047" s="8" t="n">
        <x:f>Source!F2041/100</x:f>
        <x:v>0</x:v>
      </x:c>
      <x:c r="G2047" s="8" t="n">
        <x:f>Source!G2041/100</x:f>
        <x:v>164</x:v>
      </x:c>
      <x:c r="H2047" s="8" t="n">
        <x:f>G2047-D2047</x:f>
        <x:v>82</x:v>
      </x:c>
      <x:c r="I2047" s="1" t="str">
        <x:f>IF(H2047&gt;0,"Overbilled","Shortfall")</x:f>
        <x:v>Overbilled</x:v>
      </x:c>
      <x:c r="J2047" s="7"/>
      <x:c r="K2047" s="7" t="str">
        <x:v>Open</x:v>
      </x:c>
      <x:c r="L2047" s="7"/>
    </x:row>
    <x:row r="2048" ht="21" customHeight="1">
      <x:c r="A2048" s="1" t="str">
        <x:f>Source!A2042</x:f>
        <x:v>C0004322</x:v>
      </x:c>
      <x:c r="B2048" s="1" t="str">
        <x:f>_xlfn.IFNA(VLOOKUP(Source!B2042,Advertisers!$A$5:$B$34,2,FALSE),"Missing advertiser")</x:f>
        <x:v>Synthetic advertiser 10</x:v>
      </x:c>
      <x:c r="C2048" s="1" t="n">
        <x:f>Source!C2042</x:f>
        <x:v>100</x:v>
      </x:c>
      <x:c r="D2048" s="8" t="n">
        <x:f>Source!D2042/100</x:f>
        <x:v>0</x:v>
      </x:c>
      <x:c r="E2048" s="8" t="n">
        <x:f>Source!E2042/100</x:f>
        <x:v>82</x:v>
      </x:c>
      <x:c r="F2048" s="8" t="n">
        <x:f>Source!F2042/100</x:f>
        <x:v>0</x:v>
      </x:c>
      <x:c r="G2048" s="8" t="n">
        <x:f>Source!G2042/100</x:f>
        <x:v>82</x:v>
      </x:c>
      <x:c r="H2048" s="8" t="n">
        <x:f>G2048-D2048</x:f>
        <x:v>82</x:v>
      </x:c>
      <x:c r="I2048" s="1" t="str">
        <x:f>IF(H2048&gt;0,"Overbilled","Shortfall")</x:f>
        <x:v>Overbilled</x:v>
      </x:c>
      <x:c r="J2048" s="7"/>
      <x:c r="K2048" s="7" t="str">
        <x:v>Open</x:v>
      </x:c>
      <x:c r="L2048" s="7"/>
    </x:row>
    <x:row r="2049" ht="21" customHeight="1">
      <x:c r="A2049" s="1" t="str">
        <x:f>Source!A2043</x:f>
        <x:v>C0006176</x:v>
      </x:c>
      <x:c r="B2049" s="1" t="str">
        <x:f>_xlfn.IFNA(VLOOKUP(Source!B2043,Advertisers!$A$5:$B$34,2,FALSE),"Missing advertiser")</x:f>
        <x:v>Synthetic advertiser 10</x:v>
      </x:c>
      <x:c r="C2049" s="1" t="n">
        <x:f>Source!C2043</x:f>
        <x:v>100</x:v>
      </x:c>
      <x:c r="D2049" s="8" t="n">
        <x:f>Source!D2043/100</x:f>
        <x:v>82</x:v>
      </x:c>
      <x:c r="E2049" s="8" t="n">
        <x:f>Source!E2043/100</x:f>
        <x:v>0</x:v>
      </x:c>
      <x:c r="F2049" s="8" t="n">
        <x:f>Source!F2043/100</x:f>
        <x:v>0</x:v>
      </x:c>
      <x:c r="G2049" s="8" t="n">
        <x:f>Source!G2043/100</x:f>
        <x:v>0</x:v>
      </x:c>
      <x:c r="H2049" s="8" t="n">
        <x:f>G2049-D2049</x:f>
        <x:v>-82</x:v>
      </x:c>
      <x:c r="I2049" s="1" t="str">
        <x:f>IF(H2049&gt;0,"Overbilled","Shortfall")</x:f>
        <x:v>Shortfall</x:v>
      </x:c>
      <x:c r="J2049" s="7"/>
      <x:c r="K2049" s="7" t="str">
        <x:v>Open</x:v>
      </x:c>
      <x:c r="L2049" s="7"/>
    </x:row>
    <x:row r="2050" ht="21" customHeight="1">
      <x:c r="A2050" s="1" t="str">
        <x:f>Source!A2044</x:f>
        <x:v>C0000299</x:v>
      </x:c>
      <x:c r="B2050" s="1" t="str">
        <x:f>_xlfn.IFNA(VLOOKUP(Source!B2044,Advertisers!$A$5:$B$34,2,FALSE),"Missing advertiser")</x:f>
        <x:v>Synthetic advertiser 10</x:v>
      </x:c>
      <x:c r="C2050" s="1" t="n">
        <x:f>Source!C2044</x:f>
        <x:v>100</x:v>
      </x:c>
      <x:c r="D2050" s="8" t="n">
        <x:f>Source!D2044/100</x:f>
        <x:v>82</x:v>
      </x:c>
      <x:c r="E2050" s="8" t="n">
        <x:f>Source!E2044/100</x:f>
        <x:v>0</x:v>
      </x:c>
      <x:c r="F2050" s="8" t="n">
        <x:f>Source!F2044/100</x:f>
        <x:v>0</x:v>
      </x:c>
      <x:c r="G2050" s="8" t="n">
        <x:f>Source!G2044/100</x:f>
        <x:v>0</x:v>
      </x:c>
      <x:c r="H2050" s="8" t="n">
        <x:f>G2050-D2050</x:f>
        <x:v>-82</x:v>
      </x:c>
      <x:c r="I2050" s="1" t="str">
        <x:f>IF(H2050&gt;0,"Overbilled","Shortfall")</x:f>
        <x:v>Shortfall</x:v>
      </x:c>
      <x:c r="J2050" s="7"/>
      <x:c r="K2050" s="7" t="str">
        <x:v>Open</x:v>
      </x:c>
      <x:c r="L2050" s="7"/>
    </x:row>
    <x:row r="2051" ht="21" customHeight="1">
      <x:c r="A2051" s="1" t="str">
        <x:f>Source!A2045</x:f>
        <x:v>C0015579</x:v>
      </x:c>
      <x:c r="B2051" s="1" t="str">
        <x:f>_xlfn.IFNA(VLOOKUP(Source!B2045,Advertisers!$A$5:$B$34,2,FALSE),"Missing advertiser")</x:f>
        <x:v>Synthetic advertiser 10</x:v>
      </x:c>
      <x:c r="C2051" s="1" t="n">
        <x:f>Source!C2045</x:f>
        <x:v>100</x:v>
      </x:c>
      <x:c r="D2051" s="8" t="n">
        <x:f>Source!D2045/100</x:f>
        <x:v>82</x:v>
      </x:c>
      <x:c r="E2051" s="8" t="n">
        <x:f>Source!E2045/100</x:f>
        <x:v>0</x:v>
      </x:c>
      <x:c r="F2051" s="8" t="n">
        <x:f>Source!F2045/100</x:f>
        <x:v>0</x:v>
      </x:c>
      <x:c r="G2051" s="8" t="n">
        <x:f>Source!G2045/100</x:f>
        <x:v>0</x:v>
      </x:c>
      <x:c r="H2051" s="8" t="n">
        <x:f>G2051-D2051</x:f>
        <x:v>-82</x:v>
      </x:c>
      <x:c r="I2051" s="1" t="str">
        <x:f>IF(H2051&gt;0,"Overbilled","Shortfall")</x:f>
        <x:v>Shortfall</x:v>
      </x:c>
      <x:c r="J2051" s="7"/>
      <x:c r="K2051" s="7" t="str">
        <x:v>Open</x:v>
      </x:c>
      <x:c r="L2051" s="7"/>
    </x:row>
    <x:row r="2052" ht="21" customHeight="1">
      <x:c r="A2052" s="1" t="str">
        <x:f>Source!A2046</x:f>
        <x:v>C0016768</x:v>
      </x:c>
      <x:c r="B2052" s="1" t="str">
        <x:f>_xlfn.IFNA(VLOOKUP(Source!B2046,Advertisers!$A$5:$B$34,2,FALSE),"Missing advertiser")</x:f>
        <x:v>Synthetic advertiser 23</x:v>
      </x:c>
      <x:c r="C2052" s="1" t="n">
        <x:f>Source!C2046</x:f>
        <x:v>83</x:v>
      </x:c>
      <x:c r="D2052" s="8" t="n">
        <x:f>Source!D2046/100</x:f>
        <x:v>81.08</x:v>
      </x:c>
      <x:c r="E2052" s="8" t="n">
        <x:f>Source!E2046/100</x:f>
        <x:v>162.16</x:v>
      </x:c>
      <x:c r="F2052" s="8" t="n">
        <x:f>Source!F2046/100</x:f>
        <x:v>0</x:v>
      </x:c>
      <x:c r="G2052" s="8" t="n">
        <x:f>Source!G2046/100</x:f>
        <x:v>162.16</x:v>
      </x:c>
      <x:c r="H2052" s="8" t="n">
        <x:f>G2052-D2052</x:f>
        <x:v>81.08</x:v>
      </x:c>
      <x:c r="I2052" s="1" t="str">
        <x:f>IF(H2052&gt;0,"Overbilled","Shortfall")</x:f>
        <x:v>Overbilled</x:v>
      </x:c>
      <x:c r="J2052" s="7"/>
      <x:c r="K2052" s="7" t="str">
        <x:v>Open</x:v>
      </x:c>
      <x:c r="L2052" s="7"/>
    </x:row>
    <x:row r="2053" ht="21" customHeight="1">
      <x:c r="A2053" s="1" t="str">
        <x:f>Source!A2047</x:f>
        <x:v>C0012914</x:v>
      </x:c>
      <x:c r="B2053" s="1" t="str">
        <x:f>_xlfn.IFNA(VLOOKUP(Source!B2047,Advertisers!$A$5:$B$34,2,FALSE),"Missing advertiser")</x:f>
        <x:v>Synthetic advertiser 23</x:v>
      </x:c>
      <x:c r="C2053" s="1" t="n">
        <x:f>Source!C2047</x:f>
        <x:v>83</x:v>
      </x:c>
      <x:c r="D2053" s="8" t="n">
        <x:f>Source!D2047/100</x:f>
        <x:v>81.08</x:v>
      </x:c>
      <x:c r="E2053" s="8" t="n">
        <x:f>Source!E2047/100</x:f>
        <x:v>0</x:v>
      </x:c>
      <x:c r="F2053" s="8" t="n">
        <x:f>Source!F2047/100</x:f>
        <x:v>0</x:v>
      </x:c>
      <x:c r="G2053" s="8" t="n">
        <x:f>Source!G2047/100</x:f>
        <x:v>0</x:v>
      </x:c>
      <x:c r="H2053" s="8" t="n">
        <x:f>G2053-D2053</x:f>
        <x:v>-81.08</x:v>
      </x:c>
      <x:c r="I2053" s="1" t="str">
        <x:f>IF(H2053&gt;0,"Overbilled","Shortfall")</x:f>
        <x:v>Shortfall</x:v>
      </x:c>
      <x:c r="J2053" s="7"/>
      <x:c r="K2053" s="7" t="str">
        <x:v>Open</x:v>
      </x:c>
      <x:c r="L2053" s="7"/>
    </x:row>
    <x:row r="2054" ht="21" customHeight="1">
      <x:c r="A2054" s="1" t="str">
        <x:f>Source!A2048</x:f>
        <x:v>C0013945</x:v>
      </x:c>
      <x:c r="B2054" s="1" t="str">
        <x:f>_xlfn.IFNA(VLOOKUP(Source!B2048,Advertisers!$A$5:$B$34,2,FALSE),"Missing advertiser")</x:f>
        <x:v>Synthetic advertiser 23</x:v>
      </x:c>
      <x:c r="C2054" s="1" t="n">
        <x:f>Source!C2048</x:f>
        <x:v>83</x:v>
      </x:c>
      <x:c r="D2054" s="8" t="n">
        <x:f>Source!D2048/100</x:f>
        <x:v>81.08</x:v>
      </x:c>
      <x:c r="E2054" s="8" t="n">
        <x:f>Source!E2048/100</x:f>
        <x:v>162.16</x:v>
      </x:c>
      <x:c r="F2054" s="8" t="n">
        <x:f>Source!F2048/100</x:f>
        <x:v>0</x:v>
      </x:c>
      <x:c r="G2054" s="8" t="n">
        <x:f>Source!G2048/100</x:f>
        <x:v>162.16</x:v>
      </x:c>
      <x:c r="H2054" s="8" t="n">
        <x:f>G2054-D2054</x:f>
        <x:v>81.08</x:v>
      </x:c>
      <x:c r="I2054" s="1" t="str">
        <x:f>IF(H2054&gt;0,"Overbilled","Shortfall")</x:f>
        <x:v>Overbilled</x:v>
      </x:c>
      <x:c r="J2054" s="7"/>
      <x:c r="K2054" s="7" t="str">
        <x:v>Open</x:v>
      </x:c>
      <x:c r="L2054" s="7"/>
    </x:row>
    <x:row r="2055" ht="21" customHeight="1">
      <x:c r="A2055" s="1" t="str">
        <x:f>Source!A2049</x:f>
        <x:v>C0014830</x:v>
      </x:c>
      <x:c r="B2055" s="1" t="str">
        <x:f>_xlfn.IFNA(VLOOKUP(Source!B2049,Advertisers!$A$5:$B$34,2,FALSE),"Missing advertiser")</x:f>
        <x:v>Synthetic advertiser 23</x:v>
      </x:c>
      <x:c r="C2055" s="1" t="n">
        <x:f>Source!C2049</x:f>
        <x:v>83</x:v>
      </x:c>
      <x:c r="D2055" s="8" t="n">
        <x:f>Source!D2049/100</x:f>
        <x:v>81.08</x:v>
      </x:c>
      <x:c r="E2055" s="8" t="n">
        <x:f>Source!E2049/100</x:f>
        <x:v>162.16</x:v>
      </x:c>
      <x:c r="F2055" s="8" t="n">
        <x:f>Source!F2049/100</x:f>
        <x:v>0</x:v>
      </x:c>
      <x:c r="G2055" s="8" t="n">
        <x:f>Source!G2049/100</x:f>
        <x:v>162.16</x:v>
      </x:c>
      <x:c r="H2055" s="8" t="n">
        <x:f>G2055-D2055</x:f>
        <x:v>81.08</x:v>
      </x:c>
      <x:c r="I2055" s="1" t="str">
        <x:f>IF(H2055&gt;0,"Overbilled","Shortfall")</x:f>
        <x:v>Overbilled</x:v>
      </x:c>
      <x:c r="J2055" s="7"/>
      <x:c r="K2055" s="7" t="str">
        <x:v>Open</x:v>
      </x:c>
      <x:c r="L2055" s="7"/>
    </x:row>
    <x:row r="2056" ht="21" customHeight="1">
      <x:c r="A2056" s="1" t="str">
        <x:f>Source!A2050</x:f>
        <x:v>C0010491</x:v>
      </x:c>
      <x:c r="B2056" s="1" t="str">
        <x:f>_xlfn.IFNA(VLOOKUP(Source!B2050,Advertisers!$A$5:$B$34,2,FALSE),"Missing advertiser")</x:f>
        <x:v>Synthetic advertiser 23</x:v>
      </x:c>
      <x:c r="C2056" s="1" t="n">
        <x:f>Source!C2050</x:f>
        <x:v>83</x:v>
      </x:c>
      <x:c r="D2056" s="8" t="n">
        <x:f>Source!D2050/100</x:f>
        <x:v>81.08</x:v>
      </x:c>
      <x:c r="E2056" s="8" t="n">
        <x:f>Source!E2050/100</x:f>
        <x:v>162.16</x:v>
      </x:c>
      <x:c r="F2056" s="8" t="n">
        <x:f>Source!F2050/100</x:f>
        <x:v>0</x:v>
      </x:c>
      <x:c r="G2056" s="8" t="n">
        <x:f>Source!G2050/100</x:f>
        <x:v>162.16</x:v>
      </x:c>
      <x:c r="H2056" s="8" t="n">
        <x:f>G2056-D2056</x:f>
        <x:v>81.08</x:v>
      </x:c>
      <x:c r="I2056" s="1" t="str">
        <x:f>IF(H2056&gt;0,"Overbilled","Shortfall")</x:f>
        <x:v>Overbilled</x:v>
      </x:c>
      <x:c r="J2056" s="7"/>
      <x:c r="K2056" s="7" t="str">
        <x:v>Open</x:v>
      </x:c>
      <x:c r="L2056" s="7"/>
    </x:row>
    <x:row r="2057" ht="21" customHeight="1">
      <x:c r="A2057" s="1" t="str">
        <x:f>Source!A2051</x:f>
        <x:v>C0000576</x:v>
      </x:c>
      <x:c r="B2057" s="1" t="str">
        <x:f>_xlfn.IFNA(VLOOKUP(Source!B2051,Advertisers!$A$5:$B$34,2,FALSE),"Missing advertiser")</x:f>
        <x:v>Synthetic advertiser 23</x:v>
      </x:c>
      <x:c r="C2057" s="1" t="n">
        <x:f>Source!C2051</x:f>
        <x:v>83</x:v>
      </x:c>
      <x:c r="D2057" s="8" t="n">
        <x:f>Source!D2051/100</x:f>
        <x:v>81.08</x:v>
      </x:c>
      <x:c r="E2057" s="8" t="n">
        <x:f>Source!E2051/100</x:f>
        <x:v>162.16</x:v>
      </x:c>
      <x:c r="F2057" s="8" t="n">
        <x:f>Source!F2051/100</x:f>
        <x:v>0</x:v>
      </x:c>
      <x:c r="G2057" s="8" t="n">
        <x:f>Source!G2051/100</x:f>
        <x:v>162.16</x:v>
      </x:c>
      <x:c r="H2057" s="8" t="n">
        <x:f>G2057-D2057</x:f>
        <x:v>81.08</x:v>
      </x:c>
      <x:c r="I2057" s="1" t="str">
        <x:f>IF(H2057&gt;0,"Overbilled","Shortfall")</x:f>
        <x:v>Overbilled</x:v>
      </x:c>
      <x:c r="J2057" s="7"/>
      <x:c r="K2057" s="7" t="str">
        <x:v>Open</x:v>
      </x:c>
      <x:c r="L2057" s="7"/>
    </x:row>
    <x:row r="2058" ht="21" customHeight="1">
      <x:c r="A2058" s="1" t="str">
        <x:f>Source!A2052</x:f>
        <x:v>C0008335</x:v>
      </x:c>
      <x:c r="B2058" s="1" t="str">
        <x:f>_xlfn.IFNA(VLOOKUP(Source!B2052,Advertisers!$A$5:$B$34,2,FALSE),"Missing advertiser")</x:f>
        <x:v>Synthetic advertiser 23</x:v>
      </x:c>
      <x:c r="C2058" s="1" t="n">
        <x:f>Source!C2052</x:f>
        <x:v>83</x:v>
      </x:c>
      <x:c r="D2058" s="8" t="n">
        <x:f>Source!D2052/100</x:f>
        <x:v>81.08</x:v>
      </x:c>
      <x:c r="E2058" s="8" t="n">
        <x:f>Source!E2052/100</x:f>
        <x:v>162.16</x:v>
      </x:c>
      <x:c r="F2058" s="8" t="n">
        <x:f>Source!F2052/100</x:f>
        <x:v>0</x:v>
      </x:c>
      <x:c r="G2058" s="8" t="n">
        <x:f>Source!G2052/100</x:f>
        <x:v>162.16</x:v>
      </x:c>
      <x:c r="H2058" s="8" t="n">
        <x:f>G2058-D2058</x:f>
        <x:v>81.08</x:v>
      </x:c>
      <x:c r="I2058" s="1" t="str">
        <x:f>IF(H2058&gt;0,"Overbilled","Shortfall")</x:f>
        <x:v>Overbilled</x:v>
      </x:c>
      <x:c r="J2058" s="7"/>
      <x:c r="K2058" s="7" t="str">
        <x:v>Open</x:v>
      </x:c>
      <x:c r="L2058" s="7"/>
    </x:row>
    <x:row r="2059" ht="21" customHeight="1">
      <x:c r="A2059" s="1" t="str">
        <x:f>Source!A2053</x:f>
        <x:v>C0007080</x:v>
      </x:c>
      <x:c r="B2059" s="1" t="str">
        <x:f>_xlfn.IFNA(VLOOKUP(Source!B2053,Advertisers!$A$5:$B$34,2,FALSE),"Missing advertiser")</x:f>
        <x:v>Synthetic advertiser 4</x:v>
      </x:c>
      <x:c r="C2059" s="1" t="n">
        <x:f>Source!C2053</x:f>
        <x:v>4</x:v>
      </x:c>
      <x:c r="D2059" s="8" t="n">
        <x:f>Source!D2053/100</x:f>
        <x:v>80.85</x:v>
      </x:c>
      <x:c r="E2059" s="8" t="n">
        <x:f>Source!E2053/100</x:f>
        <x:v>161.7</x:v>
      </x:c>
      <x:c r="F2059" s="8" t="n">
        <x:f>Source!F2053/100</x:f>
        <x:v>0</x:v>
      </x:c>
      <x:c r="G2059" s="8" t="n">
        <x:f>Source!G2053/100</x:f>
        <x:v>161.7</x:v>
      </x:c>
      <x:c r="H2059" s="8" t="n">
        <x:f>G2059-D2059</x:f>
        <x:v>80.85</x:v>
      </x:c>
      <x:c r="I2059" s="1" t="str">
        <x:f>IF(H2059&gt;0,"Overbilled","Shortfall")</x:f>
        <x:v>Overbilled</x:v>
      </x:c>
      <x:c r="J2059" s="7"/>
      <x:c r="K2059" s="7" t="str">
        <x:v>Open</x:v>
      </x:c>
      <x:c r="L2059" s="7"/>
    </x:row>
    <x:row r="2060" ht="21" customHeight="1">
      <x:c r="A2060" s="1" t="str">
        <x:f>Source!A2054</x:f>
        <x:v>C0010124</x:v>
      </x:c>
      <x:c r="B2060" s="1" t="str">
        <x:f>_xlfn.IFNA(VLOOKUP(Source!B2054,Advertisers!$A$5:$B$34,2,FALSE),"Missing advertiser")</x:f>
        <x:v>Synthetic advertiser 4</x:v>
      </x:c>
      <x:c r="C2060" s="1" t="n">
        <x:f>Source!C2054</x:f>
        <x:v>4</x:v>
      </x:c>
      <x:c r="D2060" s="8" t="n">
        <x:f>Source!D2054/100</x:f>
        <x:v>80.85</x:v>
      </x:c>
      <x:c r="E2060" s="8" t="n">
        <x:f>Source!E2054/100</x:f>
        <x:v>161.7</x:v>
      </x:c>
      <x:c r="F2060" s="8" t="n">
        <x:f>Source!F2054/100</x:f>
        <x:v>0</x:v>
      </x:c>
      <x:c r="G2060" s="8" t="n">
        <x:f>Source!G2054/100</x:f>
        <x:v>161.7</x:v>
      </x:c>
      <x:c r="H2060" s="8" t="n">
        <x:f>G2060-D2060</x:f>
        <x:v>80.85</x:v>
      </x:c>
      <x:c r="I2060" s="1" t="str">
        <x:f>IF(H2060&gt;0,"Overbilled","Shortfall")</x:f>
        <x:v>Overbilled</x:v>
      </x:c>
      <x:c r="J2060" s="7"/>
      <x:c r="K2060" s="7" t="str">
        <x:v>Open</x:v>
      </x:c>
      <x:c r="L2060" s="7"/>
    </x:row>
    <x:row r="2061" ht="21" customHeight="1">
      <x:c r="A2061" s="1" t="str">
        <x:f>Source!A2055</x:f>
        <x:v>C0003482</x:v>
      </x:c>
      <x:c r="B2061" s="1" t="str">
        <x:f>_xlfn.IFNA(VLOOKUP(Source!B2055,Advertisers!$A$5:$B$34,2,FALSE),"Missing advertiser")</x:f>
        <x:v>Synthetic advertiser 4</x:v>
      </x:c>
      <x:c r="C2061" s="1" t="n">
        <x:f>Source!C2055</x:f>
        <x:v>4</x:v>
      </x:c>
      <x:c r="D2061" s="8" t="n">
        <x:f>Source!D2055/100</x:f>
        <x:v>80.85</x:v>
      </x:c>
      <x:c r="E2061" s="8" t="n">
        <x:f>Source!E2055/100</x:f>
        <x:v>161.7</x:v>
      </x:c>
      <x:c r="F2061" s="8" t="n">
        <x:f>Source!F2055/100</x:f>
        <x:v>0</x:v>
      </x:c>
      <x:c r="G2061" s="8" t="n">
        <x:f>Source!G2055/100</x:f>
        <x:v>161.7</x:v>
      </x:c>
      <x:c r="H2061" s="8" t="n">
        <x:f>G2061-D2061</x:f>
        <x:v>80.85</x:v>
      </x:c>
      <x:c r="I2061" s="1" t="str">
        <x:f>IF(H2061&gt;0,"Overbilled","Shortfall")</x:f>
        <x:v>Overbilled</x:v>
      </x:c>
      <x:c r="J2061" s="7"/>
      <x:c r="K2061" s="7" t="str">
        <x:v>Open</x:v>
      </x:c>
      <x:c r="L2061" s="7"/>
    </x:row>
    <x:row r="2062" ht="21" customHeight="1">
      <x:c r="A2062" s="1" t="str">
        <x:f>Source!A2056</x:f>
        <x:v>C0008380</x:v>
      </x:c>
      <x:c r="B2062" s="1" t="str">
        <x:f>_xlfn.IFNA(VLOOKUP(Source!B2056,Advertisers!$A$5:$B$34,2,FALSE),"Missing advertiser")</x:f>
        <x:v>Synthetic advertiser 4</x:v>
      </x:c>
      <x:c r="C2062" s="1" t="n">
        <x:f>Source!C2056</x:f>
        <x:v>4</x:v>
      </x:c>
      <x:c r="D2062" s="8" t="n">
        <x:f>Source!D2056/100</x:f>
        <x:v>80.85</x:v>
      </x:c>
      <x:c r="E2062" s="8" t="n">
        <x:f>Source!E2056/100</x:f>
        <x:v>0</x:v>
      </x:c>
      <x:c r="F2062" s="8" t="n">
        <x:f>Source!F2056/100</x:f>
        <x:v>0</x:v>
      </x:c>
      <x:c r="G2062" s="8" t="n">
        <x:f>Source!G2056/100</x:f>
        <x:v>0</x:v>
      </x:c>
      <x:c r="H2062" s="8" t="n">
        <x:f>G2062-D2062</x:f>
        <x:v>-80.85</x:v>
      </x:c>
      <x:c r="I2062" s="1" t="str">
        <x:f>IF(H2062&gt;0,"Overbilled","Shortfall")</x:f>
        <x:v>Shortfall</x:v>
      </x:c>
      <x:c r="J2062" s="7"/>
      <x:c r="K2062" s="7" t="str">
        <x:v>Open</x:v>
      </x:c>
      <x:c r="L2062" s="7"/>
    </x:row>
    <x:row r="2063" ht="21" customHeight="1">
      <x:c r="A2063" s="1" t="str">
        <x:f>Source!A2057</x:f>
        <x:v>C0012774</x:v>
      </x:c>
      <x:c r="B2063" s="1" t="str">
        <x:f>_xlfn.IFNA(VLOOKUP(Source!B2057,Advertisers!$A$5:$B$34,2,FALSE),"Missing advertiser")</x:f>
        <x:v>Synthetic advertiser 4</x:v>
      </x:c>
      <x:c r="C2063" s="1" t="n">
        <x:f>Source!C2057</x:f>
        <x:v>4</x:v>
      </x:c>
      <x:c r="D2063" s="8" t="n">
        <x:f>Source!D2057/100</x:f>
        <x:v>80.85</x:v>
      </x:c>
      <x:c r="E2063" s="8" t="n">
        <x:f>Source!E2057/100</x:f>
        <x:v>0</x:v>
      </x:c>
      <x:c r="F2063" s="8" t="n">
        <x:f>Source!F2057/100</x:f>
        <x:v>0</x:v>
      </x:c>
      <x:c r="G2063" s="8" t="n">
        <x:f>Source!G2057/100</x:f>
        <x:v>0</x:v>
      </x:c>
      <x:c r="H2063" s="8" t="n">
        <x:f>G2063-D2063</x:f>
        <x:v>-80.85</x:v>
      </x:c>
      <x:c r="I2063" s="1" t="str">
        <x:f>IF(H2063&gt;0,"Overbilled","Shortfall")</x:f>
        <x:v>Shortfall</x:v>
      </x:c>
      <x:c r="J2063" s="7"/>
      <x:c r="K2063" s="7" t="str">
        <x:v>Open</x:v>
      </x:c>
      <x:c r="L2063" s="7"/>
    </x:row>
    <x:row r="2064" ht="21" customHeight="1">
      <x:c r="A2064" s="1" t="str">
        <x:f>Source!A2058</x:f>
        <x:v>C0014845</x:v>
      </x:c>
      <x:c r="B2064" s="1" t="str">
        <x:f>_xlfn.IFNA(VLOOKUP(Source!B2058,Advertisers!$A$5:$B$34,2,FALSE),"Missing advertiser")</x:f>
        <x:v>Synthetic advertiser 1</x:v>
      </x:c>
      <x:c r="C2064" s="1" t="n">
        <x:f>Source!C2058</x:f>
        <x:v>91</x:v>
      </x:c>
      <x:c r="D2064" s="8" t="n">
        <x:f>Source!D2058/100</x:f>
        <x:v>80.71</x:v>
      </x:c>
      <x:c r="E2064" s="8" t="n">
        <x:f>Source!E2058/100</x:f>
        <x:v>0</x:v>
      </x:c>
      <x:c r="F2064" s="8" t="n">
        <x:f>Source!F2058/100</x:f>
        <x:v>0</x:v>
      </x:c>
      <x:c r="G2064" s="8" t="n">
        <x:f>Source!G2058/100</x:f>
        <x:v>0</x:v>
      </x:c>
      <x:c r="H2064" s="8" t="n">
        <x:f>G2064-D2064</x:f>
        <x:v>-80.71</x:v>
      </x:c>
      <x:c r="I2064" s="1" t="str">
        <x:f>IF(H2064&gt;0,"Overbilled","Shortfall")</x:f>
        <x:v>Shortfall</x:v>
      </x:c>
      <x:c r="J2064" s="7"/>
      <x:c r="K2064" s="7" t="str">
        <x:v>Open</x:v>
      </x:c>
      <x:c r="L2064" s="7"/>
    </x:row>
    <x:row r="2065" ht="21" customHeight="1">
      <x:c r="A2065" s="1" t="str">
        <x:f>Source!A2059</x:f>
        <x:v>C0001905</x:v>
      </x:c>
      <x:c r="B2065" s="1" t="str">
        <x:f>_xlfn.IFNA(VLOOKUP(Source!B2059,Advertisers!$A$5:$B$34,2,FALSE),"Missing advertiser")</x:f>
        <x:v>Synthetic advertiser 1</x:v>
      </x:c>
      <x:c r="C2065" s="1" t="n">
        <x:f>Source!C2059</x:f>
        <x:v>91</x:v>
      </x:c>
      <x:c r="D2065" s="8" t="n">
        <x:f>Source!D2059/100</x:f>
        <x:v>80.71</x:v>
      </x:c>
      <x:c r="E2065" s="8" t="n">
        <x:f>Source!E2059/100</x:f>
        <x:v>0</x:v>
      </x:c>
      <x:c r="F2065" s="8" t="n">
        <x:f>Source!F2059/100</x:f>
        <x:v>0</x:v>
      </x:c>
      <x:c r="G2065" s="8" t="n">
        <x:f>Source!G2059/100</x:f>
        <x:v>0</x:v>
      </x:c>
      <x:c r="H2065" s="8" t="n">
        <x:f>G2065-D2065</x:f>
        <x:v>-80.71</x:v>
      </x:c>
      <x:c r="I2065" s="1" t="str">
        <x:f>IF(H2065&gt;0,"Overbilled","Shortfall")</x:f>
        <x:v>Shortfall</x:v>
      </x:c>
      <x:c r="J2065" s="7"/>
      <x:c r="K2065" s="7" t="str">
        <x:v>Open</x:v>
      </x:c>
      <x:c r="L2065" s="7"/>
    </x:row>
    <x:row r="2066" ht="21" customHeight="1">
      <x:c r="A2066" s="1" t="str">
        <x:f>Source!A2060</x:f>
        <x:v>C0006227</x:v>
      </x:c>
      <x:c r="B2066" s="1" t="str">
        <x:f>_xlfn.IFNA(VLOOKUP(Source!B2060,Advertisers!$A$5:$B$34,2,FALSE),"Missing advertiser")</x:f>
        <x:v>Synthetic advertiser 1</x:v>
      </x:c>
      <x:c r="C2066" s="1" t="n">
        <x:f>Source!C2060</x:f>
        <x:v>91</x:v>
      </x:c>
      <x:c r="D2066" s="8" t="n">
        <x:f>Source!D2060/100</x:f>
        <x:v>80.71</x:v>
      </x:c>
      <x:c r="E2066" s="8" t="n">
        <x:f>Source!E2060/100</x:f>
        <x:v>0</x:v>
      </x:c>
      <x:c r="F2066" s="8" t="n">
        <x:f>Source!F2060/100</x:f>
        <x:v>0</x:v>
      </x:c>
      <x:c r="G2066" s="8" t="n">
        <x:f>Source!G2060/100</x:f>
        <x:v>0</x:v>
      </x:c>
      <x:c r="H2066" s="8" t="n">
        <x:f>G2066-D2066</x:f>
        <x:v>-80.71</x:v>
      </x:c>
      <x:c r="I2066" s="1" t="str">
        <x:f>IF(H2066&gt;0,"Overbilled","Shortfall")</x:f>
        <x:v>Shortfall</x:v>
      </x:c>
      <x:c r="J2066" s="7"/>
      <x:c r="K2066" s="7" t="str">
        <x:v>Open</x:v>
      </x:c>
      <x:c r="L2066" s="7"/>
    </x:row>
    <x:row r="2067" ht="21" customHeight="1">
      <x:c r="A2067" s="1" t="str">
        <x:f>Source!A2061</x:f>
        <x:v>C0006409</x:v>
      </x:c>
      <x:c r="B2067" s="1" t="str">
        <x:f>_xlfn.IFNA(VLOOKUP(Source!B2061,Advertisers!$A$5:$B$34,2,FALSE),"Missing advertiser")</x:f>
        <x:v>Synthetic advertiser 1</x:v>
      </x:c>
      <x:c r="C2067" s="1" t="n">
        <x:f>Source!C2061</x:f>
        <x:v>91</x:v>
      </x:c>
      <x:c r="D2067" s="8" t="n">
        <x:f>Source!D2061/100</x:f>
        <x:v>80.71</x:v>
      </x:c>
      <x:c r="E2067" s="8" t="n">
        <x:f>Source!E2061/100</x:f>
        <x:v>161.42</x:v>
      </x:c>
      <x:c r="F2067" s="8" t="n">
        <x:f>Source!F2061/100</x:f>
        <x:v>0</x:v>
      </x:c>
      <x:c r="G2067" s="8" t="n">
        <x:f>Source!G2061/100</x:f>
        <x:v>161.42</x:v>
      </x:c>
      <x:c r="H2067" s="8" t="n">
        <x:f>G2067-D2067</x:f>
        <x:v>80.71</x:v>
      </x:c>
      <x:c r="I2067" s="1" t="str">
        <x:f>IF(H2067&gt;0,"Overbilled","Shortfall")</x:f>
        <x:v>Overbilled</x:v>
      </x:c>
      <x:c r="J2067" s="7"/>
      <x:c r="K2067" s="7" t="str">
        <x:v>Open</x:v>
      </x:c>
      <x:c r="L2067" s="7"/>
    </x:row>
    <x:row r="2068" ht="21" customHeight="1">
      <x:c r="A2068" s="1" t="str">
        <x:f>Source!A2062</x:f>
        <x:v>C0010961</x:v>
      </x:c>
      <x:c r="B2068" s="1" t="str">
        <x:f>_xlfn.IFNA(VLOOKUP(Source!B2062,Advertisers!$A$5:$B$34,2,FALSE),"Missing advertiser")</x:f>
        <x:v>Synthetic advertiser 29</x:v>
      </x:c>
      <x:c r="C2068" s="1" t="n">
        <x:f>Source!C2062</x:f>
        <x:v>119</x:v>
      </x:c>
      <x:c r="D2068" s="8" t="n">
        <x:f>Source!D2062/100</x:f>
        <x:v>80.63</x:v>
      </x:c>
      <x:c r="E2068" s="8" t="n">
        <x:f>Source!E2062/100</x:f>
        <x:v>0</x:v>
      </x:c>
      <x:c r="F2068" s="8" t="n">
        <x:f>Source!F2062/100</x:f>
        <x:v>0</x:v>
      </x:c>
      <x:c r="G2068" s="8" t="n">
        <x:f>Source!G2062/100</x:f>
        <x:v>0</x:v>
      </x:c>
      <x:c r="H2068" s="8" t="n">
        <x:f>G2068-D2068</x:f>
        <x:v>-80.63</x:v>
      </x:c>
      <x:c r="I2068" s="1" t="str">
        <x:f>IF(H2068&gt;0,"Overbilled","Shortfall")</x:f>
        <x:v>Shortfall</x:v>
      </x:c>
      <x:c r="J2068" s="7"/>
      <x:c r="K2068" s="7" t="str">
        <x:v>Open</x:v>
      </x:c>
      <x:c r="L2068" s="7"/>
    </x:row>
    <x:row r="2069" ht="21" customHeight="1">
      <x:c r="A2069" s="1" t="str">
        <x:f>Source!A2063</x:f>
        <x:v>C0016842</x:v>
      </x:c>
      <x:c r="B2069" s="1" t="str">
        <x:f>_xlfn.IFNA(VLOOKUP(Source!B2063,Advertisers!$A$5:$B$34,2,FALSE),"Missing advertiser")</x:f>
        <x:v>Synthetic advertiser 29</x:v>
      </x:c>
      <x:c r="C2069" s="1" t="n">
        <x:f>Source!C2063</x:f>
        <x:v>119</x:v>
      </x:c>
      <x:c r="D2069" s="8" t="n">
        <x:f>Source!D2063/100</x:f>
        <x:v>80.63</x:v>
      </x:c>
      <x:c r="E2069" s="8" t="n">
        <x:f>Source!E2063/100</x:f>
        <x:v>161.26</x:v>
      </x:c>
      <x:c r="F2069" s="8" t="n">
        <x:f>Source!F2063/100</x:f>
        <x:v>0</x:v>
      </x:c>
      <x:c r="G2069" s="8" t="n">
        <x:f>Source!G2063/100</x:f>
        <x:v>161.26</x:v>
      </x:c>
      <x:c r="H2069" s="8" t="n">
        <x:f>G2069-D2069</x:f>
        <x:v>80.63</x:v>
      </x:c>
      <x:c r="I2069" s="1" t="str">
        <x:f>IF(H2069&gt;0,"Overbilled","Shortfall")</x:f>
        <x:v>Overbilled</x:v>
      </x:c>
      <x:c r="J2069" s="7"/>
      <x:c r="K2069" s="7" t="str">
        <x:v>Open</x:v>
      </x:c>
      <x:c r="L2069" s="7"/>
    </x:row>
    <x:row r="2070" ht="21" customHeight="1">
      <x:c r="A2070" s="1" t="str">
        <x:f>Source!A2064</x:f>
        <x:v>C0017815</x:v>
      </x:c>
      <x:c r="B2070" s="1" t="str">
        <x:f>_xlfn.IFNA(VLOOKUP(Source!B2064,Advertisers!$A$5:$B$34,2,FALSE),"Missing advertiser")</x:f>
        <x:v>Synthetic advertiser 29</x:v>
      </x:c>
      <x:c r="C2070" s="1" t="n">
        <x:f>Source!C2064</x:f>
        <x:v>119</x:v>
      </x:c>
      <x:c r="D2070" s="8" t="n">
        <x:f>Source!D2064/100</x:f>
        <x:v>80.63</x:v>
      </x:c>
      <x:c r="E2070" s="8" t="n">
        <x:f>Source!E2064/100</x:f>
        <x:v>161.26</x:v>
      </x:c>
      <x:c r="F2070" s="8" t="n">
        <x:f>Source!F2064/100</x:f>
        <x:v>0</x:v>
      </x:c>
      <x:c r="G2070" s="8" t="n">
        <x:f>Source!G2064/100</x:f>
        <x:v>161.26</x:v>
      </x:c>
      <x:c r="H2070" s="8" t="n">
        <x:f>G2070-D2070</x:f>
        <x:v>80.63</x:v>
      </x:c>
      <x:c r="I2070" s="1" t="str">
        <x:f>IF(H2070&gt;0,"Overbilled","Shortfall")</x:f>
        <x:v>Overbilled</x:v>
      </x:c>
      <x:c r="J2070" s="7"/>
      <x:c r="K2070" s="7" t="str">
        <x:v>Open</x:v>
      </x:c>
      <x:c r="L2070" s="7"/>
    </x:row>
    <x:row r="2071" ht="21" customHeight="1">
      <x:c r="A2071" s="1" t="str">
        <x:f>Source!A2065</x:f>
        <x:v>C0011550</x:v>
      </x:c>
      <x:c r="B2071" s="1" t="str">
        <x:f>_xlfn.IFNA(VLOOKUP(Source!B2065,Advertisers!$A$5:$B$34,2,FALSE),"Missing advertiser")</x:f>
        <x:v>Synthetic advertiser 29</x:v>
      </x:c>
      <x:c r="C2071" s="1" t="n">
        <x:f>Source!C2065</x:f>
        <x:v>119</x:v>
      </x:c>
      <x:c r="D2071" s="8" t="n">
        <x:f>Source!D2065/100</x:f>
        <x:v>80.63</x:v>
      </x:c>
      <x:c r="E2071" s="8" t="n">
        <x:f>Source!E2065/100</x:f>
        <x:v>0</x:v>
      </x:c>
      <x:c r="F2071" s="8" t="n">
        <x:f>Source!F2065/100</x:f>
        <x:v>0</x:v>
      </x:c>
      <x:c r="G2071" s="8" t="n">
        <x:f>Source!G2065/100</x:f>
        <x:v>0</x:v>
      </x:c>
      <x:c r="H2071" s="8" t="n">
        <x:f>G2071-D2071</x:f>
        <x:v>-80.63</x:v>
      </x:c>
      <x:c r="I2071" s="1" t="str">
        <x:f>IF(H2071&gt;0,"Overbilled","Shortfall")</x:f>
        <x:v>Shortfall</x:v>
      </x:c>
      <x:c r="J2071" s="7"/>
      <x:c r="K2071" s="7" t="str">
        <x:v>Open</x:v>
      </x:c>
      <x:c r="L2071" s="7"/>
    </x:row>
    <x:row r="2072" ht="21" customHeight="1">
      <x:c r="A2072" s="1" t="str">
        <x:f>Source!A2066</x:f>
        <x:v>C0002099</x:v>
      </x:c>
      <x:c r="B2072" s="1" t="str">
        <x:f>_xlfn.IFNA(VLOOKUP(Source!B2066,Advertisers!$A$5:$B$34,2,FALSE),"Missing advertiser")</x:f>
        <x:v>Synthetic advertiser 29</x:v>
      </x:c>
      <x:c r="C2072" s="1" t="n">
        <x:f>Source!C2066</x:f>
        <x:v>119</x:v>
      </x:c>
      <x:c r="D2072" s="8" t="n">
        <x:f>Source!D2066/100</x:f>
        <x:v>80.63</x:v>
      </x:c>
      <x:c r="E2072" s="8" t="n">
        <x:f>Source!E2066/100</x:f>
        <x:v>161.26</x:v>
      </x:c>
      <x:c r="F2072" s="8" t="n">
        <x:f>Source!F2066/100</x:f>
        <x:v>0</x:v>
      </x:c>
      <x:c r="G2072" s="8" t="n">
        <x:f>Source!G2066/100</x:f>
        <x:v>161.26</x:v>
      </x:c>
      <x:c r="H2072" s="8" t="n">
        <x:f>G2072-D2072</x:f>
        <x:v>80.63</x:v>
      </x:c>
      <x:c r="I2072" s="1" t="str">
        <x:f>IF(H2072&gt;0,"Overbilled","Shortfall")</x:f>
        <x:v>Overbilled</x:v>
      </x:c>
      <x:c r="J2072" s="7"/>
      <x:c r="K2072" s="7" t="str">
        <x:v>Open</x:v>
      </x:c>
      <x:c r="L2072" s="7"/>
    </x:row>
    <x:row r="2073" ht="21" customHeight="1">
      <x:c r="A2073" s="1" t="str">
        <x:f>Source!A2067</x:f>
        <x:v>C0002068</x:v>
      </x:c>
      <x:c r="B2073" s="1" t="str">
        <x:f>_xlfn.IFNA(VLOOKUP(Source!B2067,Advertisers!$A$5:$B$34,2,FALSE),"Missing advertiser")</x:f>
        <x:v>Synthetic advertiser 29</x:v>
      </x:c>
      <x:c r="C2073" s="1" t="n">
        <x:f>Source!C2067</x:f>
        <x:v>119</x:v>
      </x:c>
      <x:c r="D2073" s="8" t="n">
        <x:f>Source!D2067/100</x:f>
        <x:v>80.63</x:v>
      </x:c>
      <x:c r="E2073" s="8" t="n">
        <x:f>Source!E2067/100</x:f>
        <x:v>161.26</x:v>
      </x:c>
      <x:c r="F2073" s="8" t="n">
        <x:f>Source!F2067/100</x:f>
        <x:v>0</x:v>
      </x:c>
      <x:c r="G2073" s="8" t="n">
        <x:f>Source!G2067/100</x:f>
        <x:v>161.26</x:v>
      </x:c>
      <x:c r="H2073" s="8" t="n">
        <x:f>G2073-D2073</x:f>
        <x:v>80.63</x:v>
      </x:c>
      <x:c r="I2073" s="1" t="str">
        <x:f>IF(H2073&gt;0,"Overbilled","Shortfall")</x:f>
        <x:v>Overbilled</x:v>
      </x:c>
      <x:c r="J2073" s="7"/>
      <x:c r="K2073" s="7" t="str">
        <x:v>Open</x:v>
      </x:c>
      <x:c r="L2073" s="7"/>
    </x:row>
    <x:row r="2074" ht="21" customHeight="1">
      <x:c r="A2074" s="1" t="str">
        <x:f>Source!A2068</x:f>
        <x:v>C0002443</x:v>
      </x:c>
      <x:c r="B2074" s="1" t="str">
        <x:f>_xlfn.IFNA(VLOOKUP(Source!B2068,Advertisers!$A$5:$B$34,2,FALSE),"Missing advertiser")</x:f>
        <x:v>Synthetic advertiser 29</x:v>
      </x:c>
      <x:c r="C2074" s="1" t="n">
        <x:f>Source!C2068</x:f>
        <x:v>119</x:v>
      </x:c>
      <x:c r="D2074" s="8" t="n">
        <x:f>Source!D2068/100</x:f>
        <x:v>80.63</x:v>
      </x:c>
      <x:c r="E2074" s="8" t="n">
        <x:f>Source!E2068/100</x:f>
        <x:v>161.26</x:v>
      </x:c>
      <x:c r="F2074" s="8" t="n">
        <x:f>Source!F2068/100</x:f>
        <x:v>0</x:v>
      </x:c>
      <x:c r="G2074" s="8" t="n">
        <x:f>Source!G2068/100</x:f>
        <x:v>161.26</x:v>
      </x:c>
      <x:c r="H2074" s="8" t="n">
        <x:f>G2074-D2074</x:f>
        <x:v>80.63</x:v>
      </x:c>
      <x:c r="I2074" s="1" t="str">
        <x:f>IF(H2074&gt;0,"Overbilled","Shortfall")</x:f>
        <x:v>Overbilled</x:v>
      </x:c>
      <x:c r="J2074" s="7"/>
      <x:c r="K2074" s="7" t="str">
        <x:v>Open</x:v>
      </x:c>
      <x:c r="L2074" s="7"/>
    </x:row>
    <x:row r="2075" ht="21" customHeight="1">
      <x:c r="A2075" s="1" t="str">
        <x:f>Source!A2069</x:f>
        <x:v>C0017756</x:v>
      </x:c>
      <x:c r="B2075" s="1" t="str">
        <x:f>_xlfn.IFNA(VLOOKUP(Source!B2069,Advertisers!$A$5:$B$34,2,FALSE),"Missing advertiser")</x:f>
        <x:v>Synthetic advertiser 11</x:v>
      </x:c>
      <x:c r="C2075" s="1" t="n">
        <x:f>Source!C2069</x:f>
        <x:v>11</x:v>
      </x:c>
      <x:c r="D2075" s="8" t="n">
        <x:f>Source!D2069/100</x:f>
        <x:v>80.46</x:v>
      </x:c>
      <x:c r="E2075" s="8" t="n">
        <x:f>Source!E2069/100</x:f>
        <x:v>0</x:v>
      </x:c>
      <x:c r="F2075" s="8" t="n">
        <x:f>Source!F2069/100</x:f>
        <x:v>0</x:v>
      </x:c>
      <x:c r="G2075" s="8" t="n">
        <x:f>Source!G2069/100</x:f>
        <x:v>0</x:v>
      </x:c>
      <x:c r="H2075" s="8" t="n">
        <x:f>G2075-D2075</x:f>
        <x:v>-80.46</x:v>
      </x:c>
      <x:c r="I2075" s="1" t="str">
        <x:f>IF(H2075&gt;0,"Overbilled","Shortfall")</x:f>
        <x:v>Shortfall</x:v>
      </x:c>
      <x:c r="J2075" s="7"/>
      <x:c r="K2075" s="7" t="str">
        <x:v>Open</x:v>
      </x:c>
      <x:c r="L2075" s="7"/>
    </x:row>
    <x:row r="2076" ht="21" customHeight="1">
      <x:c r="A2076" s="1" t="str">
        <x:f>Source!A2070</x:f>
        <x:v>C0011815</x:v>
      </x:c>
      <x:c r="B2076" s="1" t="str">
        <x:f>_xlfn.IFNA(VLOOKUP(Source!B2070,Advertisers!$A$5:$B$34,2,FALSE),"Missing advertiser")</x:f>
        <x:v>Synthetic advertiser 11</x:v>
      </x:c>
      <x:c r="C2076" s="1" t="n">
        <x:f>Source!C2070</x:f>
        <x:v>11</x:v>
      </x:c>
      <x:c r="D2076" s="8" t="n">
        <x:f>Source!D2070/100</x:f>
        <x:v>80.46</x:v>
      </x:c>
      <x:c r="E2076" s="8" t="n">
        <x:f>Source!E2070/100</x:f>
        <x:v>160.92</x:v>
      </x:c>
      <x:c r="F2076" s="8" t="n">
        <x:f>Source!F2070/100</x:f>
        <x:v>0</x:v>
      </x:c>
      <x:c r="G2076" s="8" t="n">
        <x:f>Source!G2070/100</x:f>
        <x:v>160.92</x:v>
      </x:c>
      <x:c r="H2076" s="8" t="n">
        <x:f>G2076-D2076</x:f>
        <x:v>80.46</x:v>
      </x:c>
      <x:c r="I2076" s="1" t="str">
        <x:f>IF(H2076&gt;0,"Overbilled","Shortfall")</x:f>
        <x:v>Overbilled</x:v>
      </x:c>
      <x:c r="J2076" s="7"/>
      <x:c r="K2076" s="7" t="str">
        <x:v>Open</x:v>
      </x:c>
      <x:c r="L2076" s="7"/>
    </x:row>
    <x:row r="2077" ht="21" customHeight="1">
      <x:c r="A2077" s="1" t="str">
        <x:f>Source!A2071</x:f>
        <x:v>C0009880</x:v>
      </x:c>
      <x:c r="B2077" s="1" t="str">
        <x:f>_xlfn.IFNA(VLOOKUP(Source!B2071,Advertisers!$A$5:$B$34,2,FALSE),"Missing advertiser")</x:f>
        <x:v>Synthetic advertiser 11</x:v>
      </x:c>
      <x:c r="C2077" s="1" t="n">
        <x:f>Source!C2071</x:f>
        <x:v>11</x:v>
      </x:c>
      <x:c r="D2077" s="8" t="n">
        <x:f>Source!D2071/100</x:f>
        <x:v>80.46</x:v>
      </x:c>
      <x:c r="E2077" s="8" t="n">
        <x:f>Source!E2071/100</x:f>
        <x:v>160.92</x:v>
      </x:c>
      <x:c r="F2077" s="8" t="n">
        <x:f>Source!F2071/100</x:f>
        <x:v>0</x:v>
      </x:c>
      <x:c r="G2077" s="8" t="n">
        <x:f>Source!G2071/100</x:f>
        <x:v>160.92</x:v>
      </x:c>
      <x:c r="H2077" s="8" t="n">
        <x:f>G2077-D2077</x:f>
        <x:v>80.46</x:v>
      </x:c>
      <x:c r="I2077" s="1" t="str">
        <x:f>IF(H2077&gt;0,"Overbilled","Shortfall")</x:f>
        <x:v>Overbilled</x:v>
      </x:c>
      <x:c r="J2077" s="7"/>
      <x:c r="K2077" s="7" t="str">
        <x:v>Open</x:v>
      </x:c>
      <x:c r="L2077" s="7"/>
    </x:row>
    <x:row r="2078" ht="21" customHeight="1">
      <x:c r="A2078" s="1" t="str">
        <x:f>Source!A2072</x:f>
        <x:v>C0001185</x:v>
      </x:c>
      <x:c r="B2078" s="1" t="str">
        <x:f>_xlfn.IFNA(VLOOKUP(Source!B2072,Advertisers!$A$5:$B$34,2,FALSE),"Missing advertiser")</x:f>
        <x:v>Synthetic advertiser 11</x:v>
      </x:c>
      <x:c r="C2078" s="1" t="n">
        <x:f>Source!C2072</x:f>
        <x:v>11</x:v>
      </x:c>
      <x:c r="D2078" s="8" t="n">
        <x:f>Source!D2072/100</x:f>
        <x:v>80.46</x:v>
      </x:c>
      <x:c r="E2078" s="8" t="n">
        <x:f>Source!E2072/100</x:f>
        <x:v>160.92</x:v>
      </x:c>
      <x:c r="F2078" s="8" t="n">
        <x:f>Source!F2072/100</x:f>
        <x:v>0</x:v>
      </x:c>
      <x:c r="G2078" s="8" t="n">
        <x:f>Source!G2072/100</x:f>
        <x:v>160.92</x:v>
      </x:c>
      <x:c r="H2078" s="8" t="n">
        <x:f>G2078-D2078</x:f>
        <x:v>80.46</x:v>
      </x:c>
      <x:c r="I2078" s="1" t="str">
        <x:f>IF(H2078&gt;0,"Overbilled","Shortfall")</x:f>
        <x:v>Overbilled</x:v>
      </x:c>
      <x:c r="J2078" s="7"/>
      <x:c r="K2078" s="7" t="str">
        <x:v>Open</x:v>
      </x:c>
      <x:c r="L2078" s="7"/>
    </x:row>
    <x:row r="2079" ht="21" customHeight="1">
      <x:c r="A2079" s="1" t="str">
        <x:f>Source!A2073</x:f>
        <x:v>C0002302</x:v>
      </x:c>
      <x:c r="B2079" s="1" t="str">
        <x:f>_xlfn.IFNA(VLOOKUP(Source!B2073,Advertisers!$A$5:$B$34,2,FALSE),"Missing advertiser")</x:f>
        <x:v>Synthetic advertiser 11</x:v>
      </x:c>
      <x:c r="C2079" s="1" t="n">
        <x:f>Source!C2073</x:f>
        <x:v>11</x:v>
      </x:c>
      <x:c r="D2079" s="8" t="n">
        <x:f>Source!D2073/100</x:f>
        <x:v>0</x:v>
      </x:c>
      <x:c r="E2079" s="8" t="n">
        <x:f>Source!E2073/100</x:f>
        <x:v>80.46</x:v>
      </x:c>
      <x:c r="F2079" s="8" t="n">
        <x:f>Source!F2073/100</x:f>
        <x:v>0</x:v>
      </x:c>
      <x:c r="G2079" s="8" t="n">
        <x:f>Source!G2073/100</x:f>
        <x:v>80.46</x:v>
      </x:c>
      <x:c r="H2079" s="8" t="n">
        <x:f>G2079-D2079</x:f>
        <x:v>80.46</x:v>
      </x:c>
      <x:c r="I2079" s="1" t="str">
        <x:f>IF(H2079&gt;0,"Overbilled","Shortfall")</x:f>
        <x:v>Overbilled</x:v>
      </x:c>
      <x:c r="J2079" s="7"/>
      <x:c r="K2079" s="7" t="str">
        <x:v>Open</x:v>
      </x:c>
      <x:c r="L2079" s="7"/>
    </x:row>
    <x:row r="2080" ht="21" customHeight="1">
      <x:c r="A2080" s="1" t="str">
        <x:f>Source!A2074</x:f>
        <x:v>C0004477</x:v>
      </x:c>
      <x:c r="B2080" s="1" t="str">
        <x:f>_xlfn.IFNA(VLOOKUP(Source!B2074,Advertisers!$A$5:$B$34,2,FALSE),"Missing advertiser")</x:f>
        <x:v>Synthetic advertiser 11</x:v>
      </x:c>
      <x:c r="C2080" s="1" t="n">
        <x:f>Source!C2074</x:f>
        <x:v>11</x:v>
      </x:c>
      <x:c r="D2080" s="8" t="n">
        <x:f>Source!D2074/100</x:f>
        <x:v>80.46</x:v>
      </x:c>
      <x:c r="E2080" s="8" t="n">
        <x:f>Source!E2074/100</x:f>
        <x:v>160.92</x:v>
      </x:c>
      <x:c r="F2080" s="8" t="n">
        <x:f>Source!F2074/100</x:f>
        <x:v>0</x:v>
      </x:c>
      <x:c r="G2080" s="8" t="n">
        <x:f>Source!G2074/100</x:f>
        <x:v>160.92</x:v>
      </x:c>
      <x:c r="H2080" s="8" t="n">
        <x:f>G2080-D2080</x:f>
        <x:v>80.46</x:v>
      </x:c>
      <x:c r="I2080" s="1" t="str">
        <x:f>IF(H2080&gt;0,"Overbilled","Shortfall")</x:f>
        <x:v>Overbilled</x:v>
      </x:c>
      <x:c r="J2080" s="7"/>
      <x:c r="K2080" s="7" t="str">
        <x:v>Open</x:v>
      </x:c>
      <x:c r="L2080" s="7"/>
    </x:row>
    <x:row r="2081" ht="21" customHeight="1">
      <x:c r="A2081" s="1" t="str">
        <x:f>Source!A2075</x:f>
        <x:v>C0002772</x:v>
      </x:c>
      <x:c r="B2081" s="1" t="str">
        <x:f>_xlfn.IFNA(VLOOKUP(Source!B2075,Advertisers!$A$5:$B$34,2,FALSE),"Missing advertiser")</x:f>
        <x:v>Synthetic advertiser 1</x:v>
      </x:c>
      <x:c r="C2081" s="1" t="n">
        <x:f>Source!C2075</x:f>
        <x:v>31</x:v>
      </x:c>
      <x:c r="D2081" s="8" t="n">
        <x:f>Source!D2075/100</x:f>
        <x:v>79.23</x:v>
      </x:c>
      <x:c r="E2081" s="8" t="n">
        <x:f>Source!E2075/100</x:f>
        <x:v>158.46</x:v>
      </x:c>
      <x:c r="F2081" s="8" t="n">
        <x:f>Source!F2075/100</x:f>
        <x:v>0</x:v>
      </x:c>
      <x:c r="G2081" s="8" t="n">
        <x:f>Source!G2075/100</x:f>
        <x:v>158.46</x:v>
      </x:c>
      <x:c r="H2081" s="8" t="n">
        <x:f>G2081-D2081</x:f>
        <x:v>79.23</x:v>
      </x:c>
      <x:c r="I2081" s="1" t="str">
        <x:f>IF(H2081&gt;0,"Overbilled","Shortfall")</x:f>
        <x:v>Overbilled</x:v>
      </x:c>
      <x:c r="J2081" s="7"/>
      <x:c r="K2081" s="7" t="str">
        <x:v>Open</x:v>
      </x:c>
      <x:c r="L2081" s="7"/>
    </x:row>
    <x:row r="2082" ht="21" customHeight="1">
      <x:c r="A2082" s="1" t="str">
        <x:f>Source!A2076</x:f>
        <x:v>C0013846</x:v>
      </x:c>
      <x:c r="B2082" s="1" t="str">
        <x:f>_xlfn.IFNA(VLOOKUP(Source!B2076,Advertisers!$A$5:$B$34,2,FALSE),"Missing advertiser")</x:f>
        <x:v>Synthetic advertiser 1</x:v>
      </x:c>
      <x:c r="C2082" s="1" t="n">
        <x:f>Source!C2076</x:f>
        <x:v>31</x:v>
      </x:c>
      <x:c r="D2082" s="8" t="n">
        <x:f>Source!D2076/100</x:f>
        <x:v>79.23</x:v>
      </x:c>
      <x:c r="E2082" s="8" t="n">
        <x:f>Source!E2076/100</x:f>
        <x:v>158.46</x:v>
      </x:c>
      <x:c r="F2082" s="8" t="n">
        <x:f>Source!F2076/100</x:f>
        <x:v>0</x:v>
      </x:c>
      <x:c r="G2082" s="8" t="n">
        <x:f>Source!G2076/100</x:f>
        <x:v>158.46</x:v>
      </x:c>
      <x:c r="H2082" s="8" t="n">
        <x:f>G2082-D2082</x:f>
        <x:v>79.23</x:v>
      </x:c>
      <x:c r="I2082" s="1" t="str">
        <x:f>IF(H2082&gt;0,"Overbilled","Shortfall")</x:f>
        <x:v>Overbilled</x:v>
      </x:c>
      <x:c r="J2082" s="7"/>
      <x:c r="K2082" s="7" t="str">
        <x:v>Open</x:v>
      </x:c>
      <x:c r="L2082" s="7"/>
    </x:row>
    <x:row r="2083" ht="21" customHeight="1">
      <x:c r="A2083" s="1" t="str">
        <x:f>Source!A2077</x:f>
        <x:v>C0016808</x:v>
      </x:c>
      <x:c r="B2083" s="1" t="str">
        <x:f>_xlfn.IFNA(VLOOKUP(Source!B2077,Advertisers!$A$5:$B$34,2,FALSE),"Missing advertiser")</x:f>
        <x:v>Synthetic advertiser 1</x:v>
      </x:c>
      <x:c r="C2083" s="1" t="n">
        <x:f>Source!C2077</x:f>
        <x:v>31</x:v>
      </x:c>
      <x:c r="D2083" s="8" t="n">
        <x:f>Source!D2077/100</x:f>
        <x:v>79.23</x:v>
      </x:c>
      <x:c r="E2083" s="8" t="n">
        <x:f>Source!E2077/100</x:f>
        <x:v>158.46</x:v>
      </x:c>
      <x:c r="F2083" s="8" t="n">
        <x:f>Source!F2077/100</x:f>
        <x:v>0</x:v>
      </x:c>
      <x:c r="G2083" s="8" t="n">
        <x:f>Source!G2077/100</x:f>
        <x:v>158.46</x:v>
      </x:c>
      <x:c r="H2083" s="8" t="n">
        <x:f>G2083-D2083</x:f>
        <x:v>79.23</x:v>
      </x:c>
      <x:c r="I2083" s="1" t="str">
        <x:f>IF(H2083&gt;0,"Overbilled","Shortfall")</x:f>
        <x:v>Overbilled</x:v>
      </x:c>
      <x:c r="J2083" s="7"/>
      <x:c r="K2083" s="7" t="str">
        <x:v>Open</x:v>
      </x:c>
      <x:c r="L2083" s="7"/>
    </x:row>
    <x:row r="2084" ht="21" customHeight="1">
      <x:c r="A2084" s="1" t="str">
        <x:f>Source!A2078</x:f>
        <x:v>C0001711</x:v>
      </x:c>
      <x:c r="B2084" s="1" t="str">
        <x:f>_xlfn.IFNA(VLOOKUP(Source!B2078,Advertisers!$A$5:$B$34,2,FALSE),"Missing advertiser")</x:f>
        <x:v>Synthetic advertiser 1</x:v>
      </x:c>
      <x:c r="C2084" s="1" t="n">
        <x:f>Source!C2078</x:f>
        <x:v>31</x:v>
      </x:c>
      <x:c r="D2084" s="8" t="n">
        <x:f>Source!D2078/100</x:f>
        <x:v>79.23</x:v>
      </x:c>
      <x:c r="E2084" s="8" t="n">
        <x:f>Source!E2078/100</x:f>
        <x:v>158.46</x:v>
      </x:c>
      <x:c r="F2084" s="8" t="n">
        <x:f>Source!F2078/100</x:f>
        <x:v>0</x:v>
      </x:c>
      <x:c r="G2084" s="8" t="n">
        <x:f>Source!G2078/100</x:f>
        <x:v>158.46</x:v>
      </x:c>
      <x:c r="H2084" s="8" t="n">
        <x:f>G2084-D2084</x:f>
        <x:v>79.23</x:v>
      </x:c>
      <x:c r="I2084" s="1" t="str">
        <x:f>IF(H2084&gt;0,"Overbilled","Shortfall")</x:f>
        <x:v>Overbilled</x:v>
      </x:c>
      <x:c r="J2084" s="7"/>
      <x:c r="K2084" s="7" t="str">
        <x:v>Open</x:v>
      </x:c>
      <x:c r="L2084" s="7"/>
    </x:row>
    <x:row r="2085" ht="21" customHeight="1">
      <x:c r="A2085" s="1" t="str">
        <x:f>Source!A2079</x:f>
        <x:v>C0003437</x:v>
      </x:c>
      <x:c r="B2085" s="1" t="str">
        <x:f>_xlfn.IFNA(VLOOKUP(Source!B2079,Advertisers!$A$5:$B$34,2,FALSE),"Missing advertiser")</x:f>
        <x:v>Synthetic advertiser 1</x:v>
      </x:c>
      <x:c r="C2085" s="1" t="n">
        <x:f>Source!C2079</x:f>
        <x:v>31</x:v>
      </x:c>
      <x:c r="D2085" s="8" t="n">
        <x:f>Source!D2079/100</x:f>
        <x:v>79.23</x:v>
      </x:c>
      <x:c r="E2085" s="8" t="n">
        <x:f>Source!E2079/100</x:f>
        <x:v>158.46</x:v>
      </x:c>
      <x:c r="F2085" s="8" t="n">
        <x:f>Source!F2079/100</x:f>
        <x:v>0</x:v>
      </x:c>
      <x:c r="G2085" s="8" t="n">
        <x:f>Source!G2079/100</x:f>
        <x:v>158.46</x:v>
      </x:c>
      <x:c r="H2085" s="8" t="n">
        <x:f>G2085-D2085</x:f>
        <x:v>79.23</x:v>
      </x:c>
      <x:c r="I2085" s="1" t="str">
        <x:f>IF(H2085&gt;0,"Overbilled","Shortfall")</x:f>
        <x:v>Overbilled</x:v>
      </x:c>
      <x:c r="J2085" s="7"/>
      <x:c r="K2085" s="7" t="str">
        <x:v>Open</x:v>
      </x:c>
      <x:c r="L2085" s="7"/>
    </x:row>
    <x:row r="2086" ht="21" customHeight="1">
      <x:c r="A2086" s="1" t="str">
        <x:f>Source!A2080</x:f>
        <x:v>C0004155</x:v>
      </x:c>
      <x:c r="B2086" s="1" t="str">
        <x:f>_xlfn.IFNA(VLOOKUP(Source!B2080,Advertisers!$A$5:$B$34,2,FALSE),"Missing advertiser")</x:f>
        <x:v>Synthetic advertiser 1</x:v>
      </x:c>
      <x:c r="C2086" s="1" t="n">
        <x:f>Source!C2080</x:f>
        <x:v>31</x:v>
      </x:c>
      <x:c r="D2086" s="8" t="n">
        <x:f>Source!D2080/100</x:f>
        <x:v>79.23</x:v>
      </x:c>
      <x:c r="E2086" s="8" t="n">
        <x:f>Source!E2080/100</x:f>
        <x:v>158.46</x:v>
      </x:c>
      <x:c r="F2086" s="8" t="n">
        <x:f>Source!F2080/100</x:f>
        <x:v>0</x:v>
      </x:c>
      <x:c r="G2086" s="8" t="n">
        <x:f>Source!G2080/100</x:f>
        <x:v>158.46</x:v>
      </x:c>
      <x:c r="H2086" s="8" t="n">
        <x:f>G2086-D2086</x:f>
        <x:v>79.23</x:v>
      </x:c>
      <x:c r="I2086" s="1" t="str">
        <x:f>IF(H2086&gt;0,"Overbilled","Shortfall")</x:f>
        <x:v>Overbilled</x:v>
      </x:c>
      <x:c r="J2086" s="7"/>
      <x:c r="K2086" s="7" t="str">
        <x:v>Open</x:v>
      </x:c>
      <x:c r="L2086" s="7"/>
    </x:row>
    <x:row r="2087" ht="21" customHeight="1">
      <x:c r="A2087" s="1" t="str">
        <x:f>Source!A2081</x:f>
        <x:v>C0004265</x:v>
      </x:c>
      <x:c r="B2087" s="1" t="str">
        <x:f>_xlfn.IFNA(VLOOKUP(Source!B2081,Advertisers!$A$5:$B$34,2,FALSE),"Missing advertiser")</x:f>
        <x:v>Synthetic advertiser 1</x:v>
      </x:c>
      <x:c r="C2087" s="1" t="n">
        <x:f>Source!C2081</x:f>
        <x:v>31</x:v>
      </x:c>
      <x:c r="D2087" s="8" t="n">
        <x:f>Source!D2081/100</x:f>
        <x:v>79.23</x:v>
      </x:c>
      <x:c r="E2087" s="8" t="n">
        <x:f>Source!E2081/100</x:f>
        <x:v>0</x:v>
      </x:c>
      <x:c r="F2087" s="8" t="n">
        <x:f>Source!F2081/100</x:f>
        <x:v>0</x:v>
      </x:c>
      <x:c r="G2087" s="8" t="n">
        <x:f>Source!G2081/100</x:f>
        <x:v>0</x:v>
      </x:c>
      <x:c r="H2087" s="8" t="n">
        <x:f>G2087-D2087</x:f>
        <x:v>-79.23</x:v>
      </x:c>
      <x:c r="I2087" s="1" t="str">
        <x:f>IF(H2087&gt;0,"Overbilled","Shortfall")</x:f>
        <x:v>Shortfall</x:v>
      </x:c>
      <x:c r="J2087" s="7"/>
      <x:c r="K2087" s="7" t="str">
        <x:v>Open</x:v>
      </x:c>
      <x:c r="L2087" s="7"/>
    </x:row>
    <x:row r="2088" ht="21" customHeight="1">
      <x:c r="A2088" s="1" t="str">
        <x:f>Source!A2082</x:f>
        <x:v>C0016946</x:v>
      </x:c>
      <x:c r="B2088" s="1" t="str">
        <x:f>_xlfn.IFNA(VLOOKUP(Source!B2082,Advertisers!$A$5:$B$34,2,FALSE),"Missing advertiser")</x:f>
        <x:v>Synthetic advertiser 1</x:v>
      </x:c>
      <x:c r="C2088" s="1" t="n">
        <x:f>Source!C2082</x:f>
        <x:v>31</x:v>
      </x:c>
      <x:c r="D2088" s="8" t="n">
        <x:f>Source!D2082/100</x:f>
        <x:v>79.23</x:v>
      </x:c>
      <x:c r="E2088" s="8" t="n">
        <x:f>Source!E2082/100</x:f>
        <x:v>158.46</x:v>
      </x:c>
      <x:c r="F2088" s="8" t="n">
        <x:f>Source!F2082/100</x:f>
        <x:v>0</x:v>
      </x:c>
      <x:c r="G2088" s="8" t="n">
        <x:f>Source!G2082/100</x:f>
        <x:v>158.46</x:v>
      </x:c>
      <x:c r="H2088" s="8" t="n">
        <x:f>G2088-D2088</x:f>
        <x:v>79.23</x:v>
      </x:c>
      <x:c r="I2088" s="1" t="str">
        <x:f>IF(H2088&gt;0,"Overbilled","Shortfall")</x:f>
        <x:v>Overbilled</x:v>
      </x:c>
      <x:c r="J2088" s="7"/>
      <x:c r="K2088" s="7" t="str">
        <x:v>Open</x:v>
      </x:c>
      <x:c r="L2088" s="7"/>
    </x:row>
    <x:row r="2089" ht="21" customHeight="1">
      <x:c r="A2089" s="1" t="str">
        <x:f>Source!A2083</x:f>
        <x:v>C0006667</x:v>
      </x:c>
      <x:c r="B2089" s="1" t="str">
        <x:f>_xlfn.IFNA(VLOOKUP(Source!B2083,Advertisers!$A$5:$B$34,2,FALSE),"Missing advertiser")</x:f>
        <x:v>Synthetic advertiser 1</x:v>
      </x:c>
      <x:c r="C2089" s="1" t="n">
        <x:f>Source!C2083</x:f>
        <x:v>31</x:v>
      </x:c>
      <x:c r="D2089" s="8" t="n">
        <x:f>Source!D2083/100</x:f>
        <x:v>79.23</x:v>
      </x:c>
      <x:c r="E2089" s="8" t="n">
        <x:f>Source!E2083/100</x:f>
        <x:v>0</x:v>
      </x:c>
      <x:c r="F2089" s="8" t="n">
        <x:f>Source!F2083/100</x:f>
        <x:v>0</x:v>
      </x:c>
      <x:c r="G2089" s="8" t="n">
        <x:f>Source!G2083/100</x:f>
        <x:v>0</x:v>
      </x:c>
      <x:c r="H2089" s="8" t="n">
        <x:f>G2089-D2089</x:f>
        <x:v>-79.23</x:v>
      </x:c>
      <x:c r="I2089" s="1" t="str">
        <x:f>IF(H2089&gt;0,"Overbilled","Shortfall")</x:f>
        <x:v>Shortfall</x:v>
      </x:c>
      <x:c r="J2089" s="7"/>
      <x:c r="K2089" s="7" t="str">
        <x:v>Open</x:v>
      </x:c>
      <x:c r="L2089" s="7"/>
    </x:row>
    <x:row r="2090" ht="21" customHeight="1">
      <x:c r="A2090" s="1" t="str">
        <x:f>Source!A2084</x:f>
        <x:v>C0013663</x:v>
      </x:c>
      <x:c r="B2090" s="1" t="str">
        <x:f>_xlfn.IFNA(VLOOKUP(Source!B2084,Advertisers!$A$5:$B$34,2,FALSE),"Missing advertiser")</x:f>
        <x:v>Synthetic advertiser 1</x:v>
      </x:c>
      <x:c r="C2090" s="1" t="n">
        <x:f>Source!C2084</x:f>
        <x:v>31</x:v>
      </x:c>
      <x:c r="D2090" s="8" t="n">
        <x:f>Source!D2084/100</x:f>
        <x:v>79.23</x:v>
      </x:c>
      <x:c r="E2090" s="8" t="n">
        <x:f>Source!E2084/100</x:f>
        <x:v>158.46</x:v>
      </x:c>
      <x:c r="F2090" s="8" t="n">
        <x:f>Source!F2084/100</x:f>
        <x:v>0</x:v>
      </x:c>
      <x:c r="G2090" s="8" t="n">
        <x:f>Source!G2084/100</x:f>
        <x:v>158.46</x:v>
      </x:c>
      <x:c r="H2090" s="8" t="n">
        <x:f>G2090-D2090</x:f>
        <x:v>79.23</x:v>
      </x:c>
      <x:c r="I2090" s="1" t="str">
        <x:f>IF(H2090&gt;0,"Overbilled","Shortfall")</x:f>
        <x:v>Overbilled</x:v>
      </x:c>
      <x:c r="J2090" s="7"/>
      <x:c r="K2090" s="7" t="str">
        <x:v>Open</x:v>
      </x:c>
      <x:c r="L2090" s="7"/>
    </x:row>
    <x:row r="2091" ht="21" customHeight="1">
      <x:c r="A2091" s="1" t="str">
        <x:f>Source!A2085</x:f>
        <x:v>C0014522</x:v>
      </x:c>
      <x:c r="B2091" s="1" t="str">
        <x:f>_xlfn.IFNA(VLOOKUP(Source!B2085,Advertisers!$A$5:$B$34,2,FALSE),"Missing advertiser")</x:f>
        <x:v>Synthetic advertiser 24</x:v>
      </x:c>
      <x:c r="C2091" s="1" t="n">
        <x:f>Source!C2085</x:f>
        <x:v>24</x:v>
      </x:c>
      <x:c r="D2091" s="8" t="n">
        <x:f>Source!D2085/100</x:f>
        <x:v>78.78</x:v>
      </x:c>
      <x:c r="E2091" s="8" t="n">
        <x:f>Source!E2085/100</x:f>
        <x:v>0</x:v>
      </x:c>
      <x:c r="F2091" s="8" t="n">
        <x:f>Source!F2085/100</x:f>
        <x:v>0</x:v>
      </x:c>
      <x:c r="G2091" s="8" t="n">
        <x:f>Source!G2085/100</x:f>
        <x:v>0</x:v>
      </x:c>
      <x:c r="H2091" s="8" t="n">
        <x:f>G2091-D2091</x:f>
        <x:v>-78.78</x:v>
      </x:c>
      <x:c r="I2091" s="1" t="str">
        <x:f>IF(H2091&gt;0,"Overbilled","Shortfall")</x:f>
        <x:v>Shortfall</x:v>
      </x:c>
      <x:c r="J2091" s="7"/>
      <x:c r="K2091" s="7" t="str">
        <x:v>Open</x:v>
      </x:c>
      <x:c r="L2091" s="7"/>
    </x:row>
    <x:row r="2092" ht="21" customHeight="1">
      <x:c r="A2092" s="1" t="str">
        <x:f>Source!A2086</x:f>
        <x:v>C0009095</x:v>
      </x:c>
      <x:c r="B2092" s="1" t="str">
        <x:f>_xlfn.IFNA(VLOOKUP(Source!B2086,Advertisers!$A$5:$B$34,2,FALSE),"Missing advertiser")</x:f>
        <x:v>Synthetic advertiser 24</x:v>
      </x:c>
      <x:c r="C2092" s="1" t="n">
        <x:f>Source!C2086</x:f>
        <x:v>24</x:v>
      </x:c>
      <x:c r="D2092" s="8" t="n">
        <x:f>Source!D2086/100</x:f>
        <x:v>78.78</x:v>
      </x:c>
      <x:c r="E2092" s="8" t="n">
        <x:f>Source!E2086/100</x:f>
        <x:v>0</x:v>
      </x:c>
      <x:c r="F2092" s="8" t="n">
        <x:f>Source!F2086/100</x:f>
        <x:v>0</x:v>
      </x:c>
      <x:c r="G2092" s="8" t="n">
        <x:f>Source!G2086/100</x:f>
        <x:v>0</x:v>
      </x:c>
      <x:c r="H2092" s="8" t="n">
        <x:f>G2092-D2092</x:f>
        <x:v>-78.78</x:v>
      </x:c>
      <x:c r="I2092" s="1" t="str">
        <x:f>IF(H2092&gt;0,"Overbilled","Shortfall")</x:f>
        <x:v>Shortfall</x:v>
      </x:c>
      <x:c r="J2092" s="7"/>
      <x:c r="K2092" s="7" t="str">
        <x:v>Open</x:v>
      </x:c>
      <x:c r="L2092" s="7"/>
    </x:row>
    <x:row r="2093" ht="21" customHeight="1">
      <x:c r="A2093" s="1" t="str">
        <x:f>Source!A2087</x:f>
        <x:v>C0002898</x:v>
      </x:c>
      <x:c r="B2093" s="1" t="str">
        <x:f>_xlfn.IFNA(VLOOKUP(Source!B2087,Advertisers!$A$5:$B$34,2,FALSE),"Missing advertiser")</x:f>
        <x:v>Synthetic advertiser 24</x:v>
      </x:c>
      <x:c r="C2093" s="1" t="n">
        <x:f>Source!C2087</x:f>
        <x:v>24</x:v>
      </x:c>
      <x:c r="D2093" s="8" t="n">
        <x:f>Source!D2087/100</x:f>
        <x:v>78.78</x:v>
      </x:c>
      <x:c r="E2093" s="8" t="n">
        <x:f>Source!E2087/100</x:f>
        <x:v>0</x:v>
      </x:c>
      <x:c r="F2093" s="8" t="n">
        <x:f>Source!F2087/100</x:f>
        <x:v>0</x:v>
      </x:c>
      <x:c r="G2093" s="8" t="n">
        <x:f>Source!G2087/100</x:f>
        <x:v>0</x:v>
      </x:c>
      <x:c r="H2093" s="8" t="n">
        <x:f>G2093-D2093</x:f>
        <x:v>-78.78</x:v>
      </x:c>
      <x:c r="I2093" s="1" t="str">
        <x:f>IF(H2093&gt;0,"Overbilled","Shortfall")</x:f>
        <x:v>Shortfall</x:v>
      </x:c>
      <x:c r="J2093" s="7"/>
      <x:c r="K2093" s="7" t="str">
        <x:v>Open</x:v>
      </x:c>
      <x:c r="L2093" s="7"/>
    </x:row>
    <x:row r="2094" ht="21" customHeight="1">
      <x:c r="A2094" s="1" t="str">
        <x:f>Source!A2088</x:f>
        <x:v>C0002285</x:v>
      </x:c>
      <x:c r="B2094" s="1" t="str">
        <x:f>_xlfn.IFNA(VLOOKUP(Source!B2088,Advertisers!$A$5:$B$34,2,FALSE),"Missing advertiser")</x:f>
        <x:v>Synthetic advertiser 24</x:v>
      </x:c>
      <x:c r="C2094" s="1" t="n">
        <x:f>Source!C2088</x:f>
        <x:v>24</x:v>
      </x:c>
      <x:c r="D2094" s="8" t="n">
        <x:f>Source!D2088/100</x:f>
        <x:v>78.78</x:v>
      </x:c>
      <x:c r="E2094" s="8" t="n">
        <x:f>Source!E2088/100</x:f>
        <x:v>157.56</x:v>
      </x:c>
      <x:c r="F2094" s="8" t="n">
        <x:f>Source!F2088/100</x:f>
        <x:v>0</x:v>
      </x:c>
      <x:c r="G2094" s="8" t="n">
        <x:f>Source!G2088/100</x:f>
        <x:v>157.56</x:v>
      </x:c>
      <x:c r="H2094" s="8" t="n">
        <x:f>G2094-D2094</x:f>
        <x:v>78.78</x:v>
      </x:c>
      <x:c r="I2094" s="1" t="str">
        <x:f>IF(H2094&gt;0,"Overbilled","Shortfall")</x:f>
        <x:v>Overbilled</x:v>
      </x:c>
      <x:c r="J2094" s="7"/>
      <x:c r="K2094" s="7" t="str">
        <x:v>Open</x:v>
      </x:c>
      <x:c r="L2094" s="7"/>
    </x:row>
    <x:row r="2095" ht="21" customHeight="1">
      <x:c r="A2095" s="1" t="str">
        <x:f>Source!A2089</x:f>
        <x:v>C0001360</x:v>
      </x:c>
      <x:c r="B2095" s="1" t="str">
        <x:f>_xlfn.IFNA(VLOOKUP(Source!B2089,Advertisers!$A$5:$B$34,2,FALSE),"Missing advertiser")</x:f>
        <x:v>Synthetic advertiser 24</x:v>
      </x:c>
      <x:c r="C2095" s="1" t="n">
        <x:f>Source!C2089</x:f>
        <x:v>24</x:v>
      </x:c>
      <x:c r="D2095" s="8" t="n">
        <x:f>Source!D2089/100</x:f>
        <x:v>78.78</x:v>
      </x:c>
      <x:c r="E2095" s="8" t="n">
        <x:f>Source!E2089/100</x:f>
        <x:v>0</x:v>
      </x:c>
      <x:c r="F2095" s="8" t="n">
        <x:f>Source!F2089/100</x:f>
        <x:v>0</x:v>
      </x:c>
      <x:c r="G2095" s="8" t="n">
        <x:f>Source!G2089/100</x:f>
        <x:v>0</x:v>
      </x:c>
      <x:c r="H2095" s="8" t="n">
        <x:f>G2095-D2095</x:f>
        <x:v>-78.78</x:v>
      </x:c>
      <x:c r="I2095" s="1" t="str">
        <x:f>IF(H2095&gt;0,"Overbilled","Shortfall")</x:f>
        <x:v>Shortfall</x:v>
      </x:c>
      <x:c r="J2095" s="7"/>
      <x:c r="K2095" s="7" t="str">
        <x:v>Open</x:v>
      </x:c>
      <x:c r="L2095" s="7"/>
    </x:row>
    <x:row r="2096" ht="21" customHeight="1">
      <x:c r="A2096" s="1" t="str">
        <x:f>Source!A2090</x:f>
        <x:v>C0011473</x:v>
      </x:c>
      <x:c r="B2096" s="1" t="str">
        <x:f>_xlfn.IFNA(VLOOKUP(Source!B2090,Advertisers!$A$5:$B$34,2,FALSE),"Missing advertiser")</x:f>
        <x:v>Synthetic advertiser 24</x:v>
      </x:c>
      <x:c r="C2096" s="1" t="n">
        <x:f>Source!C2090</x:f>
        <x:v>24</x:v>
      </x:c>
      <x:c r="D2096" s="8" t="n">
        <x:f>Source!D2090/100</x:f>
        <x:v>78.78</x:v>
      </x:c>
      <x:c r="E2096" s="8" t="n">
        <x:f>Source!E2090/100</x:f>
        <x:v>0</x:v>
      </x:c>
      <x:c r="F2096" s="8" t="n">
        <x:f>Source!F2090/100</x:f>
        <x:v>0</x:v>
      </x:c>
      <x:c r="G2096" s="8" t="n">
        <x:f>Source!G2090/100</x:f>
        <x:v>0</x:v>
      </x:c>
      <x:c r="H2096" s="8" t="n">
        <x:f>G2096-D2096</x:f>
        <x:v>-78.78</x:v>
      </x:c>
      <x:c r="I2096" s="1" t="str">
        <x:f>IF(H2096&gt;0,"Overbilled","Shortfall")</x:f>
        <x:v>Shortfall</x:v>
      </x:c>
      <x:c r="J2096" s="7"/>
      <x:c r="K2096" s="7" t="str">
        <x:v>Open</x:v>
      </x:c>
      <x:c r="L2096" s="7"/>
    </x:row>
    <x:row r="2097" ht="21" customHeight="1">
      <x:c r="A2097" s="1" t="str">
        <x:f>Source!A2091</x:f>
        <x:v>C0005538</x:v>
      </x:c>
      <x:c r="B2097" s="1" t="str">
        <x:f>_xlfn.IFNA(VLOOKUP(Source!B2091,Advertisers!$A$5:$B$34,2,FALSE),"Missing advertiser")</x:f>
        <x:v>Synthetic advertiser 24</x:v>
      </x:c>
      <x:c r="C2097" s="1" t="n">
        <x:f>Source!C2091</x:f>
        <x:v>24</x:v>
      </x:c>
      <x:c r="D2097" s="8" t="n">
        <x:f>Source!D2091/100</x:f>
        <x:v>78.78</x:v>
      </x:c>
      <x:c r="E2097" s="8" t="n">
        <x:f>Source!E2091/100</x:f>
        <x:v>0</x:v>
      </x:c>
      <x:c r="F2097" s="8" t="n">
        <x:f>Source!F2091/100</x:f>
        <x:v>0</x:v>
      </x:c>
      <x:c r="G2097" s="8" t="n">
        <x:f>Source!G2091/100</x:f>
        <x:v>0</x:v>
      </x:c>
      <x:c r="H2097" s="8" t="n">
        <x:f>G2097-D2097</x:f>
        <x:v>-78.78</x:v>
      </x:c>
      <x:c r="I2097" s="1" t="str">
        <x:f>IF(H2097&gt;0,"Overbilled","Shortfall")</x:f>
        <x:v>Shortfall</x:v>
      </x:c>
      <x:c r="J2097" s="7"/>
      <x:c r="K2097" s="7" t="str">
        <x:v>Open</x:v>
      </x:c>
      <x:c r="L2097" s="7"/>
    </x:row>
    <x:row r="2098" ht="21" customHeight="1">
      <x:c r="A2098" s="1" t="str">
        <x:f>Source!A2092</x:f>
        <x:v>C0000072</x:v>
      </x:c>
      <x:c r="B2098" s="1" t="str">
        <x:f>_xlfn.IFNA(VLOOKUP(Source!B2092,Advertisers!$A$5:$B$34,2,FALSE),"Missing advertiser")</x:f>
        <x:v>Synthetic advertiser 24</x:v>
      </x:c>
      <x:c r="C2098" s="1" t="n">
        <x:f>Source!C2092</x:f>
        <x:v>24</x:v>
      </x:c>
      <x:c r="D2098" s="8" t="n">
        <x:f>Source!D2092/100</x:f>
        <x:v>78.78</x:v>
      </x:c>
      <x:c r="E2098" s="8" t="n">
        <x:f>Source!E2092/100</x:f>
        <x:v>0</x:v>
      </x:c>
      <x:c r="F2098" s="8" t="n">
        <x:f>Source!F2092/100</x:f>
        <x:v>0</x:v>
      </x:c>
      <x:c r="G2098" s="8" t="n">
        <x:f>Source!G2092/100</x:f>
        <x:v>0</x:v>
      </x:c>
      <x:c r="H2098" s="8" t="n">
        <x:f>G2098-D2098</x:f>
        <x:v>-78.78</x:v>
      </x:c>
      <x:c r="I2098" s="1" t="str">
        <x:f>IF(H2098&gt;0,"Overbilled","Shortfall")</x:f>
        <x:v>Shortfall</x:v>
      </x:c>
      <x:c r="J2098" s="7"/>
      <x:c r="K2098" s="7" t="str">
        <x:v>Open</x:v>
      </x:c>
      <x:c r="L2098" s="7"/>
    </x:row>
    <x:row r="2099" ht="21" customHeight="1">
      <x:c r="A2099" s="1" t="str">
        <x:f>Source!A2093</x:f>
        <x:v>C0012202</x:v>
      </x:c>
      <x:c r="B2099" s="1" t="str">
        <x:f>_xlfn.IFNA(VLOOKUP(Source!B2093,Advertisers!$A$5:$B$34,2,FALSE),"Missing advertiser")</x:f>
        <x:v>Synthetic advertiser 25</x:v>
      </x:c>
      <x:c r="C2099" s="1" t="n">
        <x:f>Source!C2093</x:f>
        <x:v>85</x:v>
      </x:c>
      <x:c r="D2099" s="8" t="n">
        <x:f>Source!D2093/100</x:f>
        <x:v>77.93</x:v>
      </x:c>
      <x:c r="E2099" s="8" t="n">
        <x:f>Source!E2093/100</x:f>
        <x:v>155.86</x:v>
      </x:c>
      <x:c r="F2099" s="8" t="n">
        <x:f>Source!F2093/100</x:f>
        <x:v>0</x:v>
      </x:c>
      <x:c r="G2099" s="8" t="n">
        <x:f>Source!G2093/100</x:f>
        <x:v>155.86</x:v>
      </x:c>
      <x:c r="H2099" s="8" t="n">
        <x:f>G2099-D2099</x:f>
        <x:v>77.93</x:v>
      </x:c>
      <x:c r="I2099" s="1" t="str">
        <x:f>IF(H2099&gt;0,"Overbilled","Shortfall")</x:f>
        <x:v>Overbilled</x:v>
      </x:c>
      <x:c r="J2099" s="7"/>
      <x:c r="K2099" s="7" t="str">
        <x:v>Open</x:v>
      </x:c>
      <x:c r="L2099" s="7"/>
    </x:row>
    <x:row r="2100" ht="21" customHeight="1">
      <x:c r="A2100" s="1" t="str">
        <x:f>Source!A2094</x:f>
        <x:v>C0016405</x:v>
      </x:c>
      <x:c r="B2100" s="1" t="str">
        <x:f>_xlfn.IFNA(VLOOKUP(Source!B2094,Advertisers!$A$5:$B$34,2,FALSE),"Missing advertiser")</x:f>
        <x:v>Synthetic advertiser 25</x:v>
      </x:c>
      <x:c r="C2100" s="1" t="n">
        <x:f>Source!C2094</x:f>
        <x:v>85</x:v>
      </x:c>
      <x:c r="D2100" s="8" t="n">
        <x:f>Source!D2094/100</x:f>
        <x:v>0</x:v>
      </x:c>
      <x:c r="E2100" s="8" t="n">
        <x:f>Source!E2094/100</x:f>
        <x:v>77.93</x:v>
      </x:c>
      <x:c r="F2100" s="8" t="n">
        <x:f>Source!F2094/100</x:f>
        <x:v>0</x:v>
      </x:c>
      <x:c r="G2100" s="8" t="n">
        <x:f>Source!G2094/100</x:f>
        <x:v>77.93</x:v>
      </x:c>
      <x:c r="H2100" s="8" t="n">
        <x:f>G2100-D2100</x:f>
        <x:v>77.93</x:v>
      </x:c>
      <x:c r="I2100" s="1" t="str">
        <x:f>IF(H2100&gt;0,"Overbilled","Shortfall")</x:f>
        <x:v>Overbilled</x:v>
      </x:c>
      <x:c r="J2100" s="7"/>
      <x:c r="K2100" s="7" t="str">
        <x:v>Open</x:v>
      </x:c>
      <x:c r="L2100" s="7"/>
    </x:row>
    <x:row r="2101" ht="21" customHeight="1">
      <x:c r="A2101" s="1" t="str">
        <x:f>Source!A2095</x:f>
        <x:v>C0001140</x:v>
      </x:c>
      <x:c r="B2101" s="1" t="str">
        <x:f>_xlfn.IFNA(VLOOKUP(Source!B2095,Advertisers!$A$5:$B$34,2,FALSE),"Missing advertiser")</x:f>
        <x:v>Synthetic advertiser 25</x:v>
      </x:c>
      <x:c r="C2101" s="1" t="n">
        <x:f>Source!C2095</x:f>
        <x:v>85</x:v>
      </x:c>
      <x:c r="D2101" s="8" t="n">
        <x:f>Source!D2095/100</x:f>
        <x:v>77.93</x:v>
      </x:c>
      <x:c r="E2101" s="8" t="n">
        <x:f>Source!E2095/100</x:f>
        <x:v>155.86</x:v>
      </x:c>
      <x:c r="F2101" s="8" t="n">
        <x:f>Source!F2095/100</x:f>
        <x:v>0</x:v>
      </x:c>
      <x:c r="G2101" s="8" t="n">
        <x:f>Source!G2095/100</x:f>
        <x:v>155.86</x:v>
      </x:c>
      <x:c r="H2101" s="8" t="n">
        <x:f>G2101-D2101</x:f>
        <x:v>77.93</x:v>
      </x:c>
      <x:c r="I2101" s="1" t="str">
        <x:f>IF(H2101&gt;0,"Overbilled","Shortfall")</x:f>
        <x:v>Overbilled</x:v>
      </x:c>
      <x:c r="J2101" s="7"/>
      <x:c r="K2101" s="7" t="str">
        <x:v>Open</x:v>
      </x:c>
      <x:c r="L2101" s="7"/>
    </x:row>
    <x:row r="2102" ht="21" customHeight="1">
      <x:c r="A2102" s="1" t="str">
        <x:f>Source!A2096</x:f>
        <x:v>C0004392</x:v>
      </x:c>
      <x:c r="B2102" s="1" t="str">
        <x:f>_xlfn.IFNA(VLOOKUP(Source!B2096,Advertisers!$A$5:$B$34,2,FALSE),"Missing advertiser")</x:f>
        <x:v>Synthetic advertiser 25</x:v>
      </x:c>
      <x:c r="C2102" s="1" t="n">
        <x:f>Source!C2096</x:f>
        <x:v>85</x:v>
      </x:c>
      <x:c r="D2102" s="8" t="n">
        <x:f>Source!D2096/100</x:f>
        <x:v>77.93</x:v>
      </x:c>
      <x:c r="E2102" s="8" t="n">
        <x:f>Source!E2096/100</x:f>
        <x:v>0</x:v>
      </x:c>
      <x:c r="F2102" s="8" t="n">
        <x:f>Source!F2096/100</x:f>
        <x:v>0</x:v>
      </x:c>
      <x:c r="G2102" s="8" t="n">
        <x:f>Source!G2096/100</x:f>
        <x:v>0</x:v>
      </x:c>
      <x:c r="H2102" s="8" t="n">
        <x:f>G2102-D2102</x:f>
        <x:v>-77.93</x:v>
      </x:c>
      <x:c r="I2102" s="1" t="str">
        <x:f>IF(H2102&gt;0,"Overbilled","Shortfall")</x:f>
        <x:v>Shortfall</x:v>
      </x:c>
      <x:c r="J2102" s="7"/>
      <x:c r="K2102" s="7" t="str">
        <x:v>Open</x:v>
      </x:c>
      <x:c r="L2102" s="7"/>
    </x:row>
    <x:row r="2103" ht="21" customHeight="1">
      <x:c r="A2103" s="1" t="str">
        <x:f>Source!A2097</x:f>
        <x:v>C0008835</x:v>
      </x:c>
      <x:c r="B2103" s="1" t="str">
        <x:f>_xlfn.IFNA(VLOOKUP(Source!B2097,Advertisers!$A$5:$B$34,2,FALSE),"Missing advertiser")</x:f>
        <x:v>Synthetic advertiser 13</x:v>
      </x:c>
      <x:c r="C2103" s="1" t="n">
        <x:f>Source!C2097</x:f>
        <x:v>43</x:v>
      </x:c>
      <x:c r="D2103" s="8" t="n">
        <x:f>Source!D2097/100</x:f>
        <x:v>77.82</x:v>
      </x:c>
      <x:c r="E2103" s="8" t="n">
        <x:f>Source!E2097/100</x:f>
        <x:v>0</x:v>
      </x:c>
      <x:c r="F2103" s="8" t="n">
        <x:f>Source!F2097/100</x:f>
        <x:v>0</x:v>
      </x:c>
      <x:c r="G2103" s="8" t="n">
        <x:f>Source!G2097/100</x:f>
        <x:v>0</x:v>
      </x:c>
      <x:c r="H2103" s="8" t="n">
        <x:f>G2103-D2103</x:f>
        <x:v>-77.82</x:v>
      </x:c>
      <x:c r="I2103" s="1" t="str">
        <x:f>IF(H2103&gt;0,"Overbilled","Shortfall")</x:f>
        <x:v>Shortfall</x:v>
      </x:c>
      <x:c r="J2103" s="7"/>
      <x:c r="K2103" s="7" t="str">
        <x:v>Open</x:v>
      </x:c>
      <x:c r="L2103" s="7"/>
    </x:row>
    <x:row r="2104" ht="21" customHeight="1">
      <x:c r="A2104" s="1" t="str">
        <x:f>Source!A2098</x:f>
        <x:v>C0002670</x:v>
      </x:c>
      <x:c r="B2104" s="1" t="str">
        <x:f>_xlfn.IFNA(VLOOKUP(Source!B2098,Advertisers!$A$5:$B$34,2,FALSE),"Missing advertiser")</x:f>
        <x:v>Synthetic advertiser 13</x:v>
      </x:c>
      <x:c r="C2104" s="1" t="n">
        <x:f>Source!C2098</x:f>
        <x:v>43</x:v>
      </x:c>
      <x:c r="D2104" s="8" t="n">
        <x:f>Source!D2098/100</x:f>
        <x:v>77.82</x:v>
      </x:c>
      <x:c r="E2104" s="8" t="n">
        <x:f>Source!E2098/100</x:f>
        <x:v>0</x:v>
      </x:c>
      <x:c r="F2104" s="8" t="n">
        <x:f>Source!F2098/100</x:f>
        <x:v>0</x:v>
      </x:c>
      <x:c r="G2104" s="8" t="n">
        <x:f>Source!G2098/100</x:f>
        <x:v>0</x:v>
      </x:c>
      <x:c r="H2104" s="8" t="n">
        <x:f>G2104-D2104</x:f>
        <x:v>-77.82</x:v>
      </x:c>
      <x:c r="I2104" s="1" t="str">
        <x:f>IF(H2104&gt;0,"Overbilled","Shortfall")</x:f>
        <x:v>Shortfall</x:v>
      </x:c>
      <x:c r="J2104" s="7"/>
      <x:c r="K2104" s="7" t="str">
        <x:v>Open</x:v>
      </x:c>
      <x:c r="L2104" s="7"/>
    </x:row>
    <x:row r="2105" ht="21" customHeight="1">
      <x:c r="A2105" s="1" t="str">
        <x:f>Source!A2099</x:f>
        <x:v>C0002587</x:v>
      </x:c>
      <x:c r="B2105" s="1" t="str">
        <x:f>_xlfn.IFNA(VLOOKUP(Source!B2099,Advertisers!$A$5:$B$34,2,FALSE),"Missing advertiser")</x:f>
        <x:v>Synthetic advertiser 13</x:v>
      </x:c>
      <x:c r="C2105" s="1" t="n">
        <x:f>Source!C2099</x:f>
        <x:v>43</x:v>
      </x:c>
      <x:c r="D2105" s="8" t="n">
        <x:f>Source!D2099/100</x:f>
        <x:v>77.82</x:v>
      </x:c>
      <x:c r="E2105" s="8" t="n">
        <x:f>Source!E2099/100</x:f>
        <x:v>0</x:v>
      </x:c>
      <x:c r="F2105" s="8" t="n">
        <x:f>Source!F2099/100</x:f>
        <x:v>0</x:v>
      </x:c>
      <x:c r="G2105" s="8" t="n">
        <x:f>Source!G2099/100</x:f>
        <x:v>0</x:v>
      </x:c>
      <x:c r="H2105" s="8" t="n">
        <x:f>G2105-D2105</x:f>
        <x:v>-77.82</x:v>
      </x:c>
      <x:c r="I2105" s="1" t="str">
        <x:f>IF(H2105&gt;0,"Overbilled","Shortfall")</x:f>
        <x:v>Shortfall</x:v>
      </x:c>
      <x:c r="J2105" s="7"/>
      <x:c r="K2105" s="7" t="str">
        <x:v>Open</x:v>
      </x:c>
      <x:c r="L2105" s="7"/>
    </x:row>
    <x:row r="2106" ht="21" customHeight="1">
      <x:c r="A2106" s="1" t="str">
        <x:f>Source!A2100</x:f>
        <x:v>C0003737</x:v>
      </x:c>
      <x:c r="B2106" s="1" t="str">
        <x:f>_xlfn.IFNA(VLOOKUP(Source!B2100,Advertisers!$A$5:$B$34,2,FALSE),"Missing advertiser")</x:f>
        <x:v>Synthetic advertiser 13</x:v>
      </x:c>
      <x:c r="C2106" s="1" t="n">
        <x:f>Source!C2100</x:f>
        <x:v>43</x:v>
      </x:c>
      <x:c r="D2106" s="8" t="n">
        <x:f>Source!D2100/100</x:f>
        <x:v>77.82</x:v>
      </x:c>
      <x:c r="E2106" s="8" t="n">
        <x:f>Source!E2100/100</x:f>
        <x:v>155.64</x:v>
      </x:c>
      <x:c r="F2106" s="8" t="n">
        <x:f>Source!F2100/100</x:f>
        <x:v>0</x:v>
      </x:c>
      <x:c r="G2106" s="8" t="n">
        <x:f>Source!G2100/100</x:f>
        <x:v>155.64</x:v>
      </x:c>
      <x:c r="H2106" s="8" t="n">
        <x:f>G2106-D2106</x:f>
        <x:v>77.82</x:v>
      </x:c>
      <x:c r="I2106" s="1" t="str">
        <x:f>IF(H2106&gt;0,"Overbilled","Shortfall")</x:f>
        <x:v>Overbilled</x:v>
      </x:c>
      <x:c r="J2106" s="7"/>
      <x:c r="K2106" s="7" t="str">
        <x:v>Open</x:v>
      </x:c>
      <x:c r="L2106" s="7"/>
    </x:row>
    <x:row r="2107" ht="21" customHeight="1">
      <x:c r="A2107" s="1" t="str">
        <x:f>Source!A2101</x:f>
        <x:v>C0003888</x:v>
      </x:c>
      <x:c r="B2107" s="1" t="str">
        <x:f>_xlfn.IFNA(VLOOKUP(Source!B2101,Advertisers!$A$5:$B$34,2,FALSE),"Missing advertiser")</x:f>
        <x:v>Synthetic advertiser 13</x:v>
      </x:c>
      <x:c r="C2107" s="1" t="n">
        <x:f>Source!C2101</x:f>
        <x:v>43</x:v>
      </x:c>
      <x:c r="D2107" s="8" t="n">
        <x:f>Source!D2101/100</x:f>
        <x:v>77.82</x:v>
      </x:c>
      <x:c r="E2107" s="8" t="n">
        <x:f>Source!E2101/100</x:f>
        <x:v>155.64</x:v>
      </x:c>
      <x:c r="F2107" s="8" t="n">
        <x:f>Source!F2101/100</x:f>
        <x:v>0</x:v>
      </x:c>
      <x:c r="G2107" s="8" t="n">
        <x:f>Source!G2101/100</x:f>
        <x:v>155.64</x:v>
      </x:c>
      <x:c r="H2107" s="8" t="n">
        <x:f>G2107-D2107</x:f>
        <x:v>77.82</x:v>
      </x:c>
      <x:c r="I2107" s="1" t="str">
        <x:f>IF(H2107&gt;0,"Overbilled","Shortfall")</x:f>
        <x:v>Overbilled</x:v>
      </x:c>
      <x:c r="J2107" s="7"/>
      <x:c r="K2107" s="7" t="str">
        <x:v>Open</x:v>
      </x:c>
      <x:c r="L2107" s="7"/>
    </x:row>
    <x:row r="2108" ht="21" customHeight="1">
      <x:c r="A2108" s="1" t="str">
        <x:f>Source!A2102</x:f>
        <x:v>C0003361</x:v>
      </x:c>
      <x:c r="B2108" s="1" t="str">
        <x:f>_xlfn.IFNA(VLOOKUP(Source!B2102,Advertisers!$A$5:$B$34,2,FALSE),"Missing advertiser")</x:f>
        <x:v>Synthetic advertiser 13</x:v>
      </x:c>
      <x:c r="C2108" s="1" t="n">
        <x:f>Source!C2102</x:f>
        <x:v>43</x:v>
      </x:c>
      <x:c r="D2108" s="8" t="n">
        <x:f>Source!D2102/100</x:f>
        <x:v>0</x:v>
      </x:c>
      <x:c r="E2108" s="8" t="n">
        <x:f>Source!E2102/100</x:f>
        <x:v>77.82</x:v>
      </x:c>
      <x:c r="F2108" s="8" t="n">
        <x:f>Source!F2102/100</x:f>
        <x:v>0</x:v>
      </x:c>
      <x:c r="G2108" s="8" t="n">
        <x:f>Source!G2102/100</x:f>
        <x:v>77.82</x:v>
      </x:c>
      <x:c r="H2108" s="8" t="n">
        <x:f>G2108-D2108</x:f>
        <x:v>77.82</x:v>
      </x:c>
      <x:c r="I2108" s="1" t="str">
        <x:f>IF(H2108&gt;0,"Overbilled","Shortfall")</x:f>
        <x:v>Overbilled</x:v>
      </x:c>
      <x:c r="J2108" s="7"/>
      <x:c r="K2108" s="7" t="str">
        <x:v>Open</x:v>
      </x:c>
      <x:c r="L2108" s="7"/>
    </x:row>
    <x:row r="2109" ht="21" customHeight="1">
      <x:c r="A2109" s="1" t="str">
        <x:f>Source!A2103</x:f>
        <x:v>C0011460</x:v>
      </x:c>
      <x:c r="B2109" s="1" t="str">
        <x:f>_xlfn.IFNA(VLOOKUP(Source!B2103,Advertisers!$A$5:$B$34,2,FALSE),"Missing advertiser")</x:f>
        <x:v>Synthetic advertiser 18</x:v>
      </x:c>
      <x:c r="C2109" s="1" t="n">
        <x:f>Source!C2103</x:f>
        <x:v>108</x:v>
      </x:c>
      <x:c r="D2109" s="8" t="n">
        <x:f>Source!D2103/100</x:f>
        <x:v>77.56</x:v>
      </x:c>
      <x:c r="E2109" s="8" t="n">
        <x:f>Source!E2103/100</x:f>
        <x:v>0</x:v>
      </x:c>
      <x:c r="F2109" s="8" t="n">
        <x:f>Source!F2103/100</x:f>
        <x:v>0</x:v>
      </x:c>
      <x:c r="G2109" s="8" t="n">
        <x:f>Source!G2103/100</x:f>
        <x:v>0</x:v>
      </x:c>
      <x:c r="H2109" s="8" t="n">
        <x:f>G2109-D2109</x:f>
        <x:v>-77.56</x:v>
      </x:c>
      <x:c r="I2109" s="1" t="str">
        <x:f>IF(H2109&gt;0,"Overbilled","Shortfall")</x:f>
        <x:v>Shortfall</x:v>
      </x:c>
      <x:c r="J2109" s="7"/>
      <x:c r="K2109" s="7" t="str">
        <x:v>Open</x:v>
      </x:c>
      <x:c r="L2109" s="7"/>
    </x:row>
    <x:row r="2110" ht="21" customHeight="1">
      <x:c r="A2110" s="1" t="str">
        <x:f>Source!A2104</x:f>
        <x:v>C0016669</x:v>
      </x:c>
      <x:c r="B2110" s="1" t="str">
        <x:f>_xlfn.IFNA(VLOOKUP(Source!B2104,Advertisers!$A$5:$B$34,2,FALSE),"Missing advertiser")</x:f>
        <x:v>Synthetic advertiser 19</x:v>
      </x:c>
      <x:c r="C2110" s="1" t="n">
        <x:f>Source!C2104</x:f>
        <x:v>49</x:v>
      </x:c>
      <x:c r="D2110" s="8" t="n">
        <x:f>Source!D2104/100</x:f>
        <x:v>77.3</x:v>
      </x:c>
      <x:c r="E2110" s="8" t="n">
        <x:f>Source!E2104/100</x:f>
        <x:v>154.6</x:v>
      </x:c>
      <x:c r="F2110" s="8" t="n">
        <x:f>Source!F2104/100</x:f>
        <x:v>0</x:v>
      </x:c>
      <x:c r="G2110" s="8" t="n">
        <x:f>Source!G2104/100</x:f>
        <x:v>154.6</x:v>
      </x:c>
      <x:c r="H2110" s="8" t="n">
        <x:f>G2110-D2110</x:f>
        <x:v>77.3</x:v>
      </x:c>
      <x:c r="I2110" s="1" t="str">
        <x:f>IF(H2110&gt;0,"Overbilled","Shortfall")</x:f>
        <x:v>Overbilled</x:v>
      </x:c>
      <x:c r="J2110" s="7"/>
      <x:c r="K2110" s="7" t="str">
        <x:v>Open</x:v>
      </x:c>
      <x:c r="L2110" s="7"/>
    </x:row>
    <x:row r="2111" ht="21" customHeight="1">
      <x:c r="A2111" s="1" t="str">
        <x:f>Source!A2105</x:f>
        <x:v>C0007714</x:v>
      </x:c>
      <x:c r="B2111" s="1" t="str">
        <x:f>_xlfn.IFNA(VLOOKUP(Source!B2105,Advertisers!$A$5:$B$34,2,FALSE),"Missing advertiser")</x:f>
        <x:v>Synthetic advertiser 19</x:v>
      </x:c>
      <x:c r="C2111" s="1" t="n">
        <x:f>Source!C2105</x:f>
        <x:v>49</x:v>
      </x:c>
      <x:c r="D2111" s="8" t="n">
        <x:f>Source!D2105/100</x:f>
        <x:v>0</x:v>
      </x:c>
      <x:c r="E2111" s="8" t="n">
        <x:f>Source!E2105/100</x:f>
        <x:v>77.3</x:v>
      </x:c>
      <x:c r="F2111" s="8" t="n">
        <x:f>Source!F2105/100</x:f>
        <x:v>0</x:v>
      </x:c>
      <x:c r="G2111" s="8" t="n">
        <x:f>Source!G2105/100</x:f>
        <x:v>77.3</x:v>
      </x:c>
      <x:c r="H2111" s="8" t="n">
        <x:f>G2111-D2111</x:f>
        <x:v>77.3</x:v>
      </x:c>
      <x:c r="I2111" s="1" t="str">
        <x:f>IF(H2111&gt;0,"Overbilled","Shortfall")</x:f>
        <x:v>Overbilled</x:v>
      </x:c>
      <x:c r="J2111" s="7"/>
      <x:c r="K2111" s="7" t="str">
        <x:v>Open</x:v>
      </x:c>
      <x:c r="L2111" s="7"/>
    </x:row>
    <x:row r="2112" ht="21" customHeight="1">
      <x:c r="A2112" s="1" t="str">
        <x:f>Source!A2106</x:f>
        <x:v>C0015964</x:v>
      </x:c>
      <x:c r="B2112" s="1" t="str">
        <x:f>_xlfn.IFNA(VLOOKUP(Source!B2106,Advertisers!$A$5:$B$34,2,FALSE),"Missing advertiser")</x:f>
        <x:v>Synthetic advertiser 19</x:v>
      </x:c>
      <x:c r="C2112" s="1" t="n">
        <x:f>Source!C2106</x:f>
        <x:v>49</x:v>
      </x:c>
      <x:c r="D2112" s="8" t="n">
        <x:f>Source!D2106/100</x:f>
        <x:v>77.3</x:v>
      </x:c>
      <x:c r="E2112" s="8" t="n">
        <x:f>Source!E2106/100</x:f>
        <x:v>0</x:v>
      </x:c>
      <x:c r="F2112" s="8" t="n">
        <x:f>Source!F2106/100</x:f>
        <x:v>0</x:v>
      </x:c>
      <x:c r="G2112" s="8" t="n">
        <x:f>Source!G2106/100</x:f>
        <x:v>0</x:v>
      </x:c>
      <x:c r="H2112" s="8" t="n">
        <x:f>G2112-D2112</x:f>
        <x:v>-77.3</x:v>
      </x:c>
      <x:c r="I2112" s="1" t="str">
        <x:f>IF(H2112&gt;0,"Overbilled","Shortfall")</x:f>
        <x:v>Shortfall</x:v>
      </x:c>
      <x:c r="J2112" s="7"/>
      <x:c r="K2112" s="7" t="str">
        <x:v>Open</x:v>
      </x:c>
      <x:c r="L2112" s="7"/>
    </x:row>
    <x:row r="2113" ht="21" customHeight="1">
      <x:c r="A2113" s="1" t="str">
        <x:f>Source!A2107</x:f>
        <x:v>C0000460</x:v>
      </x:c>
      <x:c r="B2113" s="1" t="str">
        <x:f>_xlfn.IFNA(VLOOKUP(Source!B2107,Advertisers!$A$5:$B$34,2,FALSE),"Missing advertiser")</x:f>
        <x:v>Synthetic advertiser 19</x:v>
      </x:c>
      <x:c r="C2113" s="1" t="n">
        <x:f>Source!C2107</x:f>
        <x:v>49</x:v>
      </x:c>
      <x:c r="D2113" s="8" t="n">
        <x:f>Source!D2107/100</x:f>
        <x:v>77.3</x:v>
      </x:c>
      <x:c r="E2113" s="8" t="n">
        <x:f>Source!E2107/100</x:f>
        <x:v>154.6</x:v>
      </x:c>
      <x:c r="F2113" s="8" t="n">
        <x:f>Source!F2107/100</x:f>
        <x:v>0</x:v>
      </x:c>
      <x:c r="G2113" s="8" t="n">
        <x:f>Source!G2107/100</x:f>
        <x:v>154.6</x:v>
      </x:c>
      <x:c r="H2113" s="8" t="n">
        <x:f>G2113-D2113</x:f>
        <x:v>77.3</x:v>
      </x:c>
      <x:c r="I2113" s="1" t="str">
        <x:f>IF(H2113&gt;0,"Overbilled","Shortfall")</x:f>
        <x:v>Overbilled</x:v>
      </x:c>
      <x:c r="J2113" s="7"/>
      <x:c r="K2113" s="7" t="str">
        <x:v>Open</x:v>
      </x:c>
      <x:c r="L2113" s="7"/>
    </x:row>
    <x:row r="2114" ht="21" customHeight="1">
      <x:c r="A2114" s="1" t="str">
        <x:f>Source!A2108</x:f>
        <x:v>C0015329</x:v>
      </x:c>
      <x:c r="B2114" s="1" t="str">
        <x:f>_xlfn.IFNA(VLOOKUP(Source!B2108,Advertisers!$A$5:$B$34,2,FALSE),"Missing advertiser")</x:f>
        <x:v>Synthetic advertiser 19</x:v>
      </x:c>
      <x:c r="C2114" s="1" t="n">
        <x:f>Source!C2108</x:f>
        <x:v>49</x:v>
      </x:c>
      <x:c r="D2114" s="8" t="n">
        <x:f>Source!D2108/100</x:f>
        <x:v>77.3</x:v>
      </x:c>
      <x:c r="E2114" s="8" t="n">
        <x:f>Source!E2108/100</x:f>
        <x:v>0</x:v>
      </x:c>
      <x:c r="F2114" s="8" t="n">
        <x:f>Source!F2108/100</x:f>
        <x:v>0</x:v>
      </x:c>
      <x:c r="G2114" s="8" t="n">
        <x:f>Source!G2108/100</x:f>
        <x:v>0</x:v>
      </x:c>
      <x:c r="H2114" s="8" t="n">
        <x:f>G2114-D2114</x:f>
        <x:v>-77.3</x:v>
      </x:c>
      <x:c r="I2114" s="1" t="str">
        <x:f>IF(H2114&gt;0,"Overbilled","Shortfall")</x:f>
        <x:v>Shortfall</x:v>
      </x:c>
      <x:c r="J2114" s="7"/>
      <x:c r="K2114" s="7" t="str">
        <x:v>Open</x:v>
      </x:c>
      <x:c r="L2114" s="7"/>
    </x:row>
    <x:row r="2115" ht="21" customHeight="1">
      <x:c r="A2115" s="1" t="str">
        <x:f>Source!A2109</x:f>
        <x:v>C0009751</x:v>
      </x:c>
      <x:c r="B2115" s="1" t="str">
        <x:f>_xlfn.IFNA(VLOOKUP(Source!B2109,Advertisers!$A$5:$B$34,2,FALSE),"Missing advertiser")</x:f>
        <x:v>Synthetic advertiser 19</x:v>
      </x:c>
      <x:c r="C2115" s="1" t="n">
        <x:f>Source!C2109</x:f>
        <x:v>49</x:v>
      </x:c>
      <x:c r="D2115" s="8" t="n">
        <x:f>Source!D2109/100</x:f>
        <x:v>77.3</x:v>
      </x:c>
      <x:c r="E2115" s="8" t="n">
        <x:f>Source!E2109/100</x:f>
        <x:v>154.6</x:v>
      </x:c>
      <x:c r="F2115" s="8" t="n">
        <x:f>Source!F2109/100</x:f>
        <x:v>0</x:v>
      </x:c>
      <x:c r="G2115" s="8" t="n">
        <x:f>Source!G2109/100</x:f>
        <x:v>154.6</x:v>
      </x:c>
      <x:c r="H2115" s="8" t="n">
        <x:f>G2115-D2115</x:f>
        <x:v>77.3</x:v>
      </x:c>
      <x:c r="I2115" s="1" t="str">
        <x:f>IF(H2115&gt;0,"Overbilled","Shortfall")</x:f>
        <x:v>Overbilled</x:v>
      </x:c>
      <x:c r="J2115" s="7"/>
      <x:c r="K2115" s="7" t="str">
        <x:v>Open</x:v>
      </x:c>
      <x:c r="L2115" s="7"/>
    </x:row>
    <x:row r="2116" ht="21" customHeight="1">
      <x:c r="A2116" s="1" t="str">
        <x:f>Source!A2110</x:f>
        <x:v>C0005865</x:v>
      </x:c>
      <x:c r="B2116" s="1" t="str">
        <x:f>_xlfn.IFNA(VLOOKUP(Source!B2110,Advertisers!$A$5:$B$34,2,FALSE),"Missing advertiser")</x:f>
        <x:v>Synthetic advertiser 19</x:v>
      </x:c>
      <x:c r="C2116" s="1" t="n">
        <x:f>Source!C2110</x:f>
        <x:v>49</x:v>
      </x:c>
      <x:c r="D2116" s="8" t="n">
        <x:f>Source!D2110/100</x:f>
        <x:v>77.3</x:v>
      </x:c>
      <x:c r="E2116" s="8" t="n">
        <x:f>Source!E2110/100</x:f>
        <x:v>0</x:v>
      </x:c>
      <x:c r="F2116" s="8" t="n">
        <x:f>Source!F2110/100</x:f>
        <x:v>0</x:v>
      </x:c>
      <x:c r="G2116" s="8" t="n">
        <x:f>Source!G2110/100</x:f>
        <x:v>0</x:v>
      </x:c>
      <x:c r="H2116" s="8" t="n">
        <x:f>G2116-D2116</x:f>
        <x:v>-77.3</x:v>
      </x:c>
      <x:c r="I2116" s="1" t="str">
        <x:f>IF(H2116&gt;0,"Overbilled","Shortfall")</x:f>
        <x:v>Shortfall</x:v>
      </x:c>
      <x:c r="J2116" s="7"/>
      <x:c r="K2116" s="7" t="str">
        <x:v>Open</x:v>
      </x:c>
      <x:c r="L2116" s="7"/>
    </x:row>
    <x:row r="2117" ht="21" customHeight="1">
      <x:c r="A2117" s="1" t="str">
        <x:f>Source!A2111</x:f>
        <x:v>C0014998</x:v>
      </x:c>
      <x:c r="B2117" s="1" t="str">
        <x:f>_xlfn.IFNA(VLOOKUP(Source!B2111,Advertisers!$A$5:$B$34,2,FALSE),"Missing advertiser")</x:f>
        <x:v>Synthetic advertiser 19</x:v>
      </x:c>
      <x:c r="C2117" s="1" t="n">
        <x:f>Source!C2111</x:f>
        <x:v>49</x:v>
      </x:c>
      <x:c r="D2117" s="8" t="n">
        <x:f>Source!D2111/100</x:f>
        <x:v>77.3</x:v>
      </x:c>
      <x:c r="E2117" s="8" t="n">
        <x:f>Source!E2111/100</x:f>
        <x:v>154.6</x:v>
      </x:c>
      <x:c r="F2117" s="8" t="n">
        <x:f>Source!F2111/100</x:f>
        <x:v>0</x:v>
      </x:c>
      <x:c r="G2117" s="8" t="n">
        <x:f>Source!G2111/100</x:f>
        <x:v>154.6</x:v>
      </x:c>
      <x:c r="H2117" s="8" t="n">
        <x:f>G2117-D2117</x:f>
        <x:v>77.3</x:v>
      </x:c>
      <x:c r="I2117" s="1" t="str">
        <x:f>IF(H2117&gt;0,"Overbilled","Shortfall")</x:f>
        <x:v>Overbilled</x:v>
      </x:c>
      <x:c r="J2117" s="7"/>
      <x:c r="K2117" s="7" t="str">
        <x:v>Open</x:v>
      </x:c>
      <x:c r="L2117" s="7"/>
    </x:row>
    <x:row r="2118" ht="21" customHeight="1">
      <x:c r="A2118" s="1" t="str">
        <x:f>Source!A2112</x:f>
        <x:v>C0012330</x:v>
      </x:c>
      <x:c r="B2118" s="1" t="str">
        <x:f>_xlfn.IFNA(VLOOKUP(Source!B2112,Advertisers!$A$5:$B$34,2,FALSE),"Missing advertiser")</x:f>
        <x:v>Synthetic advertiser 17</x:v>
      </x:c>
      <x:c r="C2118" s="1" t="n">
        <x:f>Source!C2112</x:f>
        <x:v>107</x:v>
      </x:c>
      <x:c r="D2118" s="8" t="n">
        <x:f>Source!D2112/100</x:f>
        <x:v>77.08</x:v>
      </x:c>
      <x:c r="E2118" s="8" t="n">
        <x:f>Source!E2112/100</x:f>
        <x:v>0</x:v>
      </x:c>
      <x:c r="F2118" s="8" t="n">
        <x:f>Source!F2112/100</x:f>
        <x:v>0</x:v>
      </x:c>
      <x:c r="G2118" s="8" t="n">
        <x:f>Source!G2112/100</x:f>
        <x:v>0</x:v>
      </x:c>
      <x:c r="H2118" s="8" t="n">
        <x:f>G2118-D2118</x:f>
        <x:v>-77.08</x:v>
      </x:c>
      <x:c r="I2118" s="1" t="str">
        <x:f>IF(H2118&gt;0,"Overbilled","Shortfall")</x:f>
        <x:v>Shortfall</x:v>
      </x:c>
      <x:c r="J2118" s="7"/>
      <x:c r="K2118" s="7" t="str">
        <x:v>Open</x:v>
      </x:c>
      <x:c r="L2118" s="7"/>
    </x:row>
    <x:row r="2119" ht="21" customHeight="1">
      <x:c r="A2119" s="1" t="str">
        <x:f>Source!A2113</x:f>
        <x:v>C0016346</x:v>
      </x:c>
      <x:c r="B2119" s="1" t="str">
        <x:f>_xlfn.IFNA(VLOOKUP(Source!B2113,Advertisers!$A$5:$B$34,2,FALSE),"Missing advertiser")</x:f>
        <x:v>Synthetic advertiser 17</x:v>
      </x:c>
      <x:c r="C2119" s="1" t="n">
        <x:f>Source!C2113</x:f>
        <x:v>107</x:v>
      </x:c>
      <x:c r="D2119" s="8" t="n">
        <x:f>Source!D2113/100</x:f>
        <x:v>77.08</x:v>
      </x:c>
      <x:c r="E2119" s="8" t="n">
        <x:f>Source!E2113/100</x:f>
        <x:v>154.16</x:v>
      </x:c>
      <x:c r="F2119" s="8" t="n">
        <x:f>Source!F2113/100</x:f>
        <x:v>0</x:v>
      </x:c>
      <x:c r="G2119" s="8" t="n">
        <x:f>Source!G2113/100</x:f>
        <x:v>154.16</x:v>
      </x:c>
      <x:c r="H2119" s="8" t="n">
        <x:f>G2119-D2119</x:f>
        <x:v>77.08</x:v>
      </x:c>
      <x:c r="I2119" s="1" t="str">
        <x:f>IF(H2119&gt;0,"Overbilled","Shortfall")</x:f>
        <x:v>Overbilled</x:v>
      </x:c>
      <x:c r="J2119" s="7"/>
      <x:c r="K2119" s="7" t="str">
        <x:v>Open</x:v>
      </x:c>
      <x:c r="L2119" s="7"/>
    </x:row>
    <x:row r="2120" ht="21" customHeight="1">
      <x:c r="A2120" s="1" t="str">
        <x:f>Source!A2114</x:f>
        <x:v>C0008125</x:v>
      </x:c>
      <x:c r="B2120" s="1" t="str">
        <x:f>_xlfn.IFNA(VLOOKUP(Source!B2114,Advertisers!$A$5:$B$34,2,FALSE),"Missing advertiser")</x:f>
        <x:v>Synthetic advertiser 17</x:v>
      </x:c>
      <x:c r="C2120" s="1" t="n">
        <x:f>Source!C2114</x:f>
        <x:v>107</x:v>
      </x:c>
      <x:c r="D2120" s="8" t="n">
        <x:f>Source!D2114/100</x:f>
        <x:v>77.08</x:v>
      </x:c>
      <x:c r="E2120" s="8" t="n">
        <x:f>Source!E2114/100</x:f>
        <x:v>154.16</x:v>
      </x:c>
      <x:c r="F2120" s="8" t="n">
        <x:f>Source!F2114/100</x:f>
        <x:v>0</x:v>
      </x:c>
      <x:c r="G2120" s="8" t="n">
        <x:f>Source!G2114/100</x:f>
        <x:v>154.16</x:v>
      </x:c>
      <x:c r="H2120" s="8" t="n">
        <x:f>G2120-D2120</x:f>
        <x:v>77.08</x:v>
      </x:c>
      <x:c r="I2120" s="1" t="str">
        <x:f>IF(H2120&gt;0,"Overbilled","Shortfall")</x:f>
        <x:v>Overbilled</x:v>
      </x:c>
      <x:c r="J2120" s="7"/>
      <x:c r="K2120" s="7" t="str">
        <x:v>Open</x:v>
      </x:c>
      <x:c r="L2120" s="7"/>
    </x:row>
    <x:row r="2121" ht="21" customHeight="1">
      <x:c r="A2121" s="1" t="str">
        <x:f>Source!A2115</x:f>
        <x:v>C0004344</x:v>
      </x:c>
      <x:c r="B2121" s="1" t="str">
        <x:f>_xlfn.IFNA(VLOOKUP(Source!B2115,Advertisers!$A$5:$B$34,2,FALSE),"Missing advertiser")</x:f>
        <x:v>Synthetic advertiser 17</x:v>
      </x:c>
      <x:c r="C2121" s="1" t="n">
        <x:f>Source!C2115</x:f>
        <x:v>107</x:v>
      </x:c>
      <x:c r="D2121" s="8" t="n">
        <x:f>Source!D2115/100</x:f>
        <x:v>77.08</x:v>
      </x:c>
      <x:c r="E2121" s="8" t="n">
        <x:f>Source!E2115/100</x:f>
        <x:v>0</x:v>
      </x:c>
      <x:c r="F2121" s="8" t="n">
        <x:f>Source!F2115/100</x:f>
        <x:v>0</x:v>
      </x:c>
      <x:c r="G2121" s="8" t="n">
        <x:f>Source!G2115/100</x:f>
        <x:v>0</x:v>
      </x:c>
      <x:c r="H2121" s="8" t="n">
        <x:f>G2121-D2121</x:f>
        <x:v>-77.08</x:v>
      </x:c>
      <x:c r="I2121" s="1" t="str">
        <x:f>IF(H2121&gt;0,"Overbilled","Shortfall")</x:f>
        <x:v>Shortfall</x:v>
      </x:c>
      <x:c r="J2121" s="7"/>
      <x:c r="K2121" s="7" t="str">
        <x:v>Open</x:v>
      </x:c>
      <x:c r="L2121" s="7"/>
    </x:row>
    <x:row r="2122" ht="21" customHeight="1">
      <x:c r="A2122" s="1" t="str">
        <x:f>Source!A2116</x:f>
        <x:v>C0012411</x:v>
      </x:c>
      <x:c r="B2122" s="1" t="str">
        <x:f>_xlfn.IFNA(VLOOKUP(Source!B2116,Advertisers!$A$5:$B$34,2,FALSE),"Missing advertiser")</x:f>
        <x:v>Synthetic advertiser 28</x:v>
      </x:c>
      <x:c r="C2122" s="1" t="n">
        <x:f>Source!C2116</x:f>
        <x:v>118</x:v>
      </x:c>
      <x:c r="D2122" s="8" t="n">
        <x:f>Source!D2116/100</x:f>
        <x:v>75.8</x:v>
      </x:c>
      <x:c r="E2122" s="8" t="n">
        <x:f>Source!E2116/100</x:f>
        <x:v>151.6</x:v>
      </x:c>
      <x:c r="F2122" s="8" t="n">
        <x:f>Source!F2116/100</x:f>
        <x:v>0</x:v>
      </x:c>
      <x:c r="G2122" s="8" t="n">
        <x:f>Source!G2116/100</x:f>
        <x:v>151.6</x:v>
      </x:c>
      <x:c r="H2122" s="8" t="n">
        <x:f>G2122-D2122</x:f>
        <x:v>75.8</x:v>
      </x:c>
      <x:c r="I2122" s="1" t="str">
        <x:f>IF(H2122&gt;0,"Overbilled","Shortfall")</x:f>
        <x:v>Overbilled</x:v>
      </x:c>
      <x:c r="J2122" s="7"/>
      <x:c r="K2122" s="7" t="str">
        <x:v>Open</x:v>
      </x:c>
      <x:c r="L2122" s="7"/>
    </x:row>
    <x:row r="2123" ht="21" customHeight="1">
      <x:c r="A2123" s="1" t="str">
        <x:f>Source!A2117</x:f>
        <x:v>C0004739</x:v>
      </x:c>
      <x:c r="B2123" s="1" t="str">
        <x:f>_xlfn.IFNA(VLOOKUP(Source!B2117,Advertisers!$A$5:$B$34,2,FALSE),"Missing advertiser")</x:f>
        <x:v>Synthetic advertiser 28</x:v>
      </x:c>
      <x:c r="C2123" s="1" t="n">
        <x:f>Source!C2117</x:f>
        <x:v>118</x:v>
      </x:c>
      <x:c r="D2123" s="8" t="n">
        <x:f>Source!D2117/100</x:f>
        <x:v>75.8</x:v>
      </x:c>
      <x:c r="E2123" s="8" t="n">
        <x:f>Source!E2117/100</x:f>
        <x:v>151.6</x:v>
      </x:c>
      <x:c r="F2123" s="8" t="n">
        <x:f>Source!F2117/100</x:f>
        <x:v>0</x:v>
      </x:c>
      <x:c r="G2123" s="8" t="n">
        <x:f>Source!G2117/100</x:f>
        <x:v>151.6</x:v>
      </x:c>
      <x:c r="H2123" s="8" t="n">
        <x:f>G2123-D2123</x:f>
        <x:v>75.8</x:v>
      </x:c>
      <x:c r="I2123" s="1" t="str">
        <x:f>IF(H2123&gt;0,"Overbilled","Shortfall")</x:f>
        <x:v>Overbilled</x:v>
      </x:c>
      <x:c r="J2123" s="7"/>
      <x:c r="K2123" s="7" t="str">
        <x:v>Open</x:v>
      </x:c>
      <x:c r="L2123" s="7"/>
    </x:row>
    <x:row r="2124" ht="21" customHeight="1">
      <x:c r="A2124" s="1" t="str">
        <x:f>Source!A2118</x:f>
        <x:v>C0017581</x:v>
      </x:c>
      <x:c r="B2124" s="1" t="str">
        <x:f>_xlfn.IFNA(VLOOKUP(Source!B2118,Advertisers!$A$5:$B$34,2,FALSE),"Missing advertiser")</x:f>
        <x:v>Synthetic advertiser 28</x:v>
      </x:c>
      <x:c r="C2124" s="1" t="n">
        <x:f>Source!C2118</x:f>
        <x:v>118</x:v>
      </x:c>
      <x:c r="D2124" s="8" t="n">
        <x:f>Source!D2118/100</x:f>
        <x:v>75.8</x:v>
      </x:c>
      <x:c r="E2124" s="8" t="n">
        <x:f>Source!E2118/100</x:f>
        <x:v>151.6</x:v>
      </x:c>
      <x:c r="F2124" s="8" t="n">
        <x:f>Source!F2118/100</x:f>
        <x:v>0</x:v>
      </x:c>
      <x:c r="G2124" s="8" t="n">
        <x:f>Source!G2118/100</x:f>
        <x:v>151.6</x:v>
      </x:c>
      <x:c r="H2124" s="8" t="n">
        <x:f>G2124-D2124</x:f>
        <x:v>75.8</x:v>
      </x:c>
      <x:c r="I2124" s="1" t="str">
        <x:f>IF(H2124&gt;0,"Overbilled","Shortfall")</x:f>
        <x:v>Overbilled</x:v>
      </x:c>
      <x:c r="J2124" s="7"/>
      <x:c r="K2124" s="7" t="str">
        <x:v>Open</x:v>
      </x:c>
      <x:c r="L2124" s="7"/>
    </x:row>
    <x:row r="2125" ht="21" customHeight="1">
      <x:c r="A2125" s="1" t="str">
        <x:f>Source!A2119</x:f>
        <x:v>C0009746</x:v>
      </x:c>
      <x:c r="B2125" s="1" t="str">
        <x:f>_xlfn.IFNA(VLOOKUP(Source!B2119,Advertisers!$A$5:$B$34,2,FALSE),"Missing advertiser")</x:f>
        <x:v>Synthetic advertiser 28</x:v>
      </x:c>
      <x:c r="C2125" s="1" t="n">
        <x:f>Source!C2119</x:f>
        <x:v>118</x:v>
      </x:c>
      <x:c r="D2125" s="8" t="n">
        <x:f>Source!D2119/100</x:f>
        <x:v>75.8</x:v>
      </x:c>
      <x:c r="E2125" s="8" t="n">
        <x:f>Source!E2119/100</x:f>
        <x:v>151.6</x:v>
      </x:c>
      <x:c r="F2125" s="8" t="n">
        <x:f>Source!F2119/100</x:f>
        <x:v>0</x:v>
      </x:c>
      <x:c r="G2125" s="8" t="n">
        <x:f>Source!G2119/100</x:f>
        <x:v>151.6</x:v>
      </x:c>
      <x:c r="H2125" s="8" t="n">
        <x:f>G2125-D2125</x:f>
        <x:v>75.8</x:v>
      </x:c>
      <x:c r="I2125" s="1" t="str">
        <x:f>IF(H2125&gt;0,"Overbilled","Shortfall")</x:f>
        <x:v>Overbilled</x:v>
      </x:c>
      <x:c r="J2125" s="7"/>
      <x:c r="K2125" s="7" t="str">
        <x:v>Open</x:v>
      </x:c>
      <x:c r="L2125" s="7"/>
    </x:row>
    <x:row r="2126" ht="21" customHeight="1">
      <x:c r="A2126" s="1" t="str">
        <x:f>Source!A2120</x:f>
        <x:v>C0006803</x:v>
      </x:c>
      <x:c r="B2126" s="1" t="str">
        <x:f>_xlfn.IFNA(VLOOKUP(Source!B2120,Advertisers!$A$5:$B$34,2,FALSE),"Missing advertiser")</x:f>
        <x:v>Synthetic advertiser 28</x:v>
      </x:c>
      <x:c r="C2126" s="1" t="n">
        <x:f>Source!C2120</x:f>
        <x:v>118</x:v>
      </x:c>
      <x:c r="D2126" s="8" t="n">
        <x:f>Source!D2120/100</x:f>
        <x:v>75.8</x:v>
      </x:c>
      <x:c r="E2126" s="8" t="n">
        <x:f>Source!E2120/100</x:f>
        <x:v>151.6</x:v>
      </x:c>
      <x:c r="F2126" s="8" t="n">
        <x:f>Source!F2120/100</x:f>
        <x:v>0</x:v>
      </x:c>
      <x:c r="G2126" s="8" t="n">
        <x:f>Source!G2120/100</x:f>
        <x:v>151.6</x:v>
      </x:c>
      <x:c r="H2126" s="8" t="n">
        <x:f>G2126-D2126</x:f>
        <x:v>75.8</x:v>
      </x:c>
      <x:c r="I2126" s="1" t="str">
        <x:f>IF(H2126&gt;0,"Overbilled","Shortfall")</x:f>
        <x:v>Overbilled</x:v>
      </x:c>
      <x:c r="J2126" s="7"/>
      <x:c r="K2126" s="7" t="str">
        <x:v>Open</x:v>
      </x:c>
      <x:c r="L2126" s="7"/>
    </x:row>
    <x:row r="2127" ht="21" customHeight="1">
      <x:c r="A2127" s="1" t="str">
        <x:f>Source!A2121</x:f>
        <x:v>C0008625</x:v>
      </x:c>
      <x:c r="B2127" s="1" t="str">
        <x:f>_xlfn.IFNA(VLOOKUP(Source!B2121,Advertisers!$A$5:$B$34,2,FALSE),"Missing advertiser")</x:f>
        <x:v>Synthetic advertiser 28</x:v>
      </x:c>
      <x:c r="C2127" s="1" t="n">
        <x:f>Source!C2121</x:f>
        <x:v>118</x:v>
      </x:c>
      <x:c r="D2127" s="8" t="n">
        <x:f>Source!D2121/100</x:f>
        <x:v>75.8</x:v>
      </x:c>
      <x:c r="E2127" s="8" t="n">
        <x:f>Source!E2121/100</x:f>
        <x:v>151.6</x:v>
      </x:c>
      <x:c r="F2127" s="8" t="n">
        <x:f>Source!F2121/100</x:f>
        <x:v>0</x:v>
      </x:c>
      <x:c r="G2127" s="8" t="n">
        <x:f>Source!G2121/100</x:f>
        <x:v>151.6</x:v>
      </x:c>
      <x:c r="H2127" s="8" t="n">
        <x:f>G2127-D2127</x:f>
        <x:v>75.8</x:v>
      </x:c>
      <x:c r="I2127" s="1" t="str">
        <x:f>IF(H2127&gt;0,"Overbilled","Shortfall")</x:f>
        <x:v>Overbilled</x:v>
      </x:c>
      <x:c r="J2127" s="7"/>
      <x:c r="K2127" s="7" t="str">
        <x:v>Open</x:v>
      </x:c>
      <x:c r="L2127" s="7"/>
    </x:row>
    <x:row r="2128" ht="21" customHeight="1">
      <x:c r="A2128" s="1" t="str">
        <x:f>Source!A2122</x:f>
        <x:v>C0008197</x:v>
      </x:c>
      <x:c r="B2128" s="1" t="str">
        <x:f>_xlfn.IFNA(VLOOKUP(Source!B2122,Advertisers!$A$5:$B$34,2,FALSE),"Missing advertiser")</x:f>
        <x:v>Synthetic advertiser 28</x:v>
      </x:c>
      <x:c r="C2128" s="1" t="n">
        <x:f>Source!C2122</x:f>
        <x:v>118</x:v>
      </x:c>
      <x:c r="D2128" s="8" t="n">
        <x:f>Source!D2122/100</x:f>
        <x:v>75.8</x:v>
      </x:c>
      <x:c r="E2128" s="8" t="n">
        <x:f>Source!E2122/100</x:f>
        <x:v>151.6</x:v>
      </x:c>
      <x:c r="F2128" s="8" t="n">
        <x:f>Source!F2122/100</x:f>
        <x:v>0</x:v>
      </x:c>
      <x:c r="G2128" s="8" t="n">
        <x:f>Source!G2122/100</x:f>
        <x:v>151.6</x:v>
      </x:c>
      <x:c r="H2128" s="8" t="n">
        <x:f>G2128-D2128</x:f>
        <x:v>75.8</x:v>
      </x:c>
      <x:c r="I2128" s="1" t="str">
        <x:f>IF(H2128&gt;0,"Overbilled","Shortfall")</x:f>
        <x:v>Overbilled</x:v>
      </x:c>
      <x:c r="J2128" s="7"/>
      <x:c r="K2128" s="7" t="str">
        <x:v>Open</x:v>
      </x:c>
      <x:c r="L2128" s="7"/>
    </x:row>
    <x:row r="2129" ht="21" customHeight="1">
      <x:c r="A2129" s="1" t="str">
        <x:f>Source!A2123</x:f>
        <x:v>C0011963</x:v>
      </x:c>
      <x:c r="B2129" s="1" t="str">
        <x:f>_xlfn.IFNA(VLOOKUP(Source!B2123,Advertisers!$A$5:$B$34,2,FALSE),"Missing advertiser")</x:f>
        <x:v>Synthetic advertiser 28</x:v>
      </x:c>
      <x:c r="C2129" s="1" t="n">
        <x:f>Source!C2123</x:f>
        <x:v>118</x:v>
      </x:c>
      <x:c r="D2129" s="8" t="n">
        <x:f>Source!D2123/100</x:f>
        <x:v>75.8</x:v>
      </x:c>
      <x:c r="E2129" s="8" t="n">
        <x:f>Source!E2123/100</x:f>
        <x:v>0</x:v>
      </x:c>
      <x:c r="F2129" s="8" t="n">
        <x:f>Source!F2123/100</x:f>
        <x:v>0</x:v>
      </x:c>
      <x:c r="G2129" s="8" t="n">
        <x:f>Source!G2123/100</x:f>
        <x:v>0</x:v>
      </x:c>
      <x:c r="H2129" s="8" t="n">
        <x:f>G2129-D2129</x:f>
        <x:v>-75.8</x:v>
      </x:c>
      <x:c r="I2129" s="1" t="str">
        <x:f>IF(H2129&gt;0,"Overbilled","Shortfall")</x:f>
        <x:v>Shortfall</x:v>
      </x:c>
      <x:c r="J2129" s="7"/>
      <x:c r="K2129" s="7" t="str">
        <x:v>Open</x:v>
      </x:c>
      <x:c r="L2129" s="7"/>
    </x:row>
    <x:row r="2130" ht="21" customHeight="1">
      <x:c r="A2130" s="1" t="str">
        <x:f>Source!A2124</x:f>
        <x:v>C0004104</x:v>
      </x:c>
      <x:c r="B2130" s="1" t="str">
        <x:f>_xlfn.IFNA(VLOOKUP(Source!B2124,Advertisers!$A$5:$B$34,2,FALSE),"Missing advertiser")</x:f>
        <x:v>Synthetic advertiser 28</x:v>
      </x:c>
      <x:c r="C2130" s="1" t="n">
        <x:f>Source!C2124</x:f>
        <x:v>118</x:v>
      </x:c>
      <x:c r="D2130" s="8" t="n">
        <x:f>Source!D2124/100</x:f>
        <x:v>75.8</x:v>
      </x:c>
      <x:c r="E2130" s="8" t="n">
        <x:f>Source!E2124/100</x:f>
        <x:v>0</x:v>
      </x:c>
      <x:c r="F2130" s="8" t="n">
        <x:f>Source!F2124/100</x:f>
        <x:v>0</x:v>
      </x:c>
      <x:c r="G2130" s="8" t="n">
        <x:f>Source!G2124/100</x:f>
        <x:v>0</x:v>
      </x:c>
      <x:c r="H2130" s="8" t="n">
        <x:f>G2130-D2130</x:f>
        <x:v>-75.8</x:v>
      </x:c>
      <x:c r="I2130" s="1" t="str">
        <x:f>IF(H2130&gt;0,"Overbilled","Shortfall")</x:f>
        <x:v>Shortfall</x:v>
      </x:c>
      <x:c r="J2130" s="7"/>
      <x:c r="K2130" s="7" t="str">
        <x:v>Open</x:v>
      </x:c>
      <x:c r="L2130" s="7"/>
    </x:row>
    <x:row r="2131" ht="21" customHeight="1">
      <x:c r="A2131" s="1" t="str">
        <x:f>Source!A2125</x:f>
        <x:v>C0014724</x:v>
      </x:c>
      <x:c r="B2131" s="1" t="str">
        <x:f>_xlfn.IFNA(VLOOKUP(Source!B2125,Advertisers!$A$5:$B$34,2,FALSE),"Missing advertiser")</x:f>
        <x:v>Synthetic advertiser 28</x:v>
      </x:c>
      <x:c r="C2131" s="1" t="n">
        <x:f>Source!C2125</x:f>
        <x:v>118</x:v>
      </x:c>
      <x:c r="D2131" s="8" t="n">
        <x:f>Source!D2125/100</x:f>
        <x:v>75.8</x:v>
      </x:c>
      <x:c r="E2131" s="8" t="n">
        <x:f>Source!E2125/100</x:f>
        <x:v>0</x:v>
      </x:c>
      <x:c r="F2131" s="8" t="n">
        <x:f>Source!F2125/100</x:f>
        <x:v>0</x:v>
      </x:c>
      <x:c r="G2131" s="8" t="n">
        <x:f>Source!G2125/100</x:f>
        <x:v>0</x:v>
      </x:c>
      <x:c r="H2131" s="8" t="n">
        <x:f>G2131-D2131</x:f>
        <x:v>-75.8</x:v>
      </x:c>
      <x:c r="I2131" s="1" t="str">
        <x:f>IF(H2131&gt;0,"Overbilled","Shortfall")</x:f>
        <x:v>Shortfall</x:v>
      </x:c>
      <x:c r="J2131" s="7"/>
      <x:c r="K2131" s="7" t="str">
        <x:v>Open</x:v>
      </x:c>
      <x:c r="L2131" s="7"/>
    </x:row>
    <x:row r="2132" ht="21" customHeight="1">
      <x:c r="A2132" s="1" t="str">
        <x:f>Source!A2126</x:f>
        <x:v>C0001590</x:v>
      </x:c>
      <x:c r="B2132" s="1" t="str">
        <x:f>_xlfn.IFNA(VLOOKUP(Source!B2126,Advertisers!$A$5:$B$34,2,FALSE),"Missing advertiser")</x:f>
        <x:v>Synthetic advertiser 28</x:v>
      </x:c>
      <x:c r="C2132" s="1" t="n">
        <x:f>Source!C2126</x:f>
        <x:v>118</x:v>
      </x:c>
      <x:c r="D2132" s="8" t="n">
        <x:f>Source!D2126/100</x:f>
        <x:v>75.8</x:v>
      </x:c>
      <x:c r="E2132" s="8" t="n">
        <x:f>Source!E2126/100</x:f>
        <x:v>0</x:v>
      </x:c>
      <x:c r="F2132" s="8" t="n">
        <x:f>Source!F2126/100</x:f>
        <x:v>0</x:v>
      </x:c>
      <x:c r="G2132" s="8" t="n">
        <x:f>Source!G2126/100</x:f>
        <x:v>0</x:v>
      </x:c>
      <x:c r="H2132" s="8" t="n">
        <x:f>G2132-D2132</x:f>
        <x:v>-75.8</x:v>
      </x:c>
      <x:c r="I2132" s="1" t="str">
        <x:f>IF(H2132&gt;0,"Overbilled","Shortfall")</x:f>
        <x:v>Shortfall</x:v>
      </x:c>
      <x:c r="J2132" s="7"/>
      <x:c r="K2132" s="7" t="str">
        <x:v>Open</x:v>
      </x:c>
      <x:c r="L2132" s="7"/>
    </x:row>
    <x:row r="2133" ht="21" customHeight="1">
      <x:c r="A2133" s="1" t="str">
        <x:f>Source!A2127</x:f>
        <x:v>C0010079</x:v>
      </x:c>
      <x:c r="B2133" s="1" t="str">
        <x:f>_xlfn.IFNA(VLOOKUP(Source!B2127,Advertisers!$A$5:$B$34,2,FALSE),"Missing advertiser")</x:f>
        <x:v>Synthetic advertiser 28</x:v>
      </x:c>
      <x:c r="C2133" s="1" t="n">
        <x:f>Source!C2127</x:f>
        <x:v>118</x:v>
      </x:c>
      <x:c r="D2133" s="8" t="n">
        <x:f>Source!D2127/100</x:f>
        <x:v>75.8</x:v>
      </x:c>
      <x:c r="E2133" s="8" t="n">
        <x:f>Source!E2127/100</x:f>
        <x:v>151.6</x:v>
      </x:c>
      <x:c r="F2133" s="8" t="n">
        <x:f>Source!F2127/100</x:f>
        <x:v>0</x:v>
      </x:c>
      <x:c r="G2133" s="8" t="n">
        <x:f>Source!G2127/100</x:f>
        <x:v>151.6</x:v>
      </x:c>
      <x:c r="H2133" s="8" t="n">
        <x:f>G2133-D2133</x:f>
        <x:v>75.8</x:v>
      </x:c>
      <x:c r="I2133" s="1" t="str">
        <x:f>IF(H2133&gt;0,"Overbilled","Shortfall")</x:f>
        <x:v>Overbilled</x:v>
      </x:c>
      <x:c r="J2133" s="7"/>
      <x:c r="K2133" s="7" t="str">
        <x:v>Open</x:v>
      </x:c>
      <x:c r="L2133" s="7"/>
    </x:row>
    <x:row r="2134" ht="21" customHeight="1">
      <x:c r="A2134" s="1" t="str">
        <x:f>Source!A2128</x:f>
        <x:v>C0003883</x:v>
      </x:c>
      <x:c r="B2134" s="1" t="str">
        <x:f>_xlfn.IFNA(VLOOKUP(Source!B2128,Advertisers!$A$5:$B$34,2,FALSE),"Missing advertiser")</x:f>
        <x:v>Synthetic advertiser 5</x:v>
      </x:c>
      <x:c r="C2134" s="1" t="n">
        <x:f>Source!C2128</x:f>
        <x:v>95</x:v>
      </x:c>
      <x:c r="D2134" s="8" t="n">
        <x:f>Source!D2128/100</x:f>
        <x:v>0</x:v>
      </x:c>
      <x:c r="E2134" s="8" t="n">
        <x:f>Source!E2128/100</x:f>
        <x:v>75.2</x:v>
      </x:c>
      <x:c r="F2134" s="8" t="n">
        <x:f>Source!F2128/100</x:f>
        <x:v>0</x:v>
      </x:c>
      <x:c r="G2134" s="8" t="n">
        <x:f>Source!G2128/100</x:f>
        <x:v>75.2</x:v>
      </x:c>
      <x:c r="H2134" s="8" t="n">
        <x:f>G2134-D2134</x:f>
        <x:v>75.2</x:v>
      </x:c>
      <x:c r="I2134" s="1" t="str">
        <x:f>IF(H2134&gt;0,"Overbilled","Shortfall")</x:f>
        <x:v>Overbilled</x:v>
      </x:c>
      <x:c r="J2134" s="7"/>
      <x:c r="K2134" s="7" t="str">
        <x:v>Open</x:v>
      </x:c>
      <x:c r="L2134" s="7"/>
    </x:row>
    <x:row r="2135" ht="21" customHeight="1">
      <x:c r="A2135" s="1" t="str">
        <x:f>Source!A2129</x:f>
        <x:v>C0012011</x:v>
      </x:c>
      <x:c r="B2135" s="1" t="str">
        <x:f>_xlfn.IFNA(VLOOKUP(Source!B2129,Advertisers!$A$5:$B$34,2,FALSE),"Missing advertiser")</x:f>
        <x:v>Synthetic advertiser 5</x:v>
      </x:c>
      <x:c r="C2135" s="1" t="n">
        <x:f>Source!C2129</x:f>
        <x:v>95</x:v>
      </x:c>
      <x:c r="D2135" s="8" t="n">
        <x:f>Source!D2129/100</x:f>
        <x:v>75.2</x:v>
      </x:c>
      <x:c r="E2135" s="8" t="n">
        <x:f>Source!E2129/100</x:f>
        <x:v>150.4</x:v>
      </x:c>
      <x:c r="F2135" s="8" t="n">
        <x:f>Source!F2129/100</x:f>
        <x:v>0</x:v>
      </x:c>
      <x:c r="G2135" s="8" t="n">
        <x:f>Source!G2129/100</x:f>
        <x:v>150.4</x:v>
      </x:c>
      <x:c r="H2135" s="8" t="n">
        <x:f>G2135-D2135</x:f>
        <x:v>75.2</x:v>
      </x:c>
      <x:c r="I2135" s="1" t="str">
        <x:f>IF(H2135&gt;0,"Overbilled","Shortfall")</x:f>
        <x:v>Overbilled</x:v>
      </x:c>
      <x:c r="J2135" s="7"/>
      <x:c r="K2135" s="7" t="str">
        <x:v>Open</x:v>
      </x:c>
      <x:c r="L2135" s="7"/>
    </x:row>
    <x:row r="2136" ht="21" customHeight="1">
      <x:c r="A2136" s="1" t="str">
        <x:f>Source!A2130</x:f>
        <x:v>C0003537</x:v>
      </x:c>
      <x:c r="B2136" s="1" t="str">
        <x:f>_xlfn.IFNA(VLOOKUP(Source!B2130,Advertisers!$A$5:$B$34,2,FALSE),"Missing advertiser")</x:f>
        <x:v>Synthetic advertiser 5</x:v>
      </x:c>
      <x:c r="C2136" s="1" t="n">
        <x:f>Source!C2130</x:f>
        <x:v>95</x:v>
      </x:c>
      <x:c r="D2136" s="8" t="n">
        <x:f>Source!D2130/100</x:f>
        <x:v>75.2</x:v>
      </x:c>
      <x:c r="E2136" s="8" t="n">
        <x:f>Source!E2130/100</x:f>
        <x:v>150.4</x:v>
      </x:c>
      <x:c r="F2136" s="8" t="n">
        <x:f>Source!F2130/100</x:f>
        <x:v>0</x:v>
      </x:c>
      <x:c r="G2136" s="8" t="n">
        <x:f>Source!G2130/100</x:f>
        <x:v>150.4</x:v>
      </x:c>
      <x:c r="H2136" s="8" t="n">
        <x:f>G2136-D2136</x:f>
        <x:v>75.2</x:v>
      </x:c>
      <x:c r="I2136" s="1" t="str">
        <x:f>IF(H2136&gt;0,"Overbilled","Shortfall")</x:f>
        <x:v>Overbilled</x:v>
      </x:c>
      <x:c r="J2136" s="7"/>
      <x:c r="K2136" s="7" t="str">
        <x:v>Open</x:v>
      </x:c>
      <x:c r="L2136" s="7"/>
    </x:row>
    <x:row r="2137" ht="21" customHeight="1">
      <x:c r="A2137" s="1" t="str">
        <x:f>Source!A2131</x:f>
        <x:v>C0017039</x:v>
      </x:c>
      <x:c r="B2137" s="1" t="str">
        <x:f>_xlfn.IFNA(VLOOKUP(Source!B2131,Advertisers!$A$5:$B$34,2,FALSE),"Missing advertiser")</x:f>
        <x:v>Synthetic advertiser 5</x:v>
      </x:c>
      <x:c r="C2137" s="1" t="n">
        <x:f>Source!C2131</x:f>
        <x:v>95</x:v>
      </x:c>
      <x:c r="D2137" s="8" t="n">
        <x:f>Source!D2131/100</x:f>
        <x:v>75.2</x:v>
      </x:c>
      <x:c r="E2137" s="8" t="n">
        <x:f>Source!E2131/100</x:f>
        <x:v>0</x:v>
      </x:c>
      <x:c r="F2137" s="8" t="n">
        <x:f>Source!F2131/100</x:f>
        <x:v>0</x:v>
      </x:c>
      <x:c r="G2137" s="8" t="n">
        <x:f>Source!G2131/100</x:f>
        <x:v>0</x:v>
      </x:c>
      <x:c r="H2137" s="8" t="n">
        <x:f>G2137-D2137</x:f>
        <x:v>-75.2</x:v>
      </x:c>
      <x:c r="I2137" s="1" t="str">
        <x:f>IF(H2137&gt;0,"Overbilled","Shortfall")</x:f>
        <x:v>Shortfall</x:v>
      </x:c>
      <x:c r="J2137" s="7"/>
      <x:c r="K2137" s="7" t="str">
        <x:v>Open</x:v>
      </x:c>
      <x:c r="L2137" s="7"/>
    </x:row>
    <x:row r="2138" ht="21" customHeight="1">
      <x:c r="A2138" s="1" t="str">
        <x:f>Source!A2132</x:f>
        <x:v>C0016448</x:v>
      </x:c>
      <x:c r="B2138" s="1" t="str">
        <x:f>_xlfn.IFNA(VLOOKUP(Source!B2132,Advertisers!$A$5:$B$34,2,FALSE),"Missing advertiser")</x:f>
        <x:v>Synthetic advertiser 5</x:v>
      </x:c>
      <x:c r="C2138" s="1" t="n">
        <x:f>Source!C2132</x:f>
        <x:v>95</x:v>
      </x:c>
      <x:c r="D2138" s="8" t="n">
        <x:f>Source!D2132/100</x:f>
        <x:v>75.2</x:v>
      </x:c>
      <x:c r="E2138" s="8" t="n">
        <x:f>Source!E2132/100</x:f>
        <x:v>150.4</x:v>
      </x:c>
      <x:c r="F2138" s="8" t="n">
        <x:f>Source!F2132/100</x:f>
        <x:v>0</x:v>
      </x:c>
      <x:c r="G2138" s="8" t="n">
        <x:f>Source!G2132/100</x:f>
        <x:v>150.4</x:v>
      </x:c>
      <x:c r="H2138" s="8" t="n">
        <x:f>G2138-D2138</x:f>
        <x:v>75.2</x:v>
      </x:c>
      <x:c r="I2138" s="1" t="str">
        <x:f>IF(H2138&gt;0,"Overbilled","Shortfall")</x:f>
        <x:v>Overbilled</x:v>
      </x:c>
      <x:c r="J2138" s="7"/>
      <x:c r="K2138" s="7" t="str">
        <x:v>Open</x:v>
      </x:c>
      <x:c r="L2138" s="7"/>
    </x:row>
    <x:row r="2139" ht="21" customHeight="1">
      <x:c r="A2139" s="1" t="str">
        <x:f>Source!A2133</x:f>
        <x:v>C0007871</x:v>
      </x:c>
      <x:c r="B2139" s="1" t="str">
        <x:f>_xlfn.IFNA(VLOOKUP(Source!B2133,Advertisers!$A$5:$B$34,2,FALSE),"Missing advertiser")</x:f>
        <x:v>Synthetic advertiser 5</x:v>
      </x:c>
      <x:c r="C2139" s="1" t="n">
        <x:f>Source!C2133</x:f>
        <x:v>95</x:v>
      </x:c>
      <x:c r="D2139" s="8" t="n">
        <x:f>Source!D2133/100</x:f>
        <x:v>75.2</x:v>
      </x:c>
      <x:c r="E2139" s="8" t="n">
        <x:f>Source!E2133/100</x:f>
        <x:v>0</x:v>
      </x:c>
      <x:c r="F2139" s="8" t="n">
        <x:f>Source!F2133/100</x:f>
        <x:v>0</x:v>
      </x:c>
      <x:c r="G2139" s="8" t="n">
        <x:f>Source!G2133/100</x:f>
        <x:v>0</x:v>
      </x:c>
      <x:c r="H2139" s="8" t="n">
        <x:f>G2139-D2139</x:f>
        <x:v>-75.2</x:v>
      </x:c>
      <x:c r="I2139" s="1" t="str">
        <x:f>IF(H2139&gt;0,"Overbilled","Shortfall")</x:f>
        <x:v>Shortfall</x:v>
      </x:c>
      <x:c r="J2139" s="7"/>
      <x:c r="K2139" s="7" t="str">
        <x:v>Open</x:v>
      </x:c>
      <x:c r="L2139" s="7"/>
    </x:row>
    <x:row r="2140" ht="21" customHeight="1">
      <x:c r="A2140" s="1" t="str">
        <x:f>Source!A2134</x:f>
        <x:v>C0010714</x:v>
      </x:c>
      <x:c r="B2140" s="1" t="str">
        <x:f>_xlfn.IFNA(VLOOKUP(Source!B2134,Advertisers!$A$5:$B$34,2,FALSE),"Missing advertiser")</x:f>
        <x:v>Synthetic advertiser 5</x:v>
      </x:c>
      <x:c r="C2140" s="1" t="n">
        <x:f>Source!C2134</x:f>
        <x:v>95</x:v>
      </x:c>
      <x:c r="D2140" s="8" t="n">
        <x:f>Source!D2134/100</x:f>
        <x:v>75.2</x:v>
      </x:c>
      <x:c r="E2140" s="8" t="n">
        <x:f>Source!E2134/100</x:f>
        <x:v>150.4</x:v>
      </x:c>
      <x:c r="F2140" s="8" t="n">
        <x:f>Source!F2134/100</x:f>
        <x:v>0</x:v>
      </x:c>
      <x:c r="G2140" s="8" t="n">
        <x:f>Source!G2134/100</x:f>
        <x:v>150.4</x:v>
      </x:c>
      <x:c r="H2140" s="8" t="n">
        <x:f>G2140-D2140</x:f>
        <x:v>75.2</x:v>
      </x:c>
      <x:c r="I2140" s="1" t="str">
        <x:f>IF(H2140&gt;0,"Overbilled","Shortfall")</x:f>
        <x:v>Overbilled</x:v>
      </x:c>
      <x:c r="J2140" s="7"/>
      <x:c r="K2140" s="7" t="str">
        <x:v>Open</x:v>
      </x:c>
      <x:c r="L2140" s="7"/>
    </x:row>
    <x:row r="2141" ht="21" customHeight="1">
      <x:c r="A2141" s="1" t="str">
        <x:f>Source!A2135</x:f>
        <x:v>C0008186</x:v>
      </x:c>
      <x:c r="B2141" s="1" t="str">
        <x:f>_xlfn.IFNA(VLOOKUP(Source!B2135,Advertisers!$A$5:$B$34,2,FALSE),"Missing advertiser")</x:f>
        <x:v>Synthetic advertiser 5</x:v>
      </x:c>
      <x:c r="C2141" s="1" t="n">
        <x:f>Source!C2135</x:f>
        <x:v>95</x:v>
      </x:c>
      <x:c r="D2141" s="8" t="n">
        <x:f>Source!D2135/100</x:f>
        <x:v>75.2</x:v>
      </x:c>
      <x:c r="E2141" s="8" t="n">
        <x:f>Source!E2135/100</x:f>
        <x:v>0</x:v>
      </x:c>
      <x:c r="F2141" s="8" t="n">
        <x:f>Source!F2135/100</x:f>
        <x:v>0</x:v>
      </x:c>
      <x:c r="G2141" s="8" t="n">
        <x:f>Source!G2135/100</x:f>
        <x:v>0</x:v>
      </x:c>
      <x:c r="H2141" s="8" t="n">
        <x:f>G2141-D2141</x:f>
        <x:v>-75.2</x:v>
      </x:c>
      <x:c r="I2141" s="1" t="str">
        <x:f>IF(H2141&gt;0,"Overbilled","Shortfall")</x:f>
        <x:v>Shortfall</x:v>
      </x:c>
      <x:c r="J2141" s="7"/>
      <x:c r="K2141" s="7" t="str">
        <x:v>Open</x:v>
      </x:c>
      <x:c r="L2141" s="7"/>
    </x:row>
    <x:row r="2142" ht="21" customHeight="1">
      <x:c r="A2142" s="1" t="str">
        <x:f>Source!A2136</x:f>
        <x:v>C0011694</x:v>
      </x:c>
      <x:c r="B2142" s="1" t="str">
        <x:f>_xlfn.IFNA(VLOOKUP(Source!B2136,Advertisers!$A$5:$B$34,2,FALSE),"Missing advertiser")</x:f>
        <x:v>Synthetic advertiser 24</x:v>
      </x:c>
      <x:c r="C2142" s="1" t="n">
        <x:f>Source!C2136</x:f>
        <x:v>114</x:v>
      </x:c>
      <x:c r="D2142" s="8" t="n">
        <x:f>Source!D2136/100</x:f>
        <x:v>75.13</x:v>
      </x:c>
      <x:c r="E2142" s="8" t="n">
        <x:f>Source!E2136/100</x:f>
        <x:v>150.26</x:v>
      </x:c>
      <x:c r="F2142" s="8" t="n">
        <x:f>Source!F2136/100</x:f>
        <x:v>0</x:v>
      </x:c>
      <x:c r="G2142" s="8" t="n">
        <x:f>Source!G2136/100</x:f>
        <x:v>150.26</x:v>
      </x:c>
      <x:c r="H2142" s="8" t="n">
        <x:f>G2142-D2142</x:f>
        <x:v>75.13</x:v>
      </x:c>
      <x:c r="I2142" s="1" t="str">
        <x:f>IF(H2142&gt;0,"Overbilled","Shortfall")</x:f>
        <x:v>Overbilled</x:v>
      </x:c>
      <x:c r="J2142" s="7"/>
      <x:c r="K2142" s="7" t="str">
        <x:v>Open</x:v>
      </x:c>
      <x:c r="L2142" s="7"/>
    </x:row>
    <x:row r="2143" ht="21" customHeight="1">
      <x:c r="A2143" s="1" t="str">
        <x:f>Source!A2137</x:f>
        <x:v>C0008667</x:v>
      </x:c>
      <x:c r="B2143" s="1" t="str">
        <x:f>_xlfn.IFNA(VLOOKUP(Source!B2137,Advertisers!$A$5:$B$34,2,FALSE),"Missing advertiser")</x:f>
        <x:v>Synthetic advertiser 24</x:v>
      </x:c>
      <x:c r="C2143" s="1" t="n">
        <x:f>Source!C2137</x:f>
        <x:v>114</x:v>
      </x:c>
      <x:c r="D2143" s="8" t="n">
        <x:f>Source!D2137/100</x:f>
        <x:v>75.13</x:v>
      </x:c>
      <x:c r="E2143" s="8" t="n">
        <x:f>Source!E2137/100</x:f>
        <x:v>150.26</x:v>
      </x:c>
      <x:c r="F2143" s="8" t="n">
        <x:f>Source!F2137/100</x:f>
        <x:v>0</x:v>
      </x:c>
      <x:c r="G2143" s="8" t="n">
        <x:f>Source!G2137/100</x:f>
        <x:v>150.26</x:v>
      </x:c>
      <x:c r="H2143" s="8" t="n">
        <x:f>G2143-D2143</x:f>
        <x:v>75.13</x:v>
      </x:c>
      <x:c r="I2143" s="1" t="str">
        <x:f>IF(H2143&gt;0,"Overbilled","Shortfall")</x:f>
        <x:v>Overbilled</x:v>
      </x:c>
      <x:c r="J2143" s="7"/>
      <x:c r="K2143" s="7" t="str">
        <x:v>Open</x:v>
      </x:c>
      <x:c r="L2143" s="7"/>
    </x:row>
    <x:row r="2144" ht="21" customHeight="1">
      <x:c r="A2144" s="1" t="str">
        <x:f>Source!A2138</x:f>
        <x:v>C0001148</x:v>
      </x:c>
      <x:c r="B2144" s="1" t="str">
        <x:f>_xlfn.IFNA(VLOOKUP(Source!B2138,Advertisers!$A$5:$B$34,2,FALSE),"Missing advertiser")</x:f>
        <x:v>Synthetic advertiser 24</x:v>
      </x:c>
      <x:c r="C2144" s="1" t="n">
        <x:f>Source!C2138</x:f>
        <x:v>114</x:v>
      </x:c>
      <x:c r="D2144" s="8" t="n">
        <x:f>Source!D2138/100</x:f>
        <x:v>75.13</x:v>
      </x:c>
      <x:c r="E2144" s="8" t="n">
        <x:f>Source!E2138/100</x:f>
        <x:v>0</x:v>
      </x:c>
      <x:c r="F2144" s="8" t="n">
        <x:f>Source!F2138/100</x:f>
        <x:v>0</x:v>
      </x:c>
      <x:c r="G2144" s="8" t="n">
        <x:f>Source!G2138/100</x:f>
        <x:v>0</x:v>
      </x:c>
      <x:c r="H2144" s="8" t="n">
        <x:f>G2144-D2144</x:f>
        <x:v>-75.13</x:v>
      </x:c>
      <x:c r="I2144" s="1" t="str">
        <x:f>IF(H2144&gt;0,"Overbilled","Shortfall")</x:f>
        <x:v>Shortfall</x:v>
      </x:c>
      <x:c r="J2144" s="7"/>
      <x:c r="K2144" s="7" t="str">
        <x:v>Open</x:v>
      </x:c>
      <x:c r="L2144" s="7"/>
    </x:row>
    <x:row r="2145" ht="21" customHeight="1">
      <x:c r="A2145" s="1" t="str">
        <x:f>Source!A2139</x:f>
        <x:v>C0015464</x:v>
      </x:c>
      <x:c r="B2145" s="1" t="str">
        <x:f>_xlfn.IFNA(VLOOKUP(Source!B2139,Advertisers!$A$5:$B$34,2,FALSE),"Missing advertiser")</x:f>
        <x:v>Synthetic advertiser 24</x:v>
      </x:c>
      <x:c r="C2145" s="1" t="n">
        <x:f>Source!C2139</x:f>
        <x:v>114</x:v>
      </x:c>
      <x:c r="D2145" s="8" t="n">
        <x:f>Source!D2139/100</x:f>
        <x:v>75.13</x:v>
      </x:c>
      <x:c r="E2145" s="8" t="n">
        <x:f>Source!E2139/100</x:f>
        <x:v>0</x:v>
      </x:c>
      <x:c r="F2145" s="8" t="n">
        <x:f>Source!F2139/100</x:f>
        <x:v>0</x:v>
      </x:c>
      <x:c r="G2145" s="8" t="n">
        <x:f>Source!G2139/100</x:f>
        <x:v>0</x:v>
      </x:c>
      <x:c r="H2145" s="8" t="n">
        <x:f>G2145-D2145</x:f>
        <x:v>-75.13</x:v>
      </x:c>
      <x:c r="I2145" s="1" t="str">
        <x:f>IF(H2145&gt;0,"Overbilled","Shortfall")</x:f>
        <x:v>Shortfall</x:v>
      </x:c>
      <x:c r="J2145" s="7"/>
      <x:c r="K2145" s="7" t="str">
        <x:v>Open</x:v>
      </x:c>
      <x:c r="L2145" s="7"/>
    </x:row>
    <x:row r="2146" ht="21" customHeight="1">
      <x:c r="A2146" s="1" t="str">
        <x:f>Source!A2140</x:f>
        <x:v>C0016604</x:v>
      </x:c>
      <x:c r="B2146" s="1" t="str">
        <x:f>_xlfn.IFNA(VLOOKUP(Source!B2140,Advertisers!$A$5:$B$34,2,FALSE),"Missing advertiser")</x:f>
        <x:v>Synthetic advertiser 24</x:v>
      </x:c>
      <x:c r="C2146" s="1" t="n">
        <x:f>Source!C2140</x:f>
        <x:v>114</x:v>
      </x:c>
      <x:c r="D2146" s="8" t="n">
        <x:f>Source!D2140/100</x:f>
        <x:v>75.13</x:v>
      </x:c>
      <x:c r="E2146" s="8" t="n">
        <x:f>Source!E2140/100</x:f>
        <x:v>150.26</x:v>
      </x:c>
      <x:c r="F2146" s="8" t="n">
        <x:f>Source!F2140/100</x:f>
        <x:v>0</x:v>
      </x:c>
      <x:c r="G2146" s="8" t="n">
        <x:f>Source!G2140/100</x:f>
        <x:v>150.26</x:v>
      </x:c>
      <x:c r="H2146" s="8" t="n">
        <x:f>G2146-D2146</x:f>
        <x:v>75.13</x:v>
      </x:c>
      <x:c r="I2146" s="1" t="str">
        <x:f>IF(H2146&gt;0,"Overbilled","Shortfall")</x:f>
        <x:v>Overbilled</x:v>
      </x:c>
      <x:c r="J2146" s="7"/>
      <x:c r="K2146" s="7" t="str">
        <x:v>Open</x:v>
      </x:c>
      <x:c r="L2146" s="7"/>
    </x:row>
    <x:row r="2147" ht="21" customHeight="1">
      <x:c r="A2147" s="1" t="str">
        <x:f>Source!A2141</x:f>
        <x:v>C0014167</x:v>
      </x:c>
      <x:c r="B2147" s="1" t="str">
        <x:f>_xlfn.IFNA(VLOOKUP(Source!B2141,Advertisers!$A$5:$B$34,2,FALSE),"Missing advertiser")</x:f>
        <x:v>Synthetic advertiser 24</x:v>
      </x:c>
      <x:c r="C2147" s="1" t="n">
        <x:f>Source!C2141</x:f>
        <x:v>114</x:v>
      </x:c>
      <x:c r="D2147" s="8" t="n">
        <x:f>Source!D2141/100</x:f>
        <x:v>75.13</x:v>
      </x:c>
      <x:c r="E2147" s="8" t="n">
        <x:f>Source!E2141/100</x:f>
        <x:v>0</x:v>
      </x:c>
      <x:c r="F2147" s="8" t="n">
        <x:f>Source!F2141/100</x:f>
        <x:v>0</x:v>
      </x:c>
      <x:c r="G2147" s="8" t="n">
        <x:f>Source!G2141/100</x:f>
        <x:v>0</x:v>
      </x:c>
      <x:c r="H2147" s="8" t="n">
        <x:f>G2147-D2147</x:f>
        <x:v>-75.13</x:v>
      </x:c>
      <x:c r="I2147" s="1" t="str">
        <x:f>IF(H2147&gt;0,"Overbilled","Shortfall")</x:f>
        <x:v>Shortfall</x:v>
      </x:c>
      <x:c r="J2147" s="7"/>
      <x:c r="K2147" s="7" t="str">
        <x:v>Open</x:v>
      </x:c>
      <x:c r="L2147" s="7"/>
    </x:row>
    <x:row r="2148" ht="21" customHeight="1">
      <x:c r="A2148" s="1" t="str">
        <x:f>Source!A2142</x:f>
        <x:v>C0003280</x:v>
      </x:c>
      <x:c r="B2148" s="1" t="str">
        <x:f>_xlfn.IFNA(VLOOKUP(Source!B2142,Advertisers!$A$5:$B$34,2,FALSE),"Missing advertiser")</x:f>
        <x:v>Synthetic advertiser 24</x:v>
      </x:c>
      <x:c r="C2148" s="1" t="n">
        <x:f>Source!C2142</x:f>
        <x:v>114</x:v>
      </x:c>
      <x:c r="D2148" s="8" t="n">
        <x:f>Source!D2142/100</x:f>
        <x:v>75.13</x:v>
      </x:c>
      <x:c r="E2148" s="8" t="n">
        <x:f>Source!E2142/100</x:f>
        <x:v>150.26</x:v>
      </x:c>
      <x:c r="F2148" s="8" t="n">
        <x:f>Source!F2142/100</x:f>
        <x:v>0</x:v>
      </x:c>
      <x:c r="G2148" s="8" t="n">
        <x:f>Source!G2142/100</x:f>
        <x:v>150.26</x:v>
      </x:c>
      <x:c r="H2148" s="8" t="n">
        <x:f>G2148-D2148</x:f>
        <x:v>75.13</x:v>
      </x:c>
      <x:c r="I2148" s="1" t="str">
        <x:f>IF(H2148&gt;0,"Overbilled","Shortfall")</x:f>
        <x:v>Overbilled</x:v>
      </x:c>
      <x:c r="J2148" s="7"/>
      <x:c r="K2148" s="7" t="str">
        <x:v>Open</x:v>
      </x:c>
      <x:c r="L2148" s="7"/>
    </x:row>
    <x:row r="2149" ht="21" customHeight="1">
      <x:c r="A2149" s="1" t="str">
        <x:f>Source!A2143</x:f>
        <x:v>C0002355</x:v>
      </x:c>
      <x:c r="B2149" s="1" t="str">
        <x:f>_xlfn.IFNA(VLOOKUP(Source!B2143,Advertisers!$A$5:$B$34,2,FALSE),"Missing advertiser")</x:f>
        <x:v>Synthetic advertiser 22</x:v>
      </x:c>
      <x:c r="C2149" s="1" t="n">
        <x:f>Source!C2143</x:f>
        <x:v>52</x:v>
      </x:c>
      <x:c r="D2149" s="8" t="n">
        <x:f>Source!D2143/100</x:f>
        <x:v>74.98</x:v>
      </x:c>
      <x:c r="E2149" s="8" t="n">
        <x:f>Source!E2143/100</x:f>
        <x:v>149.96</x:v>
      </x:c>
      <x:c r="F2149" s="8" t="n">
        <x:f>Source!F2143/100</x:f>
        <x:v>0</x:v>
      </x:c>
      <x:c r="G2149" s="8" t="n">
        <x:f>Source!G2143/100</x:f>
        <x:v>149.96</x:v>
      </x:c>
      <x:c r="H2149" s="8" t="n">
        <x:f>G2149-D2149</x:f>
        <x:v>74.98</x:v>
      </x:c>
      <x:c r="I2149" s="1" t="str">
        <x:f>IF(H2149&gt;0,"Overbilled","Shortfall")</x:f>
        <x:v>Overbilled</x:v>
      </x:c>
      <x:c r="J2149" s="7"/>
      <x:c r="K2149" s="7" t="str">
        <x:v>Open</x:v>
      </x:c>
      <x:c r="L2149" s="7"/>
    </x:row>
    <x:row r="2150" ht="21" customHeight="1">
      <x:c r="A2150" s="1" t="str">
        <x:f>Source!A2144</x:f>
        <x:v>C0006222</x:v>
      </x:c>
      <x:c r="B2150" s="1" t="str">
        <x:f>_xlfn.IFNA(VLOOKUP(Source!B2144,Advertisers!$A$5:$B$34,2,FALSE),"Missing advertiser")</x:f>
        <x:v>Synthetic advertiser 22</x:v>
      </x:c>
      <x:c r="C2150" s="1" t="n">
        <x:f>Source!C2144</x:f>
        <x:v>52</x:v>
      </x:c>
      <x:c r="D2150" s="8" t="n">
        <x:f>Source!D2144/100</x:f>
        <x:v>74.98</x:v>
      </x:c>
      <x:c r="E2150" s="8" t="n">
        <x:f>Source!E2144/100</x:f>
        <x:v>149.96</x:v>
      </x:c>
      <x:c r="F2150" s="8" t="n">
        <x:f>Source!F2144/100</x:f>
        <x:v>0</x:v>
      </x:c>
      <x:c r="G2150" s="8" t="n">
        <x:f>Source!G2144/100</x:f>
        <x:v>149.96</x:v>
      </x:c>
      <x:c r="H2150" s="8" t="n">
        <x:f>G2150-D2150</x:f>
        <x:v>74.98</x:v>
      </x:c>
      <x:c r="I2150" s="1" t="str">
        <x:f>IF(H2150&gt;0,"Overbilled","Shortfall")</x:f>
        <x:v>Overbilled</x:v>
      </x:c>
      <x:c r="J2150" s="7"/>
      <x:c r="K2150" s="7" t="str">
        <x:v>Open</x:v>
      </x:c>
      <x:c r="L2150" s="7"/>
    </x:row>
    <x:row r="2151" ht="21" customHeight="1">
      <x:c r="A2151" s="1" t="str">
        <x:f>Source!A2145</x:f>
        <x:v>C0015897</x:v>
      </x:c>
      <x:c r="B2151" s="1" t="str">
        <x:f>_xlfn.IFNA(VLOOKUP(Source!B2145,Advertisers!$A$5:$B$34,2,FALSE),"Missing advertiser")</x:f>
        <x:v>Synthetic advertiser 22</x:v>
      </x:c>
      <x:c r="C2151" s="1" t="n">
        <x:f>Source!C2145</x:f>
        <x:v>52</x:v>
      </x:c>
      <x:c r="D2151" s="8" t="n">
        <x:f>Source!D2145/100</x:f>
        <x:v>0</x:v>
      </x:c>
      <x:c r="E2151" s="8" t="n">
        <x:f>Source!E2145/100</x:f>
        <x:v>74.98</x:v>
      </x:c>
      <x:c r="F2151" s="8" t="n">
        <x:f>Source!F2145/100</x:f>
        <x:v>0</x:v>
      </x:c>
      <x:c r="G2151" s="8" t="n">
        <x:f>Source!G2145/100</x:f>
        <x:v>74.98</x:v>
      </x:c>
      <x:c r="H2151" s="8" t="n">
        <x:f>G2151-D2151</x:f>
        <x:v>74.98</x:v>
      </x:c>
      <x:c r="I2151" s="1" t="str">
        <x:f>IF(H2151&gt;0,"Overbilled","Shortfall")</x:f>
        <x:v>Overbilled</x:v>
      </x:c>
      <x:c r="J2151" s="7"/>
      <x:c r="K2151" s="7" t="str">
        <x:v>Open</x:v>
      </x:c>
      <x:c r="L2151" s="7"/>
    </x:row>
    <x:row r="2152" ht="21" customHeight="1">
      <x:c r="A2152" s="1" t="str">
        <x:f>Source!A2146</x:f>
        <x:v>C0001328</x:v>
      </x:c>
      <x:c r="B2152" s="1" t="str">
        <x:f>_xlfn.IFNA(VLOOKUP(Source!B2146,Advertisers!$A$5:$B$34,2,FALSE),"Missing advertiser")</x:f>
        <x:v>Synthetic advertiser 22</x:v>
      </x:c>
      <x:c r="C2152" s="1" t="n">
        <x:f>Source!C2146</x:f>
        <x:v>52</x:v>
      </x:c>
      <x:c r="D2152" s="8" t="n">
        <x:f>Source!D2146/100</x:f>
        <x:v>74.98</x:v>
      </x:c>
      <x:c r="E2152" s="8" t="n">
        <x:f>Source!E2146/100</x:f>
        <x:v>0</x:v>
      </x:c>
      <x:c r="F2152" s="8" t="n">
        <x:f>Source!F2146/100</x:f>
        <x:v>0</x:v>
      </x:c>
      <x:c r="G2152" s="8" t="n">
        <x:f>Source!G2146/100</x:f>
        <x:v>0</x:v>
      </x:c>
      <x:c r="H2152" s="8" t="n">
        <x:f>G2152-D2152</x:f>
        <x:v>-74.98</x:v>
      </x:c>
      <x:c r="I2152" s="1" t="str">
        <x:f>IF(H2152&gt;0,"Overbilled","Shortfall")</x:f>
        <x:v>Shortfall</x:v>
      </x:c>
      <x:c r="J2152" s="7"/>
      <x:c r="K2152" s="7" t="str">
        <x:v>Open</x:v>
      </x:c>
      <x:c r="L2152" s="7"/>
    </x:row>
    <x:row r="2153" ht="21" customHeight="1">
      <x:c r="A2153" s="1" t="str">
        <x:f>Source!A2147</x:f>
        <x:v>C0013875</x:v>
      </x:c>
      <x:c r="B2153" s="1" t="str">
        <x:f>_xlfn.IFNA(VLOOKUP(Source!B2147,Advertisers!$A$5:$B$34,2,FALSE),"Missing advertiser")</x:f>
        <x:v>Synthetic advertiser 22</x:v>
      </x:c>
      <x:c r="C2153" s="1" t="n">
        <x:f>Source!C2147</x:f>
        <x:v>52</x:v>
      </x:c>
      <x:c r="D2153" s="8" t="n">
        <x:f>Source!D2147/100</x:f>
        <x:v>74.98</x:v>
      </x:c>
      <x:c r="E2153" s="8" t="n">
        <x:f>Source!E2147/100</x:f>
        <x:v>0</x:v>
      </x:c>
      <x:c r="F2153" s="8" t="n">
        <x:f>Source!F2147/100</x:f>
        <x:v>0</x:v>
      </x:c>
      <x:c r="G2153" s="8" t="n">
        <x:f>Source!G2147/100</x:f>
        <x:v>0</x:v>
      </x:c>
      <x:c r="H2153" s="8" t="n">
        <x:f>G2153-D2153</x:f>
        <x:v>-74.98</x:v>
      </x:c>
      <x:c r="I2153" s="1" t="str">
        <x:f>IF(H2153&gt;0,"Overbilled","Shortfall")</x:f>
        <x:v>Shortfall</x:v>
      </x:c>
      <x:c r="J2153" s="7"/>
      <x:c r="K2153" s="7" t="str">
        <x:v>Open</x:v>
      </x:c>
      <x:c r="L2153" s="7"/>
    </x:row>
    <x:row r="2154" ht="21" customHeight="1">
      <x:c r="A2154" s="1" t="str">
        <x:f>Source!A2148</x:f>
        <x:v>C0002648</x:v>
      </x:c>
      <x:c r="B2154" s="1" t="str">
        <x:f>_xlfn.IFNA(VLOOKUP(Source!B2148,Advertisers!$A$5:$B$34,2,FALSE),"Missing advertiser")</x:f>
        <x:v>Synthetic advertiser 22</x:v>
      </x:c>
      <x:c r="C2154" s="1" t="n">
        <x:f>Source!C2148</x:f>
        <x:v>52</x:v>
      </x:c>
      <x:c r="D2154" s="8" t="n">
        <x:f>Source!D2148/100</x:f>
        <x:v>74.98</x:v>
      </x:c>
      <x:c r="E2154" s="8" t="n">
        <x:f>Source!E2148/100</x:f>
        <x:v>149.96</x:v>
      </x:c>
      <x:c r="F2154" s="8" t="n">
        <x:f>Source!F2148/100</x:f>
        <x:v>0</x:v>
      </x:c>
      <x:c r="G2154" s="8" t="n">
        <x:f>Source!G2148/100</x:f>
        <x:v>149.96</x:v>
      </x:c>
      <x:c r="H2154" s="8" t="n">
        <x:f>G2154-D2154</x:f>
        <x:v>74.98</x:v>
      </x:c>
      <x:c r="I2154" s="1" t="str">
        <x:f>IF(H2154&gt;0,"Overbilled","Shortfall")</x:f>
        <x:v>Overbilled</x:v>
      </x:c>
      <x:c r="J2154" s="7"/>
      <x:c r="K2154" s="7" t="str">
        <x:v>Open</x:v>
      </x:c>
      <x:c r="L2154" s="7"/>
    </x:row>
    <x:row r="2155" ht="21" customHeight="1">
      <x:c r="A2155" s="1" t="str">
        <x:f>Source!A2149</x:f>
        <x:v>C0015518</x:v>
      </x:c>
      <x:c r="B2155" s="1" t="str">
        <x:f>_xlfn.IFNA(VLOOKUP(Source!B2149,Advertisers!$A$5:$B$34,2,FALSE),"Missing advertiser")</x:f>
        <x:v>Synthetic advertiser 22</x:v>
      </x:c>
      <x:c r="C2155" s="1" t="n">
        <x:f>Source!C2149</x:f>
        <x:v>52</x:v>
      </x:c>
      <x:c r="D2155" s="8" t="n">
        <x:f>Source!D2149/100</x:f>
        <x:v>74.98</x:v>
      </x:c>
      <x:c r="E2155" s="8" t="n">
        <x:f>Source!E2149/100</x:f>
        <x:v>149.96</x:v>
      </x:c>
      <x:c r="F2155" s="8" t="n">
        <x:f>Source!F2149/100</x:f>
        <x:v>0</x:v>
      </x:c>
      <x:c r="G2155" s="8" t="n">
        <x:f>Source!G2149/100</x:f>
        <x:v>149.96</x:v>
      </x:c>
      <x:c r="H2155" s="8" t="n">
        <x:f>G2155-D2155</x:f>
        <x:v>74.98</x:v>
      </x:c>
      <x:c r="I2155" s="1" t="str">
        <x:f>IF(H2155&gt;0,"Overbilled","Shortfall")</x:f>
        <x:v>Overbilled</x:v>
      </x:c>
      <x:c r="J2155" s="7"/>
      <x:c r="K2155" s="7" t="str">
        <x:v>Open</x:v>
      </x:c>
      <x:c r="L2155" s="7"/>
    </x:row>
    <x:row r="2156" ht="21" customHeight="1">
      <x:c r="A2156" s="1" t="str">
        <x:f>Source!A2150</x:f>
        <x:v>C0015701</x:v>
      </x:c>
      <x:c r="B2156" s="1" t="str">
        <x:f>_xlfn.IFNA(VLOOKUP(Source!B2150,Advertisers!$A$5:$B$34,2,FALSE),"Missing advertiser")</x:f>
        <x:v>Synthetic advertiser 5</x:v>
      </x:c>
      <x:c r="C2156" s="1" t="n">
        <x:f>Source!C2150</x:f>
        <x:v>95</x:v>
      </x:c>
      <x:c r="D2156" s="8" t="n">
        <x:f>Source!D2150/100</x:f>
        <x:v>74.83</x:v>
      </x:c>
      <x:c r="E2156" s="8" t="n">
        <x:f>Source!E2150/100</x:f>
        <x:v>0</x:v>
      </x:c>
      <x:c r="F2156" s="8" t="n">
        <x:f>Source!F2150/100</x:f>
        <x:v>0</x:v>
      </x:c>
      <x:c r="G2156" s="8" t="n">
        <x:f>Source!G2150/100</x:f>
        <x:v>0</x:v>
      </x:c>
      <x:c r="H2156" s="8" t="n">
        <x:f>G2156-D2156</x:f>
        <x:v>-74.83</x:v>
      </x:c>
      <x:c r="I2156" s="1" t="str">
        <x:f>IF(H2156&gt;0,"Overbilled","Shortfall")</x:f>
        <x:v>Shortfall</x:v>
      </x:c>
      <x:c r="J2156" s="7"/>
      <x:c r="K2156" s="7" t="str">
        <x:v>Open</x:v>
      </x:c>
      <x:c r="L2156" s="7"/>
    </x:row>
    <x:row r="2157" ht="21" customHeight="1">
      <x:c r="A2157" s="1" t="str">
        <x:f>Source!A2151</x:f>
        <x:v>C0014371</x:v>
      </x:c>
      <x:c r="B2157" s="1" t="str">
        <x:f>_xlfn.IFNA(VLOOKUP(Source!B2151,Advertisers!$A$5:$B$34,2,FALSE),"Missing advertiser")</x:f>
        <x:v>Synthetic advertiser 5</x:v>
      </x:c>
      <x:c r="C2157" s="1" t="n">
        <x:f>Source!C2151</x:f>
        <x:v>95</x:v>
      </x:c>
      <x:c r="D2157" s="8" t="n">
        <x:f>Source!D2151/100</x:f>
        <x:v>74.83</x:v>
      </x:c>
      <x:c r="E2157" s="8" t="n">
        <x:f>Source!E2151/100</x:f>
        <x:v>149.66</x:v>
      </x:c>
      <x:c r="F2157" s="8" t="n">
        <x:f>Source!F2151/100</x:f>
        <x:v>0</x:v>
      </x:c>
      <x:c r="G2157" s="8" t="n">
        <x:f>Source!G2151/100</x:f>
        <x:v>149.66</x:v>
      </x:c>
      <x:c r="H2157" s="8" t="n">
        <x:f>G2157-D2157</x:f>
        <x:v>74.83</x:v>
      </x:c>
      <x:c r="I2157" s="1" t="str">
        <x:f>IF(H2157&gt;0,"Overbilled","Shortfall")</x:f>
        <x:v>Overbilled</x:v>
      </x:c>
      <x:c r="J2157" s="7"/>
      <x:c r="K2157" s="7" t="str">
        <x:v>Open</x:v>
      </x:c>
      <x:c r="L2157" s="7"/>
    </x:row>
    <x:row r="2158" ht="21" customHeight="1">
      <x:c r="A2158" s="1" t="str">
        <x:f>Source!A2152</x:f>
        <x:v>C0009606</x:v>
      </x:c>
      <x:c r="B2158" s="1" t="str">
        <x:f>_xlfn.IFNA(VLOOKUP(Source!B2152,Advertisers!$A$5:$B$34,2,FALSE),"Missing advertiser")</x:f>
        <x:v>Synthetic advertiser 5</x:v>
      </x:c>
      <x:c r="C2158" s="1" t="n">
        <x:f>Source!C2152</x:f>
        <x:v>95</x:v>
      </x:c>
      <x:c r="D2158" s="8" t="n">
        <x:f>Source!D2152/100</x:f>
        <x:v>74.83</x:v>
      </x:c>
      <x:c r="E2158" s="8" t="n">
        <x:f>Source!E2152/100</x:f>
        <x:v>0</x:v>
      </x:c>
      <x:c r="F2158" s="8" t="n">
        <x:f>Source!F2152/100</x:f>
        <x:v>0</x:v>
      </x:c>
      <x:c r="G2158" s="8" t="n">
        <x:f>Source!G2152/100</x:f>
        <x:v>0</x:v>
      </x:c>
      <x:c r="H2158" s="8" t="n">
        <x:f>G2158-D2158</x:f>
        <x:v>-74.83</x:v>
      </x:c>
      <x:c r="I2158" s="1" t="str">
        <x:f>IF(H2158&gt;0,"Overbilled","Shortfall")</x:f>
        <x:v>Shortfall</x:v>
      </x:c>
      <x:c r="J2158" s="7"/>
      <x:c r="K2158" s="7" t="str">
        <x:v>Open</x:v>
      </x:c>
      <x:c r="L2158" s="7"/>
    </x:row>
    <x:row r="2159" ht="21" customHeight="1">
      <x:c r="A2159" s="1" t="str">
        <x:f>Source!A2153</x:f>
        <x:v>C0016126</x:v>
      </x:c>
      <x:c r="B2159" s="1" t="str">
        <x:f>_xlfn.IFNA(VLOOKUP(Source!B2153,Advertisers!$A$5:$B$34,2,FALSE),"Missing advertiser")</x:f>
        <x:v>Synthetic advertiser 5</x:v>
      </x:c>
      <x:c r="C2159" s="1" t="n">
        <x:f>Source!C2153</x:f>
        <x:v>95</x:v>
      </x:c>
      <x:c r="D2159" s="8" t="n">
        <x:f>Source!D2153/100</x:f>
        <x:v>74.83</x:v>
      </x:c>
      <x:c r="E2159" s="8" t="n">
        <x:f>Source!E2153/100</x:f>
        <x:v>149.66</x:v>
      </x:c>
      <x:c r="F2159" s="8" t="n">
        <x:f>Source!F2153/100</x:f>
        <x:v>0</x:v>
      </x:c>
      <x:c r="G2159" s="8" t="n">
        <x:f>Source!G2153/100</x:f>
        <x:v>149.66</x:v>
      </x:c>
      <x:c r="H2159" s="8" t="n">
        <x:f>G2159-D2159</x:f>
        <x:v>74.83</x:v>
      </x:c>
      <x:c r="I2159" s="1" t="str">
        <x:f>IF(H2159&gt;0,"Overbilled","Shortfall")</x:f>
        <x:v>Overbilled</x:v>
      </x:c>
      <x:c r="J2159" s="7"/>
      <x:c r="K2159" s="7" t="str">
        <x:v>Open</x:v>
      </x:c>
      <x:c r="L2159" s="7"/>
    </x:row>
    <x:row r="2160" ht="21" customHeight="1">
      <x:c r="A2160" s="1" t="str">
        <x:f>Source!A2154</x:f>
        <x:v>C0004225</x:v>
      </x:c>
      <x:c r="B2160" s="1" t="str">
        <x:f>_xlfn.IFNA(VLOOKUP(Source!B2154,Advertisers!$A$5:$B$34,2,FALSE),"Missing advertiser")</x:f>
        <x:v>Synthetic advertiser 23</x:v>
      </x:c>
      <x:c r="C2160" s="1" t="n">
        <x:f>Source!C2154</x:f>
        <x:v>23</x:v>
      </x:c>
      <x:c r="D2160" s="8" t="n">
        <x:f>Source!D2154/100</x:f>
        <x:v>74.55</x:v>
      </x:c>
      <x:c r="E2160" s="8" t="n">
        <x:f>Source!E2154/100</x:f>
        <x:v>0</x:v>
      </x:c>
      <x:c r="F2160" s="8" t="n">
        <x:f>Source!F2154/100</x:f>
        <x:v>0</x:v>
      </x:c>
      <x:c r="G2160" s="8" t="n">
        <x:f>Source!G2154/100</x:f>
        <x:v>0</x:v>
      </x:c>
      <x:c r="H2160" s="8" t="n">
        <x:f>G2160-D2160</x:f>
        <x:v>-74.55</x:v>
      </x:c>
      <x:c r="I2160" s="1" t="str">
        <x:f>IF(H2160&gt;0,"Overbilled","Shortfall")</x:f>
        <x:v>Shortfall</x:v>
      </x:c>
      <x:c r="J2160" s="7"/>
      <x:c r="K2160" s="7" t="str">
        <x:v>Open</x:v>
      </x:c>
      <x:c r="L2160" s="7"/>
    </x:row>
    <x:row r="2161" ht="21" customHeight="1">
      <x:c r="A2161" s="1" t="str">
        <x:f>Source!A2155</x:f>
        <x:v>C0004854</x:v>
      </x:c>
      <x:c r="B2161" s="1" t="str">
        <x:f>_xlfn.IFNA(VLOOKUP(Source!B2155,Advertisers!$A$5:$B$34,2,FALSE),"Missing advertiser")</x:f>
        <x:v>Synthetic advertiser 23</x:v>
      </x:c>
      <x:c r="C2161" s="1" t="n">
        <x:f>Source!C2155</x:f>
        <x:v>23</x:v>
      </x:c>
      <x:c r="D2161" s="8" t="n">
        <x:f>Source!D2155/100</x:f>
        <x:v>74.55</x:v>
      </x:c>
      <x:c r="E2161" s="8" t="n">
        <x:f>Source!E2155/100</x:f>
        <x:v>0</x:v>
      </x:c>
      <x:c r="F2161" s="8" t="n">
        <x:f>Source!F2155/100</x:f>
        <x:v>0</x:v>
      </x:c>
      <x:c r="G2161" s="8" t="n">
        <x:f>Source!G2155/100</x:f>
        <x:v>0</x:v>
      </x:c>
      <x:c r="H2161" s="8" t="n">
        <x:f>G2161-D2161</x:f>
        <x:v>-74.55</x:v>
      </x:c>
      <x:c r="I2161" s="1" t="str">
        <x:f>IF(H2161&gt;0,"Overbilled","Shortfall")</x:f>
        <x:v>Shortfall</x:v>
      </x:c>
      <x:c r="J2161" s="7"/>
      <x:c r="K2161" s="7" t="str">
        <x:v>Open</x:v>
      </x:c>
      <x:c r="L2161" s="7"/>
    </x:row>
    <x:row r="2162" ht="21" customHeight="1">
      <x:c r="A2162" s="1" t="str">
        <x:f>Source!A2156</x:f>
        <x:v>C0000994</x:v>
      </x:c>
      <x:c r="B2162" s="1" t="str">
        <x:f>_xlfn.IFNA(VLOOKUP(Source!B2156,Advertisers!$A$5:$B$34,2,FALSE),"Missing advertiser")</x:f>
        <x:v>Synthetic advertiser 23</x:v>
      </x:c>
      <x:c r="C2162" s="1" t="n">
        <x:f>Source!C2156</x:f>
        <x:v>23</x:v>
      </x:c>
      <x:c r="D2162" s="8" t="n">
        <x:f>Source!D2156/100</x:f>
        <x:v>74.55</x:v>
      </x:c>
      <x:c r="E2162" s="8" t="n">
        <x:f>Source!E2156/100</x:f>
        <x:v>149.1</x:v>
      </x:c>
      <x:c r="F2162" s="8" t="n">
        <x:f>Source!F2156/100</x:f>
        <x:v>0</x:v>
      </x:c>
      <x:c r="G2162" s="8" t="n">
        <x:f>Source!G2156/100</x:f>
        <x:v>149.1</x:v>
      </x:c>
      <x:c r="H2162" s="8" t="n">
        <x:f>G2162-D2162</x:f>
        <x:v>74.55</x:v>
      </x:c>
      <x:c r="I2162" s="1" t="str">
        <x:f>IF(H2162&gt;0,"Overbilled","Shortfall")</x:f>
        <x:v>Overbilled</x:v>
      </x:c>
      <x:c r="J2162" s="7"/>
      <x:c r="K2162" s="7" t="str">
        <x:v>Open</x:v>
      </x:c>
      <x:c r="L2162" s="7"/>
    </x:row>
    <x:row r="2163" ht="21" customHeight="1">
      <x:c r="A2163" s="1" t="str">
        <x:f>Source!A2157</x:f>
        <x:v>C0001714</x:v>
      </x:c>
      <x:c r="B2163" s="1" t="str">
        <x:f>_xlfn.IFNA(VLOOKUP(Source!B2157,Advertisers!$A$5:$B$34,2,FALSE),"Missing advertiser")</x:f>
        <x:v>Synthetic advertiser 23</x:v>
      </x:c>
      <x:c r="C2163" s="1" t="n">
        <x:f>Source!C2157</x:f>
        <x:v>23</x:v>
      </x:c>
      <x:c r="D2163" s="8" t="n">
        <x:f>Source!D2157/100</x:f>
        <x:v>74.55</x:v>
      </x:c>
      <x:c r="E2163" s="8" t="n">
        <x:f>Source!E2157/100</x:f>
        <x:v>0</x:v>
      </x:c>
      <x:c r="F2163" s="8" t="n">
        <x:f>Source!F2157/100</x:f>
        <x:v>0</x:v>
      </x:c>
      <x:c r="G2163" s="8" t="n">
        <x:f>Source!G2157/100</x:f>
        <x:v>0</x:v>
      </x:c>
      <x:c r="H2163" s="8" t="n">
        <x:f>G2163-D2163</x:f>
        <x:v>-74.55</x:v>
      </x:c>
      <x:c r="I2163" s="1" t="str">
        <x:f>IF(H2163&gt;0,"Overbilled","Shortfall")</x:f>
        <x:v>Shortfall</x:v>
      </x:c>
      <x:c r="J2163" s="7"/>
      <x:c r="K2163" s="7" t="str">
        <x:v>Open</x:v>
      </x:c>
      <x:c r="L2163" s="7"/>
    </x:row>
    <x:row r="2164" ht="21" customHeight="1">
      <x:c r="A2164" s="1" t="str">
        <x:f>Source!A2158</x:f>
        <x:v>C0015017</x:v>
      </x:c>
      <x:c r="B2164" s="1" t="str">
        <x:f>_xlfn.IFNA(VLOOKUP(Source!B2158,Advertisers!$A$5:$B$34,2,FALSE),"Missing advertiser")</x:f>
        <x:v>Synthetic advertiser 23</x:v>
      </x:c>
      <x:c r="C2164" s="1" t="n">
        <x:f>Source!C2158</x:f>
        <x:v>23</x:v>
      </x:c>
      <x:c r="D2164" s="8" t="n">
        <x:f>Source!D2158/100</x:f>
        <x:v>74.55</x:v>
      </x:c>
      <x:c r="E2164" s="8" t="n">
        <x:f>Source!E2158/100</x:f>
        <x:v>0</x:v>
      </x:c>
      <x:c r="F2164" s="8" t="n">
        <x:f>Source!F2158/100</x:f>
        <x:v>0</x:v>
      </x:c>
      <x:c r="G2164" s="8" t="n">
        <x:f>Source!G2158/100</x:f>
        <x:v>0</x:v>
      </x:c>
      <x:c r="H2164" s="8" t="n">
        <x:f>G2164-D2164</x:f>
        <x:v>-74.55</x:v>
      </x:c>
      <x:c r="I2164" s="1" t="str">
        <x:f>IF(H2164&gt;0,"Overbilled","Shortfall")</x:f>
        <x:v>Shortfall</x:v>
      </x:c>
      <x:c r="J2164" s="7"/>
      <x:c r="K2164" s="7" t="str">
        <x:v>Open</x:v>
      </x:c>
      <x:c r="L2164" s="7"/>
    </x:row>
    <x:row r="2165" ht="21" customHeight="1">
      <x:c r="A2165" s="1" t="str">
        <x:f>Source!A2159</x:f>
        <x:v>C0004769</x:v>
      </x:c>
      <x:c r="B2165" s="1" t="str">
        <x:f>_xlfn.IFNA(VLOOKUP(Source!B2159,Advertisers!$A$5:$B$34,2,FALSE),"Missing advertiser")</x:f>
        <x:v>Synthetic advertiser 23</x:v>
      </x:c>
      <x:c r="C2165" s="1" t="n">
        <x:f>Source!C2159</x:f>
        <x:v>23</x:v>
      </x:c>
      <x:c r="D2165" s="8" t="n">
        <x:f>Source!D2159/100</x:f>
        <x:v>74.55</x:v>
      </x:c>
      <x:c r="E2165" s="8" t="n">
        <x:f>Source!E2159/100</x:f>
        <x:v>0</x:v>
      </x:c>
      <x:c r="F2165" s="8" t="n">
        <x:f>Source!F2159/100</x:f>
        <x:v>0</x:v>
      </x:c>
      <x:c r="G2165" s="8" t="n">
        <x:f>Source!G2159/100</x:f>
        <x:v>0</x:v>
      </x:c>
      <x:c r="H2165" s="8" t="n">
        <x:f>G2165-D2165</x:f>
        <x:v>-74.55</x:v>
      </x:c>
      <x:c r="I2165" s="1" t="str">
        <x:f>IF(H2165&gt;0,"Overbilled","Shortfall")</x:f>
        <x:v>Shortfall</x:v>
      </x:c>
      <x:c r="J2165" s="7"/>
      <x:c r="K2165" s="7" t="str">
        <x:v>Open</x:v>
      </x:c>
      <x:c r="L2165" s="7"/>
    </x:row>
    <x:row r="2166" ht="21" customHeight="1">
      <x:c r="A2166" s="1" t="str">
        <x:f>Source!A2160</x:f>
        <x:v>C0012901</x:v>
      </x:c>
      <x:c r="B2166" s="1" t="str">
        <x:f>_xlfn.IFNA(VLOOKUP(Source!B2160,Advertisers!$A$5:$B$34,2,FALSE),"Missing advertiser")</x:f>
        <x:v>Synthetic advertiser 23</x:v>
      </x:c>
      <x:c r="C2166" s="1" t="n">
        <x:f>Source!C2160</x:f>
        <x:v>23</x:v>
      </x:c>
      <x:c r="D2166" s="8" t="n">
        <x:f>Source!D2160/100</x:f>
        <x:v>74.55</x:v>
      </x:c>
      <x:c r="E2166" s="8" t="n">
        <x:f>Source!E2160/100</x:f>
        <x:v>149.1</x:v>
      </x:c>
      <x:c r="F2166" s="8" t="n">
        <x:f>Source!F2160/100</x:f>
        <x:v>0</x:v>
      </x:c>
      <x:c r="G2166" s="8" t="n">
        <x:f>Source!G2160/100</x:f>
        <x:v>149.1</x:v>
      </x:c>
      <x:c r="H2166" s="8" t="n">
        <x:f>G2166-D2166</x:f>
        <x:v>74.55</x:v>
      </x:c>
      <x:c r="I2166" s="1" t="str">
        <x:f>IF(H2166&gt;0,"Overbilled","Shortfall")</x:f>
        <x:v>Overbilled</x:v>
      </x:c>
      <x:c r="J2166" s="7"/>
      <x:c r="K2166" s="7" t="str">
        <x:v>Open</x:v>
      </x:c>
      <x:c r="L2166" s="7"/>
    </x:row>
    <x:row r="2167" ht="21" customHeight="1">
      <x:c r="A2167" s="1" t="str">
        <x:f>Source!A2161</x:f>
        <x:v>C0017871</x:v>
      </x:c>
      <x:c r="B2167" s="1" t="str">
        <x:f>_xlfn.IFNA(VLOOKUP(Source!B2161,Advertisers!$A$5:$B$34,2,FALSE),"Missing advertiser")</x:f>
        <x:v>Synthetic advertiser 23</x:v>
      </x:c>
      <x:c r="C2167" s="1" t="n">
        <x:f>Source!C2161</x:f>
        <x:v>23</x:v>
      </x:c>
      <x:c r="D2167" s="8" t="n">
        <x:f>Source!D2161/100</x:f>
        <x:v>74.55</x:v>
      </x:c>
      <x:c r="E2167" s="8" t="n">
        <x:f>Source!E2161/100</x:f>
        <x:v>0</x:v>
      </x:c>
      <x:c r="F2167" s="8" t="n">
        <x:f>Source!F2161/100</x:f>
        <x:v>0</x:v>
      </x:c>
      <x:c r="G2167" s="8" t="n">
        <x:f>Source!G2161/100</x:f>
        <x:v>0</x:v>
      </x:c>
      <x:c r="H2167" s="8" t="n">
        <x:f>G2167-D2167</x:f>
        <x:v>-74.55</x:v>
      </x:c>
      <x:c r="I2167" s="1" t="str">
        <x:f>IF(H2167&gt;0,"Overbilled","Shortfall")</x:f>
        <x:v>Shortfall</x:v>
      </x:c>
      <x:c r="J2167" s="7"/>
      <x:c r="K2167" s="7" t="str">
        <x:v>Open</x:v>
      </x:c>
      <x:c r="L2167" s="7"/>
    </x:row>
    <x:row r="2168" ht="21" customHeight="1">
      <x:c r="A2168" s="1" t="str">
        <x:f>Source!A2162</x:f>
        <x:v>C0006257</x:v>
      </x:c>
      <x:c r="B2168" s="1" t="str">
        <x:f>_xlfn.IFNA(VLOOKUP(Source!B2162,Advertisers!$A$5:$B$34,2,FALSE),"Missing advertiser")</x:f>
        <x:v>Synthetic advertiser 23</x:v>
      </x:c>
      <x:c r="C2168" s="1" t="n">
        <x:f>Source!C2162</x:f>
        <x:v>23</x:v>
      </x:c>
      <x:c r="D2168" s="8" t="n">
        <x:f>Source!D2162/100</x:f>
        <x:v>74.55</x:v>
      </x:c>
      <x:c r="E2168" s="8" t="n">
        <x:f>Source!E2162/100</x:f>
        <x:v>149.1</x:v>
      </x:c>
      <x:c r="F2168" s="8" t="n">
        <x:f>Source!F2162/100</x:f>
        <x:v>0</x:v>
      </x:c>
      <x:c r="G2168" s="8" t="n">
        <x:f>Source!G2162/100</x:f>
        <x:v>149.1</x:v>
      </x:c>
      <x:c r="H2168" s="8" t="n">
        <x:f>G2168-D2168</x:f>
        <x:v>74.55</x:v>
      </x:c>
      <x:c r="I2168" s="1" t="str">
        <x:f>IF(H2168&gt;0,"Overbilled","Shortfall")</x:f>
        <x:v>Overbilled</x:v>
      </x:c>
      <x:c r="J2168" s="7"/>
      <x:c r="K2168" s="7" t="str">
        <x:v>Open</x:v>
      </x:c>
      <x:c r="L2168" s="7"/>
    </x:row>
    <x:row r="2169" ht="21" customHeight="1">
      <x:c r="A2169" s="1" t="str">
        <x:f>Source!A2163</x:f>
        <x:v>C0015543</x:v>
      </x:c>
      <x:c r="B2169" s="1" t="str">
        <x:f>_xlfn.IFNA(VLOOKUP(Source!B2163,Advertisers!$A$5:$B$34,2,FALSE),"Missing advertiser")</x:f>
        <x:v>Synthetic advertiser 23</x:v>
      </x:c>
      <x:c r="C2169" s="1" t="n">
        <x:f>Source!C2163</x:f>
        <x:v>23</x:v>
      </x:c>
      <x:c r="D2169" s="8" t="n">
        <x:f>Source!D2163/100</x:f>
        <x:v>74.55</x:v>
      </x:c>
      <x:c r="E2169" s="8" t="n">
        <x:f>Source!E2163/100</x:f>
        <x:v>0</x:v>
      </x:c>
      <x:c r="F2169" s="8" t="n">
        <x:f>Source!F2163/100</x:f>
        <x:v>0</x:v>
      </x:c>
      <x:c r="G2169" s="8" t="n">
        <x:f>Source!G2163/100</x:f>
        <x:v>0</x:v>
      </x:c>
      <x:c r="H2169" s="8" t="n">
        <x:f>G2169-D2169</x:f>
        <x:v>-74.55</x:v>
      </x:c>
      <x:c r="I2169" s="1" t="str">
        <x:f>IF(H2169&gt;0,"Overbilled","Shortfall")</x:f>
        <x:v>Shortfall</x:v>
      </x:c>
      <x:c r="J2169" s="7"/>
      <x:c r="K2169" s="7" t="str">
        <x:v>Open</x:v>
      </x:c>
      <x:c r="L2169" s="7"/>
    </x:row>
    <x:row r="2170" ht="21" customHeight="1">
      <x:c r="A2170" s="1" t="str">
        <x:f>Source!A2164</x:f>
        <x:v>C0012759</x:v>
      </x:c>
      <x:c r="B2170" s="1" t="str">
        <x:f>_xlfn.IFNA(VLOOKUP(Source!B2164,Advertisers!$A$5:$B$34,2,FALSE),"Missing advertiser")</x:f>
        <x:v>Synthetic advertiser 23</x:v>
      </x:c>
      <x:c r="C2170" s="1" t="n">
        <x:f>Source!C2164</x:f>
        <x:v>23</x:v>
      </x:c>
      <x:c r="D2170" s="8" t="n">
        <x:f>Source!D2164/100</x:f>
        <x:v>74.55</x:v>
      </x:c>
      <x:c r="E2170" s="8" t="n">
        <x:f>Source!E2164/100</x:f>
        <x:v>0</x:v>
      </x:c>
      <x:c r="F2170" s="8" t="n">
        <x:f>Source!F2164/100</x:f>
        <x:v>0</x:v>
      </x:c>
      <x:c r="G2170" s="8" t="n">
        <x:f>Source!G2164/100</x:f>
        <x:v>0</x:v>
      </x:c>
      <x:c r="H2170" s="8" t="n">
        <x:f>G2170-D2170</x:f>
        <x:v>-74.55</x:v>
      </x:c>
      <x:c r="I2170" s="1" t="str">
        <x:f>IF(H2170&gt;0,"Overbilled","Shortfall")</x:f>
        <x:v>Shortfall</x:v>
      </x:c>
      <x:c r="J2170" s="7"/>
      <x:c r="K2170" s="7" t="str">
        <x:v>Open</x:v>
      </x:c>
      <x:c r="L2170" s="7"/>
    </x:row>
    <x:row r="2171" ht="21" customHeight="1">
      <x:c r="A2171" s="1" t="str">
        <x:f>Source!A2165</x:f>
        <x:v>C0013150</x:v>
      </x:c>
      <x:c r="B2171" s="1" t="str">
        <x:f>_xlfn.IFNA(VLOOKUP(Source!B2165,Advertisers!$A$5:$B$34,2,FALSE),"Missing advertiser")</x:f>
        <x:v>Synthetic advertiser 19</x:v>
      </x:c>
      <x:c r="C2171" s="1" t="n">
        <x:f>Source!C2165</x:f>
        <x:v>79</x:v>
      </x:c>
      <x:c r="D2171" s="8" t="n">
        <x:f>Source!D2165/100</x:f>
        <x:v>73.86</x:v>
      </x:c>
      <x:c r="E2171" s="8" t="n">
        <x:f>Source!E2165/100</x:f>
        <x:v>147.72</x:v>
      </x:c>
      <x:c r="F2171" s="8" t="n">
        <x:f>Source!F2165/100</x:f>
        <x:v>0</x:v>
      </x:c>
      <x:c r="G2171" s="8" t="n">
        <x:f>Source!G2165/100</x:f>
        <x:v>147.72</x:v>
      </x:c>
      <x:c r="H2171" s="8" t="n">
        <x:f>G2171-D2171</x:f>
        <x:v>73.86</x:v>
      </x:c>
      <x:c r="I2171" s="1" t="str">
        <x:f>IF(H2171&gt;0,"Overbilled","Shortfall")</x:f>
        <x:v>Overbilled</x:v>
      </x:c>
      <x:c r="J2171" s="7"/>
      <x:c r="K2171" s="7" t="str">
        <x:v>Open</x:v>
      </x:c>
      <x:c r="L2171" s="7"/>
    </x:row>
    <x:row r="2172" ht="21" customHeight="1">
      <x:c r="A2172" s="1" t="str">
        <x:f>Source!A2166</x:f>
        <x:v>C0000237</x:v>
      </x:c>
      <x:c r="B2172" s="1" t="str">
        <x:f>_xlfn.IFNA(VLOOKUP(Source!B2166,Advertisers!$A$5:$B$34,2,FALSE),"Missing advertiser")</x:f>
        <x:v>Synthetic advertiser 19</x:v>
      </x:c>
      <x:c r="C2172" s="1" t="n">
        <x:f>Source!C2166</x:f>
        <x:v>79</x:v>
      </x:c>
      <x:c r="D2172" s="8" t="n">
        <x:f>Source!D2166/100</x:f>
        <x:v>73.86</x:v>
      </x:c>
      <x:c r="E2172" s="8" t="n">
        <x:f>Source!E2166/100</x:f>
        <x:v>0</x:v>
      </x:c>
      <x:c r="F2172" s="8" t="n">
        <x:f>Source!F2166/100</x:f>
        <x:v>0</x:v>
      </x:c>
      <x:c r="G2172" s="8" t="n">
        <x:f>Source!G2166/100</x:f>
        <x:v>0</x:v>
      </x:c>
      <x:c r="H2172" s="8" t="n">
        <x:f>G2172-D2172</x:f>
        <x:v>-73.86</x:v>
      </x:c>
      <x:c r="I2172" s="1" t="str">
        <x:f>IF(H2172&gt;0,"Overbilled","Shortfall")</x:f>
        <x:v>Shortfall</x:v>
      </x:c>
      <x:c r="J2172" s="7"/>
      <x:c r="K2172" s="7" t="str">
        <x:v>Open</x:v>
      </x:c>
      <x:c r="L2172" s="7"/>
    </x:row>
    <x:row r="2173" ht="21" customHeight="1">
      <x:c r="A2173" s="1" t="str">
        <x:f>Source!A2167</x:f>
        <x:v>C0000939</x:v>
      </x:c>
      <x:c r="B2173" s="1" t="str">
        <x:f>_xlfn.IFNA(VLOOKUP(Source!B2167,Advertisers!$A$5:$B$34,2,FALSE),"Missing advertiser")</x:f>
        <x:v>Synthetic advertiser 19</x:v>
      </x:c>
      <x:c r="C2173" s="1" t="n">
        <x:f>Source!C2167</x:f>
        <x:v>79</x:v>
      </x:c>
      <x:c r="D2173" s="8" t="n">
        <x:f>Source!D2167/100</x:f>
        <x:v>73.86</x:v>
      </x:c>
      <x:c r="E2173" s="8" t="n">
        <x:f>Source!E2167/100</x:f>
        <x:v>147.72</x:v>
      </x:c>
      <x:c r="F2173" s="8" t="n">
        <x:f>Source!F2167/100</x:f>
        <x:v>0</x:v>
      </x:c>
      <x:c r="G2173" s="8" t="n">
        <x:f>Source!G2167/100</x:f>
        <x:v>147.72</x:v>
      </x:c>
      <x:c r="H2173" s="8" t="n">
        <x:f>G2173-D2173</x:f>
        <x:v>73.86</x:v>
      </x:c>
      <x:c r="I2173" s="1" t="str">
        <x:f>IF(H2173&gt;0,"Overbilled","Shortfall")</x:f>
        <x:v>Overbilled</x:v>
      </x:c>
      <x:c r="J2173" s="7"/>
      <x:c r="K2173" s="7" t="str">
        <x:v>Open</x:v>
      </x:c>
      <x:c r="L2173" s="7"/>
    </x:row>
    <x:row r="2174" ht="21" customHeight="1">
      <x:c r="A2174" s="1" t="str">
        <x:f>Source!A2168</x:f>
        <x:v>C0014723</x:v>
      </x:c>
      <x:c r="B2174" s="1" t="str">
        <x:f>_xlfn.IFNA(VLOOKUP(Source!B2168,Advertisers!$A$5:$B$34,2,FALSE),"Missing advertiser")</x:f>
        <x:v>Synthetic advertiser 19</x:v>
      </x:c>
      <x:c r="C2174" s="1" t="n">
        <x:f>Source!C2168</x:f>
        <x:v>19</x:v>
      </x:c>
      <x:c r="D2174" s="8" t="n">
        <x:f>Source!D2168/100</x:f>
        <x:v>73.77</x:v>
      </x:c>
      <x:c r="E2174" s="8" t="n">
        <x:f>Source!E2168/100</x:f>
        <x:v>0</x:v>
      </x:c>
      <x:c r="F2174" s="8" t="n">
        <x:f>Source!F2168/100</x:f>
        <x:v>0</x:v>
      </x:c>
      <x:c r="G2174" s="8" t="n">
        <x:f>Source!G2168/100</x:f>
        <x:v>0</x:v>
      </x:c>
      <x:c r="H2174" s="8" t="n">
        <x:f>G2174-D2174</x:f>
        <x:v>-73.77</x:v>
      </x:c>
      <x:c r="I2174" s="1" t="str">
        <x:f>IF(H2174&gt;0,"Overbilled","Shortfall")</x:f>
        <x:v>Shortfall</x:v>
      </x:c>
      <x:c r="J2174" s="7"/>
      <x:c r="K2174" s="7" t="str">
        <x:v>Open</x:v>
      </x:c>
      <x:c r="L2174" s="7"/>
    </x:row>
    <x:row r="2175" ht="21" customHeight="1">
      <x:c r="A2175" s="1" t="str">
        <x:f>Source!A2169</x:f>
        <x:v>C0003086</x:v>
      </x:c>
      <x:c r="B2175" s="1" t="str">
        <x:f>_xlfn.IFNA(VLOOKUP(Source!B2169,Advertisers!$A$5:$B$34,2,FALSE),"Missing advertiser")</x:f>
        <x:v>Synthetic advertiser 19</x:v>
      </x:c>
      <x:c r="C2175" s="1" t="n">
        <x:f>Source!C2169</x:f>
        <x:v>19</x:v>
      </x:c>
      <x:c r="D2175" s="8" t="n">
        <x:f>Source!D2169/100</x:f>
        <x:v>0</x:v>
      </x:c>
      <x:c r="E2175" s="8" t="n">
        <x:f>Source!E2169/100</x:f>
        <x:v>73.77</x:v>
      </x:c>
      <x:c r="F2175" s="8" t="n">
        <x:f>Source!F2169/100</x:f>
        <x:v>0</x:v>
      </x:c>
      <x:c r="G2175" s="8" t="n">
        <x:f>Source!G2169/100</x:f>
        <x:v>73.77</x:v>
      </x:c>
      <x:c r="H2175" s="8" t="n">
        <x:f>G2175-D2175</x:f>
        <x:v>73.77</x:v>
      </x:c>
      <x:c r="I2175" s="1" t="str">
        <x:f>IF(H2175&gt;0,"Overbilled","Shortfall")</x:f>
        <x:v>Overbilled</x:v>
      </x:c>
      <x:c r="J2175" s="7"/>
      <x:c r="K2175" s="7" t="str">
        <x:v>Open</x:v>
      </x:c>
      <x:c r="L2175" s="7"/>
    </x:row>
    <x:row r="2176" ht="21" customHeight="1">
      <x:c r="A2176" s="1" t="str">
        <x:f>Source!A2170</x:f>
        <x:v>C0010423</x:v>
      </x:c>
      <x:c r="B2176" s="1" t="str">
        <x:f>_xlfn.IFNA(VLOOKUP(Source!B2170,Advertisers!$A$5:$B$34,2,FALSE),"Missing advertiser")</x:f>
        <x:v>Synthetic advertiser 19</x:v>
      </x:c>
      <x:c r="C2176" s="1" t="n">
        <x:f>Source!C2170</x:f>
        <x:v>19</x:v>
      </x:c>
      <x:c r="D2176" s="8" t="n">
        <x:f>Source!D2170/100</x:f>
        <x:v>73.77</x:v>
      </x:c>
      <x:c r="E2176" s="8" t="n">
        <x:f>Source!E2170/100</x:f>
        <x:v>0</x:v>
      </x:c>
      <x:c r="F2176" s="8" t="n">
        <x:f>Source!F2170/100</x:f>
        <x:v>0</x:v>
      </x:c>
      <x:c r="G2176" s="8" t="n">
        <x:f>Source!G2170/100</x:f>
        <x:v>0</x:v>
      </x:c>
      <x:c r="H2176" s="8" t="n">
        <x:f>G2176-D2176</x:f>
        <x:v>-73.77</x:v>
      </x:c>
      <x:c r="I2176" s="1" t="str">
        <x:f>IF(H2176&gt;0,"Overbilled","Shortfall")</x:f>
        <x:v>Shortfall</x:v>
      </x:c>
      <x:c r="J2176" s="7"/>
      <x:c r="K2176" s="7" t="str">
        <x:v>Open</x:v>
      </x:c>
      <x:c r="L2176" s="7"/>
    </x:row>
    <x:row r="2177" ht="21" customHeight="1">
      <x:c r="A2177" s="1" t="str">
        <x:f>Source!A2171</x:f>
        <x:v>C0009134</x:v>
      </x:c>
      <x:c r="B2177" s="1" t="str">
        <x:f>_xlfn.IFNA(VLOOKUP(Source!B2171,Advertisers!$A$5:$B$34,2,FALSE),"Missing advertiser")</x:f>
        <x:v>Synthetic advertiser 13</x:v>
      </x:c>
      <x:c r="C2177" s="1" t="n">
        <x:f>Source!C2171</x:f>
        <x:v>43</x:v>
      </x:c>
      <x:c r="D2177" s="8" t="n">
        <x:f>Source!D2171/100</x:f>
        <x:v>73.42</x:v>
      </x:c>
      <x:c r="E2177" s="8" t="n">
        <x:f>Source!E2171/100</x:f>
        <x:v>0</x:v>
      </x:c>
      <x:c r="F2177" s="8" t="n">
        <x:f>Source!F2171/100</x:f>
        <x:v>0</x:v>
      </x:c>
      <x:c r="G2177" s="8" t="n">
        <x:f>Source!G2171/100</x:f>
        <x:v>0</x:v>
      </x:c>
      <x:c r="H2177" s="8" t="n">
        <x:f>G2177-D2177</x:f>
        <x:v>-73.42</x:v>
      </x:c>
      <x:c r="I2177" s="1" t="str">
        <x:f>IF(H2177&gt;0,"Overbilled","Shortfall")</x:f>
        <x:v>Shortfall</x:v>
      </x:c>
      <x:c r="J2177" s="7"/>
      <x:c r="K2177" s="7" t="str">
        <x:v>Open</x:v>
      </x:c>
      <x:c r="L2177" s="7"/>
    </x:row>
    <x:row r="2178" ht="21" customHeight="1">
      <x:c r="A2178" s="1" t="str">
        <x:f>Source!A2172</x:f>
        <x:v>C0002762</x:v>
      </x:c>
      <x:c r="B2178" s="1" t="str">
        <x:f>_xlfn.IFNA(VLOOKUP(Source!B2172,Advertisers!$A$5:$B$34,2,FALSE),"Missing advertiser")</x:f>
        <x:v>Synthetic advertiser 13</x:v>
      </x:c>
      <x:c r="C2178" s="1" t="n">
        <x:f>Source!C2172</x:f>
        <x:v>43</x:v>
      </x:c>
      <x:c r="D2178" s="8" t="n">
        <x:f>Source!D2172/100</x:f>
        <x:v>73.42</x:v>
      </x:c>
      <x:c r="E2178" s="8" t="n">
        <x:f>Source!E2172/100</x:f>
        <x:v>0</x:v>
      </x:c>
      <x:c r="F2178" s="8" t="n">
        <x:f>Source!F2172/100</x:f>
        <x:v>0</x:v>
      </x:c>
      <x:c r="G2178" s="8" t="n">
        <x:f>Source!G2172/100</x:f>
        <x:v>0</x:v>
      </x:c>
      <x:c r="H2178" s="8" t="n">
        <x:f>G2178-D2178</x:f>
        <x:v>-73.42</x:v>
      </x:c>
      <x:c r="I2178" s="1" t="str">
        <x:f>IF(H2178&gt;0,"Overbilled","Shortfall")</x:f>
        <x:v>Shortfall</x:v>
      </x:c>
      <x:c r="J2178" s="7"/>
      <x:c r="K2178" s="7" t="str">
        <x:v>Open</x:v>
      </x:c>
      <x:c r="L2178" s="7"/>
    </x:row>
    <x:row r="2179" ht="21" customHeight="1">
      <x:c r="A2179" s="1" t="str">
        <x:f>Source!A2173</x:f>
        <x:v>C0004754</x:v>
      </x:c>
      <x:c r="B2179" s="1" t="str">
        <x:f>_xlfn.IFNA(VLOOKUP(Source!B2173,Advertisers!$A$5:$B$34,2,FALSE),"Missing advertiser")</x:f>
        <x:v>Synthetic advertiser 13</x:v>
      </x:c>
      <x:c r="C2179" s="1" t="n">
        <x:f>Source!C2173</x:f>
        <x:v>43</x:v>
      </x:c>
      <x:c r="D2179" s="8" t="n">
        <x:f>Source!D2173/100</x:f>
        <x:v>73.42</x:v>
      </x:c>
      <x:c r="E2179" s="8" t="n">
        <x:f>Source!E2173/100</x:f>
        <x:v>146.84</x:v>
      </x:c>
      <x:c r="F2179" s="8" t="n">
        <x:f>Source!F2173/100</x:f>
        <x:v>0</x:v>
      </x:c>
      <x:c r="G2179" s="8" t="n">
        <x:f>Source!G2173/100</x:f>
        <x:v>146.84</x:v>
      </x:c>
      <x:c r="H2179" s="8" t="n">
        <x:f>G2179-D2179</x:f>
        <x:v>73.42</x:v>
      </x:c>
      <x:c r="I2179" s="1" t="str">
        <x:f>IF(H2179&gt;0,"Overbilled","Shortfall")</x:f>
        <x:v>Overbilled</x:v>
      </x:c>
      <x:c r="J2179" s="7"/>
      <x:c r="K2179" s="7" t="str">
        <x:v>Open</x:v>
      </x:c>
      <x:c r="L2179" s="7"/>
    </x:row>
    <x:row r="2180" ht="21" customHeight="1">
      <x:c r="A2180" s="1" t="str">
        <x:f>Source!A2174</x:f>
        <x:v>C0003766</x:v>
      </x:c>
      <x:c r="B2180" s="1" t="str">
        <x:f>_xlfn.IFNA(VLOOKUP(Source!B2174,Advertisers!$A$5:$B$34,2,FALSE),"Missing advertiser")</x:f>
        <x:v>Synthetic advertiser 13</x:v>
      </x:c>
      <x:c r="C2180" s="1" t="n">
        <x:f>Source!C2174</x:f>
        <x:v>43</x:v>
      </x:c>
      <x:c r="D2180" s="8" t="n">
        <x:f>Source!D2174/100</x:f>
        <x:v>73.42</x:v>
      </x:c>
      <x:c r="E2180" s="8" t="n">
        <x:f>Source!E2174/100</x:f>
        <x:v>0</x:v>
      </x:c>
      <x:c r="F2180" s="8" t="n">
        <x:f>Source!F2174/100</x:f>
        <x:v>0</x:v>
      </x:c>
      <x:c r="G2180" s="8" t="n">
        <x:f>Source!G2174/100</x:f>
        <x:v>0</x:v>
      </x:c>
      <x:c r="H2180" s="8" t="n">
        <x:f>G2180-D2180</x:f>
        <x:v>-73.42</x:v>
      </x:c>
      <x:c r="I2180" s="1" t="str">
        <x:f>IF(H2180&gt;0,"Overbilled","Shortfall")</x:f>
        <x:v>Shortfall</x:v>
      </x:c>
      <x:c r="J2180" s="7"/>
      <x:c r="K2180" s="7" t="str">
        <x:v>Open</x:v>
      </x:c>
      <x:c r="L2180" s="7"/>
    </x:row>
    <x:row r="2181" ht="21" customHeight="1">
      <x:c r="A2181" s="1" t="str">
        <x:f>Source!A2175</x:f>
        <x:v>C0017385</x:v>
      </x:c>
      <x:c r="B2181" s="1" t="str">
        <x:f>_xlfn.IFNA(VLOOKUP(Source!B2175,Advertisers!$A$5:$B$34,2,FALSE),"Missing advertiser")</x:f>
        <x:v>Synthetic advertiser 30</x:v>
      </x:c>
      <x:c r="C2181" s="1" t="n">
        <x:f>Source!C2175</x:f>
        <x:v>60</x:v>
      </x:c>
      <x:c r="D2181" s="8" t="n">
        <x:f>Source!D2175/100</x:f>
        <x:v>73.17</x:v>
      </x:c>
      <x:c r="E2181" s="8" t="n">
        <x:f>Source!E2175/100</x:f>
        <x:v>0</x:v>
      </x:c>
      <x:c r="F2181" s="8" t="n">
        <x:f>Source!F2175/100</x:f>
        <x:v>0</x:v>
      </x:c>
      <x:c r="G2181" s="8" t="n">
        <x:f>Source!G2175/100</x:f>
        <x:v>0</x:v>
      </x:c>
      <x:c r="H2181" s="8" t="n">
        <x:f>G2181-D2181</x:f>
        <x:v>-73.17</x:v>
      </x:c>
      <x:c r="I2181" s="1" t="str">
        <x:f>IF(H2181&gt;0,"Overbilled","Shortfall")</x:f>
        <x:v>Shortfall</x:v>
      </x:c>
      <x:c r="J2181" s="7"/>
      <x:c r="K2181" s="7" t="str">
        <x:v>Open</x:v>
      </x:c>
      <x:c r="L2181" s="7"/>
    </x:row>
    <x:row r="2182" ht="21" customHeight="1">
      <x:c r="A2182" s="1" t="str">
        <x:f>Source!A2176</x:f>
        <x:v>C0002980</x:v>
      </x:c>
      <x:c r="B2182" s="1" t="str">
        <x:f>_xlfn.IFNA(VLOOKUP(Source!B2176,Advertisers!$A$5:$B$34,2,FALSE),"Missing advertiser")</x:f>
        <x:v>Synthetic advertiser 30</x:v>
      </x:c>
      <x:c r="C2182" s="1" t="n">
        <x:f>Source!C2176</x:f>
        <x:v>60</x:v>
      </x:c>
      <x:c r="D2182" s="8" t="n">
        <x:f>Source!D2176/100</x:f>
        <x:v>73.17</x:v>
      </x:c>
      <x:c r="E2182" s="8" t="n">
        <x:f>Source!E2176/100</x:f>
        <x:v>0</x:v>
      </x:c>
      <x:c r="F2182" s="8" t="n">
        <x:f>Source!F2176/100</x:f>
        <x:v>0</x:v>
      </x:c>
      <x:c r="G2182" s="8" t="n">
        <x:f>Source!G2176/100</x:f>
        <x:v>0</x:v>
      </x:c>
      <x:c r="H2182" s="8" t="n">
        <x:f>G2182-D2182</x:f>
        <x:v>-73.17</x:v>
      </x:c>
      <x:c r="I2182" s="1" t="str">
        <x:f>IF(H2182&gt;0,"Overbilled","Shortfall")</x:f>
        <x:v>Shortfall</x:v>
      </x:c>
      <x:c r="J2182" s="7"/>
      <x:c r="K2182" s="7" t="str">
        <x:v>Open</x:v>
      </x:c>
      <x:c r="L2182" s="7"/>
    </x:row>
    <x:row r="2183" ht="21" customHeight="1">
      <x:c r="A2183" s="1" t="str">
        <x:f>Source!A2177</x:f>
        <x:v>C0004293</x:v>
      </x:c>
      <x:c r="B2183" s="1" t="str">
        <x:f>_xlfn.IFNA(VLOOKUP(Source!B2177,Advertisers!$A$5:$B$34,2,FALSE),"Missing advertiser")</x:f>
        <x:v>Synthetic advertiser 30</x:v>
      </x:c>
      <x:c r="C2183" s="1" t="n">
        <x:f>Source!C2177</x:f>
        <x:v>60</x:v>
      </x:c>
      <x:c r="D2183" s="8" t="n">
        <x:f>Source!D2177/100</x:f>
        <x:v>73.17</x:v>
      </x:c>
      <x:c r="E2183" s="8" t="n">
        <x:f>Source!E2177/100</x:f>
        <x:v>0</x:v>
      </x:c>
      <x:c r="F2183" s="8" t="n">
        <x:f>Source!F2177/100</x:f>
        <x:v>0</x:v>
      </x:c>
      <x:c r="G2183" s="8" t="n">
        <x:f>Source!G2177/100</x:f>
        <x:v>0</x:v>
      </x:c>
      <x:c r="H2183" s="8" t="n">
        <x:f>G2183-D2183</x:f>
        <x:v>-73.17</x:v>
      </x:c>
      <x:c r="I2183" s="1" t="str">
        <x:f>IF(H2183&gt;0,"Overbilled","Shortfall")</x:f>
        <x:v>Shortfall</x:v>
      </x:c>
      <x:c r="J2183" s="7"/>
      <x:c r="K2183" s="7" t="str">
        <x:v>Open</x:v>
      </x:c>
      <x:c r="L2183" s="7"/>
    </x:row>
    <x:row r="2184" ht="21" customHeight="1">
      <x:c r="A2184" s="1" t="str">
        <x:f>Source!A2178</x:f>
        <x:v>C0006767</x:v>
      </x:c>
      <x:c r="B2184" s="1" t="str">
        <x:f>_xlfn.IFNA(VLOOKUP(Source!B2178,Advertisers!$A$5:$B$34,2,FALSE),"Missing advertiser")</x:f>
        <x:v>Synthetic advertiser 30</x:v>
      </x:c>
      <x:c r="C2184" s="1" t="n">
        <x:f>Source!C2178</x:f>
        <x:v>60</x:v>
      </x:c>
      <x:c r="D2184" s="8" t="n">
        <x:f>Source!D2178/100</x:f>
        <x:v>73.17</x:v>
      </x:c>
      <x:c r="E2184" s="8" t="n">
        <x:f>Source!E2178/100</x:f>
        <x:v>0</x:v>
      </x:c>
      <x:c r="F2184" s="8" t="n">
        <x:f>Source!F2178/100</x:f>
        <x:v>0</x:v>
      </x:c>
      <x:c r="G2184" s="8" t="n">
        <x:f>Source!G2178/100</x:f>
        <x:v>0</x:v>
      </x:c>
      <x:c r="H2184" s="8" t="n">
        <x:f>G2184-D2184</x:f>
        <x:v>-73.17</x:v>
      </x:c>
      <x:c r="I2184" s="1" t="str">
        <x:f>IF(H2184&gt;0,"Overbilled","Shortfall")</x:f>
        <x:v>Shortfall</x:v>
      </x:c>
      <x:c r="J2184" s="7"/>
      <x:c r="K2184" s="7" t="str">
        <x:v>Open</x:v>
      </x:c>
      <x:c r="L2184" s="7"/>
    </x:row>
    <x:row r="2185" ht="21" customHeight="1">
      <x:c r="A2185" s="1" t="str">
        <x:f>Source!A2179</x:f>
        <x:v>C0016059</x:v>
      </x:c>
      <x:c r="B2185" s="1" t="str">
        <x:f>_xlfn.IFNA(VLOOKUP(Source!B2179,Advertisers!$A$5:$B$34,2,FALSE),"Missing advertiser")</x:f>
        <x:v>Synthetic advertiser 30</x:v>
      </x:c>
      <x:c r="C2185" s="1" t="n">
        <x:f>Source!C2179</x:f>
        <x:v>60</x:v>
      </x:c>
      <x:c r="D2185" s="8" t="n">
        <x:f>Source!D2179/100</x:f>
        <x:v>73.17</x:v>
      </x:c>
      <x:c r="E2185" s="8" t="n">
        <x:f>Source!E2179/100</x:f>
        <x:v>0</x:v>
      </x:c>
      <x:c r="F2185" s="8" t="n">
        <x:f>Source!F2179/100</x:f>
        <x:v>0</x:v>
      </x:c>
      <x:c r="G2185" s="8" t="n">
        <x:f>Source!G2179/100</x:f>
        <x:v>0</x:v>
      </x:c>
      <x:c r="H2185" s="8" t="n">
        <x:f>G2185-D2185</x:f>
        <x:v>-73.17</x:v>
      </x:c>
      <x:c r="I2185" s="1" t="str">
        <x:f>IF(H2185&gt;0,"Overbilled","Shortfall")</x:f>
        <x:v>Shortfall</x:v>
      </x:c>
      <x:c r="J2185" s="7"/>
      <x:c r="K2185" s="7" t="str">
        <x:v>Open</x:v>
      </x:c>
      <x:c r="L2185" s="7"/>
    </x:row>
    <x:row r="2186" ht="21" customHeight="1">
      <x:c r="A2186" s="1" t="str">
        <x:f>Source!A2180</x:f>
        <x:v>C0001436</x:v>
      </x:c>
      <x:c r="B2186" s="1" t="str">
        <x:f>_xlfn.IFNA(VLOOKUP(Source!B2180,Advertisers!$A$5:$B$34,2,FALSE),"Missing advertiser")</x:f>
        <x:v>Synthetic advertiser 30</x:v>
      </x:c>
      <x:c r="C2186" s="1" t="n">
        <x:f>Source!C2180</x:f>
        <x:v>60</x:v>
      </x:c>
      <x:c r="D2186" s="8" t="n">
        <x:f>Source!D2180/100</x:f>
        <x:v>73.17</x:v>
      </x:c>
      <x:c r="E2186" s="8" t="n">
        <x:f>Source!E2180/100</x:f>
        <x:v>146.34</x:v>
      </x:c>
      <x:c r="F2186" s="8" t="n">
        <x:f>Source!F2180/100</x:f>
        <x:v>0</x:v>
      </x:c>
      <x:c r="G2186" s="8" t="n">
        <x:f>Source!G2180/100</x:f>
        <x:v>146.34</x:v>
      </x:c>
      <x:c r="H2186" s="8" t="n">
        <x:f>G2186-D2186</x:f>
        <x:v>73.17</x:v>
      </x:c>
      <x:c r="I2186" s="1" t="str">
        <x:f>IF(H2186&gt;0,"Overbilled","Shortfall")</x:f>
        <x:v>Overbilled</x:v>
      </x:c>
      <x:c r="J2186" s="7"/>
      <x:c r="K2186" s="7" t="str">
        <x:v>Open</x:v>
      </x:c>
      <x:c r="L2186" s="7"/>
    </x:row>
    <x:row r="2187" ht="21" customHeight="1">
      <x:c r="A2187" s="1" t="str">
        <x:f>Source!A2181</x:f>
        <x:v>C0012197</x:v>
      </x:c>
      <x:c r="B2187" s="1" t="str">
        <x:f>_xlfn.IFNA(VLOOKUP(Source!B2181,Advertisers!$A$5:$B$34,2,FALSE),"Missing advertiser")</x:f>
        <x:v>Synthetic advertiser 18</x:v>
      </x:c>
      <x:c r="C2187" s="1" t="n">
        <x:f>Source!C2181</x:f>
        <x:v>78</x:v>
      </x:c>
      <x:c r="D2187" s="8" t="n">
        <x:f>Source!D2181/100</x:f>
        <x:v>72.91</x:v>
      </x:c>
      <x:c r="E2187" s="8" t="n">
        <x:f>Source!E2181/100</x:f>
        <x:v>145.82</x:v>
      </x:c>
      <x:c r="F2187" s="8" t="n">
        <x:f>Source!F2181/100</x:f>
        <x:v>0</x:v>
      </x:c>
      <x:c r="G2187" s="8" t="n">
        <x:f>Source!G2181/100</x:f>
        <x:v>145.82</x:v>
      </x:c>
      <x:c r="H2187" s="8" t="n">
        <x:f>G2187-D2187</x:f>
        <x:v>72.91</x:v>
      </x:c>
      <x:c r="I2187" s="1" t="str">
        <x:f>IF(H2187&gt;0,"Overbilled","Shortfall")</x:f>
        <x:v>Overbilled</x:v>
      </x:c>
      <x:c r="J2187" s="7"/>
      <x:c r="K2187" s="7" t="str">
        <x:v>Open</x:v>
      </x:c>
      <x:c r="L2187" s="7"/>
    </x:row>
    <x:row r="2188" ht="21" customHeight="1">
      <x:c r="A2188" s="1" t="str">
        <x:f>Source!A2182</x:f>
        <x:v>C0012787</x:v>
      </x:c>
      <x:c r="B2188" s="1" t="str">
        <x:f>_xlfn.IFNA(VLOOKUP(Source!B2182,Advertisers!$A$5:$B$34,2,FALSE),"Missing advertiser")</x:f>
        <x:v>Synthetic advertiser 18</x:v>
      </x:c>
      <x:c r="C2188" s="1" t="n">
        <x:f>Source!C2182</x:f>
        <x:v>78</x:v>
      </x:c>
      <x:c r="D2188" s="8" t="n">
        <x:f>Source!D2182/100</x:f>
        <x:v>72.91</x:v>
      </x:c>
      <x:c r="E2188" s="8" t="n">
        <x:f>Source!E2182/100</x:f>
        <x:v>0</x:v>
      </x:c>
      <x:c r="F2188" s="8" t="n">
        <x:f>Source!F2182/100</x:f>
        <x:v>0</x:v>
      </x:c>
      <x:c r="G2188" s="8" t="n">
        <x:f>Source!G2182/100</x:f>
        <x:v>0</x:v>
      </x:c>
      <x:c r="H2188" s="8" t="n">
        <x:f>G2188-D2188</x:f>
        <x:v>-72.91</x:v>
      </x:c>
      <x:c r="I2188" s="1" t="str">
        <x:f>IF(H2188&gt;0,"Overbilled","Shortfall")</x:f>
        <x:v>Shortfall</x:v>
      </x:c>
      <x:c r="J2188" s="7"/>
      <x:c r="K2188" s="7" t="str">
        <x:v>Open</x:v>
      </x:c>
      <x:c r="L2188" s="7"/>
    </x:row>
    <x:row r="2189" ht="21" customHeight="1">
      <x:c r="A2189" s="1" t="str">
        <x:f>Source!A2183</x:f>
        <x:v>C0006464</x:v>
      </x:c>
      <x:c r="B2189" s="1" t="str">
        <x:f>_xlfn.IFNA(VLOOKUP(Source!B2183,Advertisers!$A$5:$B$34,2,FALSE),"Missing advertiser")</x:f>
        <x:v>Synthetic advertiser 18</x:v>
      </x:c>
      <x:c r="C2189" s="1" t="n">
        <x:f>Source!C2183</x:f>
        <x:v>78</x:v>
      </x:c>
      <x:c r="D2189" s="8" t="n">
        <x:f>Source!D2183/100</x:f>
        <x:v>72.91</x:v>
      </x:c>
      <x:c r="E2189" s="8" t="n">
        <x:f>Source!E2183/100</x:f>
        <x:v>145.82</x:v>
      </x:c>
      <x:c r="F2189" s="8" t="n">
        <x:f>Source!F2183/100</x:f>
        <x:v>0</x:v>
      </x:c>
      <x:c r="G2189" s="8" t="n">
        <x:f>Source!G2183/100</x:f>
        <x:v>145.82</x:v>
      </x:c>
      <x:c r="H2189" s="8" t="n">
        <x:f>G2189-D2189</x:f>
        <x:v>72.91</x:v>
      </x:c>
      <x:c r="I2189" s="1" t="str">
        <x:f>IF(H2189&gt;0,"Overbilled","Shortfall")</x:f>
        <x:v>Overbilled</x:v>
      </x:c>
      <x:c r="J2189" s="7"/>
      <x:c r="K2189" s="7" t="str">
        <x:v>Open</x:v>
      </x:c>
      <x:c r="L2189" s="7"/>
    </x:row>
    <x:row r="2190" ht="21" customHeight="1">
      <x:c r="A2190" s="1" t="str">
        <x:f>Source!A2184</x:f>
        <x:v>C0004536</x:v>
      </x:c>
      <x:c r="B2190" s="1" t="str">
        <x:f>_xlfn.IFNA(VLOOKUP(Source!B2184,Advertisers!$A$5:$B$34,2,FALSE),"Missing advertiser")</x:f>
        <x:v>Synthetic advertiser 18</x:v>
      </x:c>
      <x:c r="C2190" s="1" t="n">
        <x:f>Source!C2184</x:f>
        <x:v>78</x:v>
      </x:c>
      <x:c r="D2190" s="8" t="n">
        <x:f>Source!D2184/100</x:f>
        <x:v>72.91</x:v>
      </x:c>
      <x:c r="E2190" s="8" t="n">
        <x:f>Source!E2184/100</x:f>
        <x:v>145.82</x:v>
      </x:c>
      <x:c r="F2190" s="8" t="n">
        <x:f>Source!F2184/100</x:f>
        <x:v>0</x:v>
      </x:c>
      <x:c r="G2190" s="8" t="n">
        <x:f>Source!G2184/100</x:f>
        <x:v>145.82</x:v>
      </x:c>
      <x:c r="H2190" s="8" t="n">
        <x:f>G2190-D2190</x:f>
        <x:v>72.91</x:v>
      </x:c>
      <x:c r="I2190" s="1" t="str">
        <x:f>IF(H2190&gt;0,"Overbilled","Shortfall")</x:f>
        <x:v>Overbilled</x:v>
      </x:c>
      <x:c r="J2190" s="7"/>
      <x:c r="K2190" s="7" t="str">
        <x:v>Open</x:v>
      </x:c>
      <x:c r="L2190" s="7"/>
    </x:row>
    <x:row r="2191" ht="21" customHeight="1">
      <x:c r="A2191" s="1" t="str">
        <x:f>Source!A2185</x:f>
        <x:v>C0016843</x:v>
      </x:c>
      <x:c r="B2191" s="1" t="str">
        <x:f>_xlfn.IFNA(VLOOKUP(Source!B2185,Advertisers!$A$5:$B$34,2,FALSE),"Missing advertiser")</x:f>
        <x:v>Synthetic advertiser 23</x:v>
      </x:c>
      <x:c r="C2191" s="1" t="n">
        <x:f>Source!C2185</x:f>
        <x:v>53</x:v>
      </x:c>
      <x:c r="D2191" s="8" t="n">
        <x:f>Source!D2185/100</x:f>
        <x:v>69.99</x:v>
      </x:c>
      <x:c r="E2191" s="8" t="n">
        <x:f>Source!E2185/100</x:f>
        <x:v>139.98</x:v>
      </x:c>
      <x:c r="F2191" s="8" t="n">
        <x:f>Source!F2185/100</x:f>
        <x:v>0</x:v>
      </x:c>
      <x:c r="G2191" s="8" t="n">
        <x:f>Source!G2185/100</x:f>
        <x:v>139.98</x:v>
      </x:c>
      <x:c r="H2191" s="8" t="n">
        <x:f>G2191-D2191</x:f>
        <x:v>69.99</x:v>
      </x:c>
      <x:c r="I2191" s="1" t="str">
        <x:f>IF(H2191&gt;0,"Overbilled","Shortfall")</x:f>
        <x:v>Overbilled</x:v>
      </x:c>
      <x:c r="J2191" s="7"/>
      <x:c r="K2191" s="7" t="str">
        <x:v>Open</x:v>
      </x:c>
      <x:c r="L2191" s="7"/>
    </x:row>
    <x:row r="2192" ht="21" customHeight="1">
      <x:c r="A2192" s="1" t="str">
        <x:f>Source!A2186</x:f>
        <x:v>C0005153</x:v>
      </x:c>
      <x:c r="B2192" s="1" t="str">
        <x:f>_xlfn.IFNA(VLOOKUP(Source!B2186,Advertisers!$A$5:$B$34,2,FALSE),"Missing advertiser")</x:f>
        <x:v>Synthetic advertiser 23</x:v>
      </x:c>
      <x:c r="C2192" s="1" t="n">
        <x:f>Source!C2186</x:f>
        <x:v>53</x:v>
      </x:c>
      <x:c r="D2192" s="8" t="n">
        <x:f>Source!D2186/100</x:f>
        <x:v>69.99</x:v>
      </x:c>
      <x:c r="E2192" s="8" t="n">
        <x:f>Source!E2186/100</x:f>
        <x:v>139.98</x:v>
      </x:c>
      <x:c r="F2192" s="8" t="n">
        <x:f>Source!F2186/100</x:f>
        <x:v>0</x:v>
      </x:c>
      <x:c r="G2192" s="8" t="n">
        <x:f>Source!G2186/100</x:f>
        <x:v>139.98</x:v>
      </x:c>
      <x:c r="H2192" s="8" t="n">
        <x:f>G2192-D2192</x:f>
        <x:v>69.99</x:v>
      </x:c>
      <x:c r="I2192" s="1" t="str">
        <x:f>IF(H2192&gt;0,"Overbilled","Shortfall")</x:f>
        <x:v>Overbilled</x:v>
      </x:c>
      <x:c r="J2192" s="7"/>
      <x:c r="K2192" s="7" t="str">
        <x:v>Open</x:v>
      </x:c>
      <x:c r="L2192" s="7"/>
    </x:row>
    <x:row r="2193" ht="21" customHeight="1">
      <x:c r="A2193" s="1" t="str">
        <x:f>Source!A2187</x:f>
        <x:v>C0009618</x:v>
      </x:c>
      <x:c r="B2193" s="1" t="str">
        <x:f>_xlfn.IFNA(VLOOKUP(Source!B2187,Advertisers!$A$5:$B$34,2,FALSE),"Missing advertiser")</x:f>
        <x:v>Synthetic advertiser 23</x:v>
      </x:c>
      <x:c r="C2193" s="1" t="n">
        <x:f>Source!C2187</x:f>
        <x:v>53</x:v>
      </x:c>
      <x:c r="D2193" s="8" t="n">
        <x:f>Source!D2187/100</x:f>
        <x:v>69.99</x:v>
      </x:c>
      <x:c r="E2193" s="8" t="n">
        <x:f>Source!E2187/100</x:f>
        <x:v>139.98</x:v>
      </x:c>
      <x:c r="F2193" s="8" t="n">
        <x:f>Source!F2187/100</x:f>
        <x:v>0</x:v>
      </x:c>
      <x:c r="G2193" s="8" t="n">
        <x:f>Source!G2187/100</x:f>
        <x:v>139.98</x:v>
      </x:c>
      <x:c r="H2193" s="8" t="n">
        <x:f>G2193-D2193</x:f>
        <x:v>69.99</x:v>
      </x:c>
      <x:c r="I2193" s="1" t="str">
        <x:f>IF(H2193&gt;0,"Overbilled","Shortfall")</x:f>
        <x:v>Overbilled</x:v>
      </x:c>
      <x:c r="J2193" s="7"/>
      <x:c r="K2193" s="7" t="str">
        <x:v>Open</x:v>
      </x:c>
      <x:c r="L2193" s="7"/>
    </x:row>
    <x:row r="2194" ht="21" customHeight="1">
      <x:c r="A2194" s="1" t="str">
        <x:f>Source!A2188</x:f>
        <x:v>C0008374</x:v>
      </x:c>
      <x:c r="B2194" s="1" t="str">
        <x:f>_xlfn.IFNA(VLOOKUP(Source!B2188,Advertisers!$A$5:$B$34,2,FALSE),"Missing advertiser")</x:f>
        <x:v>Synthetic advertiser 23</x:v>
      </x:c>
      <x:c r="C2194" s="1" t="n">
        <x:f>Source!C2188</x:f>
        <x:v>53</x:v>
      </x:c>
      <x:c r="D2194" s="8" t="n">
        <x:f>Source!D2188/100</x:f>
        <x:v>69.99</x:v>
      </x:c>
      <x:c r="E2194" s="8" t="n">
        <x:f>Source!E2188/100</x:f>
        <x:v>0</x:v>
      </x:c>
      <x:c r="F2194" s="8" t="n">
        <x:f>Source!F2188/100</x:f>
        <x:v>0</x:v>
      </x:c>
      <x:c r="G2194" s="8" t="n">
        <x:f>Source!G2188/100</x:f>
        <x:v>0</x:v>
      </x:c>
      <x:c r="H2194" s="8" t="n">
        <x:f>G2194-D2194</x:f>
        <x:v>-69.99</x:v>
      </x:c>
      <x:c r="I2194" s="1" t="str">
        <x:f>IF(H2194&gt;0,"Overbilled","Shortfall")</x:f>
        <x:v>Shortfall</x:v>
      </x:c>
      <x:c r="J2194" s="7"/>
      <x:c r="K2194" s="7" t="str">
        <x:v>Open</x:v>
      </x:c>
      <x:c r="L2194" s="7"/>
    </x:row>
    <x:row r="2195" ht="21" customHeight="1">
      <x:c r="A2195" s="1" t="str">
        <x:f>Source!A2189</x:f>
        <x:v>C0011735</x:v>
      </x:c>
      <x:c r="B2195" s="1" t="str">
        <x:f>_xlfn.IFNA(VLOOKUP(Source!B2189,Advertisers!$A$5:$B$34,2,FALSE),"Missing advertiser")</x:f>
        <x:v>Synthetic advertiser 23</x:v>
      </x:c>
      <x:c r="C2195" s="1" t="n">
        <x:f>Source!C2189</x:f>
        <x:v>53</x:v>
      </x:c>
      <x:c r="D2195" s="8" t="n">
        <x:f>Source!D2189/100</x:f>
        <x:v>69.99</x:v>
      </x:c>
      <x:c r="E2195" s="8" t="n">
        <x:f>Source!E2189/100</x:f>
        <x:v>0</x:v>
      </x:c>
      <x:c r="F2195" s="8" t="n">
        <x:f>Source!F2189/100</x:f>
        <x:v>0</x:v>
      </x:c>
      <x:c r="G2195" s="8" t="n">
        <x:f>Source!G2189/100</x:f>
        <x:v>0</x:v>
      </x:c>
      <x:c r="H2195" s="8" t="n">
        <x:f>G2195-D2195</x:f>
        <x:v>-69.99</x:v>
      </x:c>
      <x:c r="I2195" s="1" t="str">
        <x:f>IF(H2195&gt;0,"Overbilled","Shortfall")</x:f>
        <x:v>Shortfall</x:v>
      </x:c>
      <x:c r="J2195" s="7"/>
      <x:c r="K2195" s="7" t="str">
        <x:v>Open</x:v>
      </x:c>
      <x:c r="L2195" s="7"/>
    </x:row>
    <x:row r="2196" ht="21" customHeight="1">
      <x:c r="A2196" s="1" t="str">
        <x:f>Source!A2190</x:f>
        <x:v>C0007465</x:v>
      </x:c>
      <x:c r="B2196" s="1" t="str">
        <x:f>_xlfn.IFNA(VLOOKUP(Source!B2190,Advertisers!$A$5:$B$34,2,FALSE),"Missing advertiser")</x:f>
        <x:v>Synthetic advertiser 10</x:v>
      </x:c>
      <x:c r="C2196" s="1" t="n">
        <x:f>Source!C2190</x:f>
        <x:v>100</x:v>
      </x:c>
      <x:c r="D2196" s="8" t="n">
        <x:f>Source!D2190/100</x:f>
        <x:v>68.81</x:v>
      </x:c>
      <x:c r="E2196" s="8" t="n">
        <x:f>Source!E2190/100</x:f>
        <x:v>137.62</x:v>
      </x:c>
      <x:c r="F2196" s="8" t="n">
        <x:f>Source!F2190/100</x:f>
        <x:v>0</x:v>
      </x:c>
      <x:c r="G2196" s="8" t="n">
        <x:f>Source!G2190/100</x:f>
        <x:v>137.62</x:v>
      </x:c>
      <x:c r="H2196" s="8" t="n">
        <x:f>G2196-D2196</x:f>
        <x:v>68.81</x:v>
      </x:c>
      <x:c r="I2196" s="1" t="str">
        <x:f>IF(H2196&gt;0,"Overbilled","Shortfall")</x:f>
        <x:v>Overbilled</x:v>
      </x:c>
      <x:c r="J2196" s="7"/>
      <x:c r="K2196" s="7" t="str">
        <x:v>Open</x:v>
      </x:c>
      <x:c r="L2196" s="7"/>
    </x:row>
    <x:row r="2197" ht="21" customHeight="1">
      <x:c r="A2197" s="1" t="str">
        <x:f>Source!A2191</x:f>
        <x:v>C0015286</x:v>
      </x:c>
      <x:c r="B2197" s="1" t="str">
        <x:f>_xlfn.IFNA(VLOOKUP(Source!B2191,Advertisers!$A$5:$B$34,2,FALSE),"Missing advertiser")</x:f>
        <x:v>Synthetic advertiser 10</x:v>
      </x:c>
      <x:c r="C2197" s="1" t="n">
        <x:f>Source!C2191</x:f>
        <x:v>100</x:v>
      </x:c>
      <x:c r="D2197" s="8" t="n">
        <x:f>Source!D2191/100</x:f>
        <x:v>68.81</x:v>
      </x:c>
      <x:c r="E2197" s="8" t="n">
        <x:f>Source!E2191/100</x:f>
        <x:v>137.62</x:v>
      </x:c>
      <x:c r="F2197" s="8" t="n">
        <x:f>Source!F2191/100</x:f>
        <x:v>0</x:v>
      </x:c>
      <x:c r="G2197" s="8" t="n">
        <x:f>Source!G2191/100</x:f>
        <x:v>137.62</x:v>
      </x:c>
      <x:c r="H2197" s="8" t="n">
        <x:f>G2197-D2197</x:f>
        <x:v>68.81</x:v>
      </x:c>
      <x:c r="I2197" s="1" t="str">
        <x:f>IF(H2197&gt;0,"Overbilled","Shortfall")</x:f>
        <x:v>Overbilled</x:v>
      </x:c>
      <x:c r="J2197" s="7"/>
      <x:c r="K2197" s="7" t="str">
        <x:v>Open</x:v>
      </x:c>
      <x:c r="L2197" s="7"/>
    </x:row>
    <x:row r="2198" ht="21" customHeight="1">
      <x:c r="A2198" s="1" t="str">
        <x:f>Source!A2192</x:f>
        <x:v>C0001748</x:v>
      </x:c>
      <x:c r="B2198" s="1" t="str">
        <x:f>_xlfn.IFNA(VLOOKUP(Source!B2192,Advertisers!$A$5:$B$34,2,FALSE),"Missing advertiser")</x:f>
        <x:v>Synthetic advertiser 17</x:v>
      </x:c>
      <x:c r="C2198" s="1" t="n">
        <x:f>Source!C2192</x:f>
        <x:v>107</x:v>
      </x:c>
      <x:c r="D2198" s="8" t="n">
        <x:f>Source!D2192/100</x:f>
        <x:v>0</x:v>
      </x:c>
      <x:c r="E2198" s="8" t="n">
        <x:f>Source!E2192/100</x:f>
        <x:v>67.96</x:v>
      </x:c>
      <x:c r="F2198" s="8" t="n">
        <x:f>Source!F2192/100</x:f>
        <x:v>0</x:v>
      </x:c>
      <x:c r="G2198" s="8" t="n">
        <x:f>Source!G2192/100</x:f>
        <x:v>67.96</x:v>
      </x:c>
      <x:c r="H2198" s="8" t="n">
        <x:f>G2198-D2198</x:f>
        <x:v>67.96</x:v>
      </x:c>
      <x:c r="I2198" s="1" t="str">
        <x:f>IF(H2198&gt;0,"Overbilled","Shortfall")</x:f>
        <x:v>Overbilled</x:v>
      </x:c>
      <x:c r="J2198" s="7"/>
      <x:c r="K2198" s="7" t="str">
        <x:v>Open</x:v>
      </x:c>
      <x:c r="L2198" s="7"/>
    </x:row>
    <x:row r="2199" ht="21" customHeight="1">
      <x:c r="A2199" s="1" t="str">
        <x:f>Source!A2193</x:f>
        <x:v>C0017960</x:v>
      </x:c>
      <x:c r="B2199" s="1" t="str">
        <x:f>_xlfn.IFNA(VLOOKUP(Source!B2193,Advertisers!$A$5:$B$34,2,FALSE),"Missing advertiser")</x:f>
        <x:v>Synthetic advertiser 17</x:v>
      </x:c>
      <x:c r="C2199" s="1" t="n">
        <x:f>Source!C2193</x:f>
        <x:v>107</x:v>
      </x:c>
      <x:c r="D2199" s="8" t="n">
        <x:f>Source!D2193/100</x:f>
        <x:v>67.96</x:v>
      </x:c>
      <x:c r="E2199" s="8" t="n">
        <x:f>Source!E2193/100</x:f>
        <x:v>135.92</x:v>
      </x:c>
      <x:c r="F2199" s="8" t="n">
        <x:f>Source!F2193/100</x:f>
        <x:v>0</x:v>
      </x:c>
      <x:c r="G2199" s="8" t="n">
        <x:f>Source!G2193/100</x:f>
        <x:v>135.92</x:v>
      </x:c>
      <x:c r="H2199" s="8" t="n">
        <x:f>G2199-D2199</x:f>
        <x:v>67.96</x:v>
      </x:c>
      <x:c r="I2199" s="1" t="str">
        <x:f>IF(H2199&gt;0,"Overbilled","Shortfall")</x:f>
        <x:v>Overbilled</x:v>
      </x:c>
      <x:c r="J2199" s="7"/>
      <x:c r="K2199" s="7" t="str">
        <x:v>Open</x:v>
      </x:c>
      <x:c r="L2199" s="7"/>
    </x:row>
    <x:row r="2200" ht="21" customHeight="1">
      <x:c r="A2200" s="1" t="str">
        <x:f>Source!A2194</x:f>
        <x:v>C0014567</x:v>
      </x:c>
      <x:c r="B2200" s="1" t="str">
        <x:f>_xlfn.IFNA(VLOOKUP(Source!B2194,Advertisers!$A$5:$B$34,2,FALSE),"Missing advertiser")</x:f>
        <x:v>Synthetic advertiser 17</x:v>
      </x:c>
      <x:c r="C2200" s="1" t="n">
        <x:f>Source!C2194</x:f>
        <x:v>107</x:v>
      </x:c>
      <x:c r="D2200" s="8" t="n">
        <x:f>Source!D2194/100</x:f>
        <x:v>67.96</x:v>
      </x:c>
      <x:c r="E2200" s="8" t="n">
        <x:f>Source!E2194/100</x:f>
        <x:v>135.92</x:v>
      </x:c>
      <x:c r="F2200" s="8" t="n">
        <x:f>Source!F2194/100</x:f>
        <x:v>0</x:v>
      </x:c>
      <x:c r="G2200" s="8" t="n">
        <x:f>Source!G2194/100</x:f>
        <x:v>135.92</x:v>
      </x:c>
      <x:c r="H2200" s="8" t="n">
        <x:f>G2200-D2200</x:f>
        <x:v>67.96</x:v>
      </x:c>
      <x:c r="I2200" s="1" t="str">
        <x:f>IF(H2200&gt;0,"Overbilled","Shortfall")</x:f>
        <x:v>Overbilled</x:v>
      </x:c>
      <x:c r="J2200" s="7"/>
      <x:c r="K2200" s="7" t="str">
        <x:v>Open</x:v>
      </x:c>
      <x:c r="L2200" s="7"/>
    </x:row>
    <x:row r="2201" ht="21" customHeight="1">
      <x:c r="A2201" s="1" t="str">
        <x:f>Source!A2195</x:f>
        <x:v>C0015955</x:v>
      </x:c>
      <x:c r="B2201" s="1" t="str">
        <x:f>_xlfn.IFNA(VLOOKUP(Source!B2195,Advertisers!$A$5:$B$34,2,FALSE),"Missing advertiser")</x:f>
        <x:v>Synthetic advertiser 6</x:v>
      </x:c>
      <x:c r="C2201" s="1" t="n">
        <x:f>Source!C2195</x:f>
        <x:v>66</x:v>
      </x:c>
      <x:c r="D2201" s="8" t="n">
        <x:f>Source!D2195/100</x:f>
        <x:v>66.82</x:v>
      </x:c>
      <x:c r="E2201" s="8" t="n">
        <x:f>Source!E2195/100</x:f>
        <x:v>0</x:v>
      </x:c>
      <x:c r="F2201" s="8" t="n">
        <x:f>Source!F2195/100</x:f>
        <x:v>0</x:v>
      </x:c>
      <x:c r="G2201" s="8" t="n">
        <x:f>Source!G2195/100</x:f>
        <x:v>0</x:v>
      </x:c>
      <x:c r="H2201" s="8" t="n">
        <x:f>G2201-D2201</x:f>
        <x:v>-66.82</x:v>
      </x:c>
      <x:c r="I2201" s="1" t="str">
        <x:f>IF(H2201&gt;0,"Overbilled","Shortfall")</x:f>
        <x:v>Shortfall</x:v>
      </x:c>
      <x:c r="J2201" s="7"/>
      <x:c r="K2201" s="7" t="str">
        <x:v>Open</x:v>
      </x:c>
      <x:c r="L2201" s="7"/>
    </x:row>
    <x:row r="2202" ht="21" customHeight="1">
      <x:c r="A2202" s="1" t="str">
        <x:f>Source!A2196</x:f>
        <x:v>C0015724</x:v>
      </x:c>
      <x:c r="B2202" s="1" t="str">
        <x:f>_xlfn.IFNA(VLOOKUP(Source!B2196,Advertisers!$A$5:$B$34,2,FALSE),"Missing advertiser")</x:f>
        <x:v>Synthetic advertiser 6</x:v>
      </x:c>
      <x:c r="C2202" s="1" t="n">
        <x:f>Source!C2196</x:f>
        <x:v>66</x:v>
      </x:c>
      <x:c r="D2202" s="8" t="n">
        <x:f>Source!D2196/100</x:f>
        <x:v>66.82</x:v>
      </x:c>
      <x:c r="E2202" s="8" t="n">
        <x:f>Source!E2196/100</x:f>
        <x:v>0</x:v>
      </x:c>
      <x:c r="F2202" s="8" t="n">
        <x:f>Source!F2196/100</x:f>
        <x:v>0</x:v>
      </x:c>
      <x:c r="G2202" s="8" t="n">
        <x:f>Source!G2196/100</x:f>
        <x:v>0</x:v>
      </x:c>
      <x:c r="H2202" s="8" t="n">
        <x:f>G2202-D2202</x:f>
        <x:v>-66.82</x:v>
      </x:c>
      <x:c r="I2202" s="1" t="str">
        <x:f>IF(H2202&gt;0,"Overbilled","Shortfall")</x:f>
        <x:v>Shortfall</x:v>
      </x:c>
      <x:c r="J2202" s="7"/>
      <x:c r="K2202" s="7" t="str">
        <x:v>Open</x:v>
      </x:c>
      <x:c r="L2202" s="7"/>
    </x:row>
    <x:row r="2203" ht="21" customHeight="1">
      <x:c r="A2203" s="1" t="str">
        <x:f>Source!A2197</x:f>
        <x:v>C0016062</x:v>
      </x:c>
      <x:c r="B2203" s="1" t="str">
        <x:f>_xlfn.IFNA(VLOOKUP(Source!B2197,Advertisers!$A$5:$B$34,2,FALSE),"Missing advertiser")</x:f>
        <x:v>Synthetic advertiser 6</x:v>
      </x:c>
      <x:c r="C2203" s="1" t="n">
        <x:f>Source!C2197</x:f>
        <x:v>66</x:v>
      </x:c>
      <x:c r="D2203" s="8" t="n">
        <x:f>Source!D2197/100</x:f>
        <x:v>66.82</x:v>
      </x:c>
      <x:c r="E2203" s="8" t="n">
        <x:f>Source!E2197/100</x:f>
        <x:v>133.64</x:v>
      </x:c>
      <x:c r="F2203" s="8" t="n">
        <x:f>Source!F2197/100</x:f>
        <x:v>0</x:v>
      </x:c>
      <x:c r="G2203" s="8" t="n">
        <x:f>Source!G2197/100</x:f>
        <x:v>133.64</x:v>
      </x:c>
      <x:c r="H2203" s="8" t="n">
        <x:f>G2203-D2203</x:f>
        <x:v>66.82</x:v>
      </x:c>
      <x:c r="I2203" s="1" t="str">
        <x:f>IF(H2203&gt;0,"Overbilled","Shortfall")</x:f>
        <x:v>Overbilled</x:v>
      </x:c>
      <x:c r="J2203" s="7"/>
      <x:c r="K2203" s="7" t="str">
        <x:v>Open</x:v>
      </x:c>
      <x:c r="L2203" s="7"/>
    </x:row>
    <x:row r="2204" ht="21" customHeight="1">
      <x:c r="A2204" s="1" t="str">
        <x:f>Source!A2198</x:f>
        <x:v>C0015985</x:v>
      </x:c>
      <x:c r="B2204" s="1" t="str">
        <x:f>_xlfn.IFNA(VLOOKUP(Source!B2198,Advertisers!$A$5:$B$34,2,FALSE),"Missing advertiser")</x:f>
        <x:v>Synthetic advertiser 6</x:v>
      </x:c>
      <x:c r="C2204" s="1" t="n">
        <x:f>Source!C2198</x:f>
        <x:v>66</x:v>
      </x:c>
      <x:c r="D2204" s="8" t="n">
        <x:f>Source!D2198/100</x:f>
        <x:v>66.82</x:v>
      </x:c>
      <x:c r="E2204" s="8" t="n">
        <x:f>Source!E2198/100</x:f>
        <x:v>133.64</x:v>
      </x:c>
      <x:c r="F2204" s="8" t="n">
        <x:f>Source!F2198/100</x:f>
        <x:v>0</x:v>
      </x:c>
      <x:c r="G2204" s="8" t="n">
        <x:f>Source!G2198/100</x:f>
        <x:v>133.64</x:v>
      </x:c>
      <x:c r="H2204" s="8" t="n">
        <x:f>G2204-D2204</x:f>
        <x:v>66.82</x:v>
      </x:c>
      <x:c r="I2204" s="1" t="str">
        <x:f>IF(H2204&gt;0,"Overbilled","Shortfall")</x:f>
        <x:v>Overbilled</x:v>
      </x:c>
      <x:c r="J2204" s="7"/>
      <x:c r="K2204" s="7" t="str">
        <x:v>Open</x:v>
      </x:c>
      <x:c r="L2204" s="7"/>
    </x:row>
    <x:row r="2205" ht="21" customHeight="1">
      <x:c r="A2205" s="1" t="str">
        <x:f>Source!A2199</x:f>
        <x:v>C0014418</x:v>
      </x:c>
      <x:c r="B2205" s="1" t="str">
        <x:f>_xlfn.IFNA(VLOOKUP(Source!B2199,Advertisers!$A$5:$B$34,2,FALSE),"Missing advertiser")</x:f>
        <x:v>Synthetic advertiser 6</x:v>
      </x:c>
      <x:c r="C2205" s="1" t="n">
        <x:f>Source!C2199</x:f>
        <x:v>66</x:v>
      </x:c>
      <x:c r="D2205" s="8" t="n">
        <x:f>Source!D2199/100</x:f>
        <x:v>66.82</x:v>
      </x:c>
      <x:c r="E2205" s="8" t="n">
        <x:f>Source!E2199/100</x:f>
        <x:v>133.64</x:v>
      </x:c>
      <x:c r="F2205" s="8" t="n">
        <x:f>Source!F2199/100</x:f>
        <x:v>0</x:v>
      </x:c>
      <x:c r="G2205" s="8" t="n">
        <x:f>Source!G2199/100</x:f>
        <x:v>133.64</x:v>
      </x:c>
      <x:c r="H2205" s="8" t="n">
        <x:f>G2205-D2205</x:f>
        <x:v>66.82</x:v>
      </x:c>
      <x:c r="I2205" s="1" t="str">
        <x:f>IF(H2205&gt;0,"Overbilled","Shortfall")</x:f>
        <x:v>Overbilled</x:v>
      </x:c>
      <x:c r="J2205" s="7"/>
      <x:c r="K2205" s="7" t="str">
        <x:v>Open</x:v>
      </x:c>
      <x:c r="L2205" s="7"/>
    </x:row>
    <x:row r="2206" ht="21" customHeight="1">
      <x:c r="A2206" s="1" t="str">
        <x:f>Source!A2200</x:f>
        <x:v>C0002143</x:v>
      </x:c>
      <x:c r="B2206" s="1" t="str">
        <x:f>_xlfn.IFNA(VLOOKUP(Source!B2200,Advertisers!$A$5:$B$34,2,FALSE),"Missing advertiser")</x:f>
        <x:v>Synthetic advertiser 6</x:v>
      </x:c>
      <x:c r="C2206" s="1" t="n">
        <x:f>Source!C2200</x:f>
        <x:v>66</x:v>
      </x:c>
      <x:c r="D2206" s="8" t="n">
        <x:f>Source!D2200/100</x:f>
        <x:v>66.82</x:v>
      </x:c>
      <x:c r="E2206" s="8" t="n">
        <x:f>Source!E2200/100</x:f>
        <x:v>0</x:v>
      </x:c>
      <x:c r="F2206" s="8" t="n">
        <x:f>Source!F2200/100</x:f>
        <x:v>0</x:v>
      </x:c>
      <x:c r="G2206" s="8" t="n">
        <x:f>Source!G2200/100</x:f>
        <x:v>0</x:v>
      </x:c>
      <x:c r="H2206" s="8" t="n">
        <x:f>G2206-D2206</x:f>
        <x:v>-66.82</x:v>
      </x:c>
      <x:c r="I2206" s="1" t="str">
        <x:f>IF(H2206&gt;0,"Overbilled","Shortfall")</x:f>
        <x:v>Shortfall</x:v>
      </x:c>
      <x:c r="J2206" s="7"/>
      <x:c r="K2206" s="7" t="str">
        <x:v>Open</x:v>
      </x:c>
      <x:c r="L2206" s="7"/>
    </x:row>
    <x:row r="2207" ht="21" customHeight="1">
      <x:c r="A2207" s="1" t="str">
        <x:f>Source!A2201</x:f>
        <x:v>C0005969</x:v>
      </x:c>
      <x:c r="B2207" s="1" t="str">
        <x:f>_xlfn.IFNA(VLOOKUP(Source!B2201,Advertisers!$A$5:$B$34,2,FALSE),"Missing advertiser")</x:f>
        <x:v>Synthetic advertiser 6</x:v>
      </x:c>
      <x:c r="C2207" s="1" t="n">
        <x:f>Source!C2201</x:f>
        <x:v>66</x:v>
      </x:c>
      <x:c r="D2207" s="8" t="n">
        <x:f>Source!D2201/100</x:f>
        <x:v>66.82</x:v>
      </x:c>
      <x:c r="E2207" s="8" t="n">
        <x:f>Source!E2201/100</x:f>
        <x:v>133.64</x:v>
      </x:c>
      <x:c r="F2207" s="8" t="n">
        <x:f>Source!F2201/100</x:f>
        <x:v>0</x:v>
      </x:c>
      <x:c r="G2207" s="8" t="n">
        <x:f>Source!G2201/100</x:f>
        <x:v>133.64</x:v>
      </x:c>
      <x:c r="H2207" s="8" t="n">
        <x:f>G2207-D2207</x:f>
        <x:v>66.82</x:v>
      </x:c>
      <x:c r="I2207" s="1" t="str">
        <x:f>IF(H2207&gt;0,"Overbilled","Shortfall")</x:f>
        <x:v>Overbilled</x:v>
      </x:c>
      <x:c r="J2207" s="7"/>
      <x:c r="K2207" s="7" t="str">
        <x:v>Open</x:v>
      </x:c>
      <x:c r="L2207" s="7"/>
    </x:row>
    <x:row r="2208" ht="21" customHeight="1">
      <x:c r="A2208" s="1" t="str">
        <x:f>Source!A2202</x:f>
        <x:v>C0004641</x:v>
      </x:c>
      <x:c r="B2208" s="1" t="str">
        <x:f>_xlfn.IFNA(VLOOKUP(Source!B2202,Advertisers!$A$5:$B$34,2,FALSE),"Missing advertiser")</x:f>
        <x:v>Synthetic advertiser 4</x:v>
      </x:c>
      <x:c r="C2208" s="1" t="n">
        <x:f>Source!C2202</x:f>
        <x:v>94</x:v>
      </x:c>
      <x:c r="D2208" s="8" t="n">
        <x:f>Source!D2202/100</x:f>
        <x:v>65.62</x:v>
      </x:c>
      <x:c r="E2208" s="8" t="n">
        <x:f>Source!E2202/100</x:f>
        <x:v>131.24</x:v>
      </x:c>
      <x:c r="F2208" s="8" t="n">
        <x:f>Source!F2202/100</x:f>
        <x:v>0</x:v>
      </x:c>
      <x:c r="G2208" s="8" t="n">
        <x:f>Source!G2202/100</x:f>
        <x:v>131.24</x:v>
      </x:c>
      <x:c r="H2208" s="8" t="n">
        <x:f>G2208-D2208</x:f>
        <x:v>65.62</x:v>
      </x:c>
      <x:c r="I2208" s="1" t="str">
        <x:f>IF(H2208&gt;0,"Overbilled","Shortfall")</x:f>
        <x:v>Overbilled</x:v>
      </x:c>
      <x:c r="J2208" s="7"/>
      <x:c r="K2208" s="7" t="str">
        <x:v>Open</x:v>
      </x:c>
      <x:c r="L2208" s="7"/>
    </x:row>
    <x:row r="2209" ht="21" customHeight="1">
      <x:c r="A2209" s="1" t="str">
        <x:f>Source!A2203</x:f>
        <x:v>C0002186</x:v>
      </x:c>
      <x:c r="B2209" s="1" t="str">
        <x:f>_xlfn.IFNA(VLOOKUP(Source!B2203,Advertisers!$A$5:$B$34,2,FALSE),"Missing advertiser")</x:f>
        <x:v>Synthetic advertiser 4</x:v>
      </x:c>
      <x:c r="C2209" s="1" t="n">
        <x:f>Source!C2203</x:f>
        <x:v>94</x:v>
      </x:c>
      <x:c r="D2209" s="8" t="n">
        <x:f>Source!D2203/100</x:f>
        <x:v>65.62</x:v>
      </x:c>
      <x:c r="E2209" s="8" t="n">
        <x:f>Source!E2203/100</x:f>
        <x:v>0</x:v>
      </x:c>
      <x:c r="F2209" s="8" t="n">
        <x:f>Source!F2203/100</x:f>
        <x:v>0</x:v>
      </x:c>
      <x:c r="G2209" s="8" t="n">
        <x:f>Source!G2203/100</x:f>
        <x:v>0</x:v>
      </x:c>
      <x:c r="H2209" s="8" t="n">
        <x:f>G2209-D2209</x:f>
        <x:v>-65.62</x:v>
      </x:c>
      <x:c r="I2209" s="1" t="str">
        <x:f>IF(H2209&gt;0,"Overbilled","Shortfall")</x:f>
        <x:v>Shortfall</x:v>
      </x:c>
      <x:c r="J2209" s="7"/>
      <x:c r="K2209" s="7" t="str">
        <x:v>Open</x:v>
      </x:c>
      <x:c r="L2209" s="7"/>
    </x:row>
    <x:row r="2210" ht="21" customHeight="1">
      <x:c r="A2210" s="1" t="str">
        <x:f>Source!A2204</x:f>
        <x:v>C0015686</x:v>
      </x:c>
      <x:c r="B2210" s="1" t="str">
        <x:f>_xlfn.IFNA(VLOOKUP(Source!B2204,Advertisers!$A$5:$B$34,2,FALSE),"Missing advertiser")</x:f>
        <x:v>Synthetic advertiser 4</x:v>
      </x:c>
      <x:c r="C2210" s="1" t="n">
        <x:f>Source!C2204</x:f>
        <x:v>94</x:v>
      </x:c>
      <x:c r="D2210" s="8" t="n">
        <x:f>Source!D2204/100</x:f>
        <x:v>65.62</x:v>
      </x:c>
      <x:c r="E2210" s="8" t="n">
        <x:f>Source!E2204/100</x:f>
        <x:v>131.24</x:v>
      </x:c>
      <x:c r="F2210" s="8" t="n">
        <x:f>Source!F2204/100</x:f>
        <x:v>0</x:v>
      </x:c>
      <x:c r="G2210" s="8" t="n">
        <x:f>Source!G2204/100</x:f>
        <x:v>131.24</x:v>
      </x:c>
      <x:c r="H2210" s="8" t="n">
        <x:f>G2210-D2210</x:f>
        <x:v>65.62</x:v>
      </x:c>
      <x:c r="I2210" s="1" t="str">
        <x:f>IF(H2210&gt;0,"Overbilled","Shortfall")</x:f>
        <x:v>Overbilled</x:v>
      </x:c>
      <x:c r="J2210" s="7"/>
      <x:c r="K2210" s="7" t="str">
        <x:v>Open</x:v>
      </x:c>
      <x:c r="L2210" s="7"/>
    </x:row>
    <x:row r="2211" ht="21" customHeight="1">
      <x:c r="A2211" s="1" t="str">
        <x:f>Source!A2205</x:f>
        <x:v>C0016731</x:v>
      </x:c>
      <x:c r="B2211" s="1" t="str">
        <x:f>_xlfn.IFNA(VLOOKUP(Source!B2205,Advertisers!$A$5:$B$34,2,FALSE),"Missing advertiser")</x:f>
        <x:v>Synthetic advertiser 4</x:v>
      </x:c>
      <x:c r="C2211" s="1" t="n">
        <x:f>Source!C2205</x:f>
        <x:v>94</x:v>
      </x:c>
      <x:c r="D2211" s="8" t="n">
        <x:f>Source!D2205/100</x:f>
        <x:v>65.62</x:v>
      </x:c>
      <x:c r="E2211" s="8" t="n">
        <x:f>Source!E2205/100</x:f>
        <x:v>0</x:v>
      </x:c>
      <x:c r="F2211" s="8" t="n">
        <x:f>Source!F2205/100</x:f>
        <x:v>0</x:v>
      </x:c>
      <x:c r="G2211" s="8" t="n">
        <x:f>Source!G2205/100</x:f>
        <x:v>0</x:v>
      </x:c>
      <x:c r="H2211" s="8" t="n">
        <x:f>G2211-D2211</x:f>
        <x:v>-65.62</x:v>
      </x:c>
      <x:c r="I2211" s="1" t="str">
        <x:f>IF(H2211&gt;0,"Overbilled","Shortfall")</x:f>
        <x:v>Shortfall</x:v>
      </x:c>
      <x:c r="J2211" s="7"/>
      <x:c r="K2211" s="7" t="str">
        <x:v>Open</x:v>
      </x:c>
      <x:c r="L2211" s="7"/>
    </x:row>
    <x:row r="2212" ht="21" customHeight="1">
      <x:c r="A2212" s="1" t="str">
        <x:f>Source!A2206</x:f>
        <x:v>C0011826</x:v>
      </x:c>
      <x:c r="B2212" s="1" t="str">
        <x:f>_xlfn.IFNA(VLOOKUP(Source!B2206,Advertisers!$A$5:$B$34,2,FALSE),"Missing advertiser")</x:f>
        <x:v>Synthetic advertiser 4</x:v>
      </x:c>
      <x:c r="C2212" s="1" t="n">
        <x:f>Source!C2206</x:f>
        <x:v>94</x:v>
      </x:c>
      <x:c r="D2212" s="8" t="n">
        <x:f>Source!D2206/100</x:f>
        <x:v>65.62</x:v>
      </x:c>
      <x:c r="E2212" s="8" t="n">
        <x:f>Source!E2206/100</x:f>
        <x:v>131.24</x:v>
      </x:c>
      <x:c r="F2212" s="8" t="n">
        <x:f>Source!F2206/100</x:f>
        <x:v>0</x:v>
      </x:c>
      <x:c r="G2212" s="8" t="n">
        <x:f>Source!G2206/100</x:f>
        <x:v>131.24</x:v>
      </x:c>
      <x:c r="H2212" s="8" t="n">
        <x:f>G2212-D2212</x:f>
        <x:v>65.62</x:v>
      </x:c>
      <x:c r="I2212" s="1" t="str">
        <x:f>IF(H2212&gt;0,"Overbilled","Shortfall")</x:f>
        <x:v>Overbilled</x:v>
      </x:c>
      <x:c r="J2212" s="7"/>
      <x:c r="K2212" s="7" t="str">
        <x:v>Open</x:v>
      </x:c>
      <x:c r="L2212" s="7"/>
    </x:row>
    <x:row r="2213" ht="21" customHeight="1">
      <x:c r="A2213" s="1" t="str">
        <x:f>Source!A2207</x:f>
        <x:v>C0008992</x:v>
      </x:c>
      <x:c r="B2213" s="1" t="str">
        <x:f>_xlfn.IFNA(VLOOKUP(Source!B2207,Advertisers!$A$5:$B$34,2,FALSE),"Missing advertiser")</x:f>
        <x:v>Synthetic advertiser 4</x:v>
      </x:c>
      <x:c r="C2213" s="1" t="n">
        <x:f>Source!C2207</x:f>
        <x:v>94</x:v>
      </x:c>
      <x:c r="D2213" s="8" t="n">
        <x:f>Source!D2207/100</x:f>
        <x:v>65.62</x:v>
      </x:c>
      <x:c r="E2213" s="8" t="n">
        <x:f>Source!E2207/100</x:f>
        <x:v>0</x:v>
      </x:c>
      <x:c r="F2213" s="8" t="n">
        <x:f>Source!F2207/100</x:f>
        <x:v>0</x:v>
      </x:c>
      <x:c r="G2213" s="8" t="n">
        <x:f>Source!G2207/100</x:f>
        <x:v>0</x:v>
      </x:c>
      <x:c r="H2213" s="8" t="n">
        <x:f>G2213-D2213</x:f>
        <x:v>-65.62</x:v>
      </x:c>
      <x:c r="I2213" s="1" t="str">
        <x:f>IF(H2213&gt;0,"Overbilled","Shortfall")</x:f>
        <x:v>Shortfall</x:v>
      </x:c>
      <x:c r="J2213" s="7"/>
      <x:c r="K2213" s="7" t="str">
        <x:v>Open</x:v>
      </x:c>
      <x:c r="L2213" s="7"/>
    </x:row>
    <x:row r="2214" ht="21" customHeight="1">
      <x:c r="A2214" s="1" t="str">
        <x:f>Source!A2208</x:f>
        <x:v>C0014393</x:v>
      </x:c>
      <x:c r="B2214" s="1" t="str">
        <x:f>_xlfn.IFNA(VLOOKUP(Source!B2208,Advertisers!$A$5:$B$34,2,FALSE),"Missing advertiser")</x:f>
        <x:v>Synthetic advertiser 4</x:v>
      </x:c>
      <x:c r="C2214" s="1" t="n">
        <x:f>Source!C2208</x:f>
        <x:v>94</x:v>
      </x:c>
      <x:c r="D2214" s="8" t="n">
        <x:f>Source!D2208/100</x:f>
        <x:v>65.62</x:v>
      </x:c>
      <x:c r="E2214" s="8" t="n">
        <x:f>Source!E2208/100</x:f>
        <x:v>131.24</x:v>
      </x:c>
      <x:c r="F2214" s="8" t="n">
        <x:f>Source!F2208/100</x:f>
        <x:v>0</x:v>
      </x:c>
      <x:c r="G2214" s="8" t="n">
        <x:f>Source!G2208/100</x:f>
        <x:v>131.24</x:v>
      </x:c>
      <x:c r="H2214" s="8" t="n">
        <x:f>G2214-D2214</x:f>
        <x:v>65.62</x:v>
      </x:c>
      <x:c r="I2214" s="1" t="str">
        <x:f>IF(H2214&gt;0,"Overbilled","Shortfall")</x:f>
        <x:v>Overbilled</x:v>
      </x:c>
      <x:c r="J2214" s="7"/>
      <x:c r="K2214" s="7" t="str">
        <x:v>Open</x:v>
      </x:c>
      <x:c r="L2214" s="7"/>
    </x:row>
    <x:row r="2215" ht="21" customHeight="1">
      <x:c r="A2215" s="1" t="str">
        <x:f>Source!A2209</x:f>
        <x:v>C0000280</x:v>
      </x:c>
      <x:c r="B2215" s="1" t="str">
        <x:f>_xlfn.IFNA(VLOOKUP(Source!B2209,Advertisers!$A$5:$B$34,2,FALSE),"Missing advertiser")</x:f>
        <x:v>Synthetic advertiser 4</x:v>
      </x:c>
      <x:c r="C2215" s="1" t="n">
        <x:f>Source!C2209</x:f>
        <x:v>94</x:v>
      </x:c>
      <x:c r="D2215" s="8" t="n">
        <x:f>Source!D2209/100</x:f>
        <x:v>65.62</x:v>
      </x:c>
      <x:c r="E2215" s="8" t="n">
        <x:f>Source!E2209/100</x:f>
        <x:v>0</x:v>
      </x:c>
      <x:c r="F2215" s="8" t="n">
        <x:f>Source!F2209/100</x:f>
        <x:v>0</x:v>
      </x:c>
      <x:c r="G2215" s="8" t="n">
        <x:f>Source!G2209/100</x:f>
        <x:v>0</x:v>
      </x:c>
      <x:c r="H2215" s="8" t="n">
        <x:f>G2215-D2215</x:f>
        <x:v>-65.62</x:v>
      </x:c>
      <x:c r="I2215" s="1" t="str">
        <x:f>IF(H2215&gt;0,"Overbilled","Shortfall")</x:f>
        <x:v>Shortfall</x:v>
      </x:c>
      <x:c r="J2215" s="7"/>
      <x:c r="K2215" s="7" t="str">
        <x:v>Open</x:v>
      </x:c>
      <x:c r="L2215" s="7"/>
    </x:row>
    <x:row r="2216" ht="21" customHeight="1">
      <x:c r="A2216" s="1" t="str">
        <x:f>Source!A2210</x:f>
        <x:v>C0011456</x:v>
      </x:c>
      <x:c r="B2216" s="1" t="str">
        <x:f>_xlfn.IFNA(VLOOKUP(Source!B2210,Advertisers!$A$5:$B$34,2,FALSE),"Missing advertiser")</x:f>
        <x:v>Synthetic advertiser 1</x:v>
      </x:c>
      <x:c r="C2216" s="1" t="n">
        <x:f>Source!C2210</x:f>
        <x:v>61</x:v>
      </x:c>
      <x:c r="D2216" s="8" t="n">
        <x:f>Source!D2210/100</x:f>
        <x:v>65.52</x:v>
      </x:c>
      <x:c r="E2216" s="8" t="n">
        <x:f>Source!E2210/100</x:f>
        <x:v>131.04</x:v>
      </x:c>
      <x:c r="F2216" s="8" t="n">
        <x:f>Source!F2210/100</x:f>
        <x:v>0</x:v>
      </x:c>
      <x:c r="G2216" s="8" t="n">
        <x:f>Source!G2210/100</x:f>
        <x:v>131.04</x:v>
      </x:c>
      <x:c r="H2216" s="8" t="n">
        <x:f>G2216-D2216</x:f>
        <x:v>65.52</x:v>
      </x:c>
      <x:c r="I2216" s="1" t="str">
        <x:f>IF(H2216&gt;0,"Overbilled","Shortfall")</x:f>
        <x:v>Overbilled</x:v>
      </x:c>
      <x:c r="J2216" s="7"/>
      <x:c r="K2216" s="7" t="str">
        <x:v>Open</x:v>
      </x:c>
      <x:c r="L2216" s="7"/>
    </x:row>
    <x:row r="2217" ht="21" customHeight="1">
      <x:c r="A2217" s="1" t="str">
        <x:f>Source!A2211</x:f>
        <x:v>C0000917</x:v>
      </x:c>
      <x:c r="B2217" s="1" t="str">
        <x:f>_xlfn.IFNA(VLOOKUP(Source!B2211,Advertisers!$A$5:$B$34,2,FALSE),"Missing advertiser")</x:f>
        <x:v>Synthetic advertiser 1</x:v>
      </x:c>
      <x:c r="C2217" s="1" t="n">
        <x:f>Source!C2211</x:f>
        <x:v>61</x:v>
      </x:c>
      <x:c r="D2217" s="8" t="n">
        <x:f>Source!D2211/100</x:f>
        <x:v>65.52</x:v>
      </x:c>
      <x:c r="E2217" s="8" t="n">
        <x:f>Source!E2211/100</x:f>
        <x:v>0</x:v>
      </x:c>
      <x:c r="F2217" s="8" t="n">
        <x:f>Source!F2211/100</x:f>
        <x:v>0</x:v>
      </x:c>
      <x:c r="G2217" s="8" t="n">
        <x:f>Source!G2211/100</x:f>
        <x:v>0</x:v>
      </x:c>
      <x:c r="H2217" s="8" t="n">
        <x:f>G2217-D2217</x:f>
        <x:v>-65.52</x:v>
      </x:c>
      <x:c r="I2217" s="1" t="str">
        <x:f>IF(H2217&gt;0,"Overbilled","Shortfall")</x:f>
        <x:v>Shortfall</x:v>
      </x:c>
      <x:c r="J2217" s="7"/>
      <x:c r="K2217" s="7" t="str">
        <x:v>Open</x:v>
      </x:c>
      <x:c r="L2217" s="7"/>
    </x:row>
    <x:row r="2218" ht="21" customHeight="1">
      <x:c r="A2218" s="1" t="str">
        <x:f>Source!A2212</x:f>
        <x:v>C0017729</x:v>
      </x:c>
      <x:c r="B2218" s="1" t="str">
        <x:f>_xlfn.IFNA(VLOOKUP(Source!B2212,Advertisers!$A$5:$B$34,2,FALSE),"Missing advertiser")</x:f>
        <x:v>Synthetic advertiser 1</x:v>
      </x:c>
      <x:c r="C2218" s="1" t="n">
        <x:f>Source!C2212</x:f>
        <x:v>61</x:v>
      </x:c>
      <x:c r="D2218" s="8" t="n">
        <x:f>Source!D2212/100</x:f>
        <x:v>65.52</x:v>
      </x:c>
      <x:c r="E2218" s="8" t="n">
        <x:f>Source!E2212/100</x:f>
        <x:v>0</x:v>
      </x:c>
      <x:c r="F2218" s="8" t="n">
        <x:f>Source!F2212/100</x:f>
        <x:v>0</x:v>
      </x:c>
      <x:c r="G2218" s="8" t="n">
        <x:f>Source!G2212/100</x:f>
        <x:v>0</x:v>
      </x:c>
      <x:c r="H2218" s="8" t="n">
        <x:f>G2218-D2218</x:f>
        <x:v>-65.52</x:v>
      </x:c>
      <x:c r="I2218" s="1" t="str">
        <x:f>IF(H2218&gt;0,"Overbilled","Shortfall")</x:f>
        <x:v>Shortfall</x:v>
      </x:c>
      <x:c r="J2218" s="7"/>
      <x:c r="K2218" s="7" t="str">
        <x:v>Open</x:v>
      </x:c>
      <x:c r="L2218" s="7"/>
    </x:row>
    <x:row r="2219" ht="21" customHeight="1">
      <x:c r="A2219" s="1" t="str">
        <x:f>Source!A2213</x:f>
        <x:v>C0015231</x:v>
      </x:c>
      <x:c r="B2219" s="1" t="str">
        <x:f>_xlfn.IFNA(VLOOKUP(Source!B2213,Advertisers!$A$5:$B$34,2,FALSE),"Missing advertiser")</x:f>
        <x:v>Synthetic advertiser 1</x:v>
      </x:c>
      <x:c r="C2219" s="1" t="n">
        <x:f>Source!C2213</x:f>
        <x:v>61</x:v>
      </x:c>
      <x:c r="D2219" s="8" t="n">
        <x:f>Source!D2213/100</x:f>
        <x:v>65.52</x:v>
      </x:c>
      <x:c r="E2219" s="8" t="n">
        <x:f>Source!E2213/100</x:f>
        <x:v>131.04</x:v>
      </x:c>
      <x:c r="F2219" s="8" t="n">
        <x:f>Source!F2213/100</x:f>
        <x:v>0</x:v>
      </x:c>
      <x:c r="G2219" s="8" t="n">
        <x:f>Source!G2213/100</x:f>
        <x:v>131.04</x:v>
      </x:c>
      <x:c r="H2219" s="8" t="n">
        <x:f>G2219-D2219</x:f>
        <x:v>65.52</x:v>
      </x:c>
      <x:c r="I2219" s="1" t="str">
        <x:f>IF(H2219&gt;0,"Overbilled","Shortfall")</x:f>
        <x:v>Overbilled</x:v>
      </x:c>
      <x:c r="J2219" s="7"/>
      <x:c r="K2219" s="7" t="str">
        <x:v>Open</x:v>
      </x:c>
      <x:c r="L2219" s="7"/>
    </x:row>
    <x:row r="2220" ht="21" customHeight="1">
      <x:c r="A2220" s="1" t="str">
        <x:f>Source!A2214</x:f>
        <x:v>C0002247</x:v>
      </x:c>
      <x:c r="B2220" s="1" t="str">
        <x:f>_xlfn.IFNA(VLOOKUP(Source!B2214,Advertisers!$A$5:$B$34,2,FALSE),"Missing advertiser")</x:f>
        <x:v>Synthetic advertiser 1</x:v>
      </x:c>
      <x:c r="C2220" s="1" t="n">
        <x:f>Source!C2214</x:f>
        <x:v>61</x:v>
      </x:c>
      <x:c r="D2220" s="8" t="n">
        <x:f>Source!D2214/100</x:f>
        <x:v>0</x:v>
      </x:c>
      <x:c r="E2220" s="8" t="n">
        <x:f>Source!E2214/100</x:f>
        <x:v>65.52</x:v>
      </x:c>
      <x:c r="F2220" s="8" t="n">
        <x:f>Source!F2214/100</x:f>
        <x:v>0</x:v>
      </x:c>
      <x:c r="G2220" s="8" t="n">
        <x:f>Source!G2214/100</x:f>
        <x:v>65.52</x:v>
      </x:c>
      <x:c r="H2220" s="8" t="n">
        <x:f>G2220-D2220</x:f>
        <x:v>65.52</x:v>
      </x:c>
      <x:c r="I2220" s="1" t="str">
        <x:f>IF(H2220&gt;0,"Overbilled","Shortfall")</x:f>
        <x:v>Overbilled</x:v>
      </x:c>
      <x:c r="J2220" s="7"/>
      <x:c r="K2220" s="7" t="str">
        <x:v>Open</x:v>
      </x:c>
      <x:c r="L2220" s="7"/>
    </x:row>
    <x:row r="2221" ht="21" customHeight="1">
      <x:c r="A2221" s="1" t="str">
        <x:f>Source!A2215</x:f>
        <x:v>C0017933</x:v>
      </x:c>
      <x:c r="B2221" s="1" t="str">
        <x:f>_xlfn.IFNA(VLOOKUP(Source!B2215,Advertisers!$A$5:$B$34,2,FALSE),"Missing advertiser")</x:f>
        <x:v>Synthetic advertiser 1</x:v>
      </x:c>
      <x:c r="C2221" s="1" t="n">
        <x:f>Source!C2215</x:f>
        <x:v>61</x:v>
      </x:c>
      <x:c r="D2221" s="8" t="n">
        <x:f>Source!D2215/100</x:f>
        <x:v>65.52</x:v>
      </x:c>
      <x:c r="E2221" s="8" t="n">
        <x:f>Source!E2215/100</x:f>
        <x:v>131.04</x:v>
      </x:c>
      <x:c r="F2221" s="8" t="n">
        <x:f>Source!F2215/100</x:f>
        <x:v>0</x:v>
      </x:c>
      <x:c r="G2221" s="8" t="n">
        <x:f>Source!G2215/100</x:f>
        <x:v>131.04</x:v>
      </x:c>
      <x:c r="H2221" s="8" t="n">
        <x:f>G2221-D2221</x:f>
        <x:v>65.52</x:v>
      </x:c>
      <x:c r="I2221" s="1" t="str">
        <x:f>IF(H2221&gt;0,"Overbilled","Shortfall")</x:f>
        <x:v>Overbilled</x:v>
      </x:c>
      <x:c r="J2221" s="7"/>
      <x:c r="K2221" s="7" t="str">
        <x:v>Open</x:v>
      </x:c>
      <x:c r="L2221" s="7"/>
    </x:row>
    <x:row r="2222" ht="21" customHeight="1">
      <x:c r="A2222" s="1" t="str">
        <x:f>Source!A2216</x:f>
        <x:v>C0002026</x:v>
      </x:c>
      <x:c r="B2222" s="1" t="str">
        <x:f>_xlfn.IFNA(VLOOKUP(Source!B2216,Advertisers!$A$5:$B$34,2,FALSE),"Missing advertiser")</x:f>
        <x:v>Synthetic advertiser 1</x:v>
      </x:c>
      <x:c r="C2222" s="1" t="n">
        <x:f>Source!C2216</x:f>
        <x:v>61</x:v>
      </x:c>
      <x:c r="D2222" s="8" t="n">
        <x:f>Source!D2216/100</x:f>
        <x:v>65.52</x:v>
      </x:c>
      <x:c r="E2222" s="8" t="n">
        <x:f>Source!E2216/100</x:f>
        <x:v>131.04</x:v>
      </x:c>
      <x:c r="F2222" s="8" t="n">
        <x:f>Source!F2216/100</x:f>
        <x:v>0</x:v>
      </x:c>
      <x:c r="G2222" s="8" t="n">
        <x:f>Source!G2216/100</x:f>
        <x:v>131.04</x:v>
      </x:c>
      <x:c r="H2222" s="8" t="n">
        <x:f>G2222-D2222</x:f>
        <x:v>65.52</x:v>
      </x:c>
      <x:c r="I2222" s="1" t="str">
        <x:f>IF(H2222&gt;0,"Overbilled","Shortfall")</x:f>
        <x:v>Overbilled</x:v>
      </x:c>
      <x:c r="J2222" s="7"/>
      <x:c r="K2222" s="7" t="str">
        <x:v>Open</x:v>
      </x:c>
      <x:c r="L2222" s="7"/>
    </x:row>
    <x:row r="2223" ht="21" customHeight="1">
      <x:c r="A2223" s="1" t="str">
        <x:f>Source!A2217</x:f>
        <x:v>C0012391</x:v>
      </x:c>
      <x:c r="B2223" s="1" t="str">
        <x:f>_xlfn.IFNA(VLOOKUP(Source!B2217,Advertisers!$A$5:$B$34,2,FALSE),"Missing advertiser")</x:f>
        <x:v>Synthetic advertiser 1</x:v>
      </x:c>
      <x:c r="C2223" s="1" t="n">
        <x:f>Source!C2217</x:f>
        <x:v>61</x:v>
      </x:c>
      <x:c r="D2223" s="8" t="n">
        <x:f>Source!D2217/100</x:f>
        <x:v>0</x:v>
      </x:c>
      <x:c r="E2223" s="8" t="n">
        <x:f>Source!E2217/100</x:f>
        <x:v>65.52</x:v>
      </x:c>
      <x:c r="F2223" s="8" t="n">
        <x:f>Source!F2217/100</x:f>
        <x:v>0</x:v>
      </x:c>
      <x:c r="G2223" s="8" t="n">
        <x:f>Source!G2217/100</x:f>
        <x:v>65.52</x:v>
      </x:c>
      <x:c r="H2223" s="8" t="n">
        <x:f>G2223-D2223</x:f>
        <x:v>65.52</x:v>
      </x:c>
      <x:c r="I2223" s="1" t="str">
        <x:f>IF(H2223&gt;0,"Overbilled","Shortfall")</x:f>
        <x:v>Overbilled</x:v>
      </x:c>
      <x:c r="J2223" s="7"/>
      <x:c r="K2223" s="7" t="str">
        <x:v>Open</x:v>
      </x:c>
      <x:c r="L2223" s="7"/>
    </x:row>
    <x:row r="2224" ht="21" customHeight="1">
      <x:c r="A2224" s="1" t="str">
        <x:f>Source!A2218</x:f>
        <x:v>C0013316</x:v>
      </x:c>
      <x:c r="B2224" s="1" t="str">
        <x:f>_xlfn.IFNA(VLOOKUP(Source!B2218,Advertisers!$A$5:$B$34,2,FALSE),"Missing advertiser")</x:f>
        <x:v>Synthetic advertiser 1</x:v>
      </x:c>
      <x:c r="C2224" s="1" t="n">
        <x:f>Source!C2218</x:f>
        <x:v>61</x:v>
      </x:c>
      <x:c r="D2224" s="8" t="n">
        <x:f>Source!D2218/100</x:f>
        <x:v>0</x:v>
      </x:c>
      <x:c r="E2224" s="8" t="n">
        <x:f>Source!E2218/100</x:f>
        <x:v>65.52</x:v>
      </x:c>
      <x:c r="F2224" s="8" t="n">
        <x:f>Source!F2218/100</x:f>
        <x:v>0</x:v>
      </x:c>
      <x:c r="G2224" s="8" t="n">
        <x:f>Source!G2218/100</x:f>
        <x:v>65.52</x:v>
      </x:c>
      <x:c r="H2224" s="8" t="n">
        <x:f>G2224-D2224</x:f>
        <x:v>65.52</x:v>
      </x:c>
      <x:c r="I2224" s="1" t="str">
        <x:f>IF(H2224&gt;0,"Overbilled","Shortfall")</x:f>
        <x:v>Overbilled</x:v>
      </x:c>
      <x:c r="J2224" s="7"/>
      <x:c r="K2224" s="7" t="str">
        <x:v>Open</x:v>
      </x:c>
      <x:c r="L2224" s="7"/>
    </x:row>
    <x:row r="2225" ht="21" customHeight="1">
      <x:c r="A2225" s="1" t="str">
        <x:f>Source!A2219</x:f>
        <x:v>C0008592</x:v>
      </x:c>
      <x:c r="B2225" s="1" t="str">
        <x:f>_xlfn.IFNA(VLOOKUP(Source!B2219,Advertisers!$A$5:$B$34,2,FALSE),"Missing advertiser")</x:f>
        <x:v>Synthetic advertiser 1</x:v>
      </x:c>
      <x:c r="C2225" s="1" t="n">
        <x:f>Source!C2219</x:f>
        <x:v>61</x:v>
      </x:c>
      <x:c r="D2225" s="8" t="n">
        <x:f>Source!D2219/100</x:f>
        <x:v>0</x:v>
      </x:c>
      <x:c r="E2225" s="8" t="n">
        <x:f>Source!E2219/100</x:f>
        <x:v>65.52</x:v>
      </x:c>
      <x:c r="F2225" s="8" t="n">
        <x:f>Source!F2219/100</x:f>
        <x:v>0</x:v>
      </x:c>
      <x:c r="G2225" s="8" t="n">
        <x:f>Source!G2219/100</x:f>
        <x:v>65.52</x:v>
      </x:c>
      <x:c r="H2225" s="8" t="n">
        <x:f>G2225-D2225</x:f>
        <x:v>65.52</x:v>
      </x:c>
      <x:c r="I2225" s="1" t="str">
        <x:f>IF(H2225&gt;0,"Overbilled","Shortfall")</x:f>
        <x:v>Overbilled</x:v>
      </x:c>
      <x:c r="J2225" s="7"/>
      <x:c r="K2225" s="7" t="str">
        <x:v>Open</x:v>
      </x:c>
      <x:c r="L2225" s="7"/>
    </x:row>
    <x:row r="2226" ht="21" customHeight="1">
      <x:c r="A2226" s="1" t="str">
        <x:f>Source!A2220</x:f>
        <x:v>C0004141</x:v>
      </x:c>
      <x:c r="B2226" s="1" t="str">
        <x:f>_xlfn.IFNA(VLOOKUP(Source!B2220,Advertisers!$A$5:$B$34,2,FALSE),"Missing advertiser")</x:f>
        <x:v>Synthetic advertiser 14</x:v>
      </x:c>
      <x:c r="C2226" s="1" t="n">
        <x:f>Source!C2220</x:f>
        <x:v>74</x:v>
      </x:c>
      <x:c r="D2226" s="8" t="n">
        <x:f>Source!D2220/100</x:f>
        <x:v>64.8</x:v>
      </x:c>
      <x:c r="E2226" s="8" t="n">
        <x:f>Source!E2220/100</x:f>
        <x:v>129.6</x:v>
      </x:c>
      <x:c r="F2226" s="8" t="n">
        <x:f>Source!F2220/100</x:f>
        <x:v>0</x:v>
      </x:c>
      <x:c r="G2226" s="8" t="n">
        <x:f>Source!G2220/100</x:f>
        <x:v>129.6</x:v>
      </x:c>
      <x:c r="H2226" s="8" t="n">
        <x:f>G2226-D2226</x:f>
        <x:v>64.8</x:v>
      </x:c>
      <x:c r="I2226" s="1" t="str">
        <x:f>IF(H2226&gt;0,"Overbilled","Shortfall")</x:f>
        <x:v>Overbilled</x:v>
      </x:c>
      <x:c r="J2226" s="7"/>
      <x:c r="K2226" s="7" t="str">
        <x:v>Open</x:v>
      </x:c>
      <x:c r="L2226" s="7"/>
    </x:row>
    <x:row r="2227" ht="21" customHeight="1">
      <x:c r="A2227" s="1" t="str">
        <x:f>Source!A2221</x:f>
        <x:v>C0009325</x:v>
      </x:c>
      <x:c r="B2227" s="1" t="str">
        <x:f>_xlfn.IFNA(VLOOKUP(Source!B2221,Advertisers!$A$5:$B$34,2,FALSE),"Missing advertiser")</x:f>
        <x:v>Synthetic advertiser 14</x:v>
      </x:c>
      <x:c r="C2227" s="1" t="n">
        <x:f>Source!C2221</x:f>
        <x:v>74</x:v>
      </x:c>
      <x:c r="D2227" s="8" t="n">
        <x:f>Source!D2221/100</x:f>
        <x:v>64.8</x:v>
      </x:c>
      <x:c r="E2227" s="8" t="n">
        <x:f>Source!E2221/100</x:f>
        <x:v>0</x:v>
      </x:c>
      <x:c r="F2227" s="8" t="n">
        <x:f>Source!F2221/100</x:f>
        <x:v>0</x:v>
      </x:c>
      <x:c r="G2227" s="8" t="n">
        <x:f>Source!G2221/100</x:f>
        <x:v>0</x:v>
      </x:c>
      <x:c r="H2227" s="8" t="n">
        <x:f>G2227-D2227</x:f>
        <x:v>-64.8</x:v>
      </x:c>
      <x:c r="I2227" s="1" t="str">
        <x:f>IF(H2227&gt;0,"Overbilled","Shortfall")</x:f>
        <x:v>Shortfall</x:v>
      </x:c>
      <x:c r="J2227" s="7"/>
      <x:c r="K2227" s="7" t="str">
        <x:v>Open</x:v>
      </x:c>
      <x:c r="L2227" s="7"/>
    </x:row>
    <x:row r="2228" ht="21" customHeight="1">
      <x:c r="A2228" s="1" t="str">
        <x:f>Source!A2222</x:f>
        <x:v>C0002240</x:v>
      </x:c>
      <x:c r="B2228" s="1" t="str">
        <x:f>_xlfn.IFNA(VLOOKUP(Source!B2222,Advertisers!$A$5:$B$34,2,FALSE),"Missing advertiser")</x:f>
        <x:v>Synthetic advertiser 14</x:v>
      </x:c>
      <x:c r="C2228" s="1" t="n">
        <x:f>Source!C2222</x:f>
        <x:v>74</x:v>
      </x:c>
      <x:c r="D2228" s="8" t="n">
        <x:f>Source!D2222/100</x:f>
        <x:v>64.8</x:v>
      </x:c>
      <x:c r="E2228" s="8" t="n">
        <x:f>Source!E2222/100</x:f>
        <x:v>0</x:v>
      </x:c>
      <x:c r="F2228" s="8" t="n">
        <x:f>Source!F2222/100</x:f>
        <x:v>0</x:v>
      </x:c>
      <x:c r="G2228" s="8" t="n">
        <x:f>Source!G2222/100</x:f>
        <x:v>0</x:v>
      </x:c>
      <x:c r="H2228" s="8" t="n">
        <x:f>G2228-D2228</x:f>
        <x:v>-64.8</x:v>
      </x:c>
      <x:c r="I2228" s="1" t="str">
        <x:f>IF(H2228&gt;0,"Overbilled","Shortfall")</x:f>
        <x:v>Shortfall</x:v>
      </x:c>
      <x:c r="J2228" s="7"/>
      <x:c r="K2228" s="7" t="str">
        <x:v>Open</x:v>
      </x:c>
      <x:c r="L2228" s="7"/>
    </x:row>
    <x:row r="2229" ht="21" customHeight="1">
      <x:c r="A2229" s="1" t="str">
        <x:f>Source!A2223</x:f>
        <x:v>C0016988</x:v>
      </x:c>
      <x:c r="B2229" s="1" t="str">
        <x:f>_xlfn.IFNA(VLOOKUP(Source!B2223,Advertisers!$A$5:$B$34,2,FALSE),"Missing advertiser")</x:f>
        <x:v>Synthetic advertiser 14</x:v>
      </x:c>
      <x:c r="C2229" s="1" t="n">
        <x:f>Source!C2223</x:f>
        <x:v>74</x:v>
      </x:c>
      <x:c r="D2229" s="8" t="n">
        <x:f>Source!D2223/100</x:f>
        <x:v>64.8</x:v>
      </x:c>
      <x:c r="E2229" s="8" t="n">
        <x:f>Source!E2223/100</x:f>
        <x:v>129.6</x:v>
      </x:c>
      <x:c r="F2229" s="8" t="n">
        <x:f>Source!F2223/100</x:f>
        <x:v>0</x:v>
      </x:c>
      <x:c r="G2229" s="8" t="n">
        <x:f>Source!G2223/100</x:f>
        <x:v>129.6</x:v>
      </x:c>
      <x:c r="H2229" s="8" t="n">
        <x:f>G2229-D2229</x:f>
        <x:v>64.8</x:v>
      </x:c>
      <x:c r="I2229" s="1" t="str">
        <x:f>IF(H2229&gt;0,"Overbilled","Shortfall")</x:f>
        <x:v>Overbilled</x:v>
      </x:c>
      <x:c r="J2229" s="7"/>
      <x:c r="K2229" s="7" t="str">
        <x:v>Open</x:v>
      </x:c>
      <x:c r="L2229" s="7"/>
    </x:row>
    <x:row r="2230" ht="21" customHeight="1">
      <x:c r="A2230" s="1" t="str">
        <x:f>Source!A2224</x:f>
        <x:v>C0005981</x:v>
      </x:c>
      <x:c r="B2230" s="1" t="str">
        <x:f>_xlfn.IFNA(VLOOKUP(Source!B2224,Advertisers!$A$5:$B$34,2,FALSE),"Missing advertiser")</x:f>
        <x:v>Synthetic advertiser 14</x:v>
      </x:c>
      <x:c r="C2230" s="1" t="n">
        <x:f>Source!C2224</x:f>
        <x:v>74</x:v>
      </x:c>
      <x:c r="D2230" s="8" t="n">
        <x:f>Source!D2224/100</x:f>
        <x:v>64.8</x:v>
      </x:c>
      <x:c r="E2230" s="8" t="n">
        <x:f>Source!E2224/100</x:f>
        <x:v>0</x:v>
      </x:c>
      <x:c r="F2230" s="8" t="n">
        <x:f>Source!F2224/100</x:f>
        <x:v>0</x:v>
      </x:c>
      <x:c r="G2230" s="8" t="n">
        <x:f>Source!G2224/100</x:f>
        <x:v>0</x:v>
      </x:c>
      <x:c r="H2230" s="8" t="n">
        <x:f>G2230-D2230</x:f>
        <x:v>-64.8</x:v>
      </x:c>
      <x:c r="I2230" s="1" t="str">
        <x:f>IF(H2230&gt;0,"Overbilled","Shortfall")</x:f>
        <x:v>Shortfall</x:v>
      </x:c>
      <x:c r="J2230" s="7"/>
      <x:c r="K2230" s="7" t="str">
        <x:v>Open</x:v>
      </x:c>
      <x:c r="L2230" s="7"/>
    </x:row>
    <x:row r="2231" ht="21" customHeight="1">
      <x:c r="A2231" s="1" t="str">
        <x:f>Source!A2225</x:f>
        <x:v>C0012733</x:v>
      </x:c>
      <x:c r="B2231" s="1" t="str">
        <x:f>_xlfn.IFNA(VLOOKUP(Source!B2225,Advertisers!$A$5:$B$34,2,FALSE),"Missing advertiser")</x:f>
        <x:v>Synthetic advertiser 14</x:v>
      </x:c>
      <x:c r="C2231" s="1" t="n">
        <x:f>Source!C2225</x:f>
        <x:v>74</x:v>
      </x:c>
      <x:c r="D2231" s="8" t="n">
        <x:f>Source!D2225/100</x:f>
        <x:v>64.8</x:v>
      </x:c>
      <x:c r="E2231" s="8" t="n">
        <x:f>Source!E2225/100</x:f>
        <x:v>0</x:v>
      </x:c>
      <x:c r="F2231" s="8" t="n">
        <x:f>Source!F2225/100</x:f>
        <x:v>0</x:v>
      </x:c>
      <x:c r="G2231" s="8" t="n">
        <x:f>Source!G2225/100</x:f>
        <x:v>0</x:v>
      </x:c>
      <x:c r="H2231" s="8" t="n">
        <x:f>G2231-D2231</x:f>
        <x:v>-64.8</x:v>
      </x:c>
      <x:c r="I2231" s="1" t="str">
        <x:f>IF(H2231&gt;0,"Overbilled","Shortfall")</x:f>
        <x:v>Shortfall</x:v>
      </x:c>
      <x:c r="J2231" s="7"/>
      <x:c r="K2231" s="7" t="str">
        <x:v>Open</x:v>
      </x:c>
      <x:c r="L2231" s="7"/>
    </x:row>
    <x:row r="2232" ht="21" customHeight="1">
      <x:c r="A2232" s="1" t="str">
        <x:f>Source!A2226</x:f>
        <x:v>C0010140</x:v>
      </x:c>
      <x:c r="B2232" s="1" t="str">
        <x:f>_xlfn.IFNA(VLOOKUP(Source!B2226,Advertisers!$A$5:$B$34,2,FALSE),"Missing advertiser")</x:f>
        <x:v>Synthetic advertiser 17</x:v>
      </x:c>
      <x:c r="C2232" s="1" t="n">
        <x:f>Source!C2226</x:f>
        <x:v>17</x:v>
      </x:c>
      <x:c r="D2232" s="8" t="n">
        <x:f>Source!D2226/100</x:f>
        <x:v>62.99</x:v>
      </x:c>
      <x:c r="E2232" s="8" t="n">
        <x:f>Source!E2226/100</x:f>
        <x:v>125.98</x:v>
      </x:c>
      <x:c r="F2232" s="8" t="n">
        <x:f>Source!F2226/100</x:f>
        <x:v>0</x:v>
      </x:c>
      <x:c r="G2232" s="8" t="n">
        <x:f>Source!G2226/100</x:f>
        <x:v>125.98</x:v>
      </x:c>
      <x:c r="H2232" s="8" t="n">
        <x:f>G2232-D2232</x:f>
        <x:v>62.99</x:v>
      </x:c>
      <x:c r="I2232" s="1" t="str">
        <x:f>IF(H2232&gt;0,"Overbilled","Shortfall")</x:f>
        <x:v>Overbilled</x:v>
      </x:c>
      <x:c r="J2232" s="7"/>
      <x:c r="K2232" s="7" t="str">
        <x:v>Open</x:v>
      </x:c>
      <x:c r="L2232" s="7"/>
    </x:row>
    <x:row r="2233" ht="21" customHeight="1">
      <x:c r="A2233" s="1" t="str">
        <x:f>Source!A2227</x:f>
        <x:v>C0016026</x:v>
      </x:c>
      <x:c r="B2233" s="1" t="str">
        <x:f>_xlfn.IFNA(VLOOKUP(Source!B2227,Advertisers!$A$5:$B$34,2,FALSE),"Missing advertiser")</x:f>
        <x:v>Synthetic advertiser 17</x:v>
      </x:c>
      <x:c r="C2233" s="1" t="n">
        <x:f>Source!C2227</x:f>
        <x:v>17</x:v>
      </x:c>
      <x:c r="D2233" s="8" t="n">
        <x:f>Source!D2227/100</x:f>
        <x:v>62.99</x:v>
      </x:c>
      <x:c r="E2233" s="8" t="n">
        <x:f>Source!E2227/100</x:f>
        <x:v>0</x:v>
      </x:c>
      <x:c r="F2233" s="8" t="n">
        <x:f>Source!F2227/100</x:f>
        <x:v>0</x:v>
      </x:c>
      <x:c r="G2233" s="8" t="n">
        <x:f>Source!G2227/100</x:f>
        <x:v>0</x:v>
      </x:c>
      <x:c r="H2233" s="8" t="n">
        <x:f>G2233-D2233</x:f>
        <x:v>-62.99</x:v>
      </x:c>
      <x:c r="I2233" s="1" t="str">
        <x:f>IF(H2233&gt;0,"Overbilled","Shortfall")</x:f>
        <x:v>Shortfall</x:v>
      </x:c>
      <x:c r="J2233" s="7"/>
      <x:c r="K2233" s="7" t="str">
        <x:v>Open</x:v>
      </x:c>
      <x:c r="L2233" s="7"/>
    </x:row>
    <x:row r="2234" ht="21" customHeight="1">
      <x:c r="A2234" s="1" t="str">
        <x:f>Source!A2228</x:f>
        <x:v>C0003078</x:v>
      </x:c>
      <x:c r="B2234" s="1" t="str">
        <x:f>_xlfn.IFNA(VLOOKUP(Source!B2228,Advertisers!$A$5:$B$34,2,FALSE),"Missing advertiser")</x:f>
        <x:v>Synthetic advertiser 17</x:v>
      </x:c>
      <x:c r="C2234" s="1" t="n">
        <x:f>Source!C2228</x:f>
        <x:v>17</x:v>
      </x:c>
      <x:c r="D2234" s="8" t="n">
        <x:f>Source!D2228/100</x:f>
        <x:v>62.99</x:v>
      </x:c>
      <x:c r="E2234" s="8" t="n">
        <x:f>Source!E2228/100</x:f>
        <x:v>0</x:v>
      </x:c>
      <x:c r="F2234" s="8" t="n">
        <x:f>Source!F2228/100</x:f>
        <x:v>0</x:v>
      </x:c>
      <x:c r="G2234" s="8" t="n">
        <x:f>Source!G2228/100</x:f>
        <x:v>0</x:v>
      </x:c>
      <x:c r="H2234" s="8" t="n">
        <x:f>G2234-D2234</x:f>
        <x:v>-62.99</x:v>
      </x:c>
      <x:c r="I2234" s="1" t="str">
        <x:f>IF(H2234&gt;0,"Overbilled","Shortfall")</x:f>
        <x:v>Shortfall</x:v>
      </x:c>
      <x:c r="J2234" s="7"/>
      <x:c r="K2234" s="7" t="str">
        <x:v>Open</x:v>
      </x:c>
      <x:c r="L2234" s="7"/>
    </x:row>
    <x:row r="2235" ht="21" customHeight="1">
      <x:c r="A2235" s="1" t="str">
        <x:f>Source!A2229</x:f>
        <x:v>C0010283</x:v>
      </x:c>
      <x:c r="B2235" s="1" t="str">
        <x:f>_xlfn.IFNA(VLOOKUP(Source!B2229,Advertisers!$A$5:$B$34,2,FALSE),"Missing advertiser")</x:f>
        <x:v>Synthetic advertiser 17</x:v>
      </x:c>
      <x:c r="C2235" s="1" t="n">
        <x:f>Source!C2229</x:f>
        <x:v>17</x:v>
      </x:c>
      <x:c r="D2235" s="8" t="n">
        <x:f>Source!D2229/100</x:f>
        <x:v>62.99</x:v>
      </x:c>
      <x:c r="E2235" s="8" t="n">
        <x:f>Source!E2229/100</x:f>
        <x:v>125.98</x:v>
      </x:c>
      <x:c r="F2235" s="8" t="n">
        <x:f>Source!F2229/100</x:f>
        <x:v>0</x:v>
      </x:c>
      <x:c r="G2235" s="8" t="n">
        <x:f>Source!G2229/100</x:f>
        <x:v>125.98</x:v>
      </x:c>
      <x:c r="H2235" s="8" t="n">
        <x:f>G2235-D2235</x:f>
        <x:v>62.99</x:v>
      </x:c>
      <x:c r="I2235" s="1" t="str">
        <x:f>IF(H2235&gt;0,"Overbilled","Shortfall")</x:f>
        <x:v>Overbilled</x:v>
      </x:c>
      <x:c r="J2235" s="7"/>
      <x:c r="K2235" s="7" t="str">
        <x:v>Open</x:v>
      </x:c>
      <x:c r="L2235" s="7"/>
    </x:row>
    <x:row r="2236" ht="21" customHeight="1">
      <x:c r="A2236" s="1" t="str">
        <x:f>Source!A2230</x:f>
        <x:v>C0000049</x:v>
      </x:c>
      <x:c r="B2236" s="1" t="str">
        <x:f>_xlfn.IFNA(VLOOKUP(Source!B2230,Advertisers!$A$5:$B$34,2,FALSE),"Missing advertiser")</x:f>
        <x:v>Synthetic advertiser 17</x:v>
      </x:c>
      <x:c r="C2236" s="1" t="n">
        <x:f>Source!C2230</x:f>
        <x:v>17</x:v>
      </x:c>
      <x:c r="D2236" s="8" t="n">
        <x:f>Source!D2230/100</x:f>
        <x:v>62.99</x:v>
      </x:c>
      <x:c r="E2236" s="8" t="n">
        <x:f>Source!E2230/100</x:f>
        <x:v>125.98</x:v>
      </x:c>
      <x:c r="F2236" s="8" t="n">
        <x:f>Source!F2230/100</x:f>
        <x:v>0</x:v>
      </x:c>
      <x:c r="G2236" s="8" t="n">
        <x:f>Source!G2230/100</x:f>
        <x:v>125.98</x:v>
      </x:c>
      <x:c r="H2236" s="8" t="n">
        <x:f>G2236-D2236</x:f>
        <x:v>62.99</x:v>
      </x:c>
      <x:c r="I2236" s="1" t="str">
        <x:f>IF(H2236&gt;0,"Overbilled","Shortfall")</x:f>
        <x:v>Overbilled</x:v>
      </x:c>
      <x:c r="J2236" s="7"/>
      <x:c r="K2236" s="7" t="str">
        <x:v>Open</x:v>
      </x:c>
      <x:c r="L2236" s="7"/>
    </x:row>
    <x:row r="2237" ht="21" customHeight="1">
      <x:c r="A2237" s="1" t="str">
        <x:f>Source!A2231</x:f>
        <x:v>C0007554</x:v>
      </x:c>
      <x:c r="B2237" s="1" t="str">
        <x:f>_xlfn.IFNA(VLOOKUP(Source!B2231,Advertisers!$A$5:$B$34,2,FALSE),"Missing advertiser")</x:f>
        <x:v>Synthetic advertiser 17</x:v>
      </x:c>
      <x:c r="C2237" s="1" t="n">
        <x:f>Source!C2231</x:f>
        <x:v>17</x:v>
      </x:c>
      <x:c r="D2237" s="8" t="n">
        <x:f>Source!D2231/100</x:f>
        <x:v>62.99</x:v>
      </x:c>
      <x:c r="E2237" s="8" t="n">
        <x:f>Source!E2231/100</x:f>
        <x:v>125.98</x:v>
      </x:c>
      <x:c r="F2237" s="8" t="n">
        <x:f>Source!F2231/100</x:f>
        <x:v>0</x:v>
      </x:c>
      <x:c r="G2237" s="8" t="n">
        <x:f>Source!G2231/100</x:f>
        <x:v>125.98</x:v>
      </x:c>
      <x:c r="H2237" s="8" t="n">
        <x:f>G2237-D2237</x:f>
        <x:v>62.99</x:v>
      </x:c>
      <x:c r="I2237" s="1" t="str">
        <x:f>IF(H2237&gt;0,"Overbilled","Shortfall")</x:f>
        <x:v>Overbilled</x:v>
      </x:c>
      <x:c r="J2237" s="7"/>
      <x:c r="K2237" s="7" t="str">
        <x:v>Open</x:v>
      </x:c>
      <x:c r="L2237" s="7"/>
    </x:row>
    <x:row r="2238" ht="21" customHeight="1">
      <x:c r="A2238" s="1" t="str">
        <x:f>Source!A2232</x:f>
        <x:v>C0015918</x:v>
      </x:c>
      <x:c r="B2238" s="1" t="str">
        <x:f>_xlfn.IFNA(VLOOKUP(Source!B2232,Advertisers!$A$5:$B$34,2,FALSE),"Missing advertiser")</x:f>
        <x:v>Synthetic advertiser 17</x:v>
      </x:c>
      <x:c r="C2238" s="1" t="n">
        <x:f>Source!C2232</x:f>
        <x:v>17</x:v>
      </x:c>
      <x:c r="D2238" s="8" t="n">
        <x:f>Source!D2232/100</x:f>
        <x:v>62.99</x:v>
      </x:c>
      <x:c r="E2238" s="8" t="n">
        <x:f>Source!E2232/100</x:f>
        <x:v>125.98</x:v>
      </x:c>
      <x:c r="F2238" s="8" t="n">
        <x:f>Source!F2232/100</x:f>
        <x:v>0</x:v>
      </x:c>
      <x:c r="G2238" s="8" t="n">
        <x:f>Source!G2232/100</x:f>
        <x:v>125.98</x:v>
      </x:c>
      <x:c r="H2238" s="8" t="n">
        <x:f>G2238-D2238</x:f>
        <x:v>62.99</x:v>
      </x:c>
      <x:c r="I2238" s="1" t="str">
        <x:f>IF(H2238&gt;0,"Overbilled","Shortfall")</x:f>
        <x:v>Overbilled</x:v>
      </x:c>
      <x:c r="J2238" s="7"/>
      <x:c r="K2238" s="7" t="str">
        <x:v>Open</x:v>
      </x:c>
      <x:c r="L2238" s="7"/>
    </x:row>
    <x:row r="2239" ht="21" customHeight="1">
      <x:c r="A2239" s="1" t="str">
        <x:f>Source!A2233</x:f>
        <x:v>C0002478</x:v>
      </x:c>
      <x:c r="B2239" s="1" t="str">
        <x:f>_xlfn.IFNA(VLOOKUP(Source!B2233,Advertisers!$A$5:$B$34,2,FALSE),"Missing advertiser")</x:f>
        <x:v>Synthetic advertiser 7</x:v>
      </x:c>
      <x:c r="C2239" s="1" t="n">
        <x:f>Source!C2233</x:f>
        <x:v>37</x:v>
      </x:c>
      <x:c r="D2239" s="8" t="n">
        <x:f>Source!D2233/100</x:f>
        <x:v>62.22</x:v>
      </x:c>
      <x:c r="E2239" s="8" t="n">
        <x:f>Source!E2233/100</x:f>
        <x:v>124.44</x:v>
      </x:c>
      <x:c r="F2239" s="8" t="n">
        <x:f>Source!F2233/100</x:f>
        <x:v>0</x:v>
      </x:c>
      <x:c r="G2239" s="8" t="n">
        <x:f>Source!G2233/100</x:f>
        <x:v>124.44</x:v>
      </x:c>
      <x:c r="H2239" s="8" t="n">
        <x:f>G2239-D2239</x:f>
        <x:v>62.22</x:v>
      </x:c>
      <x:c r="I2239" s="1" t="str">
        <x:f>IF(H2239&gt;0,"Overbilled","Shortfall")</x:f>
        <x:v>Overbilled</x:v>
      </x:c>
      <x:c r="J2239" s="7"/>
      <x:c r="K2239" s="7" t="str">
        <x:v>Open</x:v>
      </x:c>
      <x:c r="L2239" s="7"/>
    </x:row>
    <x:row r="2240" ht="21" customHeight="1">
      <x:c r="A2240" s="1" t="str">
        <x:f>Source!A2234</x:f>
        <x:v>C0008279</x:v>
      </x:c>
      <x:c r="B2240" s="1" t="str">
        <x:f>_xlfn.IFNA(VLOOKUP(Source!B2234,Advertisers!$A$5:$B$34,2,FALSE),"Missing advertiser")</x:f>
        <x:v>Synthetic advertiser 7</x:v>
      </x:c>
      <x:c r="C2240" s="1" t="n">
        <x:f>Source!C2234</x:f>
        <x:v>37</x:v>
      </x:c>
      <x:c r="D2240" s="8" t="n">
        <x:f>Source!D2234/100</x:f>
        <x:v>62.22</x:v>
      </x:c>
      <x:c r="E2240" s="8" t="n">
        <x:f>Source!E2234/100</x:f>
        <x:v>0</x:v>
      </x:c>
      <x:c r="F2240" s="8" t="n">
        <x:f>Source!F2234/100</x:f>
        <x:v>0</x:v>
      </x:c>
      <x:c r="G2240" s="8" t="n">
        <x:f>Source!G2234/100</x:f>
        <x:v>0</x:v>
      </x:c>
      <x:c r="H2240" s="8" t="n">
        <x:f>G2240-D2240</x:f>
        <x:v>-62.22</x:v>
      </x:c>
      <x:c r="I2240" s="1" t="str">
        <x:f>IF(H2240&gt;0,"Overbilled","Shortfall")</x:f>
        <x:v>Shortfall</x:v>
      </x:c>
      <x:c r="J2240" s="7"/>
      <x:c r="K2240" s="7" t="str">
        <x:v>Open</x:v>
      </x:c>
      <x:c r="L2240" s="7"/>
    </x:row>
    <x:row r="2241" ht="21" customHeight="1">
      <x:c r="A2241" s="1" t="str">
        <x:f>Source!A2235</x:f>
        <x:v>C0004397</x:v>
      </x:c>
      <x:c r="B2241" s="1" t="str">
        <x:f>_xlfn.IFNA(VLOOKUP(Source!B2235,Advertisers!$A$5:$B$34,2,FALSE),"Missing advertiser")</x:f>
        <x:v>Synthetic advertiser 7</x:v>
      </x:c>
      <x:c r="C2241" s="1" t="n">
        <x:f>Source!C2235</x:f>
        <x:v>37</x:v>
      </x:c>
      <x:c r="D2241" s="8" t="n">
        <x:f>Source!D2235/100</x:f>
        <x:v>62.22</x:v>
      </x:c>
      <x:c r="E2241" s="8" t="n">
        <x:f>Source!E2235/100</x:f>
        <x:v>124.44</x:v>
      </x:c>
      <x:c r="F2241" s="8" t="n">
        <x:f>Source!F2235/100</x:f>
        <x:v>0</x:v>
      </x:c>
      <x:c r="G2241" s="8" t="n">
        <x:f>Source!G2235/100</x:f>
        <x:v>124.44</x:v>
      </x:c>
      <x:c r="H2241" s="8" t="n">
        <x:f>G2241-D2241</x:f>
        <x:v>62.22</x:v>
      </x:c>
      <x:c r="I2241" s="1" t="str">
        <x:f>IF(H2241&gt;0,"Overbilled","Shortfall")</x:f>
        <x:v>Overbilled</x:v>
      </x:c>
      <x:c r="J2241" s="7"/>
      <x:c r="K2241" s="7" t="str">
        <x:v>Open</x:v>
      </x:c>
      <x:c r="L2241" s="7"/>
    </x:row>
    <x:row r="2242" ht="21" customHeight="1">
      <x:c r="A2242" s="1" t="str">
        <x:f>Source!A2236</x:f>
        <x:v>C0009954</x:v>
      </x:c>
      <x:c r="B2242" s="1" t="str">
        <x:f>_xlfn.IFNA(VLOOKUP(Source!B2236,Advertisers!$A$5:$B$34,2,FALSE),"Missing advertiser")</x:f>
        <x:v>Synthetic advertiser 7</x:v>
      </x:c>
      <x:c r="C2242" s="1" t="n">
        <x:f>Source!C2236</x:f>
        <x:v>37</x:v>
      </x:c>
      <x:c r="D2242" s="8" t="n">
        <x:f>Source!D2236/100</x:f>
        <x:v>62.22</x:v>
      </x:c>
      <x:c r="E2242" s="8" t="n">
        <x:f>Source!E2236/100</x:f>
        <x:v>0</x:v>
      </x:c>
      <x:c r="F2242" s="8" t="n">
        <x:f>Source!F2236/100</x:f>
        <x:v>0</x:v>
      </x:c>
      <x:c r="G2242" s="8" t="n">
        <x:f>Source!G2236/100</x:f>
        <x:v>0</x:v>
      </x:c>
      <x:c r="H2242" s="8" t="n">
        <x:f>G2242-D2242</x:f>
        <x:v>-62.22</x:v>
      </x:c>
      <x:c r="I2242" s="1" t="str">
        <x:f>IF(H2242&gt;0,"Overbilled","Shortfall")</x:f>
        <x:v>Shortfall</x:v>
      </x:c>
      <x:c r="J2242" s="7"/>
      <x:c r="K2242" s="7" t="str">
        <x:v>Open</x:v>
      </x:c>
      <x:c r="L2242" s="7"/>
    </x:row>
    <x:row r="2243" ht="21" customHeight="1">
      <x:c r="A2243" s="1" t="str">
        <x:f>Source!A2237</x:f>
        <x:v>C0007352</x:v>
      </x:c>
      <x:c r="B2243" s="1" t="str">
        <x:f>_xlfn.IFNA(VLOOKUP(Source!B2237,Advertisers!$A$5:$B$34,2,FALSE),"Missing advertiser")</x:f>
        <x:v>Synthetic advertiser 7</x:v>
      </x:c>
      <x:c r="C2243" s="1" t="n">
        <x:f>Source!C2237</x:f>
        <x:v>37</x:v>
      </x:c>
      <x:c r="D2243" s="8" t="n">
        <x:f>Source!D2237/100</x:f>
        <x:v>62.22</x:v>
      </x:c>
      <x:c r="E2243" s="8" t="n">
        <x:f>Source!E2237/100</x:f>
        <x:v>0</x:v>
      </x:c>
      <x:c r="F2243" s="8" t="n">
        <x:f>Source!F2237/100</x:f>
        <x:v>0</x:v>
      </x:c>
      <x:c r="G2243" s="8" t="n">
        <x:f>Source!G2237/100</x:f>
        <x:v>0</x:v>
      </x:c>
      <x:c r="H2243" s="8" t="n">
        <x:f>G2243-D2243</x:f>
        <x:v>-62.22</x:v>
      </x:c>
      <x:c r="I2243" s="1" t="str">
        <x:f>IF(H2243&gt;0,"Overbilled","Shortfall")</x:f>
        <x:v>Shortfall</x:v>
      </x:c>
      <x:c r="J2243" s="7"/>
      <x:c r="K2243" s="7" t="str">
        <x:v>Open</x:v>
      </x:c>
      <x:c r="L2243" s="7"/>
    </x:row>
    <x:row r="2244" ht="21" customHeight="1">
      <x:c r="A2244" s="1" t="str">
        <x:f>Source!A2238</x:f>
        <x:v>C0014246</x:v>
      </x:c>
      <x:c r="B2244" s="1" t="str">
        <x:f>_xlfn.IFNA(VLOOKUP(Source!B2238,Advertisers!$A$5:$B$34,2,FALSE),"Missing advertiser")</x:f>
        <x:v>Synthetic advertiser 23</x:v>
      </x:c>
      <x:c r="C2244" s="1" t="n">
        <x:f>Source!C2238</x:f>
        <x:v>83</x:v>
      </x:c>
      <x:c r="D2244" s="8" t="n">
        <x:f>Source!D2238/100</x:f>
        <x:v>0</x:v>
      </x:c>
      <x:c r="E2244" s="8" t="n">
        <x:f>Source!E2238/100</x:f>
        <x:v>62.12</x:v>
      </x:c>
      <x:c r="F2244" s="8" t="n">
        <x:f>Source!F2238/100</x:f>
        <x:v>0</x:v>
      </x:c>
      <x:c r="G2244" s="8" t="n">
        <x:f>Source!G2238/100</x:f>
        <x:v>62.12</x:v>
      </x:c>
      <x:c r="H2244" s="8" t="n">
        <x:f>G2244-D2244</x:f>
        <x:v>62.12</x:v>
      </x:c>
      <x:c r="I2244" s="1" t="str">
        <x:f>IF(H2244&gt;0,"Overbilled","Shortfall")</x:f>
        <x:v>Overbilled</x:v>
      </x:c>
      <x:c r="J2244" s="7"/>
      <x:c r="K2244" s="7" t="str">
        <x:v>Open</x:v>
      </x:c>
      <x:c r="L2244" s="7"/>
    </x:row>
    <x:row r="2245" ht="21" customHeight="1">
      <x:c r="A2245" s="1" t="str">
        <x:f>Source!A2239</x:f>
        <x:v>C0013533</x:v>
      </x:c>
      <x:c r="B2245" s="1" t="str">
        <x:f>_xlfn.IFNA(VLOOKUP(Source!B2239,Advertisers!$A$5:$B$34,2,FALSE),"Missing advertiser")</x:f>
        <x:v>Synthetic advertiser 23</x:v>
      </x:c>
      <x:c r="C2245" s="1" t="n">
        <x:f>Source!C2239</x:f>
        <x:v>83</x:v>
      </x:c>
      <x:c r="D2245" s="8" t="n">
        <x:f>Source!D2239/100</x:f>
        <x:v>62.12</x:v>
      </x:c>
      <x:c r="E2245" s="8" t="n">
        <x:f>Source!E2239/100</x:f>
        <x:v>124.24</x:v>
      </x:c>
      <x:c r="F2245" s="8" t="n">
        <x:f>Source!F2239/100</x:f>
        <x:v>0</x:v>
      </x:c>
      <x:c r="G2245" s="8" t="n">
        <x:f>Source!G2239/100</x:f>
        <x:v>124.24</x:v>
      </x:c>
      <x:c r="H2245" s="8" t="n">
        <x:f>G2245-D2245</x:f>
        <x:v>62.12</x:v>
      </x:c>
      <x:c r="I2245" s="1" t="str">
        <x:f>IF(H2245&gt;0,"Overbilled","Shortfall")</x:f>
        <x:v>Overbilled</x:v>
      </x:c>
      <x:c r="J2245" s="7"/>
      <x:c r="K2245" s="7" t="str">
        <x:v>Open</x:v>
      </x:c>
      <x:c r="L2245" s="7"/>
    </x:row>
    <x:row r="2246" ht="21" customHeight="1">
      <x:c r="A2246" s="1" t="str">
        <x:f>Source!A2240</x:f>
        <x:v>C0003207</x:v>
      </x:c>
      <x:c r="B2246" s="1" t="str">
        <x:f>_xlfn.IFNA(VLOOKUP(Source!B2240,Advertisers!$A$5:$B$34,2,FALSE),"Missing advertiser")</x:f>
        <x:v>Synthetic advertiser 23</x:v>
      </x:c>
      <x:c r="C2246" s="1" t="n">
        <x:f>Source!C2240</x:f>
        <x:v>83</x:v>
      </x:c>
      <x:c r="D2246" s="8" t="n">
        <x:f>Source!D2240/100</x:f>
        <x:v>62.12</x:v>
      </x:c>
      <x:c r="E2246" s="8" t="n">
        <x:f>Source!E2240/100</x:f>
        <x:v>0</x:v>
      </x:c>
      <x:c r="F2246" s="8" t="n">
        <x:f>Source!F2240/100</x:f>
        <x:v>0</x:v>
      </x:c>
      <x:c r="G2246" s="8" t="n">
        <x:f>Source!G2240/100</x:f>
        <x:v>0</x:v>
      </x:c>
      <x:c r="H2246" s="8" t="n">
        <x:f>G2246-D2246</x:f>
        <x:v>-62.12</x:v>
      </x:c>
      <x:c r="I2246" s="1" t="str">
        <x:f>IF(H2246&gt;0,"Overbilled","Shortfall")</x:f>
        <x:v>Shortfall</x:v>
      </x:c>
      <x:c r="J2246" s="7"/>
      <x:c r="K2246" s="7" t="str">
        <x:v>Open</x:v>
      </x:c>
      <x:c r="L2246" s="7"/>
    </x:row>
    <x:row r="2247" ht="21" customHeight="1">
      <x:c r="A2247" s="1" t="str">
        <x:f>Source!A2241</x:f>
        <x:v>C0005051</x:v>
      </x:c>
      <x:c r="B2247" s="1" t="str">
        <x:f>_xlfn.IFNA(VLOOKUP(Source!B2241,Advertisers!$A$5:$B$34,2,FALSE),"Missing advertiser")</x:f>
        <x:v>Synthetic advertiser 23</x:v>
      </x:c>
      <x:c r="C2247" s="1" t="n">
        <x:f>Source!C2241</x:f>
        <x:v>83</x:v>
      </x:c>
      <x:c r="D2247" s="8" t="n">
        <x:f>Source!D2241/100</x:f>
        <x:v>62.12</x:v>
      </x:c>
      <x:c r="E2247" s="8" t="n">
        <x:f>Source!E2241/100</x:f>
        <x:v>0</x:v>
      </x:c>
      <x:c r="F2247" s="8" t="n">
        <x:f>Source!F2241/100</x:f>
        <x:v>0</x:v>
      </x:c>
      <x:c r="G2247" s="8" t="n">
        <x:f>Source!G2241/100</x:f>
        <x:v>0</x:v>
      </x:c>
      <x:c r="H2247" s="8" t="n">
        <x:f>G2247-D2247</x:f>
        <x:v>-62.12</x:v>
      </x:c>
      <x:c r="I2247" s="1" t="str">
        <x:f>IF(H2247&gt;0,"Overbilled","Shortfall")</x:f>
        <x:v>Shortfall</x:v>
      </x:c>
      <x:c r="J2247" s="7"/>
      <x:c r="K2247" s="7" t="str">
        <x:v>Open</x:v>
      </x:c>
      <x:c r="L2247" s="7"/>
    </x:row>
    <x:row r="2248" ht="21" customHeight="1">
      <x:c r="A2248" s="1" t="str">
        <x:f>Source!A2242</x:f>
        <x:v>C0008007</x:v>
      </x:c>
      <x:c r="B2248" s="1" t="str">
        <x:f>_xlfn.IFNA(VLOOKUP(Source!B2242,Advertisers!$A$5:$B$34,2,FALSE),"Missing advertiser")</x:f>
        <x:v>Synthetic advertiser 23</x:v>
      </x:c>
      <x:c r="C2248" s="1" t="n">
        <x:f>Source!C2242</x:f>
        <x:v>83</x:v>
      </x:c>
      <x:c r="D2248" s="8" t="n">
        <x:f>Source!D2242/100</x:f>
        <x:v>62.12</x:v>
      </x:c>
      <x:c r="E2248" s="8" t="n">
        <x:f>Source!E2242/100</x:f>
        <x:v>124.24</x:v>
      </x:c>
      <x:c r="F2248" s="8" t="n">
        <x:f>Source!F2242/100</x:f>
        <x:v>0</x:v>
      </x:c>
      <x:c r="G2248" s="8" t="n">
        <x:f>Source!G2242/100</x:f>
        <x:v>124.24</x:v>
      </x:c>
      <x:c r="H2248" s="8" t="n">
        <x:f>G2248-D2248</x:f>
        <x:v>62.12</x:v>
      </x:c>
      <x:c r="I2248" s="1" t="str">
        <x:f>IF(H2248&gt;0,"Overbilled","Shortfall")</x:f>
        <x:v>Overbilled</x:v>
      </x:c>
      <x:c r="J2248" s="7"/>
      <x:c r="K2248" s="7" t="str">
        <x:v>Open</x:v>
      </x:c>
      <x:c r="L2248" s="7"/>
    </x:row>
    <x:row r="2249" ht="21" customHeight="1">
      <x:c r="A2249" s="1" t="str">
        <x:f>Source!A2243</x:f>
        <x:v>C0005271</x:v>
      </x:c>
      <x:c r="B2249" s="1" t="str">
        <x:f>_xlfn.IFNA(VLOOKUP(Source!B2243,Advertisers!$A$5:$B$34,2,FALSE),"Missing advertiser")</x:f>
        <x:v>Synthetic advertiser 23</x:v>
      </x:c>
      <x:c r="C2249" s="1" t="n">
        <x:f>Source!C2243</x:f>
        <x:v>83</x:v>
      </x:c>
      <x:c r="D2249" s="8" t="n">
        <x:f>Source!D2243/100</x:f>
        <x:v>62.12</x:v>
      </x:c>
      <x:c r="E2249" s="8" t="n">
        <x:f>Source!E2243/100</x:f>
        <x:v>124.24</x:v>
      </x:c>
      <x:c r="F2249" s="8" t="n">
        <x:f>Source!F2243/100</x:f>
        <x:v>0</x:v>
      </x:c>
      <x:c r="G2249" s="8" t="n">
        <x:f>Source!G2243/100</x:f>
        <x:v>124.24</x:v>
      </x:c>
      <x:c r="H2249" s="8" t="n">
        <x:f>G2249-D2249</x:f>
        <x:v>62.12</x:v>
      </x:c>
      <x:c r="I2249" s="1" t="str">
        <x:f>IF(H2249&gt;0,"Overbilled","Shortfall")</x:f>
        <x:v>Overbilled</x:v>
      </x:c>
      <x:c r="J2249" s="7"/>
      <x:c r="K2249" s="7" t="str">
        <x:v>Open</x:v>
      </x:c>
      <x:c r="L2249" s="7"/>
    </x:row>
    <x:row r="2250" ht="21" customHeight="1">
      <x:c r="A2250" s="1" t="str">
        <x:f>Source!A2244</x:f>
        <x:v>C0009904</x:v>
      </x:c>
      <x:c r="B2250" s="1" t="str">
        <x:f>_xlfn.IFNA(VLOOKUP(Source!B2244,Advertisers!$A$5:$B$34,2,FALSE),"Missing advertiser")</x:f>
        <x:v>Synthetic advertiser 23</x:v>
      </x:c>
      <x:c r="C2250" s="1" t="n">
        <x:f>Source!C2244</x:f>
        <x:v>83</x:v>
      </x:c>
      <x:c r="D2250" s="8" t="n">
        <x:f>Source!D2244/100</x:f>
        <x:v>0</x:v>
      </x:c>
      <x:c r="E2250" s="8" t="n">
        <x:f>Source!E2244/100</x:f>
        <x:v>62.12</x:v>
      </x:c>
      <x:c r="F2250" s="8" t="n">
        <x:f>Source!F2244/100</x:f>
        <x:v>0</x:v>
      </x:c>
      <x:c r="G2250" s="8" t="n">
        <x:f>Source!G2244/100</x:f>
        <x:v>62.12</x:v>
      </x:c>
      <x:c r="H2250" s="8" t="n">
        <x:f>G2250-D2250</x:f>
        <x:v>62.12</x:v>
      </x:c>
      <x:c r="I2250" s="1" t="str">
        <x:f>IF(H2250&gt;0,"Overbilled","Shortfall")</x:f>
        <x:v>Overbilled</x:v>
      </x:c>
      <x:c r="J2250" s="7"/>
      <x:c r="K2250" s="7" t="str">
        <x:v>Open</x:v>
      </x:c>
      <x:c r="L2250" s="7"/>
    </x:row>
    <x:row r="2251" ht="21" customHeight="1">
      <x:c r="A2251" s="1" t="str">
        <x:f>Source!A2245</x:f>
        <x:v>C0002333</x:v>
      </x:c>
      <x:c r="B2251" s="1" t="str">
        <x:f>_xlfn.IFNA(VLOOKUP(Source!B2245,Advertisers!$A$5:$B$34,2,FALSE),"Missing advertiser")</x:f>
        <x:v>Synthetic advertiser 23</x:v>
      </x:c>
      <x:c r="C2251" s="1" t="n">
        <x:f>Source!C2245</x:f>
        <x:v>83</x:v>
      </x:c>
      <x:c r="D2251" s="8" t="n">
        <x:f>Source!D2245/100</x:f>
        <x:v>62.12</x:v>
      </x:c>
      <x:c r="E2251" s="8" t="n">
        <x:f>Source!E2245/100</x:f>
        <x:v>124.24</x:v>
      </x:c>
      <x:c r="F2251" s="8" t="n">
        <x:f>Source!F2245/100</x:f>
        <x:v>0</x:v>
      </x:c>
      <x:c r="G2251" s="8" t="n">
        <x:f>Source!G2245/100</x:f>
        <x:v>124.24</x:v>
      </x:c>
      <x:c r="H2251" s="8" t="n">
        <x:f>G2251-D2251</x:f>
        <x:v>62.12</x:v>
      </x:c>
      <x:c r="I2251" s="1" t="str">
        <x:f>IF(H2251&gt;0,"Overbilled","Shortfall")</x:f>
        <x:v>Overbilled</x:v>
      </x:c>
      <x:c r="J2251" s="7"/>
      <x:c r="K2251" s="7" t="str">
        <x:v>Open</x:v>
      </x:c>
      <x:c r="L2251" s="7"/>
    </x:row>
    <x:row r="2252" ht="21" customHeight="1">
      <x:c r="A2252" s="1" t="str">
        <x:f>Source!A2246</x:f>
        <x:v>C0006616</x:v>
      </x:c>
      <x:c r="B2252" s="1" t="str">
        <x:f>_xlfn.IFNA(VLOOKUP(Source!B2246,Advertisers!$A$5:$B$34,2,FALSE),"Missing advertiser")</x:f>
        <x:v>Synthetic advertiser 23</x:v>
      </x:c>
      <x:c r="C2252" s="1" t="n">
        <x:f>Source!C2246</x:f>
        <x:v>83</x:v>
      </x:c>
      <x:c r="D2252" s="8" t="n">
        <x:f>Source!D2246/100</x:f>
        <x:v>62.12</x:v>
      </x:c>
      <x:c r="E2252" s="8" t="n">
        <x:f>Source!E2246/100</x:f>
        <x:v>0</x:v>
      </x:c>
      <x:c r="F2252" s="8" t="n">
        <x:f>Source!F2246/100</x:f>
        <x:v>0</x:v>
      </x:c>
      <x:c r="G2252" s="8" t="n">
        <x:f>Source!G2246/100</x:f>
        <x:v>0</x:v>
      </x:c>
      <x:c r="H2252" s="8" t="n">
        <x:f>G2252-D2252</x:f>
        <x:v>-62.12</x:v>
      </x:c>
      <x:c r="I2252" s="1" t="str">
        <x:f>IF(H2252&gt;0,"Overbilled","Shortfall")</x:f>
        <x:v>Shortfall</x:v>
      </x:c>
      <x:c r="J2252" s="7"/>
      <x:c r="K2252" s="7" t="str">
        <x:v>Open</x:v>
      </x:c>
      <x:c r="L2252" s="7"/>
    </x:row>
    <x:row r="2253" ht="21" customHeight="1">
      <x:c r="A2253" s="1" t="str">
        <x:f>Source!A2247</x:f>
        <x:v>C0012556</x:v>
      </x:c>
      <x:c r="B2253" s="1" t="str">
        <x:f>_xlfn.IFNA(VLOOKUP(Source!B2247,Advertisers!$A$5:$B$34,2,FALSE),"Missing advertiser")</x:f>
        <x:v>Synthetic advertiser 23</x:v>
      </x:c>
      <x:c r="C2253" s="1" t="n">
        <x:f>Source!C2247</x:f>
        <x:v>83</x:v>
      </x:c>
      <x:c r="D2253" s="8" t="n">
        <x:f>Source!D2247/100</x:f>
        <x:v>62.12</x:v>
      </x:c>
      <x:c r="E2253" s="8" t="n">
        <x:f>Source!E2247/100</x:f>
        <x:v>124.24</x:v>
      </x:c>
      <x:c r="F2253" s="8" t="n">
        <x:f>Source!F2247/100</x:f>
        <x:v>0</x:v>
      </x:c>
      <x:c r="G2253" s="8" t="n">
        <x:f>Source!G2247/100</x:f>
        <x:v>124.24</x:v>
      </x:c>
      <x:c r="H2253" s="8" t="n">
        <x:f>G2253-D2253</x:f>
        <x:v>62.12</x:v>
      </x:c>
      <x:c r="I2253" s="1" t="str">
        <x:f>IF(H2253&gt;0,"Overbilled","Shortfall")</x:f>
        <x:v>Overbilled</x:v>
      </x:c>
      <x:c r="J2253" s="7"/>
      <x:c r="K2253" s="7" t="str">
        <x:v>Open</x:v>
      </x:c>
      <x:c r="L2253" s="7"/>
    </x:row>
    <x:row r="2254" ht="21" customHeight="1">
      <x:c r="A2254" s="1" t="str">
        <x:f>Source!A2248</x:f>
        <x:v>C0011653</x:v>
      </x:c>
      <x:c r="B2254" s="1" t="str">
        <x:f>_xlfn.IFNA(VLOOKUP(Source!B2248,Advertisers!$A$5:$B$34,2,FALSE),"Missing advertiser")</x:f>
        <x:v>Synthetic advertiser 5</x:v>
      </x:c>
      <x:c r="C2254" s="1" t="n">
        <x:f>Source!C2248</x:f>
        <x:v>95</x:v>
      </x:c>
      <x:c r="D2254" s="8" t="n">
        <x:f>Source!D2248/100</x:f>
        <x:v>62.04</x:v>
      </x:c>
      <x:c r="E2254" s="8" t="n">
        <x:f>Source!E2248/100</x:f>
        <x:v>124.08</x:v>
      </x:c>
      <x:c r="F2254" s="8" t="n">
        <x:f>Source!F2248/100</x:f>
        <x:v>0</x:v>
      </x:c>
      <x:c r="G2254" s="8" t="n">
        <x:f>Source!G2248/100</x:f>
        <x:v>124.08</x:v>
      </x:c>
      <x:c r="H2254" s="8" t="n">
        <x:f>G2254-D2254</x:f>
        <x:v>62.04</x:v>
      </x:c>
      <x:c r="I2254" s="1" t="str">
        <x:f>IF(H2254&gt;0,"Overbilled","Shortfall")</x:f>
        <x:v>Overbilled</x:v>
      </x:c>
      <x:c r="J2254" s="7"/>
      <x:c r="K2254" s="7" t="str">
        <x:v>Open</x:v>
      </x:c>
      <x:c r="L2254" s="7"/>
    </x:row>
    <x:row r="2255" ht="21" customHeight="1">
      <x:c r="A2255" s="1" t="str">
        <x:f>Source!A2249</x:f>
        <x:v>C0001129</x:v>
      </x:c>
      <x:c r="B2255" s="1" t="str">
        <x:f>_xlfn.IFNA(VLOOKUP(Source!B2249,Advertisers!$A$5:$B$34,2,FALSE),"Missing advertiser")</x:f>
        <x:v>Synthetic advertiser 5</x:v>
      </x:c>
      <x:c r="C2255" s="1" t="n">
        <x:f>Source!C2249</x:f>
        <x:v>95</x:v>
      </x:c>
      <x:c r="D2255" s="8" t="n">
        <x:f>Source!D2249/100</x:f>
        <x:v>62.04</x:v>
      </x:c>
      <x:c r="E2255" s="8" t="n">
        <x:f>Source!E2249/100</x:f>
        <x:v>124.08</x:v>
      </x:c>
      <x:c r="F2255" s="8" t="n">
        <x:f>Source!F2249/100</x:f>
        <x:v>0</x:v>
      </x:c>
      <x:c r="G2255" s="8" t="n">
        <x:f>Source!G2249/100</x:f>
        <x:v>124.08</x:v>
      </x:c>
      <x:c r="H2255" s="8" t="n">
        <x:f>G2255-D2255</x:f>
        <x:v>62.04</x:v>
      </x:c>
      <x:c r="I2255" s="1" t="str">
        <x:f>IF(H2255&gt;0,"Overbilled","Shortfall")</x:f>
        <x:v>Overbilled</x:v>
      </x:c>
      <x:c r="J2255" s="7"/>
      <x:c r="K2255" s="7" t="str">
        <x:v>Open</x:v>
      </x:c>
      <x:c r="L2255" s="7"/>
    </x:row>
    <x:row r="2256" ht="21" customHeight="1">
      <x:c r="A2256" s="1" t="str">
        <x:f>Source!A2250</x:f>
        <x:v>C0006183</x:v>
      </x:c>
      <x:c r="B2256" s="1" t="str">
        <x:f>_xlfn.IFNA(VLOOKUP(Source!B2250,Advertisers!$A$5:$B$34,2,FALSE),"Missing advertiser")</x:f>
        <x:v>Synthetic advertiser 5</x:v>
      </x:c>
      <x:c r="C2256" s="1" t="n">
        <x:f>Source!C2250</x:f>
        <x:v>95</x:v>
      </x:c>
      <x:c r="D2256" s="8" t="n">
        <x:f>Source!D2250/100</x:f>
        <x:v>62.04</x:v>
      </x:c>
      <x:c r="E2256" s="8" t="n">
        <x:f>Source!E2250/100</x:f>
        <x:v>124.08</x:v>
      </x:c>
      <x:c r="F2256" s="8" t="n">
        <x:f>Source!F2250/100</x:f>
        <x:v>0</x:v>
      </x:c>
      <x:c r="G2256" s="8" t="n">
        <x:f>Source!G2250/100</x:f>
        <x:v>124.08</x:v>
      </x:c>
      <x:c r="H2256" s="8" t="n">
        <x:f>G2256-D2256</x:f>
        <x:v>62.04</x:v>
      </x:c>
      <x:c r="I2256" s="1" t="str">
        <x:f>IF(H2256&gt;0,"Overbilled","Shortfall")</x:f>
        <x:v>Overbilled</x:v>
      </x:c>
      <x:c r="J2256" s="7"/>
      <x:c r="K2256" s="7" t="str">
        <x:v>Open</x:v>
      </x:c>
      <x:c r="L2256" s="7"/>
    </x:row>
    <x:row r="2257" ht="21" customHeight="1">
      <x:c r="A2257" s="1" t="str">
        <x:f>Source!A2251</x:f>
        <x:v>C0001045</x:v>
      </x:c>
      <x:c r="B2257" s="1" t="str">
        <x:f>_xlfn.IFNA(VLOOKUP(Source!B2251,Advertisers!$A$5:$B$34,2,FALSE),"Missing advertiser")</x:f>
        <x:v>Synthetic advertiser 5</x:v>
      </x:c>
      <x:c r="C2257" s="1" t="n">
        <x:f>Source!C2251</x:f>
        <x:v>95</x:v>
      </x:c>
      <x:c r="D2257" s="8" t="n">
        <x:f>Source!D2251/100</x:f>
        <x:v>62.04</x:v>
      </x:c>
      <x:c r="E2257" s="8" t="n">
        <x:f>Source!E2251/100</x:f>
        <x:v>124.08</x:v>
      </x:c>
      <x:c r="F2257" s="8" t="n">
        <x:f>Source!F2251/100</x:f>
        <x:v>0</x:v>
      </x:c>
      <x:c r="G2257" s="8" t="n">
        <x:f>Source!G2251/100</x:f>
        <x:v>124.08</x:v>
      </x:c>
      <x:c r="H2257" s="8" t="n">
        <x:f>G2257-D2257</x:f>
        <x:v>62.04</x:v>
      </x:c>
      <x:c r="I2257" s="1" t="str">
        <x:f>IF(H2257&gt;0,"Overbilled","Shortfall")</x:f>
        <x:v>Overbilled</x:v>
      </x:c>
      <x:c r="J2257" s="7"/>
      <x:c r="K2257" s="7" t="str">
        <x:v>Open</x:v>
      </x:c>
      <x:c r="L2257" s="7"/>
    </x:row>
    <x:row r="2258" ht="21" customHeight="1">
      <x:c r="A2258" s="1" t="str">
        <x:f>Source!A2252</x:f>
        <x:v>C0006670</x:v>
      </x:c>
      <x:c r="B2258" s="1" t="str">
        <x:f>_xlfn.IFNA(VLOOKUP(Source!B2252,Advertisers!$A$5:$B$34,2,FALSE),"Missing advertiser")</x:f>
        <x:v>Synthetic advertiser 5</x:v>
      </x:c>
      <x:c r="C2258" s="1" t="n">
        <x:f>Source!C2252</x:f>
        <x:v>95</x:v>
      </x:c>
      <x:c r="D2258" s="8" t="n">
        <x:f>Source!D2252/100</x:f>
        <x:v>62.04</x:v>
      </x:c>
      <x:c r="E2258" s="8" t="n">
        <x:f>Source!E2252/100</x:f>
        <x:v>124.08</x:v>
      </x:c>
      <x:c r="F2258" s="8" t="n">
        <x:f>Source!F2252/100</x:f>
        <x:v>0</x:v>
      </x:c>
      <x:c r="G2258" s="8" t="n">
        <x:f>Source!G2252/100</x:f>
        <x:v>124.08</x:v>
      </x:c>
      <x:c r="H2258" s="8" t="n">
        <x:f>G2258-D2258</x:f>
        <x:v>62.04</x:v>
      </x:c>
      <x:c r="I2258" s="1" t="str">
        <x:f>IF(H2258&gt;0,"Overbilled","Shortfall")</x:f>
        <x:v>Overbilled</x:v>
      </x:c>
      <x:c r="J2258" s="7"/>
      <x:c r="K2258" s="7" t="str">
        <x:v>Open</x:v>
      </x:c>
      <x:c r="L2258" s="7"/>
    </x:row>
    <x:row r="2259" ht="21" customHeight="1">
      <x:c r="A2259" s="1" t="str">
        <x:f>Source!A2253</x:f>
        <x:v>C0009504</x:v>
      </x:c>
      <x:c r="B2259" s="1" t="str">
        <x:f>_xlfn.IFNA(VLOOKUP(Source!B2253,Advertisers!$A$5:$B$34,2,FALSE),"Missing advertiser")</x:f>
        <x:v>Synthetic advertiser 5</x:v>
      </x:c>
      <x:c r="C2259" s="1" t="n">
        <x:f>Source!C2253</x:f>
        <x:v>95</x:v>
      </x:c>
      <x:c r="D2259" s="8" t="n">
        <x:f>Source!D2253/100</x:f>
        <x:v>62.04</x:v>
      </x:c>
      <x:c r="E2259" s="8" t="n">
        <x:f>Source!E2253/100</x:f>
        <x:v>0</x:v>
      </x:c>
      <x:c r="F2259" s="8" t="n">
        <x:f>Source!F2253/100</x:f>
        <x:v>0</x:v>
      </x:c>
      <x:c r="G2259" s="8" t="n">
        <x:f>Source!G2253/100</x:f>
        <x:v>0</x:v>
      </x:c>
      <x:c r="H2259" s="8" t="n">
        <x:f>G2259-D2259</x:f>
        <x:v>-62.04</x:v>
      </x:c>
      <x:c r="I2259" s="1" t="str">
        <x:f>IF(H2259&gt;0,"Overbilled","Shortfall")</x:f>
        <x:v>Shortfall</x:v>
      </x:c>
      <x:c r="J2259" s="7"/>
      <x:c r="K2259" s="7" t="str">
        <x:v>Open</x:v>
      </x:c>
      <x:c r="L2259" s="7"/>
    </x:row>
    <x:row r="2260" ht="21" customHeight="1">
      <x:c r="A2260" s="1" t="str">
        <x:f>Source!A2254</x:f>
        <x:v>C0001450</x:v>
      </x:c>
      <x:c r="B2260" s="1" t="str">
        <x:f>_xlfn.IFNA(VLOOKUP(Source!B2254,Advertisers!$A$5:$B$34,2,FALSE),"Missing advertiser")</x:f>
        <x:v>Synthetic advertiser 5</x:v>
      </x:c>
      <x:c r="C2260" s="1" t="n">
        <x:f>Source!C2254</x:f>
        <x:v>95</x:v>
      </x:c>
      <x:c r="D2260" s="8" t="n">
        <x:f>Source!D2254/100</x:f>
        <x:v>62.04</x:v>
      </x:c>
      <x:c r="E2260" s="8" t="n">
        <x:f>Source!E2254/100</x:f>
        <x:v>124.08</x:v>
      </x:c>
      <x:c r="F2260" s="8" t="n">
        <x:f>Source!F2254/100</x:f>
        <x:v>0</x:v>
      </x:c>
      <x:c r="G2260" s="8" t="n">
        <x:f>Source!G2254/100</x:f>
        <x:v>124.08</x:v>
      </x:c>
      <x:c r="H2260" s="8" t="n">
        <x:f>G2260-D2260</x:f>
        <x:v>62.04</x:v>
      </x:c>
      <x:c r="I2260" s="1" t="str">
        <x:f>IF(H2260&gt;0,"Overbilled","Shortfall")</x:f>
        <x:v>Overbilled</x:v>
      </x:c>
      <x:c r="J2260" s="7"/>
      <x:c r="K2260" s="7" t="str">
        <x:v>Open</x:v>
      </x:c>
      <x:c r="L2260" s="7"/>
    </x:row>
    <x:row r="2261" ht="21" customHeight="1">
      <x:c r="A2261" s="1" t="str">
        <x:f>Source!A2255</x:f>
        <x:v>C0011274</x:v>
      </x:c>
      <x:c r="B2261" s="1" t="str">
        <x:f>_xlfn.IFNA(VLOOKUP(Source!B2255,Advertisers!$A$5:$B$34,2,FALSE),"Missing advertiser")</x:f>
        <x:v>Synthetic advertiser 5</x:v>
      </x:c>
      <x:c r="C2261" s="1" t="n">
        <x:f>Source!C2255</x:f>
        <x:v>95</x:v>
      </x:c>
      <x:c r="D2261" s="8" t="n">
        <x:f>Source!D2255/100</x:f>
        <x:v>62.04</x:v>
      </x:c>
      <x:c r="E2261" s="8" t="n">
        <x:f>Source!E2255/100</x:f>
        <x:v>124.08</x:v>
      </x:c>
      <x:c r="F2261" s="8" t="n">
        <x:f>Source!F2255/100</x:f>
        <x:v>0</x:v>
      </x:c>
      <x:c r="G2261" s="8" t="n">
        <x:f>Source!G2255/100</x:f>
        <x:v>124.08</x:v>
      </x:c>
      <x:c r="H2261" s="8" t="n">
        <x:f>G2261-D2261</x:f>
        <x:v>62.04</x:v>
      </x:c>
      <x:c r="I2261" s="1" t="str">
        <x:f>IF(H2261&gt;0,"Overbilled","Shortfall")</x:f>
        <x:v>Overbilled</x:v>
      </x:c>
      <x:c r="J2261" s="7"/>
      <x:c r="K2261" s="7" t="str">
        <x:v>Open</x:v>
      </x:c>
      <x:c r="L2261" s="7"/>
    </x:row>
    <x:row r="2262" ht="21" customHeight="1">
      <x:c r="A2262" s="1" t="str">
        <x:f>Source!A2256</x:f>
        <x:v>C0017738</x:v>
      </x:c>
      <x:c r="B2262" s="1" t="str">
        <x:f>_xlfn.IFNA(VLOOKUP(Source!B2256,Advertisers!$A$5:$B$34,2,FALSE),"Missing advertiser")</x:f>
        <x:v>Synthetic advertiser 5</x:v>
      </x:c>
      <x:c r="C2262" s="1" t="n">
        <x:f>Source!C2256</x:f>
        <x:v>95</x:v>
      </x:c>
      <x:c r="D2262" s="8" t="n">
        <x:f>Source!D2256/100</x:f>
        <x:v>62.04</x:v>
      </x:c>
      <x:c r="E2262" s="8" t="n">
        <x:f>Source!E2256/100</x:f>
        <x:v>0</x:v>
      </x:c>
      <x:c r="F2262" s="8" t="n">
        <x:f>Source!F2256/100</x:f>
        <x:v>0</x:v>
      </x:c>
      <x:c r="G2262" s="8" t="n">
        <x:f>Source!G2256/100</x:f>
        <x:v>0</x:v>
      </x:c>
      <x:c r="H2262" s="8" t="n">
        <x:f>G2262-D2262</x:f>
        <x:v>-62.04</x:v>
      </x:c>
      <x:c r="I2262" s="1" t="str">
        <x:f>IF(H2262&gt;0,"Overbilled","Shortfall")</x:f>
        <x:v>Shortfall</x:v>
      </x:c>
      <x:c r="J2262" s="7"/>
      <x:c r="K2262" s="7" t="str">
        <x:v>Open</x:v>
      </x:c>
      <x:c r="L2262" s="7"/>
    </x:row>
    <x:row r="2263" ht="21" customHeight="1">
      <x:c r="A2263" s="1" t="str">
        <x:f>Source!A2257</x:f>
        <x:v>C0010373</x:v>
      </x:c>
      <x:c r="B2263" s="1" t="str">
        <x:f>_xlfn.IFNA(VLOOKUP(Source!B2257,Advertisers!$A$5:$B$34,2,FALSE),"Missing advertiser")</x:f>
        <x:v>Synthetic advertiser 5</x:v>
      </x:c>
      <x:c r="C2263" s="1" t="n">
        <x:f>Source!C2257</x:f>
        <x:v>95</x:v>
      </x:c>
      <x:c r="D2263" s="8" t="n">
        <x:f>Source!D2257/100</x:f>
        <x:v>62.04</x:v>
      </x:c>
      <x:c r="E2263" s="8" t="n">
        <x:f>Source!E2257/100</x:f>
        <x:v>124.08</x:v>
      </x:c>
      <x:c r="F2263" s="8" t="n">
        <x:f>Source!F2257/100</x:f>
        <x:v>0</x:v>
      </x:c>
      <x:c r="G2263" s="8" t="n">
        <x:f>Source!G2257/100</x:f>
        <x:v>124.08</x:v>
      </x:c>
      <x:c r="H2263" s="8" t="n">
        <x:f>G2263-D2263</x:f>
        <x:v>62.04</x:v>
      </x:c>
      <x:c r="I2263" s="1" t="str">
        <x:f>IF(H2263&gt;0,"Overbilled","Shortfall")</x:f>
        <x:v>Overbilled</x:v>
      </x:c>
      <x:c r="J2263" s="7"/>
      <x:c r="K2263" s="7" t="str">
        <x:v>Open</x:v>
      </x:c>
      <x:c r="L2263" s="7"/>
    </x:row>
    <x:row r="2264" ht="21" customHeight="1">
      <x:c r="A2264" s="1" t="str">
        <x:f>Source!A2258</x:f>
        <x:v>C0003228</x:v>
      </x:c>
      <x:c r="B2264" s="1" t="str">
        <x:f>_xlfn.IFNA(VLOOKUP(Source!B2258,Advertisers!$A$5:$B$34,2,FALSE),"Missing advertiser")</x:f>
        <x:v>Synthetic advertiser 5</x:v>
      </x:c>
      <x:c r="C2264" s="1" t="n">
        <x:f>Source!C2258</x:f>
        <x:v>95</x:v>
      </x:c>
      <x:c r="D2264" s="8" t="n">
        <x:f>Source!D2258/100</x:f>
        <x:v>62.04</x:v>
      </x:c>
      <x:c r="E2264" s="8" t="n">
        <x:f>Source!E2258/100</x:f>
        <x:v>0</x:v>
      </x:c>
      <x:c r="F2264" s="8" t="n">
        <x:f>Source!F2258/100</x:f>
        <x:v>0</x:v>
      </x:c>
      <x:c r="G2264" s="8" t="n">
        <x:f>Source!G2258/100</x:f>
        <x:v>0</x:v>
      </x:c>
      <x:c r="H2264" s="8" t="n">
        <x:f>G2264-D2264</x:f>
        <x:v>-62.04</x:v>
      </x:c>
      <x:c r="I2264" s="1" t="str">
        <x:f>IF(H2264&gt;0,"Overbilled","Shortfall")</x:f>
        <x:v>Shortfall</x:v>
      </x:c>
      <x:c r="J2264" s="7"/>
      <x:c r="K2264" s="7" t="str">
        <x:v>Open</x:v>
      </x:c>
      <x:c r="L2264" s="7"/>
    </x:row>
    <x:row r="2265" ht="21" customHeight="1">
      <x:c r="A2265" s="1" t="str">
        <x:f>Source!A2259</x:f>
        <x:v>C0017584</x:v>
      </x:c>
      <x:c r="B2265" s="1" t="str">
        <x:f>_xlfn.IFNA(VLOOKUP(Source!B2259,Advertisers!$A$5:$B$34,2,FALSE),"Missing advertiser")</x:f>
        <x:v>Synthetic advertiser 27</x:v>
      </x:c>
      <x:c r="C2265" s="1" t="n">
        <x:f>Source!C2259</x:f>
        <x:v>117</x:v>
      </x:c>
      <x:c r="D2265" s="8" t="n">
        <x:f>Source!D2259/100</x:f>
        <x:v>61.42</x:v>
      </x:c>
      <x:c r="E2265" s="8" t="n">
        <x:f>Source!E2259/100</x:f>
        <x:v>122.84</x:v>
      </x:c>
      <x:c r="F2265" s="8" t="n">
        <x:f>Source!F2259/100</x:f>
        <x:v>0</x:v>
      </x:c>
      <x:c r="G2265" s="8" t="n">
        <x:f>Source!G2259/100</x:f>
        <x:v>122.84</x:v>
      </x:c>
      <x:c r="H2265" s="8" t="n">
        <x:f>G2265-D2265</x:f>
        <x:v>61.42</x:v>
      </x:c>
      <x:c r="I2265" s="1" t="str">
        <x:f>IF(H2265&gt;0,"Overbilled","Shortfall")</x:f>
        <x:v>Overbilled</x:v>
      </x:c>
      <x:c r="J2265" s="7"/>
      <x:c r="K2265" s="7" t="str">
        <x:v>Open</x:v>
      </x:c>
      <x:c r="L2265" s="7"/>
    </x:row>
    <x:row r="2266" ht="21" customHeight="1">
      <x:c r="A2266" s="1" t="str">
        <x:f>Source!A2260</x:f>
        <x:v>C0012235</x:v>
      </x:c>
      <x:c r="B2266" s="1" t="str">
        <x:f>_xlfn.IFNA(VLOOKUP(Source!B2260,Advertisers!$A$5:$B$34,2,FALSE),"Missing advertiser")</x:f>
        <x:v>Synthetic advertiser 27</x:v>
      </x:c>
      <x:c r="C2266" s="1" t="n">
        <x:f>Source!C2260</x:f>
        <x:v>117</x:v>
      </x:c>
      <x:c r="D2266" s="8" t="n">
        <x:f>Source!D2260/100</x:f>
        <x:v>61.42</x:v>
      </x:c>
      <x:c r="E2266" s="8" t="n">
        <x:f>Source!E2260/100</x:f>
        <x:v>0</x:v>
      </x:c>
      <x:c r="F2266" s="8" t="n">
        <x:f>Source!F2260/100</x:f>
        <x:v>0</x:v>
      </x:c>
      <x:c r="G2266" s="8" t="n">
        <x:f>Source!G2260/100</x:f>
        <x:v>0</x:v>
      </x:c>
      <x:c r="H2266" s="8" t="n">
        <x:f>G2266-D2266</x:f>
        <x:v>-61.42</x:v>
      </x:c>
      <x:c r="I2266" s="1" t="str">
        <x:f>IF(H2266&gt;0,"Overbilled","Shortfall")</x:f>
        <x:v>Shortfall</x:v>
      </x:c>
      <x:c r="J2266" s="7"/>
      <x:c r="K2266" s="7" t="str">
        <x:v>Open</x:v>
      </x:c>
      <x:c r="L2266" s="7"/>
    </x:row>
    <x:row r="2267" ht="21" customHeight="1">
      <x:c r="A2267" s="1" t="str">
        <x:f>Source!A2261</x:f>
        <x:v>C0000349</x:v>
      </x:c>
      <x:c r="B2267" s="1" t="str">
        <x:f>_xlfn.IFNA(VLOOKUP(Source!B2261,Advertisers!$A$5:$B$34,2,FALSE),"Missing advertiser")</x:f>
        <x:v>Synthetic advertiser 27</x:v>
      </x:c>
      <x:c r="C2267" s="1" t="n">
        <x:f>Source!C2261</x:f>
        <x:v>117</x:v>
      </x:c>
      <x:c r="D2267" s="8" t="n">
        <x:f>Source!D2261/100</x:f>
        <x:v>61.42</x:v>
      </x:c>
      <x:c r="E2267" s="8" t="n">
        <x:f>Source!E2261/100</x:f>
        <x:v>0</x:v>
      </x:c>
      <x:c r="F2267" s="8" t="n">
        <x:f>Source!F2261/100</x:f>
        <x:v>0</x:v>
      </x:c>
      <x:c r="G2267" s="8" t="n">
        <x:f>Source!G2261/100</x:f>
        <x:v>0</x:v>
      </x:c>
      <x:c r="H2267" s="8" t="n">
        <x:f>G2267-D2267</x:f>
        <x:v>-61.42</x:v>
      </x:c>
      <x:c r="I2267" s="1" t="str">
        <x:f>IF(H2267&gt;0,"Overbilled","Shortfall")</x:f>
        <x:v>Shortfall</x:v>
      </x:c>
      <x:c r="J2267" s="7"/>
      <x:c r="K2267" s="7" t="str">
        <x:v>Open</x:v>
      </x:c>
      <x:c r="L2267" s="7"/>
    </x:row>
    <x:row r="2268" ht="21" customHeight="1">
      <x:c r="A2268" s="1" t="str">
        <x:f>Source!A2262</x:f>
        <x:v>C0015366</x:v>
      </x:c>
      <x:c r="B2268" s="1" t="str">
        <x:f>_xlfn.IFNA(VLOOKUP(Source!B2262,Advertisers!$A$5:$B$34,2,FALSE),"Missing advertiser")</x:f>
        <x:v>Synthetic advertiser 27</x:v>
      </x:c>
      <x:c r="C2268" s="1" t="n">
        <x:f>Source!C2262</x:f>
        <x:v>117</x:v>
      </x:c>
      <x:c r="D2268" s="8" t="n">
        <x:f>Source!D2262/100</x:f>
        <x:v>61.42</x:v>
      </x:c>
      <x:c r="E2268" s="8" t="n">
        <x:f>Source!E2262/100</x:f>
        <x:v>0</x:v>
      </x:c>
      <x:c r="F2268" s="8" t="n">
        <x:f>Source!F2262/100</x:f>
        <x:v>0</x:v>
      </x:c>
      <x:c r="G2268" s="8" t="n">
        <x:f>Source!G2262/100</x:f>
        <x:v>0</x:v>
      </x:c>
      <x:c r="H2268" s="8" t="n">
        <x:f>G2268-D2268</x:f>
        <x:v>-61.42</x:v>
      </x:c>
      <x:c r="I2268" s="1" t="str">
        <x:f>IF(H2268&gt;0,"Overbilled","Shortfall")</x:f>
        <x:v>Shortfall</x:v>
      </x:c>
      <x:c r="J2268" s="7"/>
      <x:c r="K2268" s="7" t="str">
        <x:v>Open</x:v>
      </x:c>
      <x:c r="L2268" s="7"/>
    </x:row>
    <x:row r="2269" ht="21" customHeight="1">
      <x:c r="A2269" s="1" t="str">
        <x:f>Source!A2263</x:f>
        <x:v>C0012995</x:v>
      </x:c>
      <x:c r="B2269" s="1" t="str">
        <x:f>_xlfn.IFNA(VLOOKUP(Source!B2263,Advertisers!$A$5:$B$34,2,FALSE),"Missing advertiser")</x:f>
        <x:v>Synthetic advertiser 27</x:v>
      </x:c>
      <x:c r="C2269" s="1" t="n">
        <x:f>Source!C2263</x:f>
        <x:v>117</x:v>
      </x:c>
      <x:c r="D2269" s="8" t="n">
        <x:f>Source!D2263/100</x:f>
        <x:v>61.42</x:v>
      </x:c>
      <x:c r="E2269" s="8" t="n">
        <x:f>Source!E2263/100</x:f>
        <x:v>122.84</x:v>
      </x:c>
      <x:c r="F2269" s="8" t="n">
        <x:f>Source!F2263/100</x:f>
        <x:v>0</x:v>
      </x:c>
      <x:c r="G2269" s="8" t="n">
        <x:f>Source!G2263/100</x:f>
        <x:v>122.84</x:v>
      </x:c>
      <x:c r="H2269" s="8" t="n">
        <x:f>G2269-D2269</x:f>
        <x:v>61.42</x:v>
      </x:c>
      <x:c r="I2269" s="1" t="str">
        <x:f>IF(H2269&gt;0,"Overbilled","Shortfall")</x:f>
        <x:v>Overbilled</x:v>
      </x:c>
      <x:c r="J2269" s="7"/>
      <x:c r="K2269" s="7" t="str">
        <x:v>Open</x:v>
      </x:c>
      <x:c r="L2269" s="7"/>
    </x:row>
    <x:row r="2270" ht="21" customHeight="1">
      <x:c r="A2270" s="1" t="str">
        <x:f>Source!A2264</x:f>
        <x:v>C0012974</x:v>
      </x:c>
      <x:c r="B2270" s="1" t="str">
        <x:f>_xlfn.IFNA(VLOOKUP(Source!B2264,Advertisers!$A$5:$B$34,2,FALSE),"Missing advertiser")</x:f>
        <x:v>Synthetic advertiser 27</x:v>
      </x:c>
      <x:c r="C2270" s="1" t="n">
        <x:f>Source!C2264</x:f>
        <x:v>117</x:v>
      </x:c>
      <x:c r="D2270" s="8" t="n">
        <x:f>Source!D2264/100</x:f>
        <x:v>61.42</x:v>
      </x:c>
      <x:c r="E2270" s="8" t="n">
        <x:f>Source!E2264/100</x:f>
        <x:v>122.84</x:v>
      </x:c>
      <x:c r="F2270" s="8" t="n">
        <x:f>Source!F2264/100</x:f>
        <x:v>0</x:v>
      </x:c>
      <x:c r="G2270" s="8" t="n">
        <x:f>Source!G2264/100</x:f>
        <x:v>122.84</x:v>
      </x:c>
      <x:c r="H2270" s="8" t="n">
        <x:f>G2270-D2270</x:f>
        <x:v>61.42</x:v>
      </x:c>
      <x:c r="I2270" s="1" t="str">
        <x:f>IF(H2270&gt;0,"Overbilled","Shortfall")</x:f>
        <x:v>Overbilled</x:v>
      </x:c>
      <x:c r="J2270" s="7"/>
      <x:c r="K2270" s="7" t="str">
        <x:v>Open</x:v>
      </x:c>
      <x:c r="L2270" s="7"/>
    </x:row>
    <x:row r="2271" ht="21" customHeight="1">
      <x:c r="A2271" s="1" t="str">
        <x:f>Source!A2265</x:f>
        <x:v>C0005329</x:v>
      </x:c>
      <x:c r="B2271" s="1" t="str">
        <x:f>_xlfn.IFNA(VLOOKUP(Source!B2265,Advertisers!$A$5:$B$34,2,FALSE),"Missing advertiser")</x:f>
        <x:v>Synthetic advertiser 27</x:v>
      </x:c>
      <x:c r="C2271" s="1" t="n">
        <x:f>Source!C2265</x:f>
        <x:v>117</x:v>
      </x:c>
      <x:c r="D2271" s="8" t="n">
        <x:f>Source!D2265/100</x:f>
        <x:v>61.42</x:v>
      </x:c>
      <x:c r="E2271" s="8" t="n">
        <x:f>Source!E2265/100</x:f>
        <x:v>122.84</x:v>
      </x:c>
      <x:c r="F2271" s="8" t="n">
        <x:f>Source!F2265/100</x:f>
        <x:v>0</x:v>
      </x:c>
      <x:c r="G2271" s="8" t="n">
        <x:f>Source!G2265/100</x:f>
        <x:v>122.84</x:v>
      </x:c>
      <x:c r="H2271" s="8" t="n">
        <x:f>G2271-D2271</x:f>
        <x:v>61.42</x:v>
      </x:c>
      <x:c r="I2271" s="1" t="str">
        <x:f>IF(H2271&gt;0,"Overbilled","Shortfall")</x:f>
        <x:v>Overbilled</x:v>
      </x:c>
      <x:c r="J2271" s="7"/>
      <x:c r="K2271" s="7" t="str">
        <x:v>Open</x:v>
      </x:c>
      <x:c r="L2271" s="7"/>
    </x:row>
    <x:row r="2272" ht="21" customHeight="1">
      <x:c r="A2272" s="1" t="str">
        <x:f>Source!A2266</x:f>
        <x:v>C0004903</x:v>
      </x:c>
      <x:c r="B2272" s="1" t="str">
        <x:f>_xlfn.IFNA(VLOOKUP(Source!B2266,Advertisers!$A$5:$B$34,2,FALSE),"Missing advertiser")</x:f>
        <x:v>Synthetic advertiser 15</x:v>
      </x:c>
      <x:c r="C2272" s="1" t="n">
        <x:f>Source!C2266</x:f>
        <x:v>75</x:v>
      </x:c>
      <x:c r="D2272" s="8" t="n">
        <x:f>Source!D2266/100</x:f>
        <x:v>59.74</x:v>
      </x:c>
      <x:c r="E2272" s="8" t="n">
        <x:f>Source!E2266/100</x:f>
        <x:v>0</x:v>
      </x:c>
      <x:c r="F2272" s="8" t="n">
        <x:f>Source!F2266/100</x:f>
        <x:v>0</x:v>
      </x:c>
      <x:c r="G2272" s="8" t="n">
        <x:f>Source!G2266/100</x:f>
        <x:v>0</x:v>
      </x:c>
      <x:c r="H2272" s="8" t="n">
        <x:f>G2272-D2272</x:f>
        <x:v>-59.74</x:v>
      </x:c>
      <x:c r="I2272" s="1" t="str">
        <x:f>IF(H2272&gt;0,"Overbilled","Shortfall")</x:f>
        <x:v>Shortfall</x:v>
      </x:c>
      <x:c r="J2272" s="7"/>
      <x:c r="K2272" s="7" t="str">
        <x:v>Open</x:v>
      </x:c>
      <x:c r="L2272" s="7"/>
    </x:row>
    <x:row r="2273" ht="21" customHeight="1">
      <x:c r="A2273" s="1" t="str">
        <x:f>Source!A2267</x:f>
        <x:v>C0011023</x:v>
      </x:c>
      <x:c r="B2273" s="1" t="str">
        <x:f>_xlfn.IFNA(VLOOKUP(Source!B2267,Advertisers!$A$5:$B$34,2,FALSE),"Missing advertiser")</x:f>
        <x:v>Synthetic advertiser 15</x:v>
      </x:c>
      <x:c r="C2273" s="1" t="n">
        <x:f>Source!C2267</x:f>
        <x:v>75</x:v>
      </x:c>
      <x:c r="D2273" s="8" t="n">
        <x:f>Source!D2267/100</x:f>
        <x:v>59.74</x:v>
      </x:c>
      <x:c r="E2273" s="8" t="n">
        <x:f>Source!E2267/100</x:f>
        <x:v>119.48</x:v>
      </x:c>
      <x:c r="F2273" s="8" t="n">
        <x:f>Source!F2267/100</x:f>
        <x:v>0</x:v>
      </x:c>
      <x:c r="G2273" s="8" t="n">
        <x:f>Source!G2267/100</x:f>
        <x:v>119.48</x:v>
      </x:c>
      <x:c r="H2273" s="8" t="n">
        <x:f>G2273-D2273</x:f>
        <x:v>59.74</x:v>
      </x:c>
      <x:c r="I2273" s="1" t="str">
        <x:f>IF(H2273&gt;0,"Overbilled","Shortfall")</x:f>
        <x:v>Overbilled</x:v>
      </x:c>
      <x:c r="J2273" s="7"/>
      <x:c r="K2273" s="7" t="str">
        <x:v>Open</x:v>
      </x:c>
      <x:c r="L2273" s="7"/>
    </x:row>
    <x:row r="2274" ht="21" customHeight="1">
      <x:c r="A2274" s="1" t="str">
        <x:f>Source!A2268</x:f>
        <x:v>C0008602</x:v>
      </x:c>
      <x:c r="B2274" s="1" t="str">
        <x:f>_xlfn.IFNA(VLOOKUP(Source!B2268,Advertisers!$A$5:$B$34,2,FALSE),"Missing advertiser")</x:f>
        <x:v>Synthetic advertiser 15</x:v>
      </x:c>
      <x:c r="C2274" s="1" t="n">
        <x:f>Source!C2268</x:f>
        <x:v>75</x:v>
      </x:c>
      <x:c r="D2274" s="8" t="n">
        <x:f>Source!D2268/100</x:f>
        <x:v>59.74</x:v>
      </x:c>
      <x:c r="E2274" s="8" t="n">
        <x:f>Source!E2268/100</x:f>
        <x:v>0</x:v>
      </x:c>
      <x:c r="F2274" s="8" t="n">
        <x:f>Source!F2268/100</x:f>
        <x:v>0</x:v>
      </x:c>
      <x:c r="G2274" s="8" t="n">
        <x:f>Source!G2268/100</x:f>
        <x:v>0</x:v>
      </x:c>
      <x:c r="H2274" s="8" t="n">
        <x:f>G2274-D2274</x:f>
        <x:v>-59.74</x:v>
      </x:c>
      <x:c r="I2274" s="1" t="str">
        <x:f>IF(H2274&gt;0,"Overbilled","Shortfall")</x:f>
        <x:v>Shortfall</x:v>
      </x:c>
      <x:c r="J2274" s="7"/>
      <x:c r="K2274" s="7" t="str">
        <x:v>Open</x:v>
      </x:c>
      <x:c r="L2274" s="7"/>
    </x:row>
    <x:row r="2275" ht="21" customHeight="1">
      <x:c r="A2275" s="1" t="str">
        <x:f>Source!A2269</x:f>
        <x:v>C0004062</x:v>
      </x:c>
      <x:c r="B2275" s="1" t="str">
        <x:f>_xlfn.IFNA(VLOOKUP(Source!B2269,Advertisers!$A$5:$B$34,2,FALSE),"Missing advertiser")</x:f>
        <x:v>Synthetic advertiser 15</x:v>
      </x:c>
      <x:c r="C2275" s="1" t="n">
        <x:f>Source!C2269</x:f>
        <x:v>75</x:v>
      </x:c>
      <x:c r="D2275" s="8" t="n">
        <x:f>Source!D2269/100</x:f>
        <x:v>59.74</x:v>
      </x:c>
      <x:c r="E2275" s="8" t="n">
        <x:f>Source!E2269/100</x:f>
        <x:v>119.48</x:v>
      </x:c>
      <x:c r="F2275" s="8" t="n">
        <x:f>Source!F2269/100</x:f>
        <x:v>0</x:v>
      </x:c>
      <x:c r="G2275" s="8" t="n">
        <x:f>Source!G2269/100</x:f>
        <x:v>119.48</x:v>
      </x:c>
      <x:c r="H2275" s="8" t="n">
        <x:f>G2275-D2275</x:f>
        <x:v>59.74</x:v>
      </x:c>
      <x:c r="I2275" s="1" t="str">
        <x:f>IF(H2275&gt;0,"Overbilled","Shortfall")</x:f>
        <x:v>Overbilled</x:v>
      </x:c>
      <x:c r="J2275" s="7"/>
      <x:c r="K2275" s="7" t="str">
        <x:v>Open</x:v>
      </x:c>
      <x:c r="L2275" s="7"/>
    </x:row>
    <x:row r="2276" ht="21" customHeight="1">
      <x:c r="A2276" s="1" t="str">
        <x:f>Source!A2270</x:f>
        <x:v>C0016868</x:v>
      </x:c>
      <x:c r="B2276" s="1" t="str">
        <x:f>_xlfn.IFNA(VLOOKUP(Source!B2270,Advertisers!$A$5:$B$34,2,FALSE),"Missing advertiser")</x:f>
        <x:v>Synthetic advertiser 15</x:v>
      </x:c>
      <x:c r="C2276" s="1" t="n">
        <x:f>Source!C2270</x:f>
        <x:v>75</x:v>
      </x:c>
      <x:c r="D2276" s="8" t="n">
        <x:f>Source!D2270/100</x:f>
        <x:v>59.74</x:v>
      </x:c>
      <x:c r="E2276" s="8" t="n">
        <x:f>Source!E2270/100</x:f>
        <x:v>119.48</x:v>
      </x:c>
      <x:c r="F2276" s="8" t="n">
        <x:f>Source!F2270/100</x:f>
        <x:v>0</x:v>
      </x:c>
      <x:c r="G2276" s="8" t="n">
        <x:f>Source!G2270/100</x:f>
        <x:v>119.48</x:v>
      </x:c>
      <x:c r="H2276" s="8" t="n">
        <x:f>G2276-D2276</x:f>
        <x:v>59.74</x:v>
      </x:c>
      <x:c r="I2276" s="1" t="str">
        <x:f>IF(H2276&gt;0,"Overbilled","Shortfall")</x:f>
        <x:v>Overbilled</x:v>
      </x:c>
      <x:c r="J2276" s="7"/>
      <x:c r="K2276" s="7" t="str">
        <x:v>Open</x:v>
      </x:c>
      <x:c r="L2276" s="7"/>
    </x:row>
    <x:row r="2277" ht="21" customHeight="1">
      <x:c r="A2277" s="1" t="str">
        <x:f>Source!A2271</x:f>
        <x:v>C0016146</x:v>
      </x:c>
      <x:c r="B2277" s="1" t="str">
        <x:f>_xlfn.IFNA(VLOOKUP(Source!B2271,Advertisers!$A$5:$B$34,2,FALSE),"Missing advertiser")</x:f>
        <x:v>Synthetic advertiser 15</x:v>
      </x:c>
      <x:c r="C2277" s="1" t="n">
        <x:f>Source!C2271</x:f>
        <x:v>75</x:v>
      </x:c>
      <x:c r="D2277" s="8" t="n">
        <x:f>Source!D2271/100</x:f>
        <x:v>59.74</x:v>
      </x:c>
      <x:c r="E2277" s="8" t="n">
        <x:f>Source!E2271/100</x:f>
        <x:v>119.48</x:v>
      </x:c>
      <x:c r="F2277" s="8" t="n">
        <x:f>Source!F2271/100</x:f>
        <x:v>0</x:v>
      </x:c>
      <x:c r="G2277" s="8" t="n">
        <x:f>Source!G2271/100</x:f>
        <x:v>119.48</x:v>
      </x:c>
      <x:c r="H2277" s="8" t="n">
        <x:f>G2277-D2277</x:f>
        <x:v>59.74</x:v>
      </x:c>
      <x:c r="I2277" s="1" t="str">
        <x:f>IF(H2277&gt;0,"Overbilled","Shortfall")</x:f>
        <x:v>Overbilled</x:v>
      </x:c>
      <x:c r="J2277" s="7"/>
      <x:c r="K2277" s="7" t="str">
        <x:v>Open</x:v>
      </x:c>
      <x:c r="L2277" s="7"/>
    </x:row>
    <x:row r="2278" ht="21" customHeight="1">
      <x:c r="A2278" s="1" t="str">
        <x:f>Source!A2272</x:f>
        <x:v>C0008260</x:v>
      </x:c>
      <x:c r="B2278" s="1" t="str">
        <x:f>_xlfn.IFNA(VLOOKUP(Source!B2272,Advertisers!$A$5:$B$34,2,FALSE),"Missing advertiser")</x:f>
        <x:v>Synthetic advertiser 15</x:v>
      </x:c>
      <x:c r="C2278" s="1" t="n">
        <x:f>Source!C2272</x:f>
        <x:v>75</x:v>
      </x:c>
      <x:c r="D2278" s="8" t="n">
        <x:f>Source!D2272/100</x:f>
        <x:v>59.74</x:v>
      </x:c>
      <x:c r="E2278" s="8" t="n">
        <x:f>Source!E2272/100</x:f>
        <x:v>0</x:v>
      </x:c>
      <x:c r="F2278" s="8" t="n">
        <x:f>Source!F2272/100</x:f>
        <x:v>0</x:v>
      </x:c>
      <x:c r="G2278" s="8" t="n">
        <x:f>Source!G2272/100</x:f>
        <x:v>0</x:v>
      </x:c>
      <x:c r="H2278" s="8" t="n">
        <x:f>G2278-D2278</x:f>
        <x:v>-59.74</x:v>
      </x:c>
      <x:c r="I2278" s="1" t="str">
        <x:f>IF(H2278&gt;0,"Overbilled","Shortfall")</x:f>
        <x:v>Shortfall</x:v>
      </x:c>
      <x:c r="J2278" s="7"/>
      <x:c r="K2278" s="7" t="str">
        <x:v>Open</x:v>
      </x:c>
      <x:c r="L2278" s="7"/>
    </x:row>
    <x:row r="2279" ht="21" customHeight="1">
      <x:c r="A2279" s="1" t="str">
        <x:f>Source!A2273</x:f>
        <x:v>C0011457</x:v>
      </x:c>
      <x:c r="B2279" s="1" t="str">
        <x:f>_xlfn.IFNA(VLOOKUP(Source!B2273,Advertisers!$A$5:$B$34,2,FALSE),"Missing advertiser")</x:f>
        <x:v>Synthetic advertiser 15</x:v>
      </x:c>
      <x:c r="C2279" s="1" t="n">
        <x:f>Source!C2273</x:f>
        <x:v>75</x:v>
      </x:c>
      <x:c r="D2279" s="8" t="n">
        <x:f>Source!D2273/100</x:f>
        <x:v>59.74</x:v>
      </x:c>
      <x:c r="E2279" s="8" t="n">
        <x:f>Source!E2273/100</x:f>
        <x:v>0</x:v>
      </x:c>
      <x:c r="F2279" s="8" t="n">
        <x:f>Source!F2273/100</x:f>
        <x:v>0</x:v>
      </x:c>
      <x:c r="G2279" s="8" t="n">
        <x:f>Source!G2273/100</x:f>
        <x:v>0</x:v>
      </x:c>
      <x:c r="H2279" s="8" t="n">
        <x:f>G2279-D2279</x:f>
        <x:v>-59.74</x:v>
      </x:c>
      <x:c r="I2279" s="1" t="str">
        <x:f>IF(H2279&gt;0,"Overbilled","Shortfall")</x:f>
        <x:v>Shortfall</x:v>
      </x:c>
      <x:c r="J2279" s="7"/>
      <x:c r="K2279" s="7" t="str">
        <x:v>Open</x:v>
      </x:c>
      <x:c r="L2279" s="7"/>
    </x:row>
    <x:row r="2280" ht="21" customHeight="1">
      <x:c r="A2280" s="1" t="str">
        <x:f>Source!A2274</x:f>
        <x:v>C0002195</x:v>
      </x:c>
      <x:c r="B2280" s="1" t="str">
        <x:f>_xlfn.IFNA(VLOOKUP(Source!B2274,Advertisers!$A$5:$B$34,2,FALSE),"Missing advertiser")</x:f>
        <x:v>Synthetic advertiser 15</x:v>
      </x:c>
      <x:c r="C2280" s="1" t="n">
        <x:f>Source!C2274</x:f>
        <x:v>75</x:v>
      </x:c>
      <x:c r="D2280" s="8" t="n">
        <x:f>Source!D2274/100</x:f>
        <x:v>59.74</x:v>
      </x:c>
      <x:c r="E2280" s="8" t="n">
        <x:f>Source!E2274/100</x:f>
        <x:v>119.48</x:v>
      </x:c>
      <x:c r="F2280" s="8" t="n">
        <x:f>Source!F2274/100</x:f>
        <x:v>0</x:v>
      </x:c>
      <x:c r="G2280" s="8" t="n">
        <x:f>Source!G2274/100</x:f>
        <x:v>119.48</x:v>
      </x:c>
      <x:c r="H2280" s="8" t="n">
        <x:f>G2280-D2280</x:f>
        <x:v>59.74</x:v>
      </x:c>
      <x:c r="I2280" s="1" t="str">
        <x:f>IF(H2280&gt;0,"Overbilled","Shortfall")</x:f>
        <x:v>Overbilled</x:v>
      </x:c>
      <x:c r="J2280" s="7"/>
      <x:c r="K2280" s="7" t="str">
        <x:v>Open</x:v>
      </x:c>
      <x:c r="L2280" s="7"/>
    </x:row>
    <x:row r="2281" ht="21" customHeight="1">
      <x:c r="A2281" s="1" t="str">
        <x:f>Source!A2275</x:f>
        <x:v>C0014402</x:v>
      </x:c>
      <x:c r="B2281" s="1" t="str">
        <x:f>_xlfn.IFNA(VLOOKUP(Source!B2275,Advertisers!$A$5:$B$34,2,FALSE),"Missing advertiser")</x:f>
        <x:v>Synthetic advertiser 21</x:v>
      </x:c>
      <x:c r="C2281" s="1" t="n">
        <x:f>Source!C2275</x:f>
        <x:v>21</x:v>
      </x:c>
      <x:c r="D2281" s="8" t="n">
        <x:f>Source!D2275/100</x:f>
        <x:v>58.98</x:v>
      </x:c>
      <x:c r="E2281" s="8" t="n">
        <x:f>Source!E2275/100</x:f>
        <x:v>117.96</x:v>
      </x:c>
      <x:c r="F2281" s="8" t="n">
        <x:f>Source!F2275/100</x:f>
        <x:v>0</x:v>
      </x:c>
      <x:c r="G2281" s="8" t="n">
        <x:f>Source!G2275/100</x:f>
        <x:v>117.96</x:v>
      </x:c>
      <x:c r="H2281" s="8" t="n">
        <x:f>G2281-D2281</x:f>
        <x:v>58.98</x:v>
      </x:c>
      <x:c r="I2281" s="1" t="str">
        <x:f>IF(H2281&gt;0,"Overbilled","Shortfall")</x:f>
        <x:v>Overbilled</x:v>
      </x:c>
      <x:c r="J2281" s="7"/>
      <x:c r="K2281" s="7" t="str">
        <x:v>Open</x:v>
      </x:c>
      <x:c r="L2281" s="7"/>
    </x:row>
    <x:row r="2282" ht="21" customHeight="1">
      <x:c r="A2282" s="1" t="str">
        <x:f>Source!A2276</x:f>
        <x:v>C0015042</x:v>
      </x:c>
      <x:c r="B2282" s="1" t="str">
        <x:f>_xlfn.IFNA(VLOOKUP(Source!B2276,Advertisers!$A$5:$B$34,2,FALSE),"Missing advertiser")</x:f>
        <x:v>Synthetic advertiser 21</x:v>
      </x:c>
      <x:c r="C2282" s="1" t="n">
        <x:f>Source!C2276</x:f>
        <x:v>21</x:v>
      </x:c>
      <x:c r="D2282" s="8" t="n">
        <x:f>Source!D2276/100</x:f>
        <x:v>58.98</x:v>
      </x:c>
      <x:c r="E2282" s="8" t="n">
        <x:f>Source!E2276/100</x:f>
        <x:v>0</x:v>
      </x:c>
      <x:c r="F2282" s="8" t="n">
        <x:f>Source!F2276/100</x:f>
        <x:v>0</x:v>
      </x:c>
      <x:c r="G2282" s="8" t="n">
        <x:f>Source!G2276/100</x:f>
        <x:v>0</x:v>
      </x:c>
      <x:c r="H2282" s="8" t="n">
        <x:f>G2282-D2282</x:f>
        <x:v>-58.98</x:v>
      </x:c>
      <x:c r="I2282" s="1" t="str">
        <x:f>IF(H2282&gt;0,"Overbilled","Shortfall")</x:f>
        <x:v>Shortfall</x:v>
      </x:c>
      <x:c r="J2282" s="7"/>
      <x:c r="K2282" s="7" t="str">
        <x:v>Open</x:v>
      </x:c>
      <x:c r="L2282" s="7"/>
    </x:row>
    <x:row r="2283" ht="21" customHeight="1">
      <x:c r="A2283" s="1" t="str">
        <x:f>Source!A2277</x:f>
        <x:v>C0000062</x:v>
      </x:c>
      <x:c r="B2283" s="1" t="str">
        <x:f>_xlfn.IFNA(VLOOKUP(Source!B2277,Advertisers!$A$5:$B$34,2,FALSE),"Missing advertiser")</x:f>
        <x:v>Synthetic advertiser 21</x:v>
      </x:c>
      <x:c r="C2283" s="1" t="n">
        <x:f>Source!C2277</x:f>
        <x:v>21</x:v>
      </x:c>
      <x:c r="D2283" s="8" t="n">
        <x:f>Source!D2277/100</x:f>
        <x:v>58.98</x:v>
      </x:c>
      <x:c r="E2283" s="8" t="n">
        <x:f>Source!E2277/100</x:f>
        <x:v>117.96</x:v>
      </x:c>
      <x:c r="F2283" s="8" t="n">
        <x:f>Source!F2277/100</x:f>
        <x:v>0</x:v>
      </x:c>
      <x:c r="G2283" s="8" t="n">
        <x:f>Source!G2277/100</x:f>
        <x:v>117.96</x:v>
      </x:c>
      <x:c r="H2283" s="8" t="n">
        <x:f>G2283-D2283</x:f>
        <x:v>58.98</x:v>
      </x:c>
      <x:c r="I2283" s="1" t="str">
        <x:f>IF(H2283&gt;0,"Overbilled","Shortfall")</x:f>
        <x:v>Overbilled</x:v>
      </x:c>
      <x:c r="J2283" s="7"/>
      <x:c r="K2283" s="7" t="str">
        <x:v>Open</x:v>
      </x:c>
      <x:c r="L2283" s="7"/>
    </x:row>
    <x:row r="2284" ht="21" customHeight="1">
      <x:c r="A2284" s="1" t="str">
        <x:f>Source!A2278</x:f>
        <x:v>C0001369</x:v>
      </x:c>
      <x:c r="B2284" s="1" t="str">
        <x:f>_xlfn.IFNA(VLOOKUP(Source!B2278,Advertisers!$A$5:$B$34,2,FALSE),"Missing advertiser")</x:f>
        <x:v>Synthetic advertiser 21</x:v>
      </x:c>
      <x:c r="C2284" s="1" t="n">
        <x:f>Source!C2278</x:f>
        <x:v>21</x:v>
      </x:c>
      <x:c r="D2284" s="8" t="n">
        <x:f>Source!D2278/100</x:f>
        <x:v>58.98</x:v>
      </x:c>
      <x:c r="E2284" s="8" t="n">
        <x:f>Source!E2278/100</x:f>
        <x:v>0</x:v>
      </x:c>
      <x:c r="F2284" s="8" t="n">
        <x:f>Source!F2278/100</x:f>
        <x:v>0</x:v>
      </x:c>
      <x:c r="G2284" s="8" t="n">
        <x:f>Source!G2278/100</x:f>
        <x:v>0</x:v>
      </x:c>
      <x:c r="H2284" s="8" t="n">
        <x:f>G2284-D2284</x:f>
        <x:v>-58.98</x:v>
      </x:c>
      <x:c r="I2284" s="1" t="str">
        <x:f>IF(H2284&gt;0,"Overbilled","Shortfall")</x:f>
        <x:v>Shortfall</x:v>
      </x:c>
      <x:c r="J2284" s="7"/>
      <x:c r="K2284" s="7" t="str">
        <x:v>Open</x:v>
      </x:c>
      <x:c r="L2284" s="7"/>
    </x:row>
    <x:row r="2285" ht="21" customHeight="1">
      <x:c r="A2285" s="1" t="str">
        <x:f>Source!A2279</x:f>
        <x:v>C0000830</x:v>
      </x:c>
      <x:c r="B2285" s="1" t="str">
        <x:f>_xlfn.IFNA(VLOOKUP(Source!B2279,Advertisers!$A$5:$B$34,2,FALSE),"Missing advertiser")</x:f>
        <x:v>Synthetic advertiser 15</x:v>
      </x:c>
      <x:c r="C2285" s="1" t="n">
        <x:f>Source!C2279</x:f>
        <x:v>15</x:v>
      </x:c>
      <x:c r="D2285" s="8" t="n">
        <x:f>Source!D2279/100</x:f>
        <x:v>58.32</x:v>
      </x:c>
      <x:c r="E2285" s="8" t="n">
        <x:f>Source!E2279/100</x:f>
        <x:v>116.64</x:v>
      </x:c>
      <x:c r="F2285" s="8" t="n">
        <x:f>Source!F2279/100</x:f>
        <x:v>0</x:v>
      </x:c>
      <x:c r="G2285" s="8" t="n">
        <x:f>Source!G2279/100</x:f>
        <x:v>116.64</x:v>
      </x:c>
      <x:c r="H2285" s="8" t="n">
        <x:f>G2285-D2285</x:f>
        <x:v>58.32</x:v>
      </x:c>
      <x:c r="I2285" s="1" t="str">
        <x:f>IF(H2285&gt;0,"Overbilled","Shortfall")</x:f>
        <x:v>Overbilled</x:v>
      </x:c>
      <x:c r="J2285" s="7"/>
      <x:c r="K2285" s="7" t="str">
        <x:v>Open</x:v>
      </x:c>
      <x:c r="L2285" s="7"/>
    </x:row>
    <x:row r="2286" ht="21" customHeight="1">
      <x:c r="A2286" s="1" t="str">
        <x:f>Source!A2280</x:f>
        <x:v>C0007348</x:v>
      </x:c>
      <x:c r="B2286" s="1" t="str">
        <x:f>_xlfn.IFNA(VLOOKUP(Source!B2280,Advertisers!$A$5:$B$34,2,FALSE),"Missing advertiser")</x:f>
        <x:v>Synthetic advertiser 15</x:v>
      </x:c>
      <x:c r="C2286" s="1" t="n">
        <x:f>Source!C2280</x:f>
        <x:v>15</x:v>
      </x:c>
      <x:c r="D2286" s="8" t="n">
        <x:f>Source!D2280/100</x:f>
        <x:v>58.32</x:v>
      </x:c>
      <x:c r="E2286" s="8" t="n">
        <x:f>Source!E2280/100</x:f>
        <x:v>0</x:v>
      </x:c>
      <x:c r="F2286" s="8" t="n">
        <x:f>Source!F2280/100</x:f>
        <x:v>0</x:v>
      </x:c>
      <x:c r="G2286" s="8" t="n">
        <x:f>Source!G2280/100</x:f>
        <x:v>0</x:v>
      </x:c>
      <x:c r="H2286" s="8" t="n">
        <x:f>G2286-D2286</x:f>
        <x:v>-58.32</x:v>
      </x:c>
      <x:c r="I2286" s="1" t="str">
        <x:f>IF(H2286&gt;0,"Overbilled","Shortfall")</x:f>
        <x:v>Shortfall</x:v>
      </x:c>
      <x:c r="J2286" s="7"/>
      <x:c r="K2286" s="7" t="str">
        <x:v>Open</x:v>
      </x:c>
      <x:c r="L2286" s="7"/>
    </x:row>
    <x:row r="2287" ht="21" customHeight="1">
      <x:c r="A2287" s="1" t="str">
        <x:f>Source!A2281</x:f>
        <x:v>C0002875</x:v>
      </x:c>
      <x:c r="B2287" s="1" t="str">
        <x:f>_xlfn.IFNA(VLOOKUP(Source!B2281,Advertisers!$A$5:$B$34,2,FALSE),"Missing advertiser")</x:f>
        <x:v>Synthetic advertiser 26</x:v>
      </x:c>
      <x:c r="C2287" s="1" t="n">
        <x:f>Source!C2281</x:f>
        <x:v>86</x:v>
      </x:c>
      <x:c r="D2287" s="8" t="n">
        <x:f>Source!D2281/100</x:f>
        <x:v>58.21</x:v>
      </x:c>
      <x:c r="E2287" s="8" t="n">
        <x:f>Source!E2281/100</x:f>
        <x:v>116.42</x:v>
      </x:c>
      <x:c r="F2287" s="8" t="n">
        <x:f>Source!F2281/100</x:f>
        <x:v>0</x:v>
      </x:c>
      <x:c r="G2287" s="8" t="n">
        <x:f>Source!G2281/100</x:f>
        <x:v>116.42</x:v>
      </x:c>
      <x:c r="H2287" s="8" t="n">
        <x:f>G2287-D2287</x:f>
        <x:v>58.21</x:v>
      </x:c>
      <x:c r="I2287" s="1" t="str">
        <x:f>IF(H2287&gt;0,"Overbilled","Shortfall")</x:f>
        <x:v>Overbilled</x:v>
      </x:c>
      <x:c r="J2287" s="7"/>
      <x:c r="K2287" s="7" t="str">
        <x:v>Open</x:v>
      </x:c>
      <x:c r="L2287" s="7"/>
    </x:row>
    <x:row r="2288" ht="21" customHeight="1">
      <x:c r="A2288" s="1" t="str">
        <x:f>Source!A2282</x:f>
        <x:v>C0009007</x:v>
      </x:c>
      <x:c r="B2288" s="1" t="str">
        <x:f>_xlfn.IFNA(VLOOKUP(Source!B2282,Advertisers!$A$5:$B$34,2,FALSE),"Missing advertiser")</x:f>
        <x:v>Synthetic advertiser 26</x:v>
      </x:c>
      <x:c r="C2288" s="1" t="n">
        <x:f>Source!C2282</x:f>
        <x:v>86</x:v>
      </x:c>
      <x:c r="D2288" s="8" t="n">
        <x:f>Source!D2282/100</x:f>
        <x:v>58.21</x:v>
      </x:c>
      <x:c r="E2288" s="8" t="n">
        <x:f>Source!E2282/100</x:f>
        <x:v>0</x:v>
      </x:c>
      <x:c r="F2288" s="8" t="n">
        <x:f>Source!F2282/100</x:f>
        <x:v>0</x:v>
      </x:c>
      <x:c r="G2288" s="8" t="n">
        <x:f>Source!G2282/100</x:f>
        <x:v>0</x:v>
      </x:c>
      <x:c r="H2288" s="8" t="n">
        <x:f>G2288-D2288</x:f>
        <x:v>-58.21</x:v>
      </x:c>
      <x:c r="I2288" s="1" t="str">
        <x:f>IF(H2288&gt;0,"Overbilled","Shortfall")</x:f>
        <x:v>Shortfall</x:v>
      </x:c>
      <x:c r="J2288" s="7"/>
      <x:c r="K2288" s="7" t="str">
        <x:v>Open</x:v>
      </x:c>
      <x:c r="L2288" s="7"/>
    </x:row>
    <x:row r="2289" ht="21" customHeight="1">
      <x:c r="A2289" s="1" t="str">
        <x:f>Source!A2283</x:f>
        <x:v>C0007773</x:v>
      </x:c>
      <x:c r="B2289" s="1" t="str">
        <x:f>_xlfn.IFNA(VLOOKUP(Source!B2283,Advertisers!$A$5:$B$34,2,FALSE),"Missing advertiser")</x:f>
        <x:v>Synthetic advertiser 26</x:v>
      </x:c>
      <x:c r="C2289" s="1" t="n">
        <x:f>Source!C2283</x:f>
        <x:v>86</x:v>
      </x:c>
      <x:c r="D2289" s="8" t="n">
        <x:f>Source!D2283/100</x:f>
        <x:v>58.21</x:v>
      </x:c>
      <x:c r="E2289" s="8" t="n">
        <x:f>Source!E2283/100</x:f>
        <x:v>0</x:v>
      </x:c>
      <x:c r="F2289" s="8" t="n">
        <x:f>Source!F2283/100</x:f>
        <x:v>0</x:v>
      </x:c>
      <x:c r="G2289" s="8" t="n">
        <x:f>Source!G2283/100</x:f>
        <x:v>0</x:v>
      </x:c>
      <x:c r="H2289" s="8" t="n">
        <x:f>G2289-D2289</x:f>
        <x:v>-58.21</x:v>
      </x:c>
      <x:c r="I2289" s="1" t="str">
        <x:f>IF(H2289&gt;0,"Overbilled","Shortfall")</x:f>
        <x:v>Shortfall</x:v>
      </x:c>
      <x:c r="J2289" s="7"/>
      <x:c r="K2289" s="7" t="str">
        <x:v>Open</x:v>
      </x:c>
      <x:c r="L2289" s="7"/>
    </x:row>
    <x:row r="2290" ht="21" customHeight="1">
      <x:c r="A2290" s="1" t="str">
        <x:f>Source!A2284</x:f>
        <x:v>C0007041</x:v>
      </x:c>
      <x:c r="B2290" s="1" t="str">
        <x:f>_xlfn.IFNA(VLOOKUP(Source!B2284,Advertisers!$A$5:$B$34,2,FALSE),"Missing advertiser")</x:f>
        <x:v>Synthetic advertiser 26</x:v>
      </x:c>
      <x:c r="C2290" s="1" t="n">
        <x:f>Source!C2284</x:f>
        <x:v>86</x:v>
      </x:c>
      <x:c r="D2290" s="8" t="n">
        <x:f>Source!D2284/100</x:f>
        <x:v>0</x:v>
      </x:c>
      <x:c r="E2290" s="8" t="n">
        <x:f>Source!E2284/100</x:f>
        <x:v>58.21</x:v>
      </x:c>
      <x:c r="F2290" s="8" t="n">
        <x:f>Source!F2284/100</x:f>
        <x:v>0</x:v>
      </x:c>
      <x:c r="G2290" s="8" t="n">
        <x:f>Source!G2284/100</x:f>
        <x:v>58.21</x:v>
      </x:c>
      <x:c r="H2290" s="8" t="n">
        <x:f>G2290-D2290</x:f>
        <x:v>58.21</x:v>
      </x:c>
      <x:c r="I2290" s="1" t="str">
        <x:f>IF(H2290&gt;0,"Overbilled","Shortfall")</x:f>
        <x:v>Overbilled</x:v>
      </x:c>
      <x:c r="J2290" s="7"/>
      <x:c r="K2290" s="7" t="str">
        <x:v>Open</x:v>
      </x:c>
      <x:c r="L2290" s="7"/>
    </x:row>
    <x:row r="2291" ht="21" customHeight="1">
      <x:c r="A2291" s="1" t="str">
        <x:f>Source!A2285</x:f>
        <x:v>C0004352</x:v>
      </x:c>
      <x:c r="B2291" s="1" t="str">
        <x:f>_xlfn.IFNA(VLOOKUP(Source!B2285,Advertisers!$A$5:$B$34,2,FALSE),"Missing advertiser")</x:f>
        <x:v>Synthetic advertiser 26</x:v>
      </x:c>
      <x:c r="C2291" s="1" t="n">
        <x:f>Source!C2285</x:f>
        <x:v>86</x:v>
      </x:c>
      <x:c r="D2291" s="8" t="n">
        <x:f>Source!D2285/100</x:f>
        <x:v>58.21</x:v>
      </x:c>
      <x:c r="E2291" s="8" t="n">
        <x:f>Source!E2285/100</x:f>
        <x:v>116.42</x:v>
      </x:c>
      <x:c r="F2291" s="8" t="n">
        <x:f>Source!F2285/100</x:f>
        <x:v>0</x:v>
      </x:c>
      <x:c r="G2291" s="8" t="n">
        <x:f>Source!G2285/100</x:f>
        <x:v>116.42</x:v>
      </x:c>
      <x:c r="H2291" s="8" t="n">
        <x:f>G2291-D2291</x:f>
        <x:v>58.21</x:v>
      </x:c>
      <x:c r="I2291" s="1" t="str">
        <x:f>IF(H2291&gt;0,"Overbilled","Shortfall")</x:f>
        <x:v>Overbilled</x:v>
      </x:c>
      <x:c r="J2291" s="7"/>
      <x:c r="K2291" s="7" t="str">
        <x:v>Open</x:v>
      </x:c>
      <x:c r="L2291" s="7"/>
    </x:row>
    <x:row r="2292" ht="21" customHeight="1">
      <x:c r="A2292" s="1" t="str">
        <x:f>Source!A2286</x:f>
        <x:v>C0002532</x:v>
      </x:c>
      <x:c r="B2292" s="1" t="str">
        <x:f>_xlfn.IFNA(VLOOKUP(Source!B2286,Advertisers!$A$5:$B$34,2,FALSE),"Missing advertiser")</x:f>
        <x:v>Synthetic advertiser 26</x:v>
      </x:c>
      <x:c r="C2292" s="1" t="n">
        <x:f>Source!C2286</x:f>
        <x:v>86</x:v>
      </x:c>
      <x:c r="D2292" s="8" t="n">
        <x:f>Source!D2286/100</x:f>
        <x:v>58.21</x:v>
      </x:c>
      <x:c r="E2292" s="8" t="n">
        <x:f>Source!E2286/100</x:f>
        <x:v>116.42</x:v>
      </x:c>
      <x:c r="F2292" s="8" t="n">
        <x:f>Source!F2286/100</x:f>
        <x:v>0</x:v>
      </x:c>
      <x:c r="G2292" s="8" t="n">
        <x:f>Source!G2286/100</x:f>
        <x:v>116.42</x:v>
      </x:c>
      <x:c r="H2292" s="8" t="n">
        <x:f>G2292-D2292</x:f>
        <x:v>58.21</x:v>
      </x:c>
      <x:c r="I2292" s="1" t="str">
        <x:f>IF(H2292&gt;0,"Overbilled","Shortfall")</x:f>
        <x:v>Overbilled</x:v>
      </x:c>
      <x:c r="J2292" s="7"/>
      <x:c r="K2292" s="7" t="str">
        <x:v>Open</x:v>
      </x:c>
      <x:c r="L2292" s="7"/>
    </x:row>
    <x:row r="2293" ht="21" customHeight="1">
      <x:c r="A2293" s="1" t="str">
        <x:f>Source!A2287</x:f>
        <x:v>C0012271</x:v>
      </x:c>
      <x:c r="B2293" s="1" t="str">
        <x:f>_xlfn.IFNA(VLOOKUP(Source!B2287,Advertisers!$A$5:$B$34,2,FALSE),"Missing advertiser")</x:f>
        <x:v>Synthetic advertiser 9</x:v>
      </x:c>
      <x:c r="C2293" s="1" t="n">
        <x:f>Source!C2287</x:f>
        <x:v>99</x:v>
      </x:c>
      <x:c r="D2293" s="8" t="n">
        <x:f>Source!D2287/100</x:f>
        <x:v>0</x:v>
      </x:c>
      <x:c r="E2293" s="8" t="n">
        <x:f>Source!E2287/100</x:f>
        <x:v>57.03</x:v>
      </x:c>
      <x:c r="F2293" s="8" t="n">
        <x:f>Source!F2287/100</x:f>
        <x:v>0</x:v>
      </x:c>
      <x:c r="G2293" s="8" t="n">
        <x:f>Source!G2287/100</x:f>
        <x:v>57.03</x:v>
      </x:c>
      <x:c r="H2293" s="8" t="n">
        <x:f>G2293-D2293</x:f>
        <x:v>57.03</x:v>
      </x:c>
      <x:c r="I2293" s="1" t="str">
        <x:f>IF(H2293&gt;0,"Overbilled","Shortfall")</x:f>
        <x:v>Overbilled</x:v>
      </x:c>
      <x:c r="J2293" s="7"/>
      <x:c r="K2293" s="7" t="str">
        <x:v>Open</x:v>
      </x:c>
      <x:c r="L2293" s="7"/>
    </x:row>
    <x:row r="2294" ht="21" customHeight="1">
      <x:c r="A2294" s="1" t="str">
        <x:f>Source!A2288</x:f>
        <x:v>C0012797</x:v>
      </x:c>
      <x:c r="B2294" s="1" t="str">
        <x:f>_xlfn.IFNA(VLOOKUP(Source!B2288,Advertisers!$A$5:$B$34,2,FALSE),"Missing advertiser")</x:f>
        <x:v>Synthetic advertiser 9</x:v>
      </x:c>
      <x:c r="C2294" s="1" t="n">
        <x:f>Source!C2288</x:f>
        <x:v>99</x:v>
      </x:c>
      <x:c r="D2294" s="8" t="n">
        <x:f>Source!D2288/100</x:f>
        <x:v>57.03</x:v>
      </x:c>
      <x:c r="E2294" s="8" t="n">
        <x:f>Source!E2288/100</x:f>
        <x:v>114.06</x:v>
      </x:c>
      <x:c r="F2294" s="8" t="n">
        <x:f>Source!F2288/100</x:f>
        <x:v>0</x:v>
      </x:c>
      <x:c r="G2294" s="8" t="n">
        <x:f>Source!G2288/100</x:f>
        <x:v>114.06</x:v>
      </x:c>
      <x:c r="H2294" s="8" t="n">
        <x:f>G2294-D2294</x:f>
        <x:v>57.03</x:v>
      </x:c>
      <x:c r="I2294" s="1" t="str">
        <x:f>IF(H2294&gt;0,"Overbilled","Shortfall")</x:f>
        <x:v>Overbilled</x:v>
      </x:c>
      <x:c r="J2294" s="7"/>
      <x:c r="K2294" s="7" t="str">
        <x:v>Open</x:v>
      </x:c>
      <x:c r="L2294" s="7"/>
    </x:row>
    <x:row r="2295" ht="21" customHeight="1">
      <x:c r="A2295" s="1" t="str">
        <x:f>Source!A2289</x:f>
        <x:v>C0009985</x:v>
      </x:c>
      <x:c r="B2295" s="1" t="str">
        <x:f>_xlfn.IFNA(VLOOKUP(Source!B2289,Advertisers!$A$5:$B$34,2,FALSE),"Missing advertiser")</x:f>
        <x:v>Synthetic advertiser 9</x:v>
      </x:c>
      <x:c r="C2295" s="1" t="n">
        <x:f>Source!C2289</x:f>
        <x:v>99</x:v>
      </x:c>
      <x:c r="D2295" s="8" t="n">
        <x:f>Source!D2289/100</x:f>
        <x:v>57.03</x:v>
      </x:c>
      <x:c r="E2295" s="8" t="n">
        <x:f>Source!E2289/100</x:f>
        <x:v>0</x:v>
      </x:c>
      <x:c r="F2295" s="8" t="n">
        <x:f>Source!F2289/100</x:f>
        <x:v>0</x:v>
      </x:c>
      <x:c r="G2295" s="8" t="n">
        <x:f>Source!G2289/100</x:f>
        <x:v>0</x:v>
      </x:c>
      <x:c r="H2295" s="8" t="n">
        <x:f>G2295-D2295</x:f>
        <x:v>-57.03</x:v>
      </x:c>
      <x:c r="I2295" s="1" t="str">
        <x:f>IF(H2295&gt;0,"Overbilled","Shortfall")</x:f>
        <x:v>Shortfall</x:v>
      </x:c>
      <x:c r="J2295" s="7"/>
      <x:c r="K2295" s="7" t="str">
        <x:v>Open</x:v>
      </x:c>
      <x:c r="L2295" s="7"/>
    </x:row>
    <x:row r="2296" ht="21" customHeight="1">
      <x:c r="A2296" s="1" t="str">
        <x:f>Source!A2290</x:f>
        <x:v>C0012048</x:v>
      </x:c>
      <x:c r="B2296" s="1" t="str">
        <x:f>_xlfn.IFNA(VLOOKUP(Source!B2290,Advertisers!$A$5:$B$34,2,FALSE),"Missing advertiser")</x:f>
        <x:v>Synthetic advertiser 9</x:v>
      </x:c>
      <x:c r="C2296" s="1" t="n">
        <x:f>Source!C2290</x:f>
        <x:v>39</x:v>
      </x:c>
      <x:c r="D2296" s="8" t="n">
        <x:f>Source!D2290/100</x:f>
        <x:v>57.02</x:v>
      </x:c>
      <x:c r="E2296" s="8" t="n">
        <x:f>Source!E2290/100</x:f>
        <x:v>114.04</x:v>
      </x:c>
      <x:c r="F2296" s="8" t="n">
        <x:f>Source!F2290/100</x:f>
        <x:v>0</x:v>
      </x:c>
      <x:c r="G2296" s="8" t="n">
        <x:f>Source!G2290/100</x:f>
        <x:v>114.04</x:v>
      </x:c>
      <x:c r="H2296" s="8" t="n">
        <x:f>G2296-D2296</x:f>
        <x:v>57.02</x:v>
      </x:c>
      <x:c r="I2296" s="1" t="str">
        <x:f>IF(H2296&gt;0,"Overbilled","Shortfall")</x:f>
        <x:v>Overbilled</x:v>
      </x:c>
      <x:c r="J2296" s="7"/>
      <x:c r="K2296" s="7" t="str">
        <x:v>Open</x:v>
      </x:c>
      <x:c r="L2296" s="7"/>
    </x:row>
    <x:row r="2297" ht="21" customHeight="1">
      <x:c r="A2297" s="1" t="str">
        <x:f>Source!A2291</x:f>
        <x:v>C0008369</x:v>
      </x:c>
      <x:c r="B2297" s="1" t="str">
        <x:f>_xlfn.IFNA(VLOOKUP(Source!B2291,Advertisers!$A$5:$B$34,2,FALSE),"Missing advertiser")</x:f>
        <x:v>Synthetic advertiser 9</x:v>
      </x:c>
      <x:c r="C2297" s="1" t="n">
        <x:f>Source!C2291</x:f>
        <x:v>39</x:v>
      </x:c>
      <x:c r="D2297" s="8" t="n">
        <x:f>Source!D2291/100</x:f>
        <x:v>0</x:v>
      </x:c>
      <x:c r="E2297" s="8" t="n">
        <x:f>Source!E2291/100</x:f>
        <x:v>57.02</x:v>
      </x:c>
      <x:c r="F2297" s="8" t="n">
        <x:f>Source!F2291/100</x:f>
        <x:v>0</x:v>
      </x:c>
      <x:c r="G2297" s="8" t="n">
        <x:f>Source!G2291/100</x:f>
        <x:v>57.02</x:v>
      </x:c>
      <x:c r="H2297" s="8" t="n">
        <x:f>G2297-D2297</x:f>
        <x:v>57.02</x:v>
      </x:c>
      <x:c r="I2297" s="1" t="str">
        <x:f>IF(H2297&gt;0,"Overbilled","Shortfall")</x:f>
        <x:v>Overbilled</x:v>
      </x:c>
      <x:c r="J2297" s="7"/>
      <x:c r="K2297" s="7" t="str">
        <x:v>Open</x:v>
      </x:c>
      <x:c r="L2297" s="7"/>
    </x:row>
    <x:row r="2298" ht="21" customHeight="1">
      <x:c r="A2298" s="1" t="str">
        <x:f>Source!A2292</x:f>
        <x:v>C0009831</x:v>
      </x:c>
      <x:c r="B2298" s="1" t="str">
        <x:f>_xlfn.IFNA(VLOOKUP(Source!B2292,Advertisers!$A$5:$B$34,2,FALSE),"Missing advertiser")</x:f>
        <x:v>Synthetic advertiser 9</x:v>
      </x:c>
      <x:c r="C2298" s="1" t="n">
        <x:f>Source!C2292</x:f>
        <x:v>39</x:v>
      </x:c>
      <x:c r="D2298" s="8" t="n">
        <x:f>Source!D2292/100</x:f>
        <x:v>57.02</x:v>
      </x:c>
      <x:c r="E2298" s="8" t="n">
        <x:f>Source!E2292/100</x:f>
        <x:v>114.04</x:v>
      </x:c>
      <x:c r="F2298" s="8" t="n">
        <x:f>Source!F2292/100</x:f>
        <x:v>0</x:v>
      </x:c>
      <x:c r="G2298" s="8" t="n">
        <x:f>Source!G2292/100</x:f>
        <x:v>114.04</x:v>
      </x:c>
      <x:c r="H2298" s="8" t="n">
        <x:f>G2298-D2298</x:f>
        <x:v>57.02</x:v>
      </x:c>
      <x:c r="I2298" s="1" t="str">
        <x:f>IF(H2298&gt;0,"Overbilled","Shortfall")</x:f>
        <x:v>Overbilled</x:v>
      </x:c>
      <x:c r="J2298" s="7"/>
      <x:c r="K2298" s="7" t="str">
        <x:v>Open</x:v>
      </x:c>
      <x:c r="L2298" s="7"/>
    </x:row>
    <x:row r="2299" ht="21" customHeight="1">
      <x:c r="A2299" s="1" t="str">
        <x:f>Source!A2293</x:f>
        <x:v>C0016285</x:v>
      </x:c>
      <x:c r="B2299" s="1" t="str">
        <x:f>_xlfn.IFNA(VLOOKUP(Source!B2293,Advertisers!$A$5:$B$34,2,FALSE),"Missing advertiser")</x:f>
        <x:v>Synthetic advertiser 9</x:v>
      </x:c>
      <x:c r="C2299" s="1" t="n">
        <x:f>Source!C2293</x:f>
        <x:v>39</x:v>
      </x:c>
      <x:c r="D2299" s="8" t="n">
        <x:f>Source!D2293/100</x:f>
        <x:v>57.02</x:v>
      </x:c>
      <x:c r="E2299" s="8" t="n">
        <x:f>Source!E2293/100</x:f>
        <x:v>0</x:v>
      </x:c>
      <x:c r="F2299" s="8" t="n">
        <x:f>Source!F2293/100</x:f>
        <x:v>0</x:v>
      </x:c>
      <x:c r="G2299" s="8" t="n">
        <x:f>Source!G2293/100</x:f>
        <x:v>0</x:v>
      </x:c>
      <x:c r="H2299" s="8" t="n">
        <x:f>G2299-D2299</x:f>
        <x:v>-57.02</x:v>
      </x:c>
      <x:c r="I2299" s="1" t="str">
        <x:f>IF(H2299&gt;0,"Overbilled","Shortfall")</x:f>
        <x:v>Shortfall</x:v>
      </x:c>
      <x:c r="J2299" s="7"/>
      <x:c r="K2299" s="7" t="str">
        <x:v>Open</x:v>
      </x:c>
      <x:c r="L2299" s="7"/>
    </x:row>
    <x:row r="2300" ht="21" customHeight="1">
      <x:c r="A2300" s="1" t="str">
        <x:f>Source!A2294</x:f>
        <x:v>C0007460</x:v>
      </x:c>
      <x:c r="B2300" s="1" t="str">
        <x:f>_xlfn.IFNA(VLOOKUP(Source!B2294,Advertisers!$A$5:$B$34,2,FALSE),"Missing advertiser")</x:f>
        <x:v>Synthetic advertiser 10</x:v>
      </x:c>
      <x:c r="C2300" s="1" t="n">
        <x:f>Source!C2294</x:f>
        <x:v>70</x:v>
      </x:c>
      <x:c r="D2300" s="8" t="n">
        <x:f>Source!D2294/100</x:f>
        <x:v>54.96</x:v>
      </x:c>
      <x:c r="E2300" s="8" t="n">
        <x:f>Source!E2294/100</x:f>
        <x:v>109.92</x:v>
      </x:c>
      <x:c r="F2300" s="8" t="n">
        <x:f>Source!F2294/100</x:f>
        <x:v>0</x:v>
      </x:c>
      <x:c r="G2300" s="8" t="n">
        <x:f>Source!G2294/100</x:f>
        <x:v>109.92</x:v>
      </x:c>
      <x:c r="H2300" s="8" t="n">
        <x:f>G2300-D2300</x:f>
        <x:v>54.96</x:v>
      </x:c>
      <x:c r="I2300" s="1" t="str">
        <x:f>IF(H2300&gt;0,"Overbilled","Shortfall")</x:f>
        <x:v>Overbilled</x:v>
      </x:c>
      <x:c r="J2300" s="7"/>
      <x:c r="K2300" s="7" t="str">
        <x:v>Open</x:v>
      </x:c>
      <x:c r="L2300" s="7"/>
    </x:row>
    <x:row r="2301" ht="21" customHeight="1">
      <x:c r="A2301" s="1" t="str">
        <x:f>Source!A2295</x:f>
        <x:v>C0007190</x:v>
      </x:c>
      <x:c r="B2301" s="1" t="str">
        <x:f>_xlfn.IFNA(VLOOKUP(Source!B2295,Advertisers!$A$5:$B$34,2,FALSE),"Missing advertiser")</x:f>
        <x:v>Synthetic advertiser 10</x:v>
      </x:c>
      <x:c r="C2301" s="1" t="n">
        <x:f>Source!C2295</x:f>
        <x:v>70</x:v>
      </x:c>
      <x:c r="D2301" s="8" t="n">
        <x:f>Source!D2295/100</x:f>
        <x:v>0</x:v>
      </x:c>
      <x:c r="E2301" s="8" t="n">
        <x:f>Source!E2295/100</x:f>
        <x:v>54.96</x:v>
      </x:c>
      <x:c r="F2301" s="8" t="n">
        <x:f>Source!F2295/100</x:f>
        <x:v>0</x:v>
      </x:c>
      <x:c r="G2301" s="8" t="n">
        <x:f>Source!G2295/100</x:f>
        <x:v>54.96</x:v>
      </x:c>
      <x:c r="H2301" s="8" t="n">
        <x:f>G2301-D2301</x:f>
        <x:v>54.96</x:v>
      </x:c>
      <x:c r="I2301" s="1" t="str">
        <x:f>IF(H2301&gt;0,"Overbilled","Shortfall")</x:f>
        <x:v>Overbilled</x:v>
      </x:c>
      <x:c r="J2301" s="7"/>
      <x:c r="K2301" s="7" t="str">
        <x:v>Open</x:v>
      </x:c>
      <x:c r="L2301" s="7"/>
    </x:row>
    <x:row r="2302" ht="21" customHeight="1">
      <x:c r="A2302" s="1" t="str">
        <x:f>Source!A2296</x:f>
        <x:v>C0017806</x:v>
      </x:c>
      <x:c r="B2302" s="1" t="str">
        <x:f>_xlfn.IFNA(VLOOKUP(Source!B2296,Advertisers!$A$5:$B$34,2,FALSE),"Missing advertiser")</x:f>
        <x:v>Synthetic advertiser 10</x:v>
      </x:c>
      <x:c r="C2302" s="1" t="n">
        <x:f>Source!C2296</x:f>
        <x:v>70</x:v>
      </x:c>
      <x:c r="D2302" s="8" t="n">
        <x:f>Source!D2296/100</x:f>
        <x:v>54.96</x:v>
      </x:c>
      <x:c r="E2302" s="8" t="n">
        <x:f>Source!E2296/100</x:f>
        <x:v>109.92</x:v>
      </x:c>
      <x:c r="F2302" s="8" t="n">
        <x:f>Source!F2296/100</x:f>
        <x:v>0</x:v>
      </x:c>
      <x:c r="G2302" s="8" t="n">
        <x:f>Source!G2296/100</x:f>
        <x:v>109.92</x:v>
      </x:c>
      <x:c r="H2302" s="8" t="n">
        <x:f>G2302-D2302</x:f>
        <x:v>54.96</x:v>
      </x:c>
      <x:c r="I2302" s="1" t="str">
        <x:f>IF(H2302&gt;0,"Overbilled","Shortfall")</x:f>
        <x:v>Overbilled</x:v>
      </x:c>
      <x:c r="J2302" s="7"/>
      <x:c r="K2302" s="7" t="str">
        <x:v>Open</x:v>
      </x:c>
      <x:c r="L2302" s="7"/>
    </x:row>
    <x:row r="2303" ht="21" customHeight="1">
      <x:c r="A2303" s="1" t="str">
        <x:f>Source!A2297</x:f>
        <x:v>C0011269</x:v>
      </x:c>
      <x:c r="B2303" s="1" t="str">
        <x:f>_xlfn.IFNA(VLOOKUP(Source!B2297,Advertisers!$A$5:$B$34,2,FALSE),"Missing advertiser")</x:f>
        <x:v>Synthetic advertiser 10</x:v>
      </x:c>
      <x:c r="C2303" s="1" t="n">
        <x:f>Source!C2297</x:f>
        <x:v>70</x:v>
      </x:c>
      <x:c r="D2303" s="8" t="n">
        <x:f>Source!D2297/100</x:f>
        <x:v>54.96</x:v>
      </x:c>
      <x:c r="E2303" s="8" t="n">
        <x:f>Source!E2297/100</x:f>
        <x:v>109.92</x:v>
      </x:c>
      <x:c r="F2303" s="8" t="n">
        <x:f>Source!F2297/100</x:f>
        <x:v>0</x:v>
      </x:c>
      <x:c r="G2303" s="8" t="n">
        <x:f>Source!G2297/100</x:f>
        <x:v>109.92</x:v>
      </x:c>
      <x:c r="H2303" s="8" t="n">
        <x:f>G2303-D2303</x:f>
        <x:v>54.96</x:v>
      </x:c>
      <x:c r="I2303" s="1" t="str">
        <x:f>IF(H2303&gt;0,"Overbilled","Shortfall")</x:f>
        <x:v>Overbilled</x:v>
      </x:c>
      <x:c r="J2303" s="7"/>
      <x:c r="K2303" s="7" t="str">
        <x:v>Open</x:v>
      </x:c>
      <x:c r="L2303" s="7"/>
    </x:row>
    <x:row r="2304" ht="21" customHeight="1">
      <x:c r="A2304" s="1" t="str">
        <x:f>Source!A2298</x:f>
        <x:v>C0008874</x:v>
      </x:c>
      <x:c r="B2304" s="1" t="str">
        <x:f>_xlfn.IFNA(VLOOKUP(Source!B2298,Advertisers!$A$5:$B$34,2,FALSE),"Missing advertiser")</x:f>
        <x:v>Synthetic advertiser 10</x:v>
      </x:c>
      <x:c r="C2304" s="1" t="n">
        <x:f>Source!C2298</x:f>
        <x:v>70</x:v>
      </x:c>
      <x:c r="D2304" s="8" t="n">
        <x:f>Source!D2298/100</x:f>
        <x:v>54.96</x:v>
      </x:c>
      <x:c r="E2304" s="8" t="n">
        <x:f>Source!E2298/100</x:f>
        <x:v>0</x:v>
      </x:c>
      <x:c r="F2304" s="8" t="n">
        <x:f>Source!F2298/100</x:f>
        <x:v>0</x:v>
      </x:c>
      <x:c r="G2304" s="8" t="n">
        <x:f>Source!G2298/100</x:f>
        <x:v>0</x:v>
      </x:c>
      <x:c r="H2304" s="8" t="n">
        <x:f>G2304-D2304</x:f>
        <x:v>-54.96</x:v>
      </x:c>
      <x:c r="I2304" s="1" t="str">
        <x:f>IF(H2304&gt;0,"Overbilled","Shortfall")</x:f>
        <x:v>Shortfall</x:v>
      </x:c>
      <x:c r="J2304" s="7"/>
      <x:c r="K2304" s="7" t="str">
        <x:v>Open</x:v>
      </x:c>
      <x:c r="L2304" s="7"/>
    </x:row>
    <x:row r="2305" ht="21" customHeight="1">
      <x:c r="A2305" s="1" t="str">
        <x:f>Source!A2299</x:f>
        <x:v>C0011889</x:v>
      </x:c>
      <x:c r="B2305" s="1" t="str">
        <x:f>_xlfn.IFNA(VLOOKUP(Source!B2299,Advertisers!$A$5:$B$34,2,FALSE),"Missing advertiser")</x:f>
        <x:v>Synthetic advertiser 10</x:v>
      </x:c>
      <x:c r="C2305" s="1" t="n">
        <x:f>Source!C2299</x:f>
        <x:v>70</x:v>
      </x:c>
      <x:c r="D2305" s="8" t="n">
        <x:f>Source!D2299/100</x:f>
        <x:v>54.96</x:v>
      </x:c>
      <x:c r="E2305" s="8" t="n">
        <x:f>Source!E2299/100</x:f>
        <x:v>109.92</x:v>
      </x:c>
      <x:c r="F2305" s="8" t="n">
        <x:f>Source!F2299/100</x:f>
        <x:v>0</x:v>
      </x:c>
      <x:c r="G2305" s="8" t="n">
        <x:f>Source!G2299/100</x:f>
        <x:v>109.92</x:v>
      </x:c>
      <x:c r="H2305" s="8" t="n">
        <x:f>G2305-D2305</x:f>
        <x:v>54.96</x:v>
      </x:c>
      <x:c r="I2305" s="1" t="str">
        <x:f>IF(H2305&gt;0,"Overbilled","Shortfall")</x:f>
        <x:v>Overbilled</x:v>
      </x:c>
      <x:c r="J2305" s="7"/>
      <x:c r="K2305" s="7" t="str">
        <x:v>Open</x:v>
      </x:c>
      <x:c r="L2305" s="7"/>
    </x:row>
    <x:row r="2306" ht="21" customHeight="1">
      <x:c r="A2306" s="1" t="str">
        <x:f>Source!A2300</x:f>
        <x:v>C0002203</x:v>
      </x:c>
      <x:c r="B2306" s="1" t="str">
        <x:f>_xlfn.IFNA(VLOOKUP(Source!B2300,Advertisers!$A$5:$B$34,2,FALSE),"Missing advertiser")</x:f>
        <x:v>Synthetic advertiser 10</x:v>
      </x:c>
      <x:c r="C2306" s="1" t="n">
        <x:f>Source!C2300</x:f>
        <x:v>70</x:v>
      </x:c>
      <x:c r="D2306" s="8" t="n">
        <x:f>Source!D2300/100</x:f>
        <x:v>54.96</x:v>
      </x:c>
      <x:c r="E2306" s="8" t="n">
        <x:f>Source!E2300/100</x:f>
        <x:v>0</x:v>
      </x:c>
      <x:c r="F2306" s="8" t="n">
        <x:f>Source!F2300/100</x:f>
        <x:v>0</x:v>
      </x:c>
      <x:c r="G2306" s="8" t="n">
        <x:f>Source!G2300/100</x:f>
        <x:v>0</x:v>
      </x:c>
      <x:c r="H2306" s="8" t="n">
        <x:f>G2306-D2306</x:f>
        <x:v>-54.96</x:v>
      </x:c>
      <x:c r="I2306" s="1" t="str">
        <x:f>IF(H2306&gt;0,"Overbilled","Shortfall")</x:f>
        <x:v>Shortfall</x:v>
      </x:c>
      <x:c r="J2306" s="7"/>
      <x:c r="K2306" s="7" t="str">
        <x:v>Open</x:v>
      </x:c>
      <x:c r="L2306" s="7"/>
    </x:row>
    <x:row r="2307" ht="21" customHeight="1">
      <x:c r="A2307" s="1" t="str">
        <x:f>Source!A2301</x:f>
        <x:v>C0013463</x:v>
      </x:c>
      <x:c r="B2307" s="1" t="str">
        <x:f>_xlfn.IFNA(VLOOKUP(Source!B2301,Advertisers!$A$5:$B$34,2,FALSE),"Missing advertiser")</x:f>
        <x:v>Synthetic advertiser 16</x:v>
      </x:c>
      <x:c r="C2307" s="1" t="n">
        <x:f>Source!C2301</x:f>
        <x:v>16</x:v>
      </x:c>
      <x:c r="D2307" s="8" t="n">
        <x:f>Source!D2301/100</x:f>
        <x:v>54.56</x:v>
      </x:c>
      <x:c r="E2307" s="8" t="n">
        <x:f>Source!E2301/100</x:f>
        <x:v>109.12</x:v>
      </x:c>
      <x:c r="F2307" s="8" t="n">
        <x:f>Source!F2301/100</x:f>
        <x:v>0</x:v>
      </x:c>
      <x:c r="G2307" s="8" t="n">
        <x:f>Source!G2301/100</x:f>
        <x:v>109.12</x:v>
      </x:c>
      <x:c r="H2307" s="8" t="n">
        <x:f>G2307-D2307</x:f>
        <x:v>54.56</x:v>
      </x:c>
      <x:c r="I2307" s="1" t="str">
        <x:f>IF(H2307&gt;0,"Overbilled","Shortfall")</x:f>
        <x:v>Overbilled</x:v>
      </x:c>
      <x:c r="J2307" s="7"/>
      <x:c r="K2307" s="7" t="str">
        <x:v>Open</x:v>
      </x:c>
      <x:c r="L2307" s="7"/>
    </x:row>
    <x:row r="2308" ht="21" customHeight="1">
      <x:c r="A2308" s="1" t="str">
        <x:f>Source!A2302</x:f>
        <x:v>C0001847</x:v>
      </x:c>
      <x:c r="B2308" s="1" t="str">
        <x:f>_xlfn.IFNA(VLOOKUP(Source!B2302,Advertisers!$A$5:$B$34,2,FALSE),"Missing advertiser")</x:f>
        <x:v>Synthetic advertiser 16</x:v>
      </x:c>
      <x:c r="C2308" s="1" t="n">
        <x:f>Source!C2302</x:f>
        <x:v>16</x:v>
      </x:c>
      <x:c r="D2308" s="8" t="n">
        <x:f>Source!D2302/100</x:f>
        <x:v>54.56</x:v>
      </x:c>
      <x:c r="E2308" s="8" t="n">
        <x:f>Source!E2302/100</x:f>
        <x:v>109.12</x:v>
      </x:c>
      <x:c r="F2308" s="8" t="n">
        <x:f>Source!F2302/100</x:f>
        <x:v>0</x:v>
      </x:c>
      <x:c r="G2308" s="8" t="n">
        <x:f>Source!G2302/100</x:f>
        <x:v>109.12</x:v>
      </x:c>
      <x:c r="H2308" s="8" t="n">
        <x:f>G2308-D2308</x:f>
        <x:v>54.56</x:v>
      </x:c>
      <x:c r="I2308" s="1" t="str">
        <x:f>IF(H2308&gt;0,"Overbilled","Shortfall")</x:f>
        <x:v>Overbilled</x:v>
      </x:c>
      <x:c r="J2308" s="7"/>
      <x:c r="K2308" s="7" t="str">
        <x:v>Open</x:v>
      </x:c>
      <x:c r="L2308" s="7"/>
    </x:row>
    <x:row r="2309" ht="21" customHeight="1">
      <x:c r="A2309" s="1" t="str">
        <x:f>Source!A2303</x:f>
        <x:v>C0010507</x:v>
      </x:c>
      <x:c r="B2309" s="1" t="str">
        <x:f>_xlfn.IFNA(VLOOKUP(Source!B2303,Advertisers!$A$5:$B$34,2,FALSE),"Missing advertiser")</x:f>
        <x:v>Synthetic advertiser 16</x:v>
      </x:c>
      <x:c r="C2309" s="1" t="n">
        <x:f>Source!C2303</x:f>
        <x:v>16</x:v>
      </x:c>
      <x:c r="D2309" s="8" t="n">
        <x:f>Source!D2303/100</x:f>
        <x:v>54.56</x:v>
      </x:c>
      <x:c r="E2309" s="8" t="n">
        <x:f>Source!E2303/100</x:f>
        <x:v>109.12</x:v>
      </x:c>
      <x:c r="F2309" s="8" t="n">
        <x:f>Source!F2303/100</x:f>
        <x:v>0</x:v>
      </x:c>
      <x:c r="G2309" s="8" t="n">
        <x:f>Source!G2303/100</x:f>
        <x:v>109.12</x:v>
      </x:c>
      <x:c r="H2309" s="8" t="n">
        <x:f>G2309-D2309</x:f>
        <x:v>54.56</x:v>
      </x:c>
      <x:c r="I2309" s="1" t="str">
        <x:f>IF(H2309&gt;0,"Overbilled","Shortfall")</x:f>
        <x:v>Overbilled</x:v>
      </x:c>
      <x:c r="J2309" s="7"/>
      <x:c r="K2309" s="7" t="str">
        <x:v>Open</x:v>
      </x:c>
      <x:c r="L2309" s="7"/>
    </x:row>
    <x:row r="2310" ht="21" customHeight="1">
      <x:c r="A2310" s="1" t="str">
        <x:f>Source!A2304</x:f>
        <x:v>C0010366</x:v>
      </x:c>
      <x:c r="B2310" s="1" t="str">
        <x:f>_xlfn.IFNA(VLOOKUP(Source!B2304,Advertisers!$A$5:$B$34,2,FALSE),"Missing advertiser")</x:f>
        <x:v>Synthetic advertiser 16</x:v>
      </x:c>
      <x:c r="C2310" s="1" t="n">
        <x:f>Source!C2304</x:f>
        <x:v>16</x:v>
      </x:c>
      <x:c r="D2310" s="8" t="n">
        <x:f>Source!D2304/100</x:f>
        <x:v>54.56</x:v>
      </x:c>
      <x:c r="E2310" s="8" t="n">
        <x:f>Source!E2304/100</x:f>
        <x:v>109.12</x:v>
      </x:c>
      <x:c r="F2310" s="8" t="n">
        <x:f>Source!F2304/100</x:f>
        <x:v>0</x:v>
      </x:c>
      <x:c r="G2310" s="8" t="n">
        <x:f>Source!G2304/100</x:f>
        <x:v>109.12</x:v>
      </x:c>
      <x:c r="H2310" s="8" t="n">
        <x:f>G2310-D2310</x:f>
        <x:v>54.56</x:v>
      </x:c>
      <x:c r="I2310" s="1" t="str">
        <x:f>IF(H2310&gt;0,"Overbilled","Shortfall")</x:f>
        <x:v>Overbilled</x:v>
      </x:c>
      <x:c r="J2310" s="7"/>
      <x:c r="K2310" s="7" t="str">
        <x:v>Open</x:v>
      </x:c>
      <x:c r="L2310" s="7"/>
    </x:row>
    <x:row r="2311" ht="21" customHeight="1">
      <x:c r="A2311" s="1" t="str">
        <x:f>Source!A2305</x:f>
        <x:v>C0000405</x:v>
      </x:c>
      <x:c r="B2311" s="1" t="str">
        <x:f>_xlfn.IFNA(VLOOKUP(Source!B2305,Advertisers!$A$5:$B$34,2,FALSE),"Missing advertiser")</x:f>
        <x:v>Synthetic advertiser 16</x:v>
      </x:c>
      <x:c r="C2311" s="1" t="n">
        <x:f>Source!C2305</x:f>
        <x:v>16</x:v>
      </x:c>
      <x:c r="D2311" s="8" t="n">
        <x:f>Source!D2305/100</x:f>
        <x:v>54.56</x:v>
      </x:c>
      <x:c r="E2311" s="8" t="n">
        <x:f>Source!E2305/100</x:f>
        <x:v>109.12</x:v>
      </x:c>
      <x:c r="F2311" s="8" t="n">
        <x:f>Source!F2305/100</x:f>
        <x:v>0</x:v>
      </x:c>
      <x:c r="G2311" s="8" t="n">
        <x:f>Source!G2305/100</x:f>
        <x:v>109.12</x:v>
      </x:c>
      <x:c r="H2311" s="8" t="n">
        <x:f>G2311-D2311</x:f>
        <x:v>54.56</x:v>
      </x:c>
      <x:c r="I2311" s="1" t="str">
        <x:f>IF(H2311&gt;0,"Overbilled","Shortfall")</x:f>
        <x:v>Overbilled</x:v>
      </x:c>
      <x:c r="J2311" s="7"/>
      <x:c r="K2311" s="7" t="str">
        <x:v>Open</x:v>
      </x:c>
      <x:c r="L2311" s="7"/>
    </x:row>
    <x:row r="2312" ht="21" customHeight="1">
      <x:c r="A2312" s="1" t="str">
        <x:f>Source!A2306</x:f>
        <x:v>C0004899</x:v>
      </x:c>
      <x:c r="B2312" s="1" t="str">
        <x:f>_xlfn.IFNA(VLOOKUP(Source!B2306,Advertisers!$A$5:$B$34,2,FALSE),"Missing advertiser")</x:f>
        <x:v>Synthetic advertiser 16</x:v>
      </x:c>
      <x:c r="C2312" s="1" t="n">
        <x:f>Source!C2306</x:f>
        <x:v>16</x:v>
      </x:c>
      <x:c r="D2312" s="8" t="n">
        <x:f>Source!D2306/100</x:f>
        <x:v>54.56</x:v>
      </x:c>
      <x:c r="E2312" s="8" t="n">
        <x:f>Source!E2306/100</x:f>
        <x:v>109.12</x:v>
      </x:c>
      <x:c r="F2312" s="8" t="n">
        <x:f>Source!F2306/100</x:f>
        <x:v>0</x:v>
      </x:c>
      <x:c r="G2312" s="8" t="n">
        <x:f>Source!G2306/100</x:f>
        <x:v>109.12</x:v>
      </x:c>
      <x:c r="H2312" s="8" t="n">
        <x:f>G2312-D2312</x:f>
        <x:v>54.56</x:v>
      </x:c>
      <x:c r="I2312" s="1" t="str">
        <x:f>IF(H2312&gt;0,"Overbilled","Shortfall")</x:f>
        <x:v>Overbilled</x:v>
      </x:c>
      <x:c r="J2312" s="7"/>
      <x:c r="K2312" s="7" t="str">
        <x:v>Open</x:v>
      </x:c>
      <x:c r="L2312" s="7"/>
    </x:row>
    <x:row r="2313" ht="21" customHeight="1">
      <x:c r="A2313" s="1" t="str">
        <x:f>Source!A2307</x:f>
        <x:v>C0005632</x:v>
      </x:c>
      <x:c r="B2313" s="1" t="str">
        <x:f>_xlfn.IFNA(VLOOKUP(Source!B2307,Advertisers!$A$5:$B$34,2,FALSE),"Missing advertiser")</x:f>
        <x:v>Synthetic advertiser 10</x:v>
      </x:c>
      <x:c r="C2313" s="1" t="n">
        <x:f>Source!C2307</x:f>
        <x:v>10</x:v>
      </x:c>
      <x:c r="D2313" s="8" t="n">
        <x:f>Source!D2307/100</x:f>
        <x:v>54.54</x:v>
      </x:c>
      <x:c r="E2313" s="8" t="n">
        <x:f>Source!E2307/100</x:f>
        <x:v>0</x:v>
      </x:c>
      <x:c r="F2313" s="8" t="n">
        <x:f>Source!F2307/100</x:f>
        <x:v>0</x:v>
      </x:c>
      <x:c r="G2313" s="8" t="n">
        <x:f>Source!G2307/100</x:f>
        <x:v>0</x:v>
      </x:c>
      <x:c r="H2313" s="8" t="n">
        <x:f>G2313-D2313</x:f>
        <x:v>-54.54</x:v>
      </x:c>
      <x:c r="I2313" s="1" t="str">
        <x:f>IF(H2313&gt;0,"Overbilled","Shortfall")</x:f>
        <x:v>Shortfall</x:v>
      </x:c>
      <x:c r="J2313" s="7"/>
      <x:c r="K2313" s="7" t="str">
        <x:v>Open</x:v>
      </x:c>
      <x:c r="L2313" s="7"/>
    </x:row>
    <x:row r="2314" ht="21" customHeight="1">
      <x:c r="A2314" s="1" t="str">
        <x:f>Source!A2308</x:f>
        <x:v>C0000955</x:v>
      </x:c>
      <x:c r="B2314" s="1" t="str">
        <x:f>_xlfn.IFNA(VLOOKUP(Source!B2308,Advertisers!$A$5:$B$34,2,FALSE),"Missing advertiser")</x:f>
        <x:v>Synthetic advertiser 10</x:v>
      </x:c>
      <x:c r="C2314" s="1" t="n">
        <x:f>Source!C2308</x:f>
        <x:v>10</x:v>
      </x:c>
      <x:c r="D2314" s="8" t="n">
        <x:f>Source!D2308/100</x:f>
        <x:v>54.54</x:v>
      </x:c>
      <x:c r="E2314" s="8" t="n">
        <x:f>Source!E2308/100</x:f>
        <x:v>0</x:v>
      </x:c>
      <x:c r="F2314" s="8" t="n">
        <x:f>Source!F2308/100</x:f>
        <x:v>0</x:v>
      </x:c>
      <x:c r="G2314" s="8" t="n">
        <x:f>Source!G2308/100</x:f>
        <x:v>0</x:v>
      </x:c>
      <x:c r="H2314" s="8" t="n">
        <x:f>G2314-D2314</x:f>
        <x:v>-54.54</x:v>
      </x:c>
      <x:c r="I2314" s="1" t="str">
        <x:f>IF(H2314&gt;0,"Overbilled","Shortfall")</x:f>
        <x:v>Shortfall</x:v>
      </x:c>
      <x:c r="J2314" s="7"/>
      <x:c r="K2314" s="7" t="str">
        <x:v>Open</x:v>
      </x:c>
      <x:c r="L2314" s="7"/>
    </x:row>
    <x:row r="2315" ht="21" customHeight="1">
      <x:c r="A2315" s="1" t="str">
        <x:f>Source!A2309</x:f>
        <x:v>C0008491</x:v>
      </x:c>
      <x:c r="B2315" s="1" t="str">
        <x:f>_xlfn.IFNA(VLOOKUP(Source!B2309,Advertisers!$A$5:$B$34,2,FALSE),"Missing advertiser")</x:f>
        <x:v>Synthetic advertiser 10</x:v>
      </x:c>
      <x:c r="C2315" s="1" t="n">
        <x:f>Source!C2309</x:f>
        <x:v>10</x:v>
      </x:c>
      <x:c r="D2315" s="8" t="n">
        <x:f>Source!D2309/100</x:f>
        <x:v>0</x:v>
      </x:c>
      <x:c r="E2315" s="8" t="n">
        <x:f>Source!E2309/100</x:f>
        <x:v>54.54</x:v>
      </x:c>
      <x:c r="F2315" s="8" t="n">
        <x:f>Source!F2309/100</x:f>
        <x:v>0</x:v>
      </x:c>
      <x:c r="G2315" s="8" t="n">
        <x:f>Source!G2309/100</x:f>
        <x:v>54.54</x:v>
      </x:c>
      <x:c r="H2315" s="8" t="n">
        <x:f>G2315-D2315</x:f>
        <x:v>54.54</x:v>
      </x:c>
      <x:c r="I2315" s="1" t="str">
        <x:f>IF(H2315&gt;0,"Overbilled","Shortfall")</x:f>
        <x:v>Overbilled</x:v>
      </x:c>
      <x:c r="J2315" s="7"/>
      <x:c r="K2315" s="7" t="str">
        <x:v>Open</x:v>
      </x:c>
      <x:c r="L2315" s="7"/>
    </x:row>
    <x:row r="2316" ht="21" customHeight="1">
      <x:c r="A2316" s="1" t="str">
        <x:f>Source!A2310</x:f>
        <x:v>C0016273</x:v>
      </x:c>
      <x:c r="B2316" s="1" t="str">
        <x:f>_xlfn.IFNA(VLOOKUP(Source!B2310,Advertisers!$A$5:$B$34,2,FALSE),"Missing advertiser")</x:f>
        <x:v>Synthetic advertiser 10</x:v>
      </x:c>
      <x:c r="C2316" s="1" t="n">
        <x:f>Source!C2310</x:f>
        <x:v>10</x:v>
      </x:c>
      <x:c r="D2316" s="8" t="n">
        <x:f>Source!D2310/100</x:f>
        <x:v>54.54</x:v>
      </x:c>
      <x:c r="E2316" s="8" t="n">
        <x:f>Source!E2310/100</x:f>
        <x:v>0</x:v>
      </x:c>
      <x:c r="F2316" s="8" t="n">
        <x:f>Source!F2310/100</x:f>
        <x:v>0</x:v>
      </x:c>
      <x:c r="G2316" s="8" t="n">
        <x:f>Source!G2310/100</x:f>
        <x:v>0</x:v>
      </x:c>
      <x:c r="H2316" s="8" t="n">
        <x:f>G2316-D2316</x:f>
        <x:v>-54.54</x:v>
      </x:c>
      <x:c r="I2316" s="1" t="str">
        <x:f>IF(H2316&gt;0,"Overbilled","Shortfall")</x:f>
        <x:v>Shortfall</x:v>
      </x:c>
      <x:c r="J2316" s="7"/>
      <x:c r="K2316" s="7" t="str">
        <x:v>Open</x:v>
      </x:c>
      <x:c r="L2316" s="7"/>
    </x:row>
    <x:row r="2317" ht="21" customHeight="1">
      <x:c r="A2317" s="1" t="str">
        <x:f>Source!A2311</x:f>
        <x:v>C0003911</x:v>
      </x:c>
      <x:c r="B2317" s="1" t="str">
        <x:f>_xlfn.IFNA(VLOOKUP(Source!B2311,Advertisers!$A$5:$B$34,2,FALSE),"Missing advertiser")</x:f>
        <x:v>Synthetic advertiser 10</x:v>
      </x:c>
      <x:c r="C2317" s="1" t="n">
        <x:f>Source!C2311</x:f>
        <x:v>10</x:v>
      </x:c>
      <x:c r="D2317" s="8" t="n">
        <x:f>Source!D2311/100</x:f>
        <x:v>0</x:v>
      </x:c>
      <x:c r="E2317" s="8" t="n">
        <x:f>Source!E2311/100</x:f>
        <x:v>54.54</x:v>
      </x:c>
      <x:c r="F2317" s="8" t="n">
        <x:f>Source!F2311/100</x:f>
        <x:v>0</x:v>
      </x:c>
      <x:c r="G2317" s="8" t="n">
        <x:f>Source!G2311/100</x:f>
        <x:v>54.54</x:v>
      </x:c>
      <x:c r="H2317" s="8" t="n">
        <x:f>G2317-D2317</x:f>
        <x:v>54.54</x:v>
      </x:c>
      <x:c r="I2317" s="1" t="str">
        <x:f>IF(H2317&gt;0,"Overbilled","Shortfall")</x:f>
        <x:v>Overbilled</x:v>
      </x:c>
      <x:c r="J2317" s="7"/>
      <x:c r="K2317" s="7" t="str">
        <x:v>Open</x:v>
      </x:c>
      <x:c r="L2317" s="7"/>
    </x:row>
    <x:row r="2318" ht="21" customHeight="1">
      <x:c r="A2318" s="1" t="str">
        <x:f>Source!A2312</x:f>
        <x:v>C0011346</x:v>
      </x:c>
      <x:c r="B2318" s="1" t="str">
        <x:f>_xlfn.IFNA(VLOOKUP(Source!B2312,Advertisers!$A$5:$B$34,2,FALSE),"Missing advertiser")</x:f>
        <x:v>Synthetic advertiser 22</x:v>
      </x:c>
      <x:c r="C2318" s="1" t="n">
        <x:f>Source!C2312</x:f>
        <x:v>22</x:v>
      </x:c>
      <x:c r="D2318" s="8" t="n">
        <x:f>Source!D2312/100</x:f>
        <x:v>54.42</x:v>
      </x:c>
      <x:c r="E2318" s="8" t="n">
        <x:f>Source!E2312/100</x:f>
        <x:v>0</x:v>
      </x:c>
      <x:c r="F2318" s="8" t="n">
        <x:f>Source!F2312/100</x:f>
        <x:v>0</x:v>
      </x:c>
      <x:c r="G2318" s="8" t="n">
        <x:f>Source!G2312/100</x:f>
        <x:v>0</x:v>
      </x:c>
      <x:c r="H2318" s="8" t="n">
        <x:f>G2318-D2318</x:f>
        <x:v>-54.42</x:v>
      </x:c>
      <x:c r="I2318" s="1" t="str">
        <x:f>IF(H2318&gt;0,"Overbilled","Shortfall")</x:f>
        <x:v>Shortfall</x:v>
      </x:c>
      <x:c r="J2318" s="7"/>
      <x:c r="K2318" s="7" t="str">
        <x:v>Open</x:v>
      </x:c>
      <x:c r="L2318" s="7"/>
    </x:row>
    <x:row r="2319" ht="21" customHeight="1">
      <x:c r="A2319" s="1" t="str">
        <x:f>Source!A2313</x:f>
        <x:v>C0006500</x:v>
      </x:c>
      <x:c r="B2319" s="1" t="str">
        <x:f>_xlfn.IFNA(VLOOKUP(Source!B2313,Advertisers!$A$5:$B$34,2,FALSE),"Missing advertiser")</x:f>
        <x:v>Synthetic advertiser 22</x:v>
      </x:c>
      <x:c r="C2319" s="1" t="n">
        <x:f>Source!C2313</x:f>
        <x:v>22</x:v>
      </x:c>
      <x:c r="D2319" s="8" t="n">
        <x:f>Source!D2313/100</x:f>
        <x:v>54.42</x:v>
      </x:c>
      <x:c r="E2319" s="8" t="n">
        <x:f>Source!E2313/100</x:f>
        <x:v>0</x:v>
      </x:c>
      <x:c r="F2319" s="8" t="n">
        <x:f>Source!F2313/100</x:f>
        <x:v>0</x:v>
      </x:c>
      <x:c r="G2319" s="8" t="n">
        <x:f>Source!G2313/100</x:f>
        <x:v>0</x:v>
      </x:c>
      <x:c r="H2319" s="8" t="n">
        <x:f>G2319-D2319</x:f>
        <x:v>-54.42</x:v>
      </x:c>
      <x:c r="I2319" s="1" t="str">
        <x:f>IF(H2319&gt;0,"Overbilled","Shortfall")</x:f>
        <x:v>Shortfall</x:v>
      </x:c>
      <x:c r="J2319" s="7"/>
      <x:c r="K2319" s="7" t="str">
        <x:v>Open</x:v>
      </x:c>
      <x:c r="L2319" s="7"/>
    </x:row>
    <x:row r="2320" ht="21" customHeight="1">
      <x:c r="A2320" s="1" t="str">
        <x:f>Source!A2314</x:f>
        <x:v>C0006970</x:v>
      </x:c>
      <x:c r="B2320" s="1" t="str">
        <x:f>_xlfn.IFNA(VLOOKUP(Source!B2314,Advertisers!$A$5:$B$34,2,FALSE),"Missing advertiser")</x:f>
        <x:v>Synthetic advertiser 25</x:v>
      </x:c>
      <x:c r="C2320" s="1" t="n">
        <x:f>Source!C2314</x:f>
        <x:v>25</x:v>
      </x:c>
      <x:c r="D2320" s="8" t="n">
        <x:f>Source!D2314/100</x:f>
        <x:v>53.59</x:v>
      </x:c>
      <x:c r="E2320" s="8" t="n">
        <x:f>Source!E2314/100</x:f>
        <x:v>0</x:v>
      </x:c>
      <x:c r="F2320" s="8" t="n">
        <x:f>Source!F2314/100</x:f>
        <x:v>0</x:v>
      </x:c>
      <x:c r="G2320" s="8" t="n">
        <x:f>Source!G2314/100</x:f>
        <x:v>0</x:v>
      </x:c>
      <x:c r="H2320" s="8" t="n">
        <x:f>G2320-D2320</x:f>
        <x:v>-53.59</x:v>
      </x:c>
      <x:c r="I2320" s="1" t="str">
        <x:f>IF(H2320&gt;0,"Overbilled","Shortfall")</x:f>
        <x:v>Shortfall</x:v>
      </x:c>
      <x:c r="J2320" s="7"/>
      <x:c r="K2320" s="7" t="str">
        <x:v>Open</x:v>
      </x:c>
      <x:c r="L2320" s="7"/>
    </x:row>
    <x:row r="2321" ht="21" customHeight="1">
      <x:c r="A2321" s="1" t="str">
        <x:f>Source!A2315</x:f>
        <x:v>C0007508</x:v>
      </x:c>
      <x:c r="B2321" s="1" t="str">
        <x:f>_xlfn.IFNA(VLOOKUP(Source!B2315,Advertisers!$A$5:$B$34,2,FALSE),"Missing advertiser")</x:f>
        <x:v>Synthetic advertiser 25</x:v>
      </x:c>
      <x:c r="C2321" s="1" t="n">
        <x:f>Source!C2315</x:f>
        <x:v>25</x:v>
      </x:c>
      <x:c r="D2321" s="8" t="n">
        <x:f>Source!D2315/100</x:f>
        <x:v>53.59</x:v>
      </x:c>
      <x:c r="E2321" s="8" t="n">
        <x:f>Source!E2315/100</x:f>
        <x:v>107.18</x:v>
      </x:c>
      <x:c r="F2321" s="8" t="n">
        <x:f>Source!F2315/100</x:f>
        <x:v>0</x:v>
      </x:c>
      <x:c r="G2321" s="8" t="n">
        <x:f>Source!G2315/100</x:f>
        <x:v>107.18</x:v>
      </x:c>
      <x:c r="H2321" s="8" t="n">
        <x:f>G2321-D2321</x:f>
        <x:v>53.59</x:v>
      </x:c>
      <x:c r="I2321" s="1" t="str">
        <x:f>IF(H2321&gt;0,"Overbilled","Shortfall")</x:f>
        <x:v>Overbilled</x:v>
      </x:c>
      <x:c r="J2321" s="7"/>
      <x:c r="K2321" s="7" t="str">
        <x:v>Open</x:v>
      </x:c>
      <x:c r="L2321" s="7"/>
    </x:row>
    <x:row r="2322" ht="21" customHeight="1">
      <x:c r="A2322" s="1" t="str">
        <x:f>Source!A2316</x:f>
        <x:v>C0001608</x:v>
      </x:c>
      <x:c r="B2322" s="1" t="str">
        <x:f>_xlfn.IFNA(VLOOKUP(Source!B2316,Advertisers!$A$5:$B$34,2,FALSE),"Missing advertiser")</x:f>
        <x:v>Synthetic advertiser 25</x:v>
      </x:c>
      <x:c r="C2322" s="1" t="n">
        <x:f>Source!C2316</x:f>
        <x:v>25</x:v>
      </x:c>
      <x:c r="D2322" s="8" t="n">
        <x:f>Source!D2316/100</x:f>
        <x:v>53.59</x:v>
      </x:c>
      <x:c r="E2322" s="8" t="n">
        <x:f>Source!E2316/100</x:f>
        <x:v>107.18</x:v>
      </x:c>
      <x:c r="F2322" s="8" t="n">
        <x:f>Source!F2316/100</x:f>
        <x:v>0</x:v>
      </x:c>
      <x:c r="G2322" s="8" t="n">
        <x:f>Source!G2316/100</x:f>
        <x:v>107.18</x:v>
      </x:c>
      <x:c r="H2322" s="8" t="n">
        <x:f>G2322-D2322</x:f>
        <x:v>53.59</x:v>
      </x:c>
      <x:c r="I2322" s="1" t="str">
        <x:f>IF(H2322&gt;0,"Overbilled","Shortfall")</x:f>
        <x:v>Overbilled</x:v>
      </x:c>
      <x:c r="J2322" s="7"/>
      <x:c r="K2322" s="7" t="str">
        <x:v>Open</x:v>
      </x:c>
      <x:c r="L2322" s="7"/>
    </x:row>
    <x:row r="2323" ht="21" customHeight="1">
      <x:c r="A2323" s="1" t="str">
        <x:f>Source!A2317</x:f>
        <x:v>C0007602</x:v>
      </x:c>
      <x:c r="B2323" s="1" t="str">
        <x:f>_xlfn.IFNA(VLOOKUP(Source!B2317,Advertisers!$A$5:$B$34,2,FALSE),"Missing advertiser")</x:f>
        <x:v>Synthetic advertiser 25</x:v>
      </x:c>
      <x:c r="C2323" s="1" t="n">
        <x:f>Source!C2317</x:f>
        <x:v>25</x:v>
      </x:c>
      <x:c r="D2323" s="8" t="n">
        <x:f>Source!D2317/100</x:f>
        <x:v>53.59</x:v>
      </x:c>
      <x:c r="E2323" s="8" t="n">
        <x:f>Source!E2317/100</x:f>
        <x:v>107.18</x:v>
      </x:c>
      <x:c r="F2323" s="8" t="n">
        <x:f>Source!F2317/100</x:f>
        <x:v>0</x:v>
      </x:c>
      <x:c r="G2323" s="8" t="n">
        <x:f>Source!G2317/100</x:f>
        <x:v>107.18</x:v>
      </x:c>
      <x:c r="H2323" s="8" t="n">
        <x:f>G2323-D2323</x:f>
        <x:v>53.59</x:v>
      </x:c>
      <x:c r="I2323" s="1" t="str">
        <x:f>IF(H2323&gt;0,"Overbilled","Shortfall")</x:f>
        <x:v>Overbilled</x:v>
      </x:c>
      <x:c r="J2323" s="7"/>
      <x:c r="K2323" s="7" t="str">
        <x:v>Open</x:v>
      </x:c>
      <x:c r="L2323" s="7"/>
    </x:row>
    <x:row r="2324" ht="21" customHeight="1">
      <x:c r="A2324" s="1" t="str">
        <x:f>Source!A2318</x:f>
        <x:v>C0001824</x:v>
      </x:c>
      <x:c r="B2324" s="1" t="str">
        <x:f>_xlfn.IFNA(VLOOKUP(Source!B2318,Advertisers!$A$5:$B$34,2,FALSE),"Missing advertiser")</x:f>
        <x:v>Synthetic advertiser 25</x:v>
      </x:c>
      <x:c r="C2324" s="1" t="n">
        <x:f>Source!C2318</x:f>
        <x:v>25</x:v>
      </x:c>
      <x:c r="D2324" s="8" t="n">
        <x:f>Source!D2318/100</x:f>
        <x:v>53.59</x:v>
      </x:c>
      <x:c r="E2324" s="8" t="n">
        <x:f>Source!E2318/100</x:f>
        <x:v>107.18</x:v>
      </x:c>
      <x:c r="F2324" s="8" t="n">
        <x:f>Source!F2318/100</x:f>
        <x:v>0</x:v>
      </x:c>
      <x:c r="G2324" s="8" t="n">
        <x:f>Source!G2318/100</x:f>
        <x:v>107.18</x:v>
      </x:c>
      <x:c r="H2324" s="8" t="n">
        <x:f>G2324-D2324</x:f>
        <x:v>53.59</x:v>
      </x:c>
      <x:c r="I2324" s="1" t="str">
        <x:f>IF(H2324&gt;0,"Overbilled","Shortfall")</x:f>
        <x:v>Overbilled</x:v>
      </x:c>
      <x:c r="J2324" s="7"/>
      <x:c r="K2324" s="7" t="str">
        <x:v>Open</x:v>
      </x:c>
      <x:c r="L2324" s="7"/>
    </x:row>
    <x:row r="2325" ht="21" customHeight="1">
      <x:c r="A2325" s="1" t="str">
        <x:f>Source!A2319</x:f>
        <x:v>C0007102</x:v>
      </x:c>
      <x:c r="B2325" s="1" t="str">
        <x:f>_xlfn.IFNA(VLOOKUP(Source!B2319,Advertisers!$A$5:$B$34,2,FALSE),"Missing advertiser")</x:f>
        <x:v>Synthetic advertiser 25</x:v>
      </x:c>
      <x:c r="C2325" s="1" t="n">
        <x:f>Source!C2319</x:f>
        <x:v>25</x:v>
      </x:c>
      <x:c r="D2325" s="8" t="n">
        <x:f>Source!D2319/100</x:f>
        <x:v>53.59</x:v>
      </x:c>
      <x:c r="E2325" s="8" t="n">
        <x:f>Source!E2319/100</x:f>
        <x:v>107.18</x:v>
      </x:c>
      <x:c r="F2325" s="8" t="n">
        <x:f>Source!F2319/100</x:f>
        <x:v>0</x:v>
      </x:c>
      <x:c r="G2325" s="8" t="n">
        <x:f>Source!G2319/100</x:f>
        <x:v>107.18</x:v>
      </x:c>
      <x:c r="H2325" s="8" t="n">
        <x:f>G2325-D2325</x:f>
        <x:v>53.59</x:v>
      </x:c>
      <x:c r="I2325" s="1" t="str">
        <x:f>IF(H2325&gt;0,"Overbilled","Shortfall")</x:f>
        <x:v>Overbilled</x:v>
      </x:c>
      <x:c r="J2325" s="7"/>
      <x:c r="K2325" s="7" t="str">
        <x:v>Open</x:v>
      </x:c>
      <x:c r="L2325" s="7"/>
    </x:row>
    <x:row r="2326" ht="21" customHeight="1">
      <x:c r="A2326" s="1" t="str">
        <x:f>Source!A2320</x:f>
        <x:v>C0014720</x:v>
      </x:c>
      <x:c r="B2326" s="1" t="str">
        <x:f>_xlfn.IFNA(VLOOKUP(Source!B2320,Advertisers!$A$5:$B$34,2,FALSE),"Missing advertiser")</x:f>
        <x:v>Synthetic advertiser 25</x:v>
      </x:c>
      <x:c r="C2326" s="1" t="n">
        <x:f>Source!C2320</x:f>
        <x:v>25</x:v>
      </x:c>
      <x:c r="D2326" s="8" t="n">
        <x:f>Source!D2320/100</x:f>
        <x:v>53.59</x:v>
      </x:c>
      <x:c r="E2326" s="8" t="n">
        <x:f>Source!E2320/100</x:f>
        <x:v>0</x:v>
      </x:c>
      <x:c r="F2326" s="8" t="n">
        <x:f>Source!F2320/100</x:f>
        <x:v>0</x:v>
      </x:c>
      <x:c r="G2326" s="8" t="n">
        <x:f>Source!G2320/100</x:f>
        <x:v>0</x:v>
      </x:c>
      <x:c r="H2326" s="8" t="n">
        <x:f>G2326-D2326</x:f>
        <x:v>-53.59</x:v>
      </x:c>
      <x:c r="I2326" s="1" t="str">
        <x:f>IF(H2326&gt;0,"Overbilled","Shortfall")</x:f>
        <x:v>Shortfall</x:v>
      </x:c>
      <x:c r="J2326" s="7"/>
      <x:c r="K2326" s="7" t="str">
        <x:v>Open</x:v>
      </x:c>
      <x:c r="L2326" s="7"/>
    </x:row>
    <x:row r="2327" ht="21" customHeight="1">
      <x:c r="A2327" s="1" t="str">
        <x:f>Source!A2321</x:f>
        <x:v>C0006663</x:v>
      </x:c>
      <x:c r="B2327" s="1" t="str">
        <x:f>_xlfn.IFNA(VLOOKUP(Source!B2321,Advertisers!$A$5:$B$34,2,FALSE),"Missing advertiser")</x:f>
        <x:v>Synthetic advertiser 25</x:v>
      </x:c>
      <x:c r="C2327" s="1" t="n">
        <x:f>Source!C2321</x:f>
        <x:v>25</x:v>
      </x:c>
      <x:c r="D2327" s="8" t="n">
        <x:f>Source!D2321/100</x:f>
        <x:v>0</x:v>
      </x:c>
      <x:c r="E2327" s="8" t="n">
        <x:f>Source!E2321/100</x:f>
        <x:v>53.59</x:v>
      </x:c>
      <x:c r="F2327" s="8" t="n">
        <x:f>Source!F2321/100</x:f>
        <x:v>0</x:v>
      </x:c>
      <x:c r="G2327" s="8" t="n">
        <x:f>Source!G2321/100</x:f>
        <x:v>53.59</x:v>
      </x:c>
      <x:c r="H2327" s="8" t="n">
        <x:f>G2327-D2327</x:f>
        <x:v>53.59</x:v>
      </x:c>
      <x:c r="I2327" s="1" t="str">
        <x:f>IF(H2327&gt;0,"Overbilled","Shortfall")</x:f>
        <x:v>Overbilled</x:v>
      </x:c>
      <x:c r="J2327" s="7"/>
      <x:c r="K2327" s="7" t="str">
        <x:v>Open</x:v>
      </x:c>
      <x:c r="L2327" s="7"/>
    </x:row>
    <x:row r="2328" ht="21" customHeight="1">
      <x:c r="A2328" s="1" t="str">
        <x:f>Source!A2322</x:f>
        <x:v>C0012018</x:v>
      </x:c>
      <x:c r="B2328" s="1" t="str">
        <x:f>_xlfn.IFNA(VLOOKUP(Source!B2322,Advertisers!$A$5:$B$34,2,FALSE),"Missing advertiser")</x:f>
        <x:v>Synthetic advertiser 25</x:v>
      </x:c>
      <x:c r="C2328" s="1" t="n">
        <x:f>Source!C2322</x:f>
        <x:v>25</x:v>
      </x:c>
      <x:c r="D2328" s="8" t="n">
        <x:f>Source!D2322/100</x:f>
        <x:v>53.59</x:v>
      </x:c>
      <x:c r="E2328" s="8" t="n">
        <x:f>Source!E2322/100</x:f>
        <x:v>107.18</x:v>
      </x:c>
      <x:c r="F2328" s="8" t="n">
        <x:f>Source!F2322/100</x:f>
        <x:v>0</x:v>
      </x:c>
      <x:c r="G2328" s="8" t="n">
        <x:f>Source!G2322/100</x:f>
        <x:v>107.18</x:v>
      </x:c>
      <x:c r="H2328" s="8" t="n">
        <x:f>G2328-D2328</x:f>
        <x:v>53.59</x:v>
      </x:c>
      <x:c r="I2328" s="1" t="str">
        <x:f>IF(H2328&gt;0,"Overbilled","Shortfall")</x:f>
        <x:v>Overbilled</x:v>
      </x:c>
      <x:c r="J2328" s="7"/>
      <x:c r="K2328" s="7" t="str">
        <x:v>Open</x:v>
      </x:c>
      <x:c r="L2328" s="7"/>
    </x:row>
    <x:row r="2329" ht="21" customHeight="1">
      <x:c r="A2329" s="1" t="str">
        <x:f>Source!A2323</x:f>
        <x:v>C0008297</x:v>
      </x:c>
      <x:c r="B2329" s="1" t="str">
        <x:f>_xlfn.IFNA(VLOOKUP(Source!B2323,Advertisers!$A$5:$B$34,2,FALSE),"Missing advertiser")</x:f>
        <x:v>Synthetic advertiser 25</x:v>
      </x:c>
      <x:c r="C2329" s="1" t="n">
        <x:f>Source!C2323</x:f>
        <x:v>25</x:v>
      </x:c>
      <x:c r="D2329" s="8" t="n">
        <x:f>Source!D2323/100</x:f>
        <x:v>53.59</x:v>
      </x:c>
      <x:c r="E2329" s="8" t="n">
        <x:f>Source!E2323/100</x:f>
        <x:v>0</x:v>
      </x:c>
      <x:c r="F2329" s="8" t="n">
        <x:f>Source!F2323/100</x:f>
        <x:v>0</x:v>
      </x:c>
      <x:c r="G2329" s="8" t="n">
        <x:f>Source!G2323/100</x:f>
        <x:v>0</x:v>
      </x:c>
      <x:c r="H2329" s="8" t="n">
        <x:f>G2329-D2329</x:f>
        <x:v>-53.59</x:v>
      </x:c>
      <x:c r="I2329" s="1" t="str">
        <x:f>IF(H2329&gt;0,"Overbilled","Shortfall")</x:f>
        <x:v>Shortfall</x:v>
      </x:c>
      <x:c r="J2329" s="7"/>
      <x:c r="K2329" s="7" t="str">
        <x:v>Open</x:v>
      </x:c>
      <x:c r="L2329" s="7"/>
    </x:row>
    <x:row r="2330" ht="21" customHeight="1">
      <x:c r="A2330" s="1" t="str">
        <x:f>Source!A2324</x:f>
        <x:v>C0010547</x:v>
      </x:c>
      <x:c r="B2330" s="1" t="str">
        <x:f>_xlfn.IFNA(VLOOKUP(Source!B2324,Advertisers!$A$5:$B$34,2,FALSE),"Missing advertiser")</x:f>
        <x:v>Synthetic advertiser 25</x:v>
      </x:c>
      <x:c r="C2330" s="1" t="n">
        <x:f>Source!C2324</x:f>
        <x:v>25</x:v>
      </x:c>
      <x:c r="D2330" s="8" t="n">
        <x:f>Source!D2324/100</x:f>
        <x:v>53.59</x:v>
      </x:c>
      <x:c r="E2330" s="8" t="n">
        <x:f>Source!E2324/100</x:f>
        <x:v>107.18</x:v>
      </x:c>
      <x:c r="F2330" s="8" t="n">
        <x:f>Source!F2324/100</x:f>
        <x:v>0</x:v>
      </x:c>
      <x:c r="G2330" s="8" t="n">
        <x:f>Source!G2324/100</x:f>
        <x:v>107.18</x:v>
      </x:c>
      <x:c r="H2330" s="8" t="n">
        <x:f>G2330-D2330</x:f>
        <x:v>53.59</x:v>
      </x:c>
      <x:c r="I2330" s="1" t="str">
        <x:f>IF(H2330&gt;0,"Overbilled","Shortfall")</x:f>
        <x:v>Overbilled</x:v>
      </x:c>
      <x:c r="J2330" s="7"/>
      <x:c r="K2330" s="7" t="str">
        <x:v>Open</x:v>
      </x:c>
      <x:c r="L2330" s="7"/>
    </x:row>
    <x:row r="2331" ht="21" customHeight="1">
      <x:c r="A2331" s="1" t="str">
        <x:f>Source!A2325</x:f>
        <x:v>C0001167</x:v>
      </x:c>
      <x:c r="B2331" s="1" t="str">
        <x:f>_xlfn.IFNA(VLOOKUP(Source!B2325,Advertisers!$A$5:$B$34,2,FALSE),"Missing advertiser")</x:f>
        <x:v>Synthetic advertiser 14</x:v>
      </x:c>
      <x:c r="C2331" s="1" t="n">
        <x:f>Source!C2325</x:f>
        <x:v>104</x:v>
      </x:c>
      <x:c r="D2331" s="8" t="n">
        <x:f>Source!D2325/100</x:f>
        <x:v>52.03</x:v>
      </x:c>
      <x:c r="E2331" s="8" t="n">
        <x:f>Source!E2325/100</x:f>
        <x:v>0</x:v>
      </x:c>
      <x:c r="F2331" s="8" t="n">
        <x:f>Source!F2325/100</x:f>
        <x:v>0</x:v>
      </x:c>
      <x:c r="G2331" s="8" t="n">
        <x:f>Source!G2325/100</x:f>
        <x:v>0</x:v>
      </x:c>
      <x:c r="H2331" s="8" t="n">
        <x:f>G2331-D2331</x:f>
        <x:v>-52.03</x:v>
      </x:c>
      <x:c r="I2331" s="1" t="str">
        <x:f>IF(H2331&gt;0,"Overbilled","Shortfall")</x:f>
        <x:v>Shortfall</x:v>
      </x:c>
      <x:c r="J2331" s="7"/>
      <x:c r="K2331" s="7" t="str">
        <x:v>Open</x:v>
      </x:c>
      <x:c r="L2331" s="7"/>
    </x:row>
    <x:row r="2332" ht="21" customHeight="1">
      <x:c r="A2332" s="1" t="str">
        <x:f>Source!A2326</x:f>
        <x:v>C0009468</x:v>
      </x:c>
      <x:c r="B2332" s="1" t="str">
        <x:f>_xlfn.IFNA(VLOOKUP(Source!B2326,Advertisers!$A$5:$B$34,2,FALSE),"Missing advertiser")</x:f>
        <x:v>Synthetic advertiser 14</x:v>
      </x:c>
      <x:c r="C2332" s="1" t="n">
        <x:f>Source!C2326</x:f>
        <x:v>104</x:v>
      </x:c>
      <x:c r="D2332" s="8" t="n">
        <x:f>Source!D2326/100</x:f>
        <x:v>52.03</x:v>
      </x:c>
      <x:c r="E2332" s="8" t="n">
        <x:f>Source!E2326/100</x:f>
        <x:v>0</x:v>
      </x:c>
      <x:c r="F2332" s="8" t="n">
        <x:f>Source!F2326/100</x:f>
        <x:v>0</x:v>
      </x:c>
      <x:c r="G2332" s="8" t="n">
        <x:f>Source!G2326/100</x:f>
        <x:v>0</x:v>
      </x:c>
      <x:c r="H2332" s="8" t="n">
        <x:f>G2332-D2332</x:f>
        <x:v>-52.03</x:v>
      </x:c>
      <x:c r="I2332" s="1" t="str">
        <x:f>IF(H2332&gt;0,"Overbilled","Shortfall")</x:f>
        <x:v>Shortfall</x:v>
      </x:c>
      <x:c r="J2332" s="7"/>
      <x:c r="K2332" s="7" t="str">
        <x:v>Open</x:v>
      </x:c>
      <x:c r="L2332" s="7"/>
    </x:row>
    <x:row r="2333" ht="21" customHeight="1">
      <x:c r="A2333" s="1" t="str">
        <x:f>Source!A2327</x:f>
        <x:v>C0008906</x:v>
      </x:c>
      <x:c r="B2333" s="1" t="str">
        <x:f>_xlfn.IFNA(VLOOKUP(Source!B2327,Advertisers!$A$5:$B$34,2,FALSE),"Missing advertiser")</x:f>
        <x:v>Synthetic advertiser 14</x:v>
      </x:c>
      <x:c r="C2333" s="1" t="n">
        <x:f>Source!C2327</x:f>
        <x:v>104</x:v>
      </x:c>
      <x:c r="D2333" s="8" t="n">
        <x:f>Source!D2327/100</x:f>
        <x:v>52.03</x:v>
      </x:c>
      <x:c r="E2333" s="8" t="n">
        <x:f>Source!E2327/100</x:f>
        <x:v>104.06</x:v>
      </x:c>
      <x:c r="F2333" s="8" t="n">
        <x:f>Source!F2327/100</x:f>
        <x:v>0</x:v>
      </x:c>
      <x:c r="G2333" s="8" t="n">
        <x:f>Source!G2327/100</x:f>
        <x:v>104.06</x:v>
      </x:c>
      <x:c r="H2333" s="8" t="n">
        <x:f>G2333-D2333</x:f>
        <x:v>52.03</x:v>
      </x:c>
      <x:c r="I2333" s="1" t="str">
        <x:f>IF(H2333&gt;0,"Overbilled","Shortfall")</x:f>
        <x:v>Overbilled</x:v>
      </x:c>
      <x:c r="J2333" s="7"/>
      <x:c r="K2333" s="7" t="str">
        <x:v>Open</x:v>
      </x:c>
      <x:c r="L2333" s="7"/>
    </x:row>
    <x:row r="2334" ht="21" customHeight="1">
      <x:c r="A2334" s="1" t="str">
        <x:f>Source!A2328</x:f>
        <x:v>C0015210</x:v>
      </x:c>
      <x:c r="B2334" s="1" t="str">
        <x:f>_xlfn.IFNA(VLOOKUP(Source!B2328,Advertisers!$A$5:$B$34,2,FALSE),"Missing advertiser")</x:f>
        <x:v>Synthetic advertiser 14</x:v>
      </x:c>
      <x:c r="C2334" s="1" t="n">
        <x:f>Source!C2328</x:f>
        <x:v>104</x:v>
      </x:c>
      <x:c r="D2334" s="8" t="n">
        <x:f>Source!D2328/100</x:f>
        <x:v>52.03</x:v>
      </x:c>
      <x:c r="E2334" s="8" t="n">
        <x:f>Source!E2328/100</x:f>
        <x:v>0</x:v>
      </x:c>
      <x:c r="F2334" s="8" t="n">
        <x:f>Source!F2328/100</x:f>
        <x:v>0</x:v>
      </x:c>
      <x:c r="G2334" s="8" t="n">
        <x:f>Source!G2328/100</x:f>
        <x:v>0</x:v>
      </x:c>
      <x:c r="H2334" s="8" t="n">
        <x:f>G2334-D2334</x:f>
        <x:v>-52.03</x:v>
      </x:c>
      <x:c r="I2334" s="1" t="str">
        <x:f>IF(H2334&gt;0,"Overbilled","Shortfall")</x:f>
        <x:v>Shortfall</x:v>
      </x:c>
      <x:c r="J2334" s="7"/>
      <x:c r="K2334" s="7" t="str">
        <x:v>Open</x:v>
      </x:c>
      <x:c r="L2334" s="7"/>
    </x:row>
    <x:row r="2335" ht="21" customHeight="1">
      <x:c r="A2335" s="1" t="str">
        <x:f>Source!A2329</x:f>
        <x:v>C0008811</x:v>
      </x:c>
      <x:c r="B2335" s="1" t="str">
        <x:f>_xlfn.IFNA(VLOOKUP(Source!B2329,Advertisers!$A$5:$B$34,2,FALSE),"Missing advertiser")</x:f>
        <x:v>Synthetic advertiser 14</x:v>
      </x:c>
      <x:c r="C2335" s="1" t="n">
        <x:f>Source!C2329</x:f>
        <x:v>104</x:v>
      </x:c>
      <x:c r="D2335" s="8" t="n">
        <x:f>Source!D2329/100</x:f>
        <x:v>52.03</x:v>
      </x:c>
      <x:c r="E2335" s="8" t="n">
        <x:f>Source!E2329/100</x:f>
        <x:v>0</x:v>
      </x:c>
      <x:c r="F2335" s="8" t="n">
        <x:f>Source!F2329/100</x:f>
        <x:v>0</x:v>
      </x:c>
      <x:c r="G2335" s="8" t="n">
        <x:f>Source!G2329/100</x:f>
        <x:v>0</x:v>
      </x:c>
      <x:c r="H2335" s="8" t="n">
        <x:f>G2335-D2335</x:f>
        <x:v>-52.03</x:v>
      </x:c>
      <x:c r="I2335" s="1" t="str">
        <x:f>IF(H2335&gt;0,"Overbilled","Shortfall")</x:f>
        <x:v>Shortfall</x:v>
      </x:c>
      <x:c r="J2335" s="7"/>
      <x:c r="K2335" s="7" t="str">
        <x:v>Open</x:v>
      </x:c>
      <x:c r="L2335" s="7"/>
    </x:row>
    <x:row r="2336" ht="21" customHeight="1">
      <x:c r="A2336" s="1" t="str">
        <x:f>Source!A2330</x:f>
        <x:v>C0003608</x:v>
      </x:c>
      <x:c r="B2336" s="1" t="str">
        <x:f>_xlfn.IFNA(VLOOKUP(Source!B2330,Advertisers!$A$5:$B$34,2,FALSE),"Missing advertiser")</x:f>
        <x:v>Synthetic advertiser 14</x:v>
      </x:c>
      <x:c r="C2336" s="1" t="n">
        <x:f>Source!C2330</x:f>
        <x:v>104</x:v>
      </x:c>
      <x:c r="D2336" s="8" t="n">
        <x:f>Source!D2330/100</x:f>
        <x:v>52.03</x:v>
      </x:c>
      <x:c r="E2336" s="8" t="n">
        <x:f>Source!E2330/100</x:f>
        <x:v>0</x:v>
      </x:c>
      <x:c r="F2336" s="8" t="n">
        <x:f>Source!F2330/100</x:f>
        <x:v>0</x:v>
      </x:c>
      <x:c r="G2336" s="8" t="n">
        <x:f>Source!G2330/100</x:f>
        <x:v>0</x:v>
      </x:c>
      <x:c r="H2336" s="8" t="n">
        <x:f>G2336-D2336</x:f>
        <x:v>-52.03</x:v>
      </x:c>
      <x:c r="I2336" s="1" t="str">
        <x:f>IF(H2336&gt;0,"Overbilled","Shortfall")</x:f>
        <x:v>Shortfall</x:v>
      </x:c>
      <x:c r="J2336" s="7"/>
      <x:c r="K2336" s="7" t="str">
        <x:v>Open</x:v>
      </x:c>
      <x:c r="L2336" s="7"/>
    </x:row>
    <x:row r="2337" ht="21" customHeight="1">
      <x:c r="A2337" s="1" t="str">
        <x:f>Source!A2331</x:f>
        <x:v>C0014851</x:v>
      </x:c>
      <x:c r="B2337" s="1" t="str">
        <x:f>_xlfn.IFNA(VLOOKUP(Source!B2331,Advertisers!$A$5:$B$34,2,FALSE),"Missing advertiser")</x:f>
        <x:v>Synthetic advertiser 10</x:v>
      </x:c>
      <x:c r="C2337" s="1" t="n">
        <x:f>Source!C2331</x:f>
        <x:v>70</x:v>
      </x:c>
      <x:c r="D2337" s="8" t="n">
        <x:f>Source!D2331/100</x:f>
        <x:v>0</x:v>
      </x:c>
      <x:c r="E2337" s="8" t="n">
        <x:f>Source!E2331/100</x:f>
        <x:v>51.46</x:v>
      </x:c>
      <x:c r="F2337" s="8" t="n">
        <x:f>Source!F2331/100</x:f>
        <x:v>0</x:v>
      </x:c>
      <x:c r="G2337" s="8" t="n">
        <x:f>Source!G2331/100</x:f>
        <x:v>51.46</x:v>
      </x:c>
      <x:c r="H2337" s="8" t="n">
        <x:f>G2337-D2337</x:f>
        <x:v>51.46</x:v>
      </x:c>
      <x:c r="I2337" s="1" t="str">
        <x:f>IF(H2337&gt;0,"Overbilled","Shortfall")</x:f>
        <x:v>Overbilled</x:v>
      </x:c>
      <x:c r="J2337" s="7"/>
      <x:c r="K2337" s="7" t="str">
        <x:v>Open</x:v>
      </x:c>
      <x:c r="L2337" s="7"/>
    </x:row>
    <x:row r="2338" ht="21" customHeight="1">
      <x:c r="A2338" s="1" t="str">
        <x:f>Source!A2332</x:f>
        <x:v>C0008571</x:v>
      </x:c>
      <x:c r="B2338" s="1" t="str">
        <x:f>_xlfn.IFNA(VLOOKUP(Source!B2332,Advertisers!$A$5:$B$34,2,FALSE),"Missing advertiser")</x:f>
        <x:v>Synthetic advertiser 10</x:v>
      </x:c>
      <x:c r="C2338" s="1" t="n">
        <x:f>Source!C2332</x:f>
        <x:v>70</x:v>
      </x:c>
      <x:c r="D2338" s="8" t="n">
        <x:f>Source!D2332/100</x:f>
        <x:v>51.46</x:v>
      </x:c>
      <x:c r="E2338" s="8" t="n">
        <x:f>Source!E2332/100</x:f>
        <x:v>102.92</x:v>
      </x:c>
      <x:c r="F2338" s="8" t="n">
        <x:f>Source!F2332/100</x:f>
        <x:v>0</x:v>
      </x:c>
      <x:c r="G2338" s="8" t="n">
        <x:f>Source!G2332/100</x:f>
        <x:v>102.92</x:v>
      </x:c>
      <x:c r="H2338" s="8" t="n">
        <x:f>G2338-D2338</x:f>
        <x:v>51.46</x:v>
      </x:c>
      <x:c r="I2338" s="1" t="str">
        <x:f>IF(H2338&gt;0,"Overbilled","Shortfall")</x:f>
        <x:v>Overbilled</x:v>
      </x:c>
      <x:c r="J2338" s="7"/>
      <x:c r="K2338" s="7" t="str">
        <x:v>Open</x:v>
      </x:c>
      <x:c r="L2338" s="7"/>
    </x:row>
    <x:row r="2339" ht="21" customHeight="1">
      <x:c r="A2339" s="1" t="str">
        <x:f>Source!A2333</x:f>
        <x:v>C0011864</x:v>
      </x:c>
      <x:c r="B2339" s="1" t="str">
        <x:f>_xlfn.IFNA(VLOOKUP(Source!B2333,Advertisers!$A$5:$B$34,2,FALSE),"Missing advertiser")</x:f>
        <x:v>Synthetic advertiser 10</x:v>
      </x:c>
      <x:c r="C2339" s="1" t="n">
        <x:f>Source!C2333</x:f>
        <x:v>70</x:v>
      </x:c>
      <x:c r="D2339" s="8" t="n">
        <x:f>Source!D2333/100</x:f>
        <x:v>51.46</x:v>
      </x:c>
      <x:c r="E2339" s="8" t="n">
        <x:f>Source!E2333/100</x:f>
        <x:v>0</x:v>
      </x:c>
      <x:c r="F2339" s="8" t="n">
        <x:f>Source!F2333/100</x:f>
        <x:v>0</x:v>
      </x:c>
      <x:c r="G2339" s="8" t="n">
        <x:f>Source!G2333/100</x:f>
        <x:v>0</x:v>
      </x:c>
      <x:c r="H2339" s="8" t="n">
        <x:f>G2339-D2339</x:f>
        <x:v>-51.46</x:v>
      </x:c>
      <x:c r="I2339" s="1" t="str">
        <x:f>IF(H2339&gt;0,"Overbilled","Shortfall")</x:f>
        <x:v>Shortfall</x:v>
      </x:c>
      <x:c r="J2339" s="7"/>
      <x:c r="K2339" s="7" t="str">
        <x:v>Open</x:v>
      </x:c>
      <x:c r="L2339" s="7"/>
    </x:row>
    <x:row r="2340" ht="21" customHeight="1">
      <x:c r="A2340" s="1" t="str">
        <x:f>Source!A2334</x:f>
        <x:v>C0011983</x:v>
      </x:c>
      <x:c r="B2340" s="1" t="str">
        <x:f>_xlfn.IFNA(VLOOKUP(Source!B2334,Advertisers!$A$5:$B$34,2,FALSE),"Missing advertiser")</x:f>
        <x:v>Synthetic advertiser 10</x:v>
      </x:c>
      <x:c r="C2340" s="1" t="n">
        <x:f>Source!C2334</x:f>
        <x:v>70</x:v>
      </x:c>
      <x:c r="D2340" s="8" t="n">
        <x:f>Source!D2334/100</x:f>
        <x:v>51.46</x:v>
      </x:c>
      <x:c r="E2340" s="8" t="n">
        <x:f>Source!E2334/100</x:f>
        <x:v>102.92</x:v>
      </x:c>
      <x:c r="F2340" s="8" t="n">
        <x:f>Source!F2334/100</x:f>
        <x:v>0</x:v>
      </x:c>
      <x:c r="G2340" s="8" t="n">
        <x:f>Source!G2334/100</x:f>
        <x:v>102.92</x:v>
      </x:c>
      <x:c r="H2340" s="8" t="n">
        <x:f>G2340-D2340</x:f>
        <x:v>51.46</x:v>
      </x:c>
      <x:c r="I2340" s="1" t="str">
        <x:f>IF(H2340&gt;0,"Overbilled","Shortfall")</x:f>
        <x:v>Overbilled</x:v>
      </x:c>
      <x:c r="J2340" s="7"/>
      <x:c r="K2340" s="7" t="str">
        <x:v>Open</x:v>
      </x:c>
      <x:c r="L2340" s="7"/>
    </x:row>
    <x:row r="2341" ht="21" customHeight="1">
      <x:c r="A2341" s="1" t="str">
        <x:f>Source!A2335</x:f>
        <x:v>C0013812</x:v>
      </x:c>
      <x:c r="B2341" s="1" t="str">
        <x:f>_xlfn.IFNA(VLOOKUP(Source!B2335,Advertisers!$A$5:$B$34,2,FALSE),"Missing advertiser")</x:f>
        <x:v>Synthetic advertiser 10</x:v>
      </x:c>
      <x:c r="C2341" s="1" t="n">
        <x:f>Source!C2335</x:f>
        <x:v>70</x:v>
      </x:c>
      <x:c r="D2341" s="8" t="n">
        <x:f>Source!D2335/100</x:f>
        <x:v>51.46</x:v>
      </x:c>
      <x:c r="E2341" s="8" t="n">
        <x:f>Source!E2335/100</x:f>
        <x:v>0</x:v>
      </x:c>
      <x:c r="F2341" s="8" t="n">
        <x:f>Source!F2335/100</x:f>
        <x:v>0</x:v>
      </x:c>
      <x:c r="G2341" s="8" t="n">
        <x:f>Source!G2335/100</x:f>
        <x:v>0</x:v>
      </x:c>
      <x:c r="H2341" s="8" t="n">
        <x:f>G2341-D2341</x:f>
        <x:v>-51.46</x:v>
      </x:c>
      <x:c r="I2341" s="1" t="str">
        <x:f>IF(H2341&gt;0,"Overbilled","Shortfall")</x:f>
        <x:v>Shortfall</x:v>
      </x:c>
      <x:c r="J2341" s="7"/>
      <x:c r="K2341" s="7" t="str">
        <x:v>Open</x:v>
      </x:c>
      <x:c r="L2341" s="7"/>
    </x:row>
    <x:row r="2342" ht="21" customHeight="1">
      <x:c r="A2342" s="1" t="str">
        <x:f>Source!A2336</x:f>
        <x:v>C0001049</x:v>
      </x:c>
      <x:c r="B2342" s="1" t="str">
        <x:f>_xlfn.IFNA(VLOOKUP(Source!B2336,Advertisers!$A$5:$B$34,2,FALSE),"Missing advertiser")</x:f>
        <x:v>Synthetic advertiser 10</x:v>
      </x:c>
      <x:c r="C2342" s="1" t="n">
        <x:f>Source!C2336</x:f>
        <x:v>70</x:v>
      </x:c>
      <x:c r="D2342" s="8" t="n">
        <x:f>Source!D2336/100</x:f>
        <x:v>51.46</x:v>
      </x:c>
      <x:c r="E2342" s="8" t="n">
        <x:f>Source!E2336/100</x:f>
        <x:v>102.92</x:v>
      </x:c>
      <x:c r="F2342" s="8" t="n">
        <x:f>Source!F2336/100</x:f>
        <x:v>0</x:v>
      </x:c>
      <x:c r="G2342" s="8" t="n">
        <x:f>Source!G2336/100</x:f>
        <x:v>102.92</x:v>
      </x:c>
      <x:c r="H2342" s="8" t="n">
        <x:f>G2342-D2342</x:f>
        <x:v>51.46</x:v>
      </x:c>
      <x:c r="I2342" s="1" t="str">
        <x:f>IF(H2342&gt;0,"Overbilled","Shortfall")</x:f>
        <x:v>Overbilled</x:v>
      </x:c>
      <x:c r="J2342" s="7"/>
      <x:c r="K2342" s="7" t="str">
        <x:v>Open</x:v>
      </x:c>
      <x:c r="L2342" s="7"/>
    </x:row>
    <x:row r="2343" ht="21" customHeight="1">
      <x:c r="A2343" s="1" t="str">
        <x:f>Source!A2337</x:f>
        <x:v>C0001698</x:v>
      </x:c>
      <x:c r="B2343" s="1" t="str">
        <x:f>_xlfn.IFNA(VLOOKUP(Source!B2337,Advertisers!$A$5:$B$34,2,FALSE),"Missing advertiser")</x:f>
        <x:v>Synthetic advertiser 10</x:v>
      </x:c>
      <x:c r="C2343" s="1" t="n">
        <x:f>Source!C2337</x:f>
        <x:v>70</x:v>
      </x:c>
      <x:c r="D2343" s="8" t="n">
        <x:f>Source!D2337/100</x:f>
        <x:v>51.46</x:v>
      </x:c>
      <x:c r="E2343" s="8" t="n">
        <x:f>Source!E2337/100</x:f>
        <x:v>0</x:v>
      </x:c>
      <x:c r="F2343" s="8" t="n">
        <x:f>Source!F2337/100</x:f>
        <x:v>0</x:v>
      </x:c>
      <x:c r="G2343" s="8" t="n">
        <x:f>Source!G2337/100</x:f>
        <x:v>0</x:v>
      </x:c>
      <x:c r="H2343" s="8" t="n">
        <x:f>G2343-D2343</x:f>
        <x:v>-51.46</x:v>
      </x:c>
      <x:c r="I2343" s="1" t="str">
        <x:f>IF(H2343&gt;0,"Overbilled","Shortfall")</x:f>
        <x:v>Shortfall</x:v>
      </x:c>
      <x:c r="J2343" s="7"/>
      <x:c r="K2343" s="7" t="str">
        <x:v>Open</x:v>
      </x:c>
      <x:c r="L2343" s="7"/>
    </x:row>
    <x:row r="2344" ht="21" customHeight="1">
      <x:c r="A2344" s="1" t="str">
        <x:f>Source!A2338</x:f>
        <x:v>C0006327</x:v>
      </x:c>
      <x:c r="B2344" s="1" t="str">
        <x:f>_xlfn.IFNA(VLOOKUP(Source!B2338,Advertisers!$A$5:$B$34,2,FALSE),"Missing advertiser")</x:f>
        <x:v>Synthetic advertiser 20</x:v>
      </x:c>
      <x:c r="C2344" s="1" t="n">
        <x:f>Source!C2338</x:f>
        <x:v>50</x:v>
      </x:c>
      <x:c r="D2344" s="8" t="n">
        <x:f>Source!D2338/100</x:f>
        <x:v>51.09</x:v>
      </x:c>
      <x:c r="E2344" s="8" t="n">
        <x:f>Source!E2338/100</x:f>
        <x:v>102.18</x:v>
      </x:c>
      <x:c r="F2344" s="8" t="n">
        <x:f>Source!F2338/100</x:f>
        <x:v>0</x:v>
      </x:c>
      <x:c r="G2344" s="8" t="n">
        <x:f>Source!G2338/100</x:f>
        <x:v>102.18</x:v>
      </x:c>
      <x:c r="H2344" s="8" t="n">
        <x:f>G2344-D2344</x:f>
        <x:v>51.09</x:v>
      </x:c>
      <x:c r="I2344" s="1" t="str">
        <x:f>IF(H2344&gt;0,"Overbilled","Shortfall")</x:f>
        <x:v>Overbilled</x:v>
      </x:c>
      <x:c r="J2344" s="7"/>
      <x:c r="K2344" s="7" t="str">
        <x:v>Open</x:v>
      </x:c>
      <x:c r="L2344" s="7"/>
    </x:row>
    <x:row r="2345" ht="21" customHeight="1">
      <x:c r="A2345" s="1" t="str">
        <x:f>Source!A2339</x:f>
        <x:v>C0013908</x:v>
      </x:c>
      <x:c r="B2345" s="1" t="str">
        <x:f>_xlfn.IFNA(VLOOKUP(Source!B2339,Advertisers!$A$5:$B$34,2,FALSE),"Missing advertiser")</x:f>
        <x:v>Synthetic advertiser 20</x:v>
      </x:c>
      <x:c r="C2345" s="1" t="n">
        <x:f>Source!C2339</x:f>
        <x:v>50</x:v>
      </x:c>
      <x:c r="D2345" s="8" t="n">
        <x:f>Source!D2339/100</x:f>
        <x:v>51.09</x:v>
      </x:c>
      <x:c r="E2345" s="8" t="n">
        <x:f>Source!E2339/100</x:f>
        <x:v>0</x:v>
      </x:c>
      <x:c r="F2345" s="8" t="n">
        <x:f>Source!F2339/100</x:f>
        <x:v>0</x:v>
      </x:c>
      <x:c r="G2345" s="8" t="n">
        <x:f>Source!G2339/100</x:f>
        <x:v>0</x:v>
      </x:c>
      <x:c r="H2345" s="8" t="n">
        <x:f>G2345-D2345</x:f>
        <x:v>-51.09</x:v>
      </x:c>
      <x:c r="I2345" s="1" t="str">
        <x:f>IF(H2345&gt;0,"Overbilled","Shortfall")</x:f>
        <x:v>Shortfall</x:v>
      </x:c>
      <x:c r="J2345" s="7"/>
      <x:c r="K2345" s="7" t="str">
        <x:v>Open</x:v>
      </x:c>
      <x:c r="L2345" s="7"/>
    </x:row>
    <x:row r="2346" ht="21" customHeight="1">
      <x:c r="A2346" s="1" t="str">
        <x:f>Source!A2340</x:f>
        <x:v>C0002467</x:v>
      </x:c>
      <x:c r="B2346" s="1" t="str">
        <x:f>_xlfn.IFNA(VLOOKUP(Source!B2340,Advertisers!$A$5:$B$34,2,FALSE),"Missing advertiser")</x:f>
        <x:v>Synthetic advertiser 20</x:v>
      </x:c>
      <x:c r="C2346" s="1" t="n">
        <x:f>Source!C2340</x:f>
        <x:v>50</x:v>
      </x:c>
      <x:c r="D2346" s="8" t="n">
        <x:f>Source!D2340/100</x:f>
        <x:v>0</x:v>
      </x:c>
      <x:c r="E2346" s="8" t="n">
        <x:f>Source!E2340/100</x:f>
        <x:v>51.09</x:v>
      </x:c>
      <x:c r="F2346" s="8" t="n">
        <x:f>Source!F2340/100</x:f>
        <x:v>0</x:v>
      </x:c>
      <x:c r="G2346" s="8" t="n">
        <x:f>Source!G2340/100</x:f>
        <x:v>51.09</x:v>
      </x:c>
      <x:c r="H2346" s="8" t="n">
        <x:f>G2346-D2346</x:f>
        <x:v>51.09</x:v>
      </x:c>
      <x:c r="I2346" s="1" t="str">
        <x:f>IF(H2346&gt;0,"Overbilled","Shortfall")</x:f>
        <x:v>Overbilled</x:v>
      </x:c>
      <x:c r="J2346" s="7"/>
      <x:c r="K2346" s="7" t="str">
        <x:v>Open</x:v>
      </x:c>
      <x:c r="L2346" s="7"/>
    </x:row>
    <x:row r="2347" ht="21" customHeight="1">
      <x:c r="A2347" s="1" t="str">
        <x:f>Source!A2341</x:f>
        <x:v>C0015627</x:v>
      </x:c>
      <x:c r="B2347" s="1" t="str">
        <x:f>_xlfn.IFNA(VLOOKUP(Source!B2341,Advertisers!$A$5:$B$34,2,FALSE),"Missing advertiser")</x:f>
        <x:v>Synthetic advertiser 20</x:v>
      </x:c>
      <x:c r="C2347" s="1" t="n">
        <x:f>Source!C2341</x:f>
        <x:v>50</x:v>
      </x:c>
      <x:c r="D2347" s="8" t="n">
        <x:f>Source!D2341/100</x:f>
        <x:v>51.09</x:v>
      </x:c>
      <x:c r="E2347" s="8" t="n">
        <x:f>Source!E2341/100</x:f>
        <x:v>102.18</x:v>
      </x:c>
      <x:c r="F2347" s="8" t="n">
        <x:f>Source!F2341/100</x:f>
        <x:v>0</x:v>
      </x:c>
      <x:c r="G2347" s="8" t="n">
        <x:f>Source!G2341/100</x:f>
        <x:v>102.18</x:v>
      </x:c>
      <x:c r="H2347" s="8" t="n">
        <x:f>G2347-D2347</x:f>
        <x:v>51.09</x:v>
      </x:c>
      <x:c r="I2347" s="1" t="str">
        <x:f>IF(H2347&gt;0,"Overbilled","Shortfall")</x:f>
        <x:v>Overbilled</x:v>
      </x:c>
      <x:c r="J2347" s="7"/>
      <x:c r="K2347" s="7" t="str">
        <x:v>Open</x:v>
      </x:c>
      <x:c r="L2347" s="7"/>
    </x:row>
    <x:row r="2348" ht="21" customHeight="1">
      <x:c r="A2348" s="1" t="str">
        <x:f>Source!A2342</x:f>
        <x:v>C0014456</x:v>
      </x:c>
      <x:c r="B2348" s="1" t="str">
        <x:f>_xlfn.IFNA(VLOOKUP(Source!B2342,Advertisers!$A$5:$B$34,2,FALSE),"Missing advertiser")</x:f>
        <x:v>Synthetic advertiser 20</x:v>
      </x:c>
      <x:c r="C2348" s="1" t="n">
        <x:f>Source!C2342</x:f>
        <x:v>50</x:v>
      </x:c>
      <x:c r="D2348" s="8" t="n">
        <x:f>Source!D2342/100</x:f>
        <x:v>51.09</x:v>
      </x:c>
      <x:c r="E2348" s="8" t="n">
        <x:f>Source!E2342/100</x:f>
        <x:v>102.18</x:v>
      </x:c>
      <x:c r="F2348" s="8" t="n">
        <x:f>Source!F2342/100</x:f>
        <x:v>0</x:v>
      </x:c>
      <x:c r="G2348" s="8" t="n">
        <x:f>Source!G2342/100</x:f>
        <x:v>102.18</x:v>
      </x:c>
      <x:c r="H2348" s="8" t="n">
        <x:f>G2348-D2348</x:f>
        <x:v>51.09</x:v>
      </x:c>
      <x:c r="I2348" s="1" t="str">
        <x:f>IF(H2348&gt;0,"Overbilled","Shortfall")</x:f>
        <x:v>Overbilled</x:v>
      </x:c>
      <x:c r="J2348" s="7"/>
      <x:c r="K2348" s="7" t="str">
        <x:v>Open</x:v>
      </x:c>
      <x:c r="L2348" s="7"/>
    </x:row>
    <x:row r="2349" ht="21" customHeight="1">
      <x:c r="A2349" s="1" t="str">
        <x:f>Source!A2343</x:f>
        <x:v>C0007981</x:v>
      </x:c>
      <x:c r="B2349" s="1" t="str">
        <x:f>_xlfn.IFNA(VLOOKUP(Source!B2343,Advertisers!$A$5:$B$34,2,FALSE),"Missing advertiser")</x:f>
        <x:v>Synthetic advertiser 23</x:v>
      </x:c>
      <x:c r="C2349" s="1" t="n">
        <x:f>Source!C2343</x:f>
        <x:v>23</x:v>
      </x:c>
      <x:c r="D2349" s="8" t="n">
        <x:f>Source!D2343/100</x:f>
        <x:v>51.06</x:v>
      </x:c>
      <x:c r="E2349" s="8" t="n">
        <x:f>Source!E2343/100</x:f>
        <x:v>102.12</x:v>
      </x:c>
      <x:c r="F2349" s="8" t="n">
        <x:f>Source!F2343/100</x:f>
        <x:v>0</x:v>
      </x:c>
      <x:c r="G2349" s="8" t="n">
        <x:f>Source!G2343/100</x:f>
        <x:v>102.12</x:v>
      </x:c>
      <x:c r="H2349" s="8" t="n">
        <x:f>G2349-D2349</x:f>
        <x:v>51.06</x:v>
      </x:c>
      <x:c r="I2349" s="1" t="str">
        <x:f>IF(H2349&gt;0,"Overbilled","Shortfall")</x:f>
        <x:v>Overbilled</x:v>
      </x:c>
      <x:c r="J2349" s="7"/>
      <x:c r="K2349" s="7" t="str">
        <x:v>Open</x:v>
      </x:c>
      <x:c r="L2349" s="7"/>
    </x:row>
    <x:row r="2350" ht="21" customHeight="1">
      <x:c r="A2350" s="1" t="str">
        <x:f>Source!A2344</x:f>
        <x:v>C0010853</x:v>
      </x:c>
      <x:c r="B2350" s="1" t="str">
        <x:f>_xlfn.IFNA(VLOOKUP(Source!B2344,Advertisers!$A$5:$B$34,2,FALSE),"Missing advertiser")</x:f>
        <x:v>Synthetic advertiser 23</x:v>
      </x:c>
      <x:c r="C2350" s="1" t="n">
        <x:f>Source!C2344</x:f>
        <x:v>23</x:v>
      </x:c>
      <x:c r="D2350" s="8" t="n">
        <x:f>Source!D2344/100</x:f>
        <x:v>51.06</x:v>
      </x:c>
      <x:c r="E2350" s="8" t="n">
        <x:f>Source!E2344/100</x:f>
        <x:v>0</x:v>
      </x:c>
      <x:c r="F2350" s="8" t="n">
        <x:f>Source!F2344/100</x:f>
        <x:v>0</x:v>
      </x:c>
      <x:c r="G2350" s="8" t="n">
        <x:f>Source!G2344/100</x:f>
        <x:v>0</x:v>
      </x:c>
      <x:c r="H2350" s="8" t="n">
        <x:f>G2350-D2350</x:f>
        <x:v>-51.06</x:v>
      </x:c>
      <x:c r="I2350" s="1" t="str">
        <x:f>IF(H2350&gt;0,"Overbilled","Shortfall")</x:f>
        <x:v>Shortfall</x:v>
      </x:c>
      <x:c r="J2350" s="7"/>
      <x:c r="K2350" s="7" t="str">
        <x:v>Open</x:v>
      </x:c>
      <x:c r="L2350" s="7"/>
    </x:row>
    <x:row r="2351" ht="21" customHeight="1">
      <x:c r="A2351" s="1" t="str">
        <x:f>Source!A2345</x:f>
        <x:v>C0005743</x:v>
      </x:c>
      <x:c r="B2351" s="1" t="str">
        <x:f>_xlfn.IFNA(VLOOKUP(Source!B2345,Advertisers!$A$5:$B$34,2,FALSE),"Missing advertiser")</x:f>
        <x:v>Synthetic advertiser 23</x:v>
      </x:c>
      <x:c r="C2351" s="1" t="n">
        <x:f>Source!C2345</x:f>
        <x:v>23</x:v>
      </x:c>
      <x:c r="D2351" s="8" t="n">
        <x:f>Source!D2345/100</x:f>
        <x:v>0</x:v>
      </x:c>
      <x:c r="E2351" s="8" t="n">
        <x:f>Source!E2345/100</x:f>
        <x:v>51.06</x:v>
      </x:c>
      <x:c r="F2351" s="8" t="n">
        <x:f>Source!F2345/100</x:f>
        <x:v>0</x:v>
      </x:c>
      <x:c r="G2351" s="8" t="n">
        <x:f>Source!G2345/100</x:f>
        <x:v>51.06</x:v>
      </x:c>
      <x:c r="H2351" s="8" t="n">
        <x:f>G2351-D2351</x:f>
        <x:v>51.06</x:v>
      </x:c>
      <x:c r="I2351" s="1" t="str">
        <x:f>IF(H2351&gt;0,"Overbilled","Shortfall")</x:f>
        <x:v>Overbilled</x:v>
      </x:c>
      <x:c r="J2351" s="7"/>
      <x:c r="K2351" s="7" t="str">
        <x:v>Open</x:v>
      </x:c>
      <x:c r="L2351" s="7"/>
    </x:row>
    <x:row r="2352" ht="21" customHeight="1">
      <x:c r="A2352" s="1" t="str">
        <x:f>Source!A2346</x:f>
        <x:v>C0005197</x:v>
      </x:c>
      <x:c r="B2352" s="1" t="str">
        <x:f>_xlfn.IFNA(VLOOKUP(Source!B2346,Advertisers!$A$5:$B$34,2,FALSE),"Missing advertiser")</x:f>
        <x:v>Synthetic advertiser 23</x:v>
      </x:c>
      <x:c r="C2352" s="1" t="n">
        <x:f>Source!C2346</x:f>
        <x:v>53</x:v>
      </x:c>
      <x:c r="D2352" s="8" t="n">
        <x:f>Source!D2346/100</x:f>
        <x:v>50.87</x:v>
      </x:c>
      <x:c r="E2352" s="8" t="n">
        <x:f>Source!E2346/100</x:f>
        <x:v>101.74</x:v>
      </x:c>
      <x:c r="F2352" s="8" t="n">
        <x:f>Source!F2346/100</x:f>
        <x:v>0</x:v>
      </x:c>
      <x:c r="G2352" s="8" t="n">
        <x:f>Source!G2346/100</x:f>
        <x:v>101.74</x:v>
      </x:c>
      <x:c r="H2352" s="8" t="n">
        <x:f>G2352-D2352</x:f>
        <x:v>50.87</x:v>
      </x:c>
      <x:c r="I2352" s="1" t="str">
        <x:f>IF(H2352&gt;0,"Overbilled","Shortfall")</x:f>
        <x:v>Overbilled</x:v>
      </x:c>
      <x:c r="J2352" s="7"/>
      <x:c r="K2352" s="7" t="str">
        <x:v>Open</x:v>
      </x:c>
      <x:c r="L2352" s="7"/>
    </x:row>
    <x:row r="2353" ht="21" customHeight="1">
      <x:c r="A2353" s="1" t="str">
        <x:f>Source!A2347</x:f>
        <x:v>C0014449</x:v>
      </x:c>
      <x:c r="B2353" s="1" t="str">
        <x:f>_xlfn.IFNA(VLOOKUP(Source!B2347,Advertisers!$A$5:$B$34,2,FALSE),"Missing advertiser")</x:f>
        <x:v>Synthetic advertiser 23</x:v>
      </x:c>
      <x:c r="C2353" s="1" t="n">
        <x:f>Source!C2347</x:f>
        <x:v>53</x:v>
      </x:c>
      <x:c r="D2353" s="8" t="n">
        <x:f>Source!D2347/100</x:f>
        <x:v>50.87</x:v>
      </x:c>
      <x:c r="E2353" s="8" t="n">
        <x:f>Source!E2347/100</x:f>
        <x:v>0</x:v>
      </x:c>
      <x:c r="F2353" s="8" t="n">
        <x:f>Source!F2347/100</x:f>
        <x:v>0</x:v>
      </x:c>
      <x:c r="G2353" s="8" t="n">
        <x:f>Source!G2347/100</x:f>
        <x:v>0</x:v>
      </x:c>
      <x:c r="H2353" s="8" t="n">
        <x:f>G2353-D2353</x:f>
        <x:v>-50.87</x:v>
      </x:c>
      <x:c r="I2353" s="1" t="str">
        <x:f>IF(H2353&gt;0,"Overbilled","Shortfall")</x:f>
        <x:v>Shortfall</x:v>
      </x:c>
      <x:c r="J2353" s="7"/>
      <x:c r="K2353" s="7" t="str">
        <x:v>Open</x:v>
      </x:c>
      <x:c r="L2353" s="7"/>
    </x:row>
    <x:row r="2354" ht="21" customHeight="1">
      <x:c r="A2354" s="1" t="str">
        <x:f>Source!A2348</x:f>
        <x:v>C0001676</x:v>
      </x:c>
      <x:c r="B2354" s="1" t="str">
        <x:f>_xlfn.IFNA(VLOOKUP(Source!B2348,Advertisers!$A$5:$B$34,2,FALSE),"Missing advertiser")</x:f>
        <x:v>Synthetic advertiser 23</x:v>
      </x:c>
      <x:c r="C2354" s="1" t="n">
        <x:f>Source!C2348</x:f>
        <x:v>53</x:v>
      </x:c>
      <x:c r="D2354" s="8" t="n">
        <x:f>Source!D2348/100</x:f>
        <x:v>50.87</x:v>
      </x:c>
      <x:c r="E2354" s="8" t="n">
        <x:f>Source!E2348/100</x:f>
        <x:v>0</x:v>
      </x:c>
      <x:c r="F2354" s="8" t="n">
        <x:f>Source!F2348/100</x:f>
        <x:v>0</x:v>
      </x:c>
      <x:c r="G2354" s="8" t="n">
        <x:f>Source!G2348/100</x:f>
        <x:v>0</x:v>
      </x:c>
      <x:c r="H2354" s="8" t="n">
        <x:f>G2354-D2354</x:f>
        <x:v>-50.87</x:v>
      </x:c>
      <x:c r="I2354" s="1" t="str">
        <x:f>IF(H2354&gt;0,"Overbilled","Shortfall")</x:f>
        <x:v>Shortfall</x:v>
      </x:c>
      <x:c r="J2354" s="7"/>
      <x:c r="K2354" s="7" t="str">
        <x:v>Open</x:v>
      </x:c>
      <x:c r="L2354" s="7"/>
    </x:row>
    <x:row r="2355" ht="21" customHeight="1">
      <x:c r="A2355" s="1" t="str">
        <x:f>Source!A2349</x:f>
        <x:v>C0013448</x:v>
      </x:c>
      <x:c r="B2355" s="1" t="str">
        <x:f>_xlfn.IFNA(VLOOKUP(Source!B2349,Advertisers!$A$5:$B$34,2,FALSE),"Missing advertiser")</x:f>
        <x:v>Synthetic advertiser 23</x:v>
      </x:c>
      <x:c r="C2355" s="1" t="n">
        <x:f>Source!C2349</x:f>
        <x:v>53</x:v>
      </x:c>
      <x:c r="D2355" s="8" t="n">
        <x:f>Source!D2349/100</x:f>
        <x:v>50.87</x:v>
      </x:c>
      <x:c r="E2355" s="8" t="n">
        <x:f>Source!E2349/100</x:f>
        <x:v>101.74</x:v>
      </x:c>
      <x:c r="F2355" s="8" t="n">
        <x:f>Source!F2349/100</x:f>
        <x:v>0</x:v>
      </x:c>
      <x:c r="G2355" s="8" t="n">
        <x:f>Source!G2349/100</x:f>
        <x:v>101.74</x:v>
      </x:c>
      <x:c r="H2355" s="8" t="n">
        <x:f>G2355-D2355</x:f>
        <x:v>50.87</x:v>
      </x:c>
      <x:c r="I2355" s="1" t="str">
        <x:f>IF(H2355&gt;0,"Overbilled","Shortfall")</x:f>
        <x:v>Overbilled</x:v>
      </x:c>
      <x:c r="J2355" s="7"/>
      <x:c r="K2355" s="7" t="str">
        <x:v>Open</x:v>
      </x:c>
      <x:c r="L2355" s="7"/>
    </x:row>
    <x:row r="2356" ht="21" customHeight="1">
      <x:c r="A2356" s="1" t="str">
        <x:f>Source!A2350</x:f>
        <x:v>C0011227</x:v>
      </x:c>
      <x:c r="B2356" s="1" t="str">
        <x:f>_xlfn.IFNA(VLOOKUP(Source!B2350,Advertisers!$A$5:$B$34,2,FALSE),"Missing advertiser")</x:f>
        <x:v>Synthetic advertiser 23</x:v>
      </x:c>
      <x:c r="C2356" s="1" t="n">
        <x:f>Source!C2350</x:f>
        <x:v>53</x:v>
      </x:c>
      <x:c r="D2356" s="8" t="n">
        <x:f>Source!D2350/100</x:f>
        <x:v>50.87</x:v>
      </x:c>
      <x:c r="E2356" s="8" t="n">
        <x:f>Source!E2350/100</x:f>
        <x:v>0</x:v>
      </x:c>
      <x:c r="F2356" s="8" t="n">
        <x:f>Source!F2350/100</x:f>
        <x:v>0</x:v>
      </x:c>
      <x:c r="G2356" s="8" t="n">
        <x:f>Source!G2350/100</x:f>
        <x:v>0</x:v>
      </x:c>
      <x:c r="H2356" s="8" t="n">
        <x:f>G2356-D2356</x:f>
        <x:v>-50.87</x:v>
      </x:c>
      <x:c r="I2356" s="1" t="str">
        <x:f>IF(H2356&gt;0,"Overbilled","Shortfall")</x:f>
        <x:v>Shortfall</x:v>
      </x:c>
      <x:c r="J2356" s="7"/>
      <x:c r="K2356" s="7" t="str">
        <x:v>Open</x:v>
      </x:c>
      <x:c r="L2356" s="7"/>
    </x:row>
    <x:row r="2357" ht="21" customHeight="1">
      <x:c r="A2357" s="1" t="str">
        <x:f>Source!A2351</x:f>
        <x:v>C0013861</x:v>
      </x:c>
      <x:c r="B2357" s="1" t="str">
        <x:f>_xlfn.IFNA(VLOOKUP(Source!B2351,Advertisers!$A$5:$B$34,2,FALSE),"Missing advertiser")</x:f>
        <x:v>Synthetic advertiser 23</x:v>
      </x:c>
      <x:c r="C2357" s="1" t="n">
        <x:f>Source!C2351</x:f>
        <x:v>53</x:v>
      </x:c>
      <x:c r="D2357" s="8" t="n">
        <x:f>Source!D2351/100</x:f>
        <x:v>50.87</x:v>
      </x:c>
      <x:c r="E2357" s="8" t="n">
        <x:f>Source!E2351/100</x:f>
        <x:v>0</x:v>
      </x:c>
      <x:c r="F2357" s="8" t="n">
        <x:f>Source!F2351/100</x:f>
        <x:v>0</x:v>
      </x:c>
      <x:c r="G2357" s="8" t="n">
        <x:f>Source!G2351/100</x:f>
        <x:v>0</x:v>
      </x:c>
      <x:c r="H2357" s="8" t="n">
        <x:f>G2357-D2357</x:f>
        <x:v>-50.87</x:v>
      </x:c>
      <x:c r="I2357" s="1" t="str">
        <x:f>IF(H2357&gt;0,"Overbilled","Shortfall")</x:f>
        <x:v>Shortfall</x:v>
      </x:c>
      <x:c r="J2357" s="7"/>
      <x:c r="K2357" s="7" t="str">
        <x:v>Open</x:v>
      </x:c>
      <x:c r="L2357" s="7"/>
    </x:row>
    <x:row r="2358" ht="21" customHeight="1">
      <x:c r="A2358" s="1" t="str">
        <x:f>Source!A2352</x:f>
        <x:v>C0017293</x:v>
      </x:c>
      <x:c r="B2358" s="1" t="str">
        <x:f>_xlfn.IFNA(VLOOKUP(Source!B2352,Advertisers!$A$5:$B$34,2,FALSE),"Missing advertiser")</x:f>
        <x:v>Synthetic advertiser 28</x:v>
      </x:c>
      <x:c r="C2358" s="1" t="n">
        <x:f>Source!C2352</x:f>
        <x:v>118</x:v>
      </x:c>
      <x:c r="D2358" s="8" t="n">
        <x:f>Source!D2352/100</x:f>
        <x:v>50.46</x:v>
      </x:c>
      <x:c r="E2358" s="8" t="n">
        <x:f>Source!E2352/100</x:f>
        <x:v>100.92</x:v>
      </x:c>
      <x:c r="F2358" s="8" t="n">
        <x:f>Source!F2352/100</x:f>
        <x:v>0</x:v>
      </x:c>
      <x:c r="G2358" s="8" t="n">
        <x:f>Source!G2352/100</x:f>
        <x:v>100.92</x:v>
      </x:c>
      <x:c r="H2358" s="8" t="n">
        <x:f>G2358-D2358</x:f>
        <x:v>50.46</x:v>
      </x:c>
      <x:c r="I2358" s="1" t="str">
        <x:f>IF(H2358&gt;0,"Overbilled","Shortfall")</x:f>
        <x:v>Overbilled</x:v>
      </x:c>
      <x:c r="J2358" s="7"/>
      <x:c r="K2358" s="7" t="str">
        <x:v>Open</x:v>
      </x:c>
      <x:c r="L2358" s="7"/>
    </x:row>
    <x:row r="2359" ht="21" customHeight="1">
      <x:c r="A2359" s="1" t="str">
        <x:f>Source!A2353</x:f>
        <x:v>C0011792</x:v>
      </x:c>
      <x:c r="B2359" s="1" t="str">
        <x:f>_xlfn.IFNA(VLOOKUP(Source!B2353,Advertisers!$A$5:$B$34,2,FALSE),"Missing advertiser")</x:f>
        <x:v>Synthetic advertiser 28</x:v>
      </x:c>
      <x:c r="C2359" s="1" t="n">
        <x:f>Source!C2353</x:f>
        <x:v>118</x:v>
      </x:c>
      <x:c r="D2359" s="8" t="n">
        <x:f>Source!D2353/100</x:f>
        <x:v>50.46</x:v>
      </x:c>
      <x:c r="E2359" s="8" t="n">
        <x:f>Source!E2353/100</x:f>
        <x:v>0</x:v>
      </x:c>
      <x:c r="F2359" s="8" t="n">
        <x:f>Source!F2353/100</x:f>
        <x:v>0</x:v>
      </x:c>
      <x:c r="G2359" s="8" t="n">
        <x:f>Source!G2353/100</x:f>
        <x:v>0</x:v>
      </x:c>
      <x:c r="H2359" s="8" t="n">
        <x:f>G2359-D2359</x:f>
        <x:v>-50.46</x:v>
      </x:c>
      <x:c r="I2359" s="1" t="str">
        <x:f>IF(H2359&gt;0,"Overbilled","Shortfall")</x:f>
        <x:v>Shortfall</x:v>
      </x:c>
      <x:c r="J2359" s="7"/>
      <x:c r="K2359" s="7" t="str">
        <x:v>Open</x:v>
      </x:c>
      <x:c r="L2359" s="7"/>
    </x:row>
    <x:row r="2360" ht="21" customHeight="1">
      <x:c r="A2360" s="1" t="str">
        <x:f>Source!A2354</x:f>
        <x:v>C0000352</x:v>
      </x:c>
      <x:c r="B2360" s="1" t="str">
        <x:f>_xlfn.IFNA(VLOOKUP(Source!B2354,Advertisers!$A$5:$B$34,2,FALSE),"Missing advertiser")</x:f>
        <x:v>Synthetic advertiser 28</x:v>
      </x:c>
      <x:c r="C2360" s="1" t="n">
        <x:f>Source!C2354</x:f>
        <x:v>118</x:v>
      </x:c>
      <x:c r="D2360" s="8" t="n">
        <x:f>Source!D2354/100</x:f>
        <x:v>50.46</x:v>
      </x:c>
      <x:c r="E2360" s="8" t="n">
        <x:f>Source!E2354/100</x:f>
        <x:v>100.92</x:v>
      </x:c>
      <x:c r="F2360" s="8" t="n">
        <x:f>Source!F2354/100</x:f>
        <x:v>0</x:v>
      </x:c>
      <x:c r="G2360" s="8" t="n">
        <x:f>Source!G2354/100</x:f>
        <x:v>100.92</x:v>
      </x:c>
      <x:c r="H2360" s="8" t="n">
        <x:f>G2360-D2360</x:f>
        <x:v>50.46</x:v>
      </x:c>
      <x:c r="I2360" s="1" t="str">
        <x:f>IF(H2360&gt;0,"Overbilled","Shortfall")</x:f>
        <x:v>Overbilled</x:v>
      </x:c>
      <x:c r="J2360" s="7"/>
      <x:c r="K2360" s="7" t="str">
        <x:v>Open</x:v>
      </x:c>
      <x:c r="L2360" s="7"/>
    </x:row>
    <x:row r="2361" ht="21" customHeight="1">
      <x:c r="A2361" s="1" t="str">
        <x:f>Source!A2355</x:f>
        <x:v>C0015131</x:v>
      </x:c>
      <x:c r="B2361" s="1" t="str">
        <x:f>_xlfn.IFNA(VLOOKUP(Source!B2355,Advertisers!$A$5:$B$34,2,FALSE),"Missing advertiser")</x:f>
        <x:v>Synthetic advertiser 28</x:v>
      </x:c>
      <x:c r="C2361" s="1" t="n">
        <x:f>Source!C2355</x:f>
        <x:v>118</x:v>
      </x:c>
      <x:c r="D2361" s="8" t="n">
        <x:f>Source!D2355/100</x:f>
        <x:v>50.46</x:v>
      </x:c>
      <x:c r="E2361" s="8" t="n">
        <x:f>Source!E2355/100</x:f>
        <x:v>100.92</x:v>
      </x:c>
      <x:c r="F2361" s="8" t="n">
        <x:f>Source!F2355/100</x:f>
        <x:v>0</x:v>
      </x:c>
      <x:c r="G2361" s="8" t="n">
        <x:f>Source!G2355/100</x:f>
        <x:v>100.92</x:v>
      </x:c>
      <x:c r="H2361" s="8" t="n">
        <x:f>G2361-D2361</x:f>
        <x:v>50.46</x:v>
      </x:c>
      <x:c r="I2361" s="1" t="str">
        <x:f>IF(H2361&gt;0,"Overbilled","Shortfall")</x:f>
        <x:v>Overbilled</x:v>
      </x:c>
      <x:c r="J2361" s="7"/>
      <x:c r="K2361" s="7" t="str">
        <x:v>Open</x:v>
      </x:c>
      <x:c r="L2361" s="7"/>
    </x:row>
    <x:row r="2362" ht="21" customHeight="1">
      <x:c r="A2362" s="1" t="str">
        <x:f>Source!A2356</x:f>
        <x:v>C0002019</x:v>
      </x:c>
      <x:c r="B2362" s="1" t="str">
        <x:f>_xlfn.IFNA(VLOOKUP(Source!B2356,Advertisers!$A$5:$B$34,2,FALSE),"Missing advertiser")</x:f>
        <x:v>Synthetic advertiser 5</x:v>
      </x:c>
      <x:c r="C2362" s="1" t="n">
        <x:f>Source!C2356</x:f>
        <x:v>35</x:v>
      </x:c>
      <x:c r="D2362" s="8" t="n">
        <x:f>Source!D2356/100</x:f>
        <x:v>228.28</x:v>
      </x:c>
      <x:c r="E2362" s="8" t="n">
        <x:f>Source!E2356/100</x:f>
        <x:v>243.28</x:v>
      </x:c>
      <x:c r="F2362" s="8" t="n">
        <x:f>Source!F2356/100</x:f>
        <x:v>0</x:v>
      </x:c>
      <x:c r="G2362" s="8" t="n">
        <x:f>Source!G2356/100</x:f>
        <x:v>243.28</x:v>
      </x:c>
      <x:c r="H2362" s="8" t="n">
        <x:f>G2362-D2362</x:f>
        <x:v>15</x:v>
      </x:c>
      <x:c r="I2362" s="1" t="str">
        <x:f>IF(H2362&gt;0,"Overbilled","Shortfall")</x:f>
        <x:v>Overbilled</x:v>
      </x:c>
      <x:c r="J2362" s="7"/>
      <x:c r="K2362" s="7" t="str">
        <x:v>Open</x:v>
      </x:c>
      <x:c r="L2362" s="7"/>
    </x:row>
    <x:row r="2363" ht="21" customHeight="1">
      <x:c r="A2363" s="1" t="str">
        <x:f>Source!A2357</x:f>
        <x:v>C0008320</x:v>
      </x:c>
      <x:c r="B2363" s="1" t="str">
        <x:f>_xlfn.IFNA(VLOOKUP(Source!B2357,Advertisers!$A$5:$B$34,2,FALSE),"Missing advertiser")</x:f>
        <x:v>Synthetic advertiser 14</x:v>
      </x:c>
      <x:c r="C2363" s="1" t="n">
        <x:f>Source!C2357</x:f>
        <x:v>74</x:v>
      </x:c>
      <x:c r="D2363" s="8" t="n">
        <x:f>Source!D2357/100</x:f>
        <x:v>161.09</x:v>
      </x:c>
      <x:c r="E2363" s="8" t="n">
        <x:f>Source!E2357/100</x:f>
        <x:v>176.09</x:v>
      </x:c>
      <x:c r="F2363" s="8" t="n">
        <x:f>Source!F2357/100</x:f>
        <x:v>0</x:v>
      </x:c>
      <x:c r="G2363" s="8" t="n">
        <x:f>Source!G2357/100</x:f>
        <x:v>176.09</x:v>
      </x:c>
      <x:c r="H2363" s="8" t="n">
        <x:f>G2363-D2363</x:f>
        <x:v>15</x:v>
      </x:c>
      <x:c r="I2363" s="1" t="str">
        <x:f>IF(H2363&gt;0,"Overbilled","Shortfall")</x:f>
        <x:v>Overbilled</x:v>
      </x:c>
      <x:c r="J2363" s="7"/>
      <x:c r="K2363" s="7" t="str">
        <x:v>Open</x:v>
      </x:c>
      <x:c r="L2363" s="7"/>
    </x:row>
    <x:row r="2364" ht="21" customHeight="1">
      <x:c r="A2364" s="1" t="str">
        <x:f>Source!A2358</x:f>
        <x:v>C0008303</x:v>
      </x:c>
      <x:c r="B2364" s="1" t="str">
        <x:f>_xlfn.IFNA(VLOOKUP(Source!B2358,Advertisers!$A$5:$B$34,2,FALSE),"Missing advertiser")</x:f>
        <x:v>Synthetic advertiser 12</x:v>
      </x:c>
      <x:c r="C2364" s="1" t="n">
        <x:f>Source!C2358</x:f>
        <x:v>42</x:v>
      </x:c>
      <x:c r="D2364" s="8" t="n">
        <x:f>Source!D2358/100</x:f>
        <x:v>84.25</x:v>
      </x:c>
      <x:c r="E2364" s="8" t="n">
        <x:f>Source!E2358/100</x:f>
        <x:v>99.25</x:v>
      </x:c>
      <x:c r="F2364" s="8" t="n">
        <x:f>Source!F2358/100</x:f>
        <x:v>0</x:v>
      </x:c>
      <x:c r="G2364" s="8" t="n">
        <x:f>Source!G2358/100</x:f>
        <x:v>99.25</x:v>
      </x:c>
      <x:c r="H2364" s="8" t="n">
        <x:f>G2364-D2364</x:f>
        <x:v>15</x:v>
      </x:c>
      <x:c r="I2364" s="1" t="str">
        <x:f>IF(H2364&gt;0,"Overbilled","Shortfall")</x:f>
        <x:v>Overbilled</x:v>
      </x:c>
      <x:c r="J2364" s="7"/>
      <x:c r="K2364" s="7" t="str">
        <x:v>Open</x:v>
      </x:c>
      <x:c r="L2364" s="7"/>
    </x:row>
    <x:row r="2365" ht="21" customHeight="1">
      <x:c r="A2365" s="1" t="str">
        <x:f>Source!A2359</x:f>
        <x:v>C0010198</x:v>
      </x:c>
      <x:c r="B2365" s="1" t="str">
        <x:f>_xlfn.IFNA(VLOOKUP(Source!B2359,Advertisers!$A$5:$B$34,2,FALSE),"Missing advertiser")</x:f>
        <x:v>Synthetic advertiser 19</x:v>
      </x:c>
      <x:c r="C2365" s="1" t="n">
        <x:f>Source!C2359</x:f>
        <x:v>79</x:v>
      </x:c>
      <x:c r="D2365" s="8" t="n">
        <x:f>Source!D2359/100</x:f>
        <x:v>73.86</x:v>
      </x:c>
      <x:c r="E2365" s="8" t="n">
        <x:f>Source!E2359/100</x:f>
        <x:v>88.86</x:v>
      </x:c>
      <x:c r="F2365" s="8" t="n">
        <x:f>Source!F2359/100</x:f>
        <x:v>0</x:v>
      </x:c>
      <x:c r="G2365" s="8" t="n">
        <x:f>Source!G2359/100</x:f>
        <x:v>88.86</x:v>
      </x:c>
      <x:c r="H2365" s="8" t="n">
        <x:f>G2365-D2365</x:f>
        <x:v>15</x:v>
      </x:c>
      <x:c r="I2365" s="1" t="str">
        <x:f>IF(H2365&gt;0,"Overbilled","Shortfall")</x:f>
        <x:v>Overbilled</x:v>
      </x:c>
      <x:c r="J2365" s="7"/>
      <x:c r="K2365" s="7" t="str">
        <x:v>Open</x:v>
      </x:c>
      <x:c r="L2365" s="7"/>
    </x:row>
    <x:row r="2366" ht="21" customHeight="1">
      <x:c r="A2366" s="1" t="str">
        <x:f>Source!A2360</x:f>
        <x:v>C0002757</x:v>
      </x:c>
      <x:c r="B2366" s="1" t="str">
        <x:f>_xlfn.IFNA(VLOOKUP(Source!B2360,Advertisers!$A$5:$B$34,2,FALSE),"Missing advertiser")</x:f>
        <x:v>Synthetic advertiser 19</x:v>
      </x:c>
      <x:c r="C2366" s="1" t="n">
        <x:f>Source!C2360</x:f>
        <x:v>79</x:v>
      </x:c>
      <x:c r="D2366" s="8" t="n">
        <x:f>Source!D2360/100</x:f>
        <x:v>218.54</x:v>
      </x:c>
      <x:c r="E2366" s="8" t="n">
        <x:f>Source!E2360/100</x:f>
        <x:v>233.54</x:v>
      </x:c>
      <x:c r="F2366" s="8" t="n">
        <x:f>Source!F2360/100</x:f>
        <x:v>0</x:v>
      </x:c>
      <x:c r="G2366" s="8" t="n">
        <x:f>Source!G2360/100</x:f>
        <x:v>233.54</x:v>
      </x:c>
      <x:c r="H2366" s="8" t="n">
        <x:f>G2366-D2366</x:f>
        <x:v>15</x:v>
      </x:c>
      <x:c r="I2366" s="1" t="str">
        <x:f>IF(H2366&gt;0,"Overbilled","Shortfall")</x:f>
        <x:v>Overbilled</x:v>
      </x:c>
      <x:c r="J2366" s="7"/>
      <x:c r="K2366" s="7" t="str">
        <x:v>Open</x:v>
      </x:c>
      <x:c r="L2366" s="7"/>
    </x:row>
    <x:row r="2367" ht="21" customHeight="1">
      <x:c r="A2367" s="1" t="str">
        <x:f>Source!A2361</x:f>
        <x:v>C0008300</x:v>
      </x:c>
      <x:c r="B2367" s="1" t="str">
        <x:f>_xlfn.IFNA(VLOOKUP(Source!B2361,Advertisers!$A$5:$B$34,2,FALSE),"Missing advertiser")</x:f>
        <x:v>Synthetic advertiser 13</x:v>
      </x:c>
      <x:c r="C2367" s="1" t="n">
        <x:f>Source!C2361</x:f>
        <x:v>13</x:v>
      </x:c>
      <x:c r="D2367" s="8" t="n">
        <x:f>Source!D2361/100</x:f>
        <x:v>104.45</x:v>
      </x:c>
      <x:c r="E2367" s="8" t="n">
        <x:f>Source!E2361/100</x:f>
        <x:v>119.45</x:v>
      </x:c>
      <x:c r="F2367" s="8" t="n">
        <x:f>Source!F2361/100</x:f>
        <x:v>0</x:v>
      </x:c>
      <x:c r="G2367" s="8" t="n">
        <x:f>Source!G2361/100</x:f>
        <x:v>119.45</x:v>
      </x:c>
      <x:c r="H2367" s="8" t="n">
        <x:f>G2367-D2367</x:f>
        <x:v>15</x:v>
      </x:c>
      <x:c r="I2367" s="1" t="str">
        <x:f>IF(H2367&gt;0,"Overbilled","Shortfall")</x:f>
        <x:v>Overbilled</x:v>
      </x:c>
      <x:c r="J2367" s="7"/>
      <x:c r="K2367" s="7" t="str">
        <x:v>Open</x:v>
      </x:c>
      <x:c r="L2367" s="7"/>
    </x:row>
    <x:row r="2368" ht="21" customHeight="1">
      <x:c r="A2368" s="1" t="str">
        <x:f>Source!A2362</x:f>
        <x:v>C0002039</x:v>
      </x:c>
      <x:c r="B2368" s="1" t="str">
        <x:f>_xlfn.IFNA(VLOOKUP(Source!B2362,Advertisers!$A$5:$B$34,2,FALSE),"Missing advertiser")</x:f>
        <x:v>Synthetic advertiser 22</x:v>
      </x:c>
      <x:c r="C2368" s="1" t="n">
        <x:f>Source!C2362</x:f>
        <x:v>82</x:v>
      </x:c>
      <x:c r="D2368" s="8" t="n">
        <x:f>Source!D2362/100</x:f>
        <x:v>198.47</x:v>
      </x:c>
      <x:c r="E2368" s="8" t="n">
        <x:f>Source!E2362/100</x:f>
        <x:v>213.47</x:v>
      </x:c>
      <x:c r="F2368" s="8" t="n">
        <x:f>Source!F2362/100</x:f>
        <x:v>0</x:v>
      </x:c>
      <x:c r="G2368" s="8" t="n">
        <x:f>Source!G2362/100</x:f>
        <x:v>213.47</x:v>
      </x:c>
      <x:c r="H2368" s="8" t="n">
        <x:f>G2368-D2368</x:f>
        <x:v>15</x:v>
      </x:c>
      <x:c r="I2368" s="1" t="str">
        <x:f>IF(H2368&gt;0,"Overbilled","Shortfall")</x:f>
        <x:v>Overbilled</x:v>
      </x:c>
      <x:c r="J2368" s="7"/>
      <x:c r="K2368" s="7" t="str">
        <x:v>Open</x:v>
      </x:c>
      <x:c r="L2368" s="7"/>
    </x:row>
    <x:row r="2369" ht="21" customHeight="1">
      <x:c r="A2369" s="1" t="str">
        <x:f>Source!A2363</x:f>
        <x:v>C0010268</x:v>
      </x:c>
      <x:c r="B2369" s="1" t="str">
        <x:f>_xlfn.IFNA(VLOOKUP(Source!B2363,Advertisers!$A$5:$B$34,2,FALSE),"Missing advertiser")</x:f>
        <x:v>Synthetic advertiser 30</x:v>
      </x:c>
      <x:c r="C2369" s="1" t="n">
        <x:f>Source!C2363</x:f>
        <x:v>120</x:v>
      </x:c>
      <x:c r="D2369" s="8" t="n">
        <x:f>Source!D2363/100</x:f>
        <x:v>247.24</x:v>
      </x:c>
      <x:c r="E2369" s="8" t="n">
        <x:f>Source!E2363/100</x:f>
        <x:v>262.24</x:v>
      </x:c>
      <x:c r="F2369" s="8" t="n">
        <x:f>Source!F2363/100</x:f>
        <x:v>0</x:v>
      </x:c>
      <x:c r="G2369" s="8" t="n">
        <x:f>Source!G2363/100</x:f>
        <x:v>262.24</x:v>
      </x:c>
      <x:c r="H2369" s="8" t="n">
        <x:f>G2369-D2369</x:f>
        <x:v>15</x:v>
      </x:c>
      <x:c r="I2369" s="1" t="str">
        <x:f>IF(H2369&gt;0,"Overbilled","Shortfall")</x:f>
        <x:v>Overbilled</x:v>
      </x:c>
      <x:c r="J2369" s="7"/>
      <x:c r="K2369" s="7" t="str">
        <x:v>Open</x:v>
      </x:c>
      <x:c r="L2369" s="7"/>
    </x:row>
    <x:row r="2370" ht="21" customHeight="1">
      <x:c r="A2370" s="1" t="str">
        <x:f>Source!A2364</x:f>
        <x:v>C0002082</x:v>
      </x:c>
      <x:c r="B2370" s="1" t="str">
        <x:f>_xlfn.IFNA(VLOOKUP(Source!B2364,Advertisers!$A$5:$B$34,2,FALSE),"Missing advertiser")</x:f>
        <x:v>Synthetic advertiser 1</x:v>
      </x:c>
      <x:c r="C2370" s="1" t="n">
        <x:f>Source!C2364</x:f>
        <x:v>61</x:v>
      </x:c>
      <x:c r="D2370" s="8" t="n">
        <x:f>Source!D2364/100</x:f>
        <x:v>84.6</x:v>
      </x:c>
      <x:c r="E2370" s="8" t="n">
        <x:f>Source!E2364/100</x:f>
        <x:v>99.6</x:v>
      </x:c>
      <x:c r="F2370" s="8" t="n">
        <x:f>Source!F2364/100</x:f>
        <x:v>0</x:v>
      </x:c>
      <x:c r="G2370" s="8" t="n">
        <x:f>Source!G2364/100</x:f>
        <x:v>99.6</x:v>
      </x:c>
      <x:c r="H2370" s="8" t="n">
        <x:f>G2370-D2370</x:f>
        <x:v>15</x:v>
      </x:c>
      <x:c r="I2370" s="1" t="str">
        <x:f>IF(H2370&gt;0,"Overbilled","Shortfall")</x:f>
        <x:v>Overbilled</x:v>
      </x:c>
      <x:c r="J2370" s="7"/>
      <x:c r="K2370" s="7" t="str">
        <x:v>Open</x:v>
      </x:c>
      <x:c r="L2370" s="7"/>
    </x:row>
    <x:row r="2371" ht="21" customHeight="1">
      <x:c r="A2371" s="1" t="str">
        <x:f>Source!A2365</x:f>
        <x:v>C0010261</x:v>
      </x:c>
      <x:c r="B2371" s="1" t="str">
        <x:f>_xlfn.IFNA(VLOOKUP(Source!B2365,Advertisers!$A$5:$B$34,2,FALSE),"Missing advertiser")</x:f>
        <x:v>Synthetic advertiser 6</x:v>
      </x:c>
      <x:c r="C2371" s="1" t="n">
        <x:f>Source!C2365</x:f>
        <x:v>36</x:v>
      </x:c>
      <x:c r="D2371" s="8" t="n">
        <x:f>Source!D2365/100</x:f>
        <x:v>285.12</x:v>
      </x:c>
      <x:c r="E2371" s="8" t="n">
        <x:f>Source!E2365/100</x:f>
        <x:v>300.12</x:v>
      </x:c>
      <x:c r="F2371" s="8" t="n">
        <x:f>Source!F2365/100</x:f>
        <x:v>0</x:v>
      </x:c>
      <x:c r="G2371" s="8" t="n">
        <x:f>Source!G2365/100</x:f>
        <x:v>300.12</x:v>
      </x:c>
      <x:c r="H2371" s="8" t="n">
        <x:f>G2371-D2371</x:f>
        <x:v>15</x:v>
      </x:c>
      <x:c r="I2371" s="1" t="str">
        <x:f>IF(H2371&gt;0,"Overbilled","Shortfall")</x:f>
        <x:v>Overbilled</x:v>
      </x:c>
      <x:c r="J2371" s="7"/>
      <x:c r="K2371" s="7" t="str">
        <x:v>Open</x:v>
      </x:c>
      <x:c r="L2371" s="7"/>
    </x:row>
    <x:row r="2372" ht="21" customHeight="1">
      <x:c r="A2372" s="1" t="str">
        <x:f>Source!A2366</x:f>
        <x:v>C0002714</x:v>
      </x:c>
      <x:c r="B2372" s="1" t="str">
        <x:f>_xlfn.IFNA(VLOOKUP(Source!B2366,Advertisers!$A$5:$B$34,2,FALSE),"Missing advertiser")</x:f>
        <x:v>Synthetic advertiser 9</x:v>
      </x:c>
      <x:c r="C2372" s="1" t="n">
        <x:f>Source!C2366</x:f>
        <x:v>9</x:v>
      </x:c>
      <x:c r="D2372" s="8" t="n">
        <x:f>Source!D2366/100</x:f>
        <x:v>105.31</x:v>
      </x:c>
      <x:c r="E2372" s="8" t="n">
        <x:f>Source!E2366/100</x:f>
        <x:v>120.31</x:v>
      </x:c>
      <x:c r="F2372" s="8" t="n">
        <x:f>Source!F2366/100</x:f>
        <x:v>0</x:v>
      </x:c>
      <x:c r="G2372" s="8" t="n">
        <x:f>Source!G2366/100</x:f>
        <x:v>120.31</x:v>
      </x:c>
      <x:c r="H2372" s="8" t="n">
        <x:f>G2372-D2372</x:f>
        <x:v>15</x:v>
      </x:c>
      <x:c r="I2372" s="1" t="str">
        <x:f>IF(H2372&gt;0,"Overbilled","Shortfall")</x:f>
        <x:v>Overbilled</x:v>
      </x:c>
      <x:c r="J2372" s="7"/>
      <x:c r="K2372" s="7" t="str">
        <x:v>Open</x:v>
      </x:c>
      <x:c r="L2372" s="7"/>
    </x:row>
    <x:row r="2373" ht="21" customHeight="1">
      <x:c r="A2373" s="1" t="str">
        <x:f>Source!A2367</x:f>
        <x:v>C0002085</x:v>
      </x:c>
      <x:c r="B2373" s="1" t="str">
        <x:f>_xlfn.IFNA(VLOOKUP(Source!B2367,Advertisers!$A$5:$B$34,2,FALSE),"Missing advertiser")</x:f>
        <x:v>Synthetic advertiser 20</x:v>
      </x:c>
      <x:c r="C2373" s="1" t="n">
        <x:f>Source!C2367</x:f>
        <x:v>50</x:v>
      </x:c>
      <x:c r="D2373" s="8" t="n">
        <x:f>Source!D2367/100</x:f>
        <x:v>51.09</x:v>
      </x:c>
      <x:c r="E2373" s="8" t="n">
        <x:f>Source!E2367/100</x:f>
        <x:v>66.09</x:v>
      </x:c>
      <x:c r="F2373" s="8" t="n">
        <x:f>Source!F2367/100</x:f>
        <x:v>0</x:v>
      </x:c>
      <x:c r="G2373" s="8" t="n">
        <x:f>Source!G2367/100</x:f>
        <x:v>66.09</x:v>
      </x:c>
      <x:c r="H2373" s="8" t="n">
        <x:f>G2373-D2373</x:f>
        <x:v>15</x:v>
      </x:c>
      <x:c r="I2373" s="1" t="str">
        <x:f>IF(H2373&gt;0,"Overbilled","Shortfall")</x:f>
        <x:v>Overbilled</x:v>
      </x:c>
      <x:c r="J2373" s="7"/>
      <x:c r="K2373" s="7" t="str">
        <x:v>Open</x:v>
      </x:c>
      <x:c r="L2373" s="7"/>
    </x:row>
    <x:row r="2374" ht="21" customHeight="1">
      <x:c r="A2374" s="1" t="str">
        <x:f>Source!A2368</x:f>
        <x:v>C0002103</x:v>
      </x:c>
      <x:c r="B2374" s="1" t="str">
        <x:f>_xlfn.IFNA(VLOOKUP(Source!B2368,Advertisers!$A$5:$B$34,2,FALSE),"Missing advertiser")</x:f>
        <x:v>Synthetic advertiser 13</x:v>
      </x:c>
      <x:c r="C2374" s="1" t="n">
        <x:f>Source!C2368</x:f>
        <x:v>13</x:v>
      </x:c>
      <x:c r="D2374" s="8" t="n">
        <x:f>Source!D2368/100</x:f>
        <x:v>104.45</x:v>
      </x:c>
      <x:c r="E2374" s="8" t="n">
        <x:f>Source!E2368/100</x:f>
        <x:v>119.45</x:v>
      </x:c>
      <x:c r="F2374" s="8" t="n">
        <x:f>Source!F2368/100</x:f>
        <x:v>0</x:v>
      </x:c>
      <x:c r="G2374" s="8" t="n">
        <x:f>Source!G2368/100</x:f>
        <x:v>119.45</x:v>
      </x:c>
      <x:c r="H2374" s="8" t="n">
        <x:f>G2374-D2374</x:f>
        <x:v>15</x:v>
      </x:c>
      <x:c r="I2374" s="1" t="str">
        <x:f>IF(H2374&gt;0,"Overbilled","Shortfall")</x:f>
        <x:v>Overbilled</x:v>
      </x:c>
      <x:c r="J2374" s="7"/>
      <x:c r="K2374" s="7" t="str">
        <x:v>Open</x:v>
      </x:c>
      <x:c r="L2374" s="7"/>
    </x:row>
    <x:row r="2375" ht="21" customHeight="1">
      <x:c r="A2375" s="1" t="str">
        <x:f>Source!A2369</x:f>
        <x:v>C0010235</x:v>
      </x:c>
      <x:c r="B2375" s="1" t="str">
        <x:f>_xlfn.IFNA(VLOOKUP(Source!B2369,Advertisers!$A$5:$B$34,2,FALSE),"Missing advertiser")</x:f>
        <x:v>Synthetic advertiser 11</x:v>
      </x:c>
      <x:c r="C2375" s="1" t="n">
        <x:f>Source!C2369</x:f>
        <x:v>11</x:v>
      </x:c>
      <x:c r="D2375" s="8" t="n">
        <x:f>Source!D2369/100</x:f>
        <x:v>193.41</x:v>
      </x:c>
      <x:c r="E2375" s="8" t="n">
        <x:f>Source!E2369/100</x:f>
        <x:v>208.41</x:v>
      </x:c>
      <x:c r="F2375" s="8" t="n">
        <x:f>Source!F2369/100</x:f>
        <x:v>0</x:v>
      </x:c>
      <x:c r="G2375" s="8" t="n">
        <x:f>Source!G2369/100</x:f>
        <x:v>208.41</x:v>
      </x:c>
      <x:c r="H2375" s="8" t="n">
        <x:f>G2375-D2375</x:f>
        <x:v>15</x:v>
      </x:c>
      <x:c r="I2375" s="1" t="str">
        <x:f>IF(H2375&gt;0,"Overbilled","Shortfall")</x:f>
        <x:v>Overbilled</x:v>
      </x:c>
      <x:c r="J2375" s="7"/>
      <x:c r="K2375" s="7" t="str">
        <x:v>Open</x:v>
      </x:c>
      <x:c r="L2375" s="7"/>
    </x:row>
    <x:row r="2376" ht="21" customHeight="1">
      <x:c r="A2376" s="1" t="str">
        <x:f>Source!A2370</x:f>
        <x:v>C0010228</x:v>
      </x:c>
      <x:c r="B2376" s="1" t="str">
        <x:f>_xlfn.IFNA(VLOOKUP(Source!B2370,Advertisers!$A$5:$B$34,2,FALSE),"Missing advertiser")</x:f>
        <x:v>Synthetic advertiser 6</x:v>
      </x:c>
      <x:c r="C2376" s="1" t="n">
        <x:f>Source!C2370</x:f>
        <x:v>6</x:v>
      </x:c>
      <x:c r="D2376" s="8" t="n">
        <x:f>Source!D2370/100</x:f>
        <x:v>97.91</x:v>
      </x:c>
      <x:c r="E2376" s="8" t="n">
        <x:f>Source!E2370/100</x:f>
        <x:v>112.91</x:v>
      </x:c>
      <x:c r="F2376" s="8" t="n">
        <x:f>Source!F2370/100</x:f>
        <x:v>0</x:v>
      </x:c>
      <x:c r="G2376" s="8" t="n">
        <x:f>Source!G2370/100</x:f>
        <x:v>112.91</x:v>
      </x:c>
      <x:c r="H2376" s="8" t="n">
        <x:f>G2376-D2376</x:f>
        <x:v>15</x:v>
      </x:c>
      <x:c r="I2376" s="1" t="str">
        <x:f>IF(H2376&gt;0,"Overbilled","Shortfall")</x:f>
        <x:v>Overbilled</x:v>
      </x:c>
      <x:c r="J2376" s="7"/>
      <x:c r="K2376" s="7" t="str">
        <x:v>Open</x:v>
      </x:c>
      <x:c r="L2376" s="7"/>
    </x:row>
    <x:row r="2377" ht="21" customHeight="1">
      <x:c r="A2377" s="1" t="str">
        <x:f>Source!A2371</x:f>
        <x:v>C0015285</x:v>
      </x:c>
      <x:c r="B2377" s="1" t="str">
        <x:f>_xlfn.IFNA(VLOOKUP(Source!B2371,Advertisers!$A$5:$B$34,2,FALSE),"Missing advertiser")</x:f>
        <x:v>Synthetic advertiser 9</x:v>
      </x:c>
      <x:c r="C2377" s="1" t="n">
        <x:f>Source!C2371</x:f>
        <x:v>69</x:v>
      </x:c>
      <x:c r="D2377" s="8" t="n">
        <x:f>Source!D2371/100</x:f>
        <x:v>128.3</x:v>
      </x:c>
      <x:c r="E2377" s="8" t="n">
        <x:f>Source!E2371/100</x:f>
        <x:v>143.3</x:v>
      </x:c>
      <x:c r="F2377" s="8" t="n">
        <x:f>Source!F2371/100</x:f>
        <x:v>0</x:v>
      </x:c>
      <x:c r="G2377" s="8" t="n">
        <x:f>Source!G2371/100</x:f>
        <x:v>143.3</x:v>
      </x:c>
      <x:c r="H2377" s="8" t="n">
        <x:f>G2377-D2377</x:f>
        <x:v>15</x:v>
      </x:c>
      <x:c r="I2377" s="1" t="str">
        <x:f>IF(H2377&gt;0,"Overbilled","Shortfall")</x:f>
        <x:v>Overbilled</x:v>
      </x:c>
      <x:c r="J2377" s="7"/>
      <x:c r="K2377" s="7" t="str">
        <x:v>Open</x:v>
      </x:c>
      <x:c r="L2377" s="7"/>
    </x:row>
    <x:row r="2378" ht="21" customHeight="1">
      <x:c r="A2378" s="1" t="str">
        <x:f>Source!A2372</x:f>
        <x:v>C0015983</x:v>
      </x:c>
      <x:c r="B2378" s="1" t="str">
        <x:f>_xlfn.IFNA(VLOOKUP(Source!B2372,Advertisers!$A$5:$B$34,2,FALSE),"Missing advertiser")</x:f>
        <x:v>Synthetic advertiser 20</x:v>
      </x:c>
      <x:c r="C2378" s="1" t="n">
        <x:f>Source!C2372</x:f>
        <x:v>80</x:v>
      </x:c>
      <x:c r="D2378" s="8" t="n">
        <x:f>Source!D2372/100</x:f>
        <x:v>187.8</x:v>
      </x:c>
      <x:c r="E2378" s="8" t="n">
        <x:f>Source!E2372/100</x:f>
        <x:v>202.8</x:v>
      </x:c>
      <x:c r="F2378" s="8" t="n">
        <x:f>Source!F2372/100</x:f>
        <x:v>0</x:v>
      </x:c>
      <x:c r="G2378" s="8" t="n">
        <x:f>Source!G2372/100</x:f>
        <x:v>202.8</x:v>
      </x:c>
      <x:c r="H2378" s="8" t="n">
        <x:f>G2378-D2378</x:f>
        <x:v>15</x:v>
      </x:c>
      <x:c r="I2378" s="1" t="str">
        <x:f>IF(H2378&gt;0,"Overbilled","Shortfall")</x:f>
        <x:v>Overbilled</x:v>
      </x:c>
      <x:c r="J2378" s="7"/>
      <x:c r="K2378" s="7" t="str">
        <x:v>Open</x:v>
      </x:c>
      <x:c r="L2378" s="7"/>
    </x:row>
    <x:row r="2379" ht="21" customHeight="1">
      <x:c r="A2379" s="1" t="str">
        <x:f>Source!A2373</x:f>
        <x:v>C0015282</x:v>
      </x:c>
      <x:c r="B2379" s="1" t="str">
        <x:f>_xlfn.IFNA(VLOOKUP(Source!B2373,Advertisers!$A$5:$B$34,2,FALSE),"Missing advertiser")</x:f>
        <x:v>Synthetic advertiser 3</x:v>
      </x:c>
      <x:c r="C2379" s="1" t="n">
        <x:f>Source!C2373</x:f>
        <x:v>3</x:v>
      </x:c>
      <x:c r="D2379" s="8" t="n">
        <x:f>Source!D2373/100</x:f>
        <x:v>83.04</x:v>
      </x:c>
      <x:c r="E2379" s="8" t="n">
        <x:f>Source!E2373/100</x:f>
        <x:v>98.04</x:v>
      </x:c>
      <x:c r="F2379" s="8" t="n">
        <x:f>Source!F2373/100</x:f>
        <x:v>0</x:v>
      </x:c>
      <x:c r="G2379" s="8" t="n">
        <x:f>Source!G2373/100</x:f>
        <x:v>98.04</x:v>
      </x:c>
      <x:c r="H2379" s="8" t="n">
        <x:f>G2379-D2379</x:f>
        <x:v>15</x:v>
      </x:c>
      <x:c r="I2379" s="1" t="str">
        <x:f>IF(H2379&gt;0,"Overbilled","Shortfall")</x:f>
        <x:v>Overbilled</x:v>
      </x:c>
      <x:c r="J2379" s="7"/>
      <x:c r="K2379" s="7" t="str">
        <x:v>Open</x:v>
      </x:c>
      <x:c r="L2379" s="7"/>
    </x:row>
    <x:row r="2380" ht="21" customHeight="1">
      <x:c r="A2380" s="1" t="str">
        <x:f>Source!A2374</x:f>
        <x:v>C0015984</x:v>
      </x:c>
      <x:c r="B2380" s="1" t="str">
        <x:f>_xlfn.IFNA(VLOOKUP(Source!B2374,Advertisers!$A$5:$B$34,2,FALSE),"Missing advertiser")</x:f>
        <x:v>Synthetic advertiser 7</x:v>
      </x:c>
      <x:c r="C2380" s="1" t="n">
        <x:f>Source!C2374</x:f>
        <x:v>67</x:v>
      </x:c>
      <x:c r="D2380" s="8" t="n">
        <x:f>Source!D2374/100</x:f>
        <x:v>198.74</x:v>
      </x:c>
      <x:c r="E2380" s="8" t="n">
        <x:f>Source!E2374/100</x:f>
        <x:v>213.74</x:v>
      </x:c>
      <x:c r="F2380" s="8" t="n">
        <x:f>Source!F2374/100</x:f>
        <x:v>0</x:v>
      </x:c>
      <x:c r="G2380" s="8" t="n">
        <x:f>Source!G2374/100</x:f>
        <x:v>213.74</x:v>
      </x:c>
      <x:c r="H2380" s="8" t="n">
        <x:f>G2380-D2380</x:f>
        <x:v>15</x:v>
      </x:c>
      <x:c r="I2380" s="1" t="str">
        <x:f>IF(H2380&gt;0,"Overbilled","Shortfall")</x:f>
        <x:v>Overbilled</x:v>
      </x:c>
      <x:c r="J2380" s="7"/>
      <x:c r="K2380" s="7" t="str">
        <x:v>Open</x:v>
      </x:c>
      <x:c r="L2380" s="7"/>
    </x:row>
    <x:row r="2381" ht="21" customHeight="1">
      <x:c r="A2381" s="1" t="str">
        <x:f>Source!A2375</x:f>
        <x:v>C0008341</x:v>
      </x:c>
      <x:c r="B2381" s="1" t="str">
        <x:f>_xlfn.IFNA(VLOOKUP(Source!B2375,Advertisers!$A$5:$B$34,2,FALSE),"Missing advertiser")</x:f>
        <x:v>Synthetic advertiser 25</x:v>
      </x:c>
      <x:c r="C2381" s="1" t="n">
        <x:f>Source!C2375</x:f>
        <x:v>25</x:v>
      </x:c>
      <x:c r="D2381" s="8" t="n">
        <x:f>Source!D2375/100</x:f>
        <x:v>151.27</x:v>
      </x:c>
      <x:c r="E2381" s="8" t="n">
        <x:f>Source!E2375/100</x:f>
        <x:v>166.27</x:v>
      </x:c>
      <x:c r="F2381" s="8" t="n">
        <x:f>Source!F2375/100</x:f>
        <x:v>0</x:v>
      </x:c>
      <x:c r="G2381" s="8" t="n">
        <x:f>Source!G2375/100</x:f>
        <x:v>166.27</x:v>
      </x:c>
      <x:c r="H2381" s="8" t="n">
        <x:f>G2381-D2381</x:f>
        <x:v>15</x:v>
      </x:c>
      <x:c r="I2381" s="1" t="str">
        <x:f>IF(H2381&gt;0,"Overbilled","Shortfall")</x:f>
        <x:v>Overbilled</x:v>
      </x:c>
      <x:c r="J2381" s="7"/>
      <x:c r="K2381" s="7" t="str">
        <x:v>Open</x:v>
      </x:c>
      <x:c r="L2381" s="7"/>
    </x:row>
    <x:row r="2382" ht="21" customHeight="1">
      <x:c r="A2382" s="1" t="str">
        <x:f>Source!A2376</x:f>
        <x:v>C0015345</x:v>
      </x:c>
      <x:c r="B2382" s="1" t="str">
        <x:f>_xlfn.IFNA(VLOOKUP(Source!B2376,Advertisers!$A$5:$B$34,2,FALSE),"Missing advertiser")</x:f>
        <x:v>Synthetic advertiser 4</x:v>
      </x:c>
      <x:c r="C2382" s="1" t="n">
        <x:f>Source!C2376</x:f>
        <x:v>94</x:v>
      </x:c>
      <x:c r="D2382" s="8" t="n">
        <x:f>Source!D2376/100</x:f>
        <x:v>126.67</x:v>
      </x:c>
      <x:c r="E2382" s="8" t="n">
        <x:f>Source!E2376/100</x:f>
        <x:v>141.67</x:v>
      </x:c>
      <x:c r="F2382" s="8" t="n">
        <x:f>Source!F2376/100</x:f>
        <x:v>0</x:v>
      </x:c>
      <x:c r="G2382" s="8" t="n">
        <x:f>Source!G2376/100</x:f>
        <x:v>141.67</x:v>
      </x:c>
      <x:c r="H2382" s="8" t="n">
        <x:f>G2382-D2382</x:f>
        <x:v>14.999999999999986</x:v>
      </x:c>
      <x:c r="I2382" s="1" t="str">
        <x:f>IF(H2382&gt;0,"Overbilled","Shortfall")</x:f>
        <x:v>Overbilled</x:v>
      </x:c>
      <x:c r="J2382" s="7"/>
      <x:c r="K2382" s="7" t="str">
        <x:v>Open</x:v>
      </x:c>
      <x:c r="L2382" s="7"/>
    </x:row>
    <x:row r="2383" ht="21" customHeight="1">
      <x:c r="A2383" s="1" t="str">
        <x:f>Source!A2377</x:f>
        <x:v>C0008337</x:v>
      </x:c>
      <x:c r="B2383" s="1" t="str">
        <x:f>_xlfn.IFNA(VLOOKUP(Source!B2377,Advertisers!$A$5:$B$34,2,FALSE),"Missing advertiser")</x:f>
        <x:v>Synthetic advertiser 11</x:v>
      </x:c>
      <x:c r="C2383" s="1" t="n">
        <x:f>Source!C2377</x:f>
        <x:v>101</x:v>
      </x:c>
      <x:c r="D2383" s="8" t="n">
        <x:f>Source!D2377/100</x:f>
        <x:v>358.36</x:v>
      </x:c>
      <x:c r="E2383" s="8" t="n">
        <x:f>Source!E2377/100</x:f>
        <x:v>373.36</x:v>
      </x:c>
      <x:c r="F2383" s="8" t="n">
        <x:f>Source!F2377/100</x:f>
        <x:v>0</x:v>
      </x:c>
      <x:c r="G2383" s="8" t="n">
        <x:f>Source!G2377/100</x:f>
        <x:v>373.36</x:v>
      </x:c>
      <x:c r="H2383" s="8" t="n">
        <x:f>G2383-D2383</x:f>
        <x:v>15</x:v>
      </x:c>
      <x:c r="I2383" s="1" t="str">
        <x:f>IF(H2383&gt;0,"Overbilled","Shortfall")</x:f>
        <x:v>Overbilled</x:v>
      </x:c>
      <x:c r="J2383" s="7"/>
      <x:c r="K2383" s="7" t="str">
        <x:v>Open</x:v>
      </x:c>
      <x:c r="L2383" s="7"/>
    </x:row>
    <x:row r="2384" ht="21" customHeight="1">
      <x:c r="A2384" s="1" t="str">
        <x:f>Source!A2378</x:f>
        <x:v>C0010337</x:v>
      </x:c>
      <x:c r="B2384" s="1" t="str">
        <x:f>_xlfn.IFNA(VLOOKUP(Source!B2378,Advertisers!$A$5:$B$34,2,FALSE),"Missing advertiser")</x:f>
        <x:v>Synthetic advertiser 16</x:v>
      </x:c>
      <x:c r="C2384" s="1" t="n">
        <x:f>Source!C2378</x:f>
        <x:v>46</x:v>
      </x:c>
      <x:c r="D2384" s="8" t="n">
        <x:f>Source!D2378/100</x:f>
        <x:v>269.52</x:v>
      </x:c>
      <x:c r="E2384" s="8" t="n">
        <x:f>Source!E2378/100</x:f>
        <x:v>284.52</x:v>
      </x:c>
      <x:c r="F2384" s="8" t="n">
        <x:f>Source!F2378/100</x:f>
        <x:v>0</x:v>
      </x:c>
      <x:c r="G2384" s="8" t="n">
        <x:f>Source!G2378/100</x:f>
        <x:v>284.52</x:v>
      </x:c>
      <x:c r="H2384" s="8" t="n">
        <x:f>G2384-D2384</x:f>
        <x:v>15</x:v>
      </x:c>
      <x:c r="I2384" s="1" t="str">
        <x:f>IF(H2384&gt;0,"Overbilled","Shortfall")</x:f>
        <x:v>Overbilled</x:v>
      </x:c>
      <x:c r="J2384" s="7"/>
      <x:c r="K2384" s="7" t="str">
        <x:v>Open</x:v>
      </x:c>
      <x:c r="L2384" s="7"/>
    </x:row>
    <x:row r="2385" ht="21" customHeight="1">
      <x:c r="A2385" s="1" t="str">
        <x:f>Source!A2379</x:f>
        <x:v>C0010332</x:v>
      </x:c>
      <x:c r="B2385" s="1" t="str">
        <x:f>_xlfn.IFNA(VLOOKUP(Source!B2379,Advertisers!$A$5:$B$34,2,FALSE),"Missing advertiser")</x:f>
        <x:v>Synthetic advertiser 30</x:v>
      </x:c>
      <x:c r="C2385" s="1" t="n">
        <x:f>Source!C2379</x:f>
        <x:v>60</x:v>
      </x:c>
      <x:c r="D2385" s="8" t="n">
        <x:f>Source!D2379/100</x:f>
        <x:v>73.17</x:v>
      </x:c>
      <x:c r="E2385" s="8" t="n">
        <x:f>Source!E2379/100</x:f>
        <x:v>88.17</x:v>
      </x:c>
      <x:c r="F2385" s="8" t="n">
        <x:f>Source!F2379/100</x:f>
        <x:v>0</x:v>
      </x:c>
      <x:c r="G2385" s="8" t="n">
        <x:f>Source!G2379/100</x:f>
        <x:v>88.17</x:v>
      </x:c>
      <x:c r="H2385" s="8" t="n">
        <x:f>G2385-D2385</x:f>
        <x:v>15</x:v>
      </x:c>
      <x:c r="I2385" s="1" t="str">
        <x:f>IF(H2385&gt;0,"Overbilled","Shortfall")</x:f>
        <x:v>Overbilled</x:v>
      </x:c>
      <x:c r="J2385" s="7"/>
      <x:c r="K2385" s="7" t="str">
        <x:v>Open</x:v>
      </x:c>
      <x:c r="L2385" s="7"/>
    </x:row>
    <x:row r="2386" ht="21" customHeight="1">
      <x:c r="A2386" s="1" t="str">
        <x:f>Source!A2380</x:f>
        <x:v>C0015319</x:v>
      </x:c>
      <x:c r="B2386" s="1" t="str">
        <x:f>_xlfn.IFNA(VLOOKUP(Source!B2380,Advertisers!$A$5:$B$34,2,FALSE),"Missing advertiser")</x:f>
        <x:v>Synthetic advertiser 14</x:v>
      </x:c>
      <x:c r="C2386" s="1" t="n">
        <x:f>Source!C2380</x:f>
        <x:v>44</x:v>
      </x:c>
      <x:c r="D2386" s="8" t="n">
        <x:f>Source!D2380/100</x:f>
        <x:v>176.9</x:v>
      </x:c>
      <x:c r="E2386" s="8" t="n">
        <x:f>Source!E2380/100</x:f>
        <x:v>191.9</x:v>
      </x:c>
      <x:c r="F2386" s="8" t="n">
        <x:f>Source!F2380/100</x:f>
        <x:v>0</x:v>
      </x:c>
      <x:c r="G2386" s="8" t="n">
        <x:f>Source!G2380/100</x:f>
        <x:v>191.9</x:v>
      </x:c>
      <x:c r="H2386" s="8" t="n">
        <x:f>G2386-D2386</x:f>
        <x:v>15</x:v>
      </x:c>
      <x:c r="I2386" s="1" t="str">
        <x:f>IF(H2386&gt;0,"Overbilled","Shortfall")</x:f>
        <x:v>Overbilled</x:v>
      </x:c>
      <x:c r="J2386" s="7"/>
      <x:c r="K2386" s="7" t="str">
        <x:v>Open</x:v>
      </x:c>
      <x:c r="L2386" s="7"/>
    </x:row>
    <x:row r="2387" ht="21" customHeight="1">
      <x:c r="A2387" s="1" t="str">
        <x:f>Source!A2381</x:f>
        <x:v>C0015987</x:v>
      </x:c>
      <x:c r="B2387" s="1" t="str">
        <x:f>_xlfn.IFNA(VLOOKUP(Source!B2381,Advertisers!$A$5:$B$34,2,FALSE),"Missing advertiser")</x:f>
        <x:v>Synthetic advertiser 9</x:v>
      </x:c>
      <x:c r="C2387" s="1" t="n">
        <x:f>Source!C2381</x:f>
        <x:v>69</x:v>
      </x:c>
      <x:c r="D2387" s="8" t="n">
        <x:f>Source!D2381/100</x:f>
        <x:v>129.71</x:v>
      </x:c>
      <x:c r="E2387" s="8" t="n">
        <x:f>Source!E2381/100</x:f>
        <x:v>144.71</x:v>
      </x:c>
      <x:c r="F2387" s="8" t="n">
        <x:f>Source!F2381/100</x:f>
        <x:v>0</x:v>
      </x:c>
      <x:c r="G2387" s="8" t="n">
        <x:f>Source!G2381/100</x:f>
        <x:v>144.71</x:v>
      </x:c>
      <x:c r="H2387" s="8" t="n">
        <x:f>G2387-D2387</x:f>
        <x:v>15</x:v>
      </x:c>
      <x:c r="I2387" s="1" t="str">
        <x:f>IF(H2387&gt;0,"Overbilled","Shortfall")</x:f>
        <x:v>Overbilled</x:v>
      </x:c>
      <x:c r="J2387" s="7"/>
      <x:c r="K2387" s="7" t="str">
        <x:v>Open</x:v>
      </x:c>
      <x:c r="L2387" s="7"/>
    </x:row>
    <x:row r="2388" ht="21" customHeight="1">
      <x:c r="A2388" s="1" t="str">
        <x:f>Source!A2382</x:f>
        <x:v>C0010313</x:v>
      </x:c>
      <x:c r="B2388" s="1" t="str">
        <x:f>_xlfn.IFNA(VLOOKUP(Source!B2382,Advertisers!$A$5:$B$34,2,FALSE),"Missing advertiser")</x:f>
        <x:v>Synthetic advertiser 2</x:v>
      </x:c>
      <x:c r="C2388" s="1" t="n">
        <x:f>Source!C2382</x:f>
        <x:v>92</x:v>
      </x:c>
      <x:c r="D2388" s="8" t="n">
        <x:f>Source!D2382/100</x:f>
        <x:v>233.76</x:v>
      </x:c>
      <x:c r="E2388" s="8" t="n">
        <x:f>Source!E2382/100</x:f>
        <x:v>248.76</x:v>
      </x:c>
      <x:c r="F2388" s="8" t="n">
        <x:f>Source!F2382/100</x:f>
        <x:v>0</x:v>
      </x:c>
      <x:c r="G2388" s="8" t="n">
        <x:f>Source!G2382/100</x:f>
        <x:v>248.76</x:v>
      </x:c>
      <x:c r="H2388" s="8" t="n">
        <x:f>G2388-D2388</x:f>
        <x:v>15</x:v>
      </x:c>
      <x:c r="I2388" s="1" t="str">
        <x:f>IF(H2388&gt;0,"Overbilled","Shortfall")</x:f>
        <x:v>Overbilled</x:v>
      </x:c>
      <x:c r="J2388" s="7"/>
      <x:c r="K2388" s="7" t="str">
        <x:v>Open</x:v>
      </x:c>
      <x:c r="L2388" s="7"/>
    </x:row>
    <x:row r="2389" ht="21" customHeight="1">
      <x:c r="A2389" s="1" t="str">
        <x:f>Source!A2383</x:f>
        <x:v>C0001999</x:v>
      </x:c>
      <x:c r="B2389" s="1" t="str">
        <x:f>_xlfn.IFNA(VLOOKUP(Source!B2383,Advertisers!$A$5:$B$34,2,FALSE),"Missing advertiser")</x:f>
        <x:v>Synthetic advertiser 5</x:v>
      </x:c>
      <x:c r="C2389" s="1" t="n">
        <x:f>Source!C2383</x:f>
        <x:v>65</x:v>
      </x:c>
      <x:c r="D2389" s="8" t="n">
        <x:f>Source!D2383/100</x:f>
        <x:v>136.76</x:v>
      </x:c>
      <x:c r="E2389" s="8" t="n">
        <x:f>Source!E2383/100</x:f>
        <x:v>151.76</x:v>
      </x:c>
      <x:c r="F2389" s="8" t="n">
        <x:f>Source!F2383/100</x:f>
        <x:v>0</x:v>
      </x:c>
      <x:c r="G2389" s="8" t="n">
        <x:f>Source!G2383/100</x:f>
        <x:v>151.76</x:v>
      </x:c>
      <x:c r="H2389" s="8" t="n">
        <x:f>G2389-D2389</x:f>
        <x:v>15</x:v>
      </x:c>
      <x:c r="I2389" s="1" t="str">
        <x:f>IF(H2389&gt;0,"Overbilled","Shortfall")</x:f>
        <x:v>Overbilled</x:v>
      </x:c>
      <x:c r="J2389" s="7"/>
      <x:c r="K2389" s="7" t="str">
        <x:v>Open</x:v>
      </x:c>
      <x:c r="L2389" s="7"/>
    </x:row>
    <x:row r="2390" ht="21" customHeight="1">
      <x:c r="A2390" s="1" t="str">
        <x:f>Source!A2384</x:f>
        <x:v>C0008332</x:v>
      </x:c>
      <x:c r="B2390" s="1" t="str">
        <x:f>_xlfn.IFNA(VLOOKUP(Source!B2384,Advertisers!$A$5:$B$34,2,FALSE),"Missing advertiser")</x:f>
        <x:v>Synthetic advertiser 23</x:v>
      </x:c>
      <x:c r="C2390" s="1" t="n">
        <x:f>Source!C2384</x:f>
        <x:v>53</x:v>
      </x:c>
      <x:c r="D2390" s="8" t="n">
        <x:f>Source!D2384/100</x:f>
        <x:v>50.87</x:v>
      </x:c>
      <x:c r="E2390" s="8" t="n">
        <x:f>Source!E2384/100</x:f>
        <x:v>65.87</x:v>
      </x:c>
      <x:c r="F2390" s="8" t="n">
        <x:f>Source!F2384/100</x:f>
        <x:v>0</x:v>
      </x:c>
      <x:c r="G2390" s="8" t="n">
        <x:f>Source!G2384/100</x:f>
        <x:v>65.87</x:v>
      </x:c>
      <x:c r="H2390" s="8" t="n">
        <x:f>G2390-D2390</x:f>
        <x:v>15.000000000000007</x:v>
      </x:c>
      <x:c r="I2390" s="1" t="str">
        <x:f>IF(H2390&gt;0,"Overbilled","Shortfall")</x:f>
        <x:v>Overbilled</x:v>
      </x:c>
      <x:c r="J2390" s="7"/>
      <x:c r="K2390" s="7" t="str">
        <x:v>Open</x:v>
      </x:c>
      <x:c r="L2390" s="7"/>
    </x:row>
    <x:row r="2391" ht="21" customHeight="1">
      <x:c r="A2391" s="1" t="str">
        <x:f>Source!A2385</x:f>
        <x:v>C0015333</x:v>
      </x:c>
      <x:c r="B2391" s="1" t="str">
        <x:f>_xlfn.IFNA(VLOOKUP(Source!B2385,Advertisers!$A$5:$B$34,2,FALSE),"Missing advertiser")</x:f>
        <x:v>Synthetic advertiser 5</x:v>
      </x:c>
      <x:c r="C2391" s="1" t="n">
        <x:f>Source!C2385</x:f>
        <x:v>35</x:v>
      </x:c>
      <x:c r="D2391" s="8" t="n">
        <x:f>Source!D2385/100</x:f>
        <x:v>218.72</x:v>
      </x:c>
      <x:c r="E2391" s="8" t="n">
        <x:f>Source!E2385/100</x:f>
        <x:v>233.72</x:v>
      </x:c>
      <x:c r="F2391" s="8" t="n">
        <x:f>Source!F2385/100</x:f>
        <x:v>0</x:v>
      </x:c>
      <x:c r="G2391" s="8" t="n">
        <x:f>Source!G2385/100</x:f>
        <x:v>233.72</x:v>
      </x:c>
      <x:c r="H2391" s="8" t="n">
        <x:f>G2391-D2391</x:f>
        <x:v>15</x:v>
      </x:c>
      <x:c r="I2391" s="1" t="str">
        <x:f>IF(H2391&gt;0,"Overbilled","Shortfall")</x:f>
        <x:v>Overbilled</x:v>
      </x:c>
      <x:c r="J2391" s="7"/>
      <x:c r="K2391" s="7" t="str">
        <x:v>Open</x:v>
      </x:c>
      <x:c r="L2391" s="7"/>
    </x:row>
    <x:row r="2392" ht="21" customHeight="1">
      <x:c r="A2392" s="1" t="str">
        <x:f>Source!A2386</x:f>
        <x:v>C0010290</x:v>
      </x:c>
      <x:c r="B2392" s="1" t="str">
        <x:f>_xlfn.IFNA(VLOOKUP(Source!B2386,Advertisers!$A$5:$B$34,2,FALSE),"Missing advertiser")</x:f>
        <x:v>Synthetic advertiser 21</x:v>
      </x:c>
      <x:c r="C2392" s="1" t="n">
        <x:f>Source!C2386</x:f>
        <x:v>81</x:v>
      </x:c>
      <x:c r="D2392" s="8" t="n">
        <x:f>Source!D2386/100</x:f>
        <x:v>110.36</x:v>
      </x:c>
      <x:c r="E2392" s="8" t="n">
        <x:f>Source!E2386/100</x:f>
        <x:v>125.36</x:v>
      </x:c>
      <x:c r="F2392" s="8" t="n">
        <x:f>Source!F2386/100</x:f>
        <x:v>0</x:v>
      </x:c>
      <x:c r="G2392" s="8" t="n">
        <x:f>Source!G2386/100</x:f>
        <x:v>125.36</x:v>
      </x:c>
      <x:c r="H2392" s="8" t="n">
        <x:f>G2392-D2392</x:f>
        <x:v>15</x:v>
      </x:c>
      <x:c r="I2392" s="1" t="str">
        <x:f>IF(H2392&gt;0,"Overbilled","Shortfall")</x:f>
        <x:v>Overbilled</x:v>
      </x:c>
      <x:c r="J2392" s="7"/>
      <x:c r="K2392" s="7" t="str">
        <x:v>Open</x:v>
      </x:c>
      <x:c r="L2392" s="7"/>
    </x:row>
    <x:row r="2393" ht="21" customHeight="1">
      <x:c r="A2393" s="1" t="str">
        <x:f>Source!A2387</x:f>
        <x:v>C0015317</x:v>
      </x:c>
      <x:c r="B2393" s="1" t="str">
        <x:f>_xlfn.IFNA(VLOOKUP(Source!B2387,Advertisers!$A$5:$B$34,2,FALSE),"Missing advertiser")</x:f>
        <x:v>Synthetic advertiser 6</x:v>
      </x:c>
      <x:c r="C2393" s="1" t="n">
        <x:f>Source!C2387</x:f>
        <x:v>6</x:v>
      </x:c>
      <x:c r="D2393" s="8" t="n">
        <x:f>Source!D2387/100</x:f>
        <x:v>89.98</x:v>
      </x:c>
      <x:c r="E2393" s="8" t="n">
        <x:f>Source!E2387/100</x:f>
        <x:v>104.98</x:v>
      </x:c>
      <x:c r="F2393" s="8" t="n">
        <x:f>Source!F2387/100</x:f>
        <x:v>0</x:v>
      </x:c>
      <x:c r="G2393" s="8" t="n">
        <x:f>Source!G2387/100</x:f>
        <x:v>104.98</x:v>
      </x:c>
      <x:c r="H2393" s="8" t="n">
        <x:f>G2393-D2393</x:f>
        <x:v>15</x:v>
      </x:c>
      <x:c r="I2393" s="1" t="str">
        <x:f>IF(H2393&gt;0,"Overbilled","Shortfall")</x:f>
        <x:v>Overbilled</x:v>
      </x:c>
      <x:c r="J2393" s="7"/>
      <x:c r="K2393" s="7" t="str">
        <x:v>Open</x:v>
      </x:c>
      <x:c r="L2393" s="7"/>
    </x:row>
    <x:row r="2394" ht="21" customHeight="1">
      <x:c r="A2394" s="1" t="str">
        <x:f>Source!A2388</x:f>
        <x:v>C0002000</x:v>
      </x:c>
      <x:c r="B2394" s="1" t="str">
        <x:f>_xlfn.IFNA(VLOOKUP(Source!B2388,Advertisers!$A$5:$B$34,2,FALSE),"Missing advertiser")</x:f>
        <x:v>Synthetic advertiser 29</x:v>
      </x:c>
      <x:c r="C2394" s="1" t="n">
        <x:f>Source!C2388</x:f>
        <x:v>89</x:v>
      </x:c>
      <x:c r="D2394" s="8" t="n">
        <x:f>Source!D2388/100</x:f>
        <x:v>95.8</x:v>
      </x:c>
      <x:c r="E2394" s="8" t="n">
        <x:f>Source!E2388/100</x:f>
        <x:v>110.8</x:v>
      </x:c>
      <x:c r="F2394" s="8" t="n">
        <x:f>Source!F2388/100</x:f>
        <x:v>0</x:v>
      </x:c>
      <x:c r="G2394" s="8" t="n">
        <x:f>Source!G2388/100</x:f>
        <x:v>110.8</x:v>
      </x:c>
      <x:c r="H2394" s="8" t="n">
        <x:f>G2394-D2394</x:f>
        <x:v>15</x:v>
      </x:c>
      <x:c r="I2394" s="1" t="str">
        <x:f>IF(H2394&gt;0,"Overbilled","Shortfall")</x:f>
        <x:v>Overbilled</x:v>
      </x:c>
      <x:c r="J2394" s="7"/>
      <x:c r="K2394" s="7" t="str">
        <x:v>Open</x:v>
      </x:c>
      <x:c r="L2394" s="7"/>
    </x:row>
    <x:row r="2395" ht="21" customHeight="1">
      <x:c r="A2395" s="1" t="str">
        <x:f>Source!A2389</x:f>
        <x:v>C0010276</x:v>
      </x:c>
      <x:c r="B2395" s="1" t="str">
        <x:f>_xlfn.IFNA(VLOOKUP(Source!B2389,Advertisers!$A$5:$B$34,2,FALSE),"Missing advertiser")</x:f>
        <x:v>Synthetic advertiser 12</x:v>
      </x:c>
      <x:c r="C2395" s="1" t="n">
        <x:f>Source!C2389</x:f>
        <x:v>42</x:v>
      </x:c>
      <x:c r="D2395" s="8" t="n">
        <x:f>Source!D2389/100</x:f>
        <x:v>145.19</x:v>
      </x:c>
      <x:c r="E2395" s="8" t="n">
        <x:f>Source!E2389/100</x:f>
        <x:v>160.19</x:v>
      </x:c>
      <x:c r="F2395" s="8" t="n">
        <x:f>Source!F2389/100</x:f>
        <x:v>0</x:v>
      </x:c>
      <x:c r="G2395" s="8" t="n">
        <x:f>Source!G2389/100</x:f>
        <x:v>160.19</x:v>
      </x:c>
      <x:c r="H2395" s="8" t="n">
        <x:f>G2395-D2395</x:f>
        <x:v>15</x:v>
      </x:c>
      <x:c r="I2395" s="1" t="str">
        <x:f>IF(H2395&gt;0,"Overbilled","Shortfall")</x:f>
        <x:v>Overbilled</x:v>
      </x:c>
      <x:c r="J2395" s="7"/>
      <x:c r="K2395" s="7" t="str">
        <x:v>Open</x:v>
      </x:c>
      <x:c r="L2395" s="7"/>
    </x:row>
    <x:row r="2396" ht="21" customHeight="1">
      <x:c r="A2396" s="1" t="str">
        <x:f>Source!A2390</x:f>
        <x:v>C0010317</x:v>
      </x:c>
      <x:c r="B2396" s="1" t="str">
        <x:f>_xlfn.IFNA(VLOOKUP(Source!B2390,Advertisers!$A$5:$B$34,2,FALSE),"Missing advertiser")</x:f>
        <x:v>Synthetic advertiser 8</x:v>
      </x:c>
      <x:c r="C2396" s="1" t="n">
        <x:f>Source!C2390</x:f>
        <x:v>8</x:v>
      </x:c>
      <x:c r="D2396" s="8" t="n">
        <x:f>Source!D2390/100</x:f>
        <x:v>163.08</x:v>
      </x:c>
      <x:c r="E2396" s="8" t="n">
        <x:f>Source!E2390/100</x:f>
        <x:v>178.08</x:v>
      </x:c>
      <x:c r="F2396" s="8" t="n">
        <x:f>Source!F2390/100</x:f>
        <x:v>0</x:v>
      </x:c>
      <x:c r="G2396" s="8" t="n">
        <x:f>Source!G2390/100</x:f>
        <x:v>178.08</x:v>
      </x:c>
      <x:c r="H2396" s="8" t="n">
        <x:f>G2396-D2396</x:f>
        <x:v>15</x:v>
      </x:c>
      <x:c r="I2396" s="1" t="str">
        <x:f>IF(H2396&gt;0,"Overbilled","Shortfall")</x:f>
        <x:v>Overbilled</x:v>
      </x:c>
      <x:c r="J2396" s="7"/>
      <x:c r="K2396" s="7" t="str">
        <x:v>Open</x:v>
      </x:c>
      <x:c r="L2396" s="7"/>
    </x:row>
    <x:row r="2397" ht="21" customHeight="1">
      <x:c r="A2397" s="1" t="str">
        <x:f>Source!A2391</x:f>
        <x:v>C0015606</x:v>
      </x:c>
      <x:c r="B2397" s="1" t="str">
        <x:f>_xlfn.IFNA(VLOOKUP(Source!B2391,Advertisers!$A$5:$B$34,2,FALSE),"Missing advertiser")</x:f>
        <x:v>Synthetic advertiser 7</x:v>
      </x:c>
      <x:c r="C2397" s="1" t="n">
        <x:f>Source!C2391</x:f>
        <x:v>7</x:v>
      </x:c>
      <x:c r="D2397" s="8" t="n">
        <x:f>Source!D2391/100</x:f>
        <x:v>99.09</x:v>
      </x:c>
      <x:c r="E2397" s="8" t="n">
        <x:f>Source!E2391/100</x:f>
        <x:v>114.09</x:v>
      </x:c>
      <x:c r="F2397" s="8" t="n">
        <x:f>Source!F2391/100</x:f>
        <x:v>0</x:v>
      </x:c>
      <x:c r="G2397" s="8" t="n">
        <x:f>Source!G2391/100</x:f>
        <x:v>114.09</x:v>
      </x:c>
      <x:c r="H2397" s="8" t="n">
        <x:f>G2397-D2397</x:f>
        <x:v>15</x:v>
      </x:c>
      <x:c r="I2397" s="1" t="str">
        <x:f>IF(H2397&gt;0,"Overbilled","Shortfall")</x:f>
        <x:v>Overbilled</x:v>
      </x:c>
      <x:c r="J2397" s="7"/>
      <x:c r="K2397" s="7" t="str">
        <x:v>Open</x:v>
      </x:c>
      <x:c r="L2397" s="7"/>
    </x:row>
    <x:row r="2398" ht="21" customHeight="1">
      <x:c r="A2398" s="1" t="str">
        <x:f>Source!A2392</x:f>
        <x:v>C0015616</x:v>
      </x:c>
      <x:c r="B2398" s="1" t="str">
        <x:f>_xlfn.IFNA(VLOOKUP(Source!B2392,Advertisers!$A$5:$B$34,2,FALSE),"Missing advertiser")</x:f>
        <x:v>Synthetic advertiser 30</x:v>
      </x:c>
      <x:c r="C2398" s="1" t="n">
        <x:f>Source!C2392</x:f>
        <x:v>30</x:v>
      </x:c>
      <x:c r="D2398" s="8" t="n">
        <x:f>Source!D2392/100</x:f>
        <x:v>97.33</x:v>
      </x:c>
      <x:c r="E2398" s="8" t="n">
        <x:f>Source!E2392/100</x:f>
        <x:v>112.33</x:v>
      </x:c>
      <x:c r="F2398" s="8" t="n">
        <x:f>Source!F2392/100</x:f>
        <x:v>0</x:v>
      </x:c>
      <x:c r="G2398" s="8" t="n">
        <x:f>Source!G2392/100</x:f>
        <x:v>112.33</x:v>
      </x:c>
      <x:c r="H2398" s="8" t="n">
        <x:f>G2398-D2398</x:f>
        <x:v>15</x:v>
      </x:c>
      <x:c r="I2398" s="1" t="str">
        <x:f>IF(H2398&gt;0,"Overbilled","Shortfall")</x:f>
        <x:v>Overbilled</x:v>
      </x:c>
      <x:c r="J2398" s="7"/>
      <x:c r="K2398" s="7" t="str">
        <x:v>Open</x:v>
      </x:c>
      <x:c r="L2398" s="7"/>
    </x:row>
    <x:row r="2399" ht="21" customHeight="1">
      <x:c r="A2399" s="1" t="str">
        <x:f>Source!A2393</x:f>
        <x:v>C0015623</x:v>
      </x:c>
      <x:c r="B2399" s="1" t="str">
        <x:f>_xlfn.IFNA(VLOOKUP(Source!B2393,Advertisers!$A$5:$B$34,2,FALSE),"Missing advertiser")</x:f>
        <x:v>Synthetic advertiser 13</x:v>
      </x:c>
      <x:c r="C2399" s="1" t="n">
        <x:f>Source!C2393</x:f>
        <x:v>73</x:v>
      </x:c>
      <x:c r="D2399" s="8" t="n">
        <x:f>Source!D2393/100</x:f>
        <x:v>119.3</x:v>
      </x:c>
      <x:c r="E2399" s="8" t="n">
        <x:f>Source!E2393/100</x:f>
        <x:v>134.3</x:v>
      </x:c>
      <x:c r="F2399" s="8" t="n">
        <x:f>Source!F2393/100</x:f>
        <x:v>0</x:v>
      </x:c>
      <x:c r="G2399" s="8" t="n">
        <x:f>Source!G2393/100</x:f>
        <x:v>134.3</x:v>
      </x:c>
      <x:c r="H2399" s="8" t="n">
        <x:f>G2399-D2399</x:f>
        <x:v>15.000000000000014</x:v>
      </x:c>
      <x:c r="I2399" s="1" t="str">
        <x:f>IF(H2399&gt;0,"Overbilled","Shortfall")</x:f>
        <x:v>Overbilled</x:v>
      </x:c>
      <x:c r="J2399" s="7"/>
      <x:c r="K2399" s="7" t="str">
        <x:v>Open</x:v>
      </x:c>
      <x:c r="L2399" s="7"/>
    </x:row>
    <x:row r="2400" ht="21" customHeight="1">
      <x:c r="A2400" s="1" t="str">
        <x:f>Source!A2394</x:f>
        <x:v>C0015626</x:v>
      </x:c>
      <x:c r="B2400" s="1" t="str">
        <x:f>_xlfn.IFNA(VLOOKUP(Source!B2394,Advertisers!$A$5:$B$34,2,FALSE),"Missing advertiser")</x:f>
        <x:v>Synthetic advertiser 28</x:v>
      </x:c>
      <x:c r="C2400" s="1" t="n">
        <x:f>Source!C2394</x:f>
        <x:v>118</x:v>
      </x:c>
      <x:c r="D2400" s="8" t="n">
        <x:f>Source!D2394/100</x:f>
        <x:v>225.63</x:v>
      </x:c>
      <x:c r="E2400" s="8" t="n">
        <x:f>Source!E2394/100</x:f>
        <x:v>240.63</x:v>
      </x:c>
      <x:c r="F2400" s="8" t="n">
        <x:f>Source!F2394/100</x:f>
        <x:v>0</x:v>
      </x:c>
      <x:c r="G2400" s="8" t="n">
        <x:f>Source!G2394/100</x:f>
        <x:v>240.63</x:v>
      </x:c>
      <x:c r="H2400" s="8" t="n">
        <x:f>G2400-D2400</x:f>
        <x:v>15</x:v>
      </x:c>
      <x:c r="I2400" s="1" t="str">
        <x:f>IF(H2400&gt;0,"Overbilled","Shortfall")</x:f>
        <x:v>Overbilled</x:v>
      </x:c>
      <x:c r="J2400" s="7"/>
      <x:c r="K2400" s="7" t="str">
        <x:v>Open</x:v>
      </x:c>
      <x:c r="L2400" s="7"/>
    </x:row>
    <x:row r="2401" ht="21" customHeight="1">
      <x:c r="A2401" s="1" t="str">
        <x:f>Source!A2395</x:f>
        <x:v>C0015647</x:v>
      </x:c>
      <x:c r="B2401" s="1" t="str">
        <x:f>_xlfn.IFNA(VLOOKUP(Source!B2395,Advertisers!$A$5:$B$34,2,FALSE),"Missing advertiser")</x:f>
        <x:v>Synthetic advertiser 12</x:v>
      </x:c>
      <x:c r="C2401" s="1" t="n">
        <x:f>Source!C2395</x:f>
        <x:v>42</x:v>
      </x:c>
      <x:c r="D2401" s="8" t="n">
        <x:f>Source!D2395/100</x:f>
        <x:v>84.25</x:v>
      </x:c>
      <x:c r="E2401" s="8" t="n">
        <x:f>Source!E2395/100</x:f>
        <x:v>99.25</x:v>
      </x:c>
      <x:c r="F2401" s="8" t="n">
        <x:f>Source!F2395/100</x:f>
        <x:v>0</x:v>
      </x:c>
      <x:c r="G2401" s="8" t="n">
        <x:f>Source!G2395/100</x:f>
        <x:v>99.25</x:v>
      </x:c>
      <x:c r="H2401" s="8" t="n">
        <x:f>G2401-D2401</x:f>
        <x:v>15</x:v>
      </x:c>
      <x:c r="I2401" s="1" t="str">
        <x:f>IF(H2401&gt;0,"Overbilled","Shortfall")</x:f>
        <x:v>Overbilled</x:v>
      </x:c>
      <x:c r="J2401" s="7"/>
      <x:c r="K2401" s="7" t="str">
        <x:v>Open</x:v>
      </x:c>
      <x:c r="L2401" s="7"/>
    </x:row>
    <x:row r="2402" ht="21" customHeight="1">
      <x:c r="A2402" s="1" t="str">
        <x:f>Source!A2396</x:f>
        <x:v>C0015656</x:v>
      </x:c>
      <x:c r="B2402" s="1" t="str">
        <x:f>_xlfn.IFNA(VLOOKUP(Source!B2396,Advertisers!$A$5:$B$34,2,FALSE),"Missing advertiser")</x:f>
        <x:v>Synthetic advertiser 23</x:v>
      </x:c>
      <x:c r="C2402" s="1" t="n">
        <x:f>Source!C2396</x:f>
        <x:v>83</x:v>
      </x:c>
      <x:c r="D2402" s="8" t="n">
        <x:f>Source!D2396/100</x:f>
        <x:v>81.08</x:v>
      </x:c>
      <x:c r="E2402" s="8" t="n">
        <x:f>Source!E2396/100</x:f>
        <x:v>96.08</x:v>
      </x:c>
      <x:c r="F2402" s="8" t="n">
        <x:f>Source!F2396/100</x:f>
        <x:v>0</x:v>
      </x:c>
      <x:c r="G2402" s="8" t="n">
        <x:f>Source!G2396/100</x:f>
        <x:v>96.08</x:v>
      </x:c>
      <x:c r="H2402" s="8" t="n">
        <x:f>G2402-D2402</x:f>
        <x:v>15</x:v>
      </x:c>
      <x:c r="I2402" s="1" t="str">
        <x:f>IF(H2402&gt;0,"Overbilled","Shortfall")</x:f>
        <x:v>Overbilled</x:v>
      </x:c>
      <x:c r="J2402" s="7"/>
      <x:c r="K2402" s="7" t="str">
        <x:v>Open</x:v>
      </x:c>
      <x:c r="L2402" s="7"/>
    </x:row>
    <x:row r="2403" ht="21" customHeight="1">
      <x:c r="A2403" s="1" t="str">
        <x:f>Source!A2397</x:f>
        <x:v>C0015658</x:v>
      </x:c>
      <x:c r="B2403" s="1" t="str">
        <x:f>_xlfn.IFNA(VLOOKUP(Source!B2397,Advertisers!$A$5:$B$34,2,FALSE),"Missing advertiser")</x:f>
        <x:v>Synthetic advertiser 12</x:v>
      </x:c>
      <x:c r="C2403" s="1" t="n">
        <x:f>Source!C2397</x:f>
        <x:v>72</x:v>
      </x:c>
      <x:c r="D2403" s="8" t="n">
        <x:f>Source!D2397/100</x:f>
        <x:v>211.85</x:v>
      </x:c>
      <x:c r="E2403" s="8" t="n">
        <x:f>Source!E2397/100</x:f>
        <x:v>226.85</x:v>
      </x:c>
      <x:c r="F2403" s="8" t="n">
        <x:f>Source!F2397/100</x:f>
        <x:v>0</x:v>
      </x:c>
      <x:c r="G2403" s="8" t="n">
        <x:f>Source!G2397/100</x:f>
        <x:v>226.85</x:v>
      </x:c>
      <x:c r="H2403" s="8" t="n">
        <x:f>G2403-D2403</x:f>
        <x:v>15</x:v>
      </x:c>
      <x:c r="I2403" s="1" t="str">
        <x:f>IF(H2403&gt;0,"Overbilled","Shortfall")</x:f>
        <x:v>Overbilled</x:v>
      </x:c>
      <x:c r="J2403" s="7"/>
      <x:c r="K2403" s="7" t="str">
        <x:v>Open</x:v>
      </x:c>
      <x:c r="L2403" s="7"/>
    </x:row>
    <x:row r="2404" ht="21" customHeight="1">
      <x:c r="A2404" s="1" t="str">
        <x:f>Source!A2398</x:f>
        <x:v>C0015666</x:v>
      </x:c>
      <x:c r="B2404" s="1" t="str">
        <x:f>_xlfn.IFNA(VLOOKUP(Source!B2398,Advertisers!$A$5:$B$34,2,FALSE),"Missing advertiser")</x:f>
        <x:v>Synthetic advertiser 29</x:v>
      </x:c>
      <x:c r="C2404" s="1" t="n">
        <x:f>Source!C2398</x:f>
        <x:v>119</x:v>
      </x:c>
      <x:c r="D2404" s="8" t="n">
        <x:f>Source!D2398/100</x:f>
        <x:v>80.63</x:v>
      </x:c>
      <x:c r="E2404" s="8" t="n">
        <x:f>Source!E2398/100</x:f>
        <x:v>95.63</x:v>
      </x:c>
      <x:c r="F2404" s="8" t="n">
        <x:f>Source!F2398/100</x:f>
        <x:v>0</x:v>
      </x:c>
      <x:c r="G2404" s="8" t="n">
        <x:f>Source!G2398/100</x:f>
        <x:v>95.63</x:v>
      </x:c>
      <x:c r="H2404" s="8" t="n">
        <x:f>G2404-D2404</x:f>
        <x:v>15</x:v>
      </x:c>
      <x:c r="I2404" s="1" t="str">
        <x:f>IF(H2404&gt;0,"Overbilled","Shortfall")</x:f>
        <x:v>Overbilled</x:v>
      </x:c>
      <x:c r="J2404" s="7"/>
      <x:c r="K2404" s="7" t="str">
        <x:v>Open</x:v>
      </x:c>
      <x:c r="L2404" s="7"/>
    </x:row>
    <x:row r="2405" ht="21" customHeight="1">
      <x:c r="A2405" s="1" t="str">
        <x:f>Source!A2399</x:f>
        <x:v>C0008097</x:v>
      </x:c>
      <x:c r="B2405" s="1" t="str">
        <x:f>_xlfn.IFNA(VLOOKUP(Source!B2399,Advertisers!$A$5:$B$34,2,FALSE),"Missing advertiser")</x:f>
        <x:v>Synthetic advertiser 12</x:v>
      </x:c>
      <x:c r="C2405" s="1" t="n">
        <x:f>Source!C2399</x:f>
        <x:v>102</x:v>
      </x:c>
      <x:c r="D2405" s="8" t="n">
        <x:f>Source!D2399/100</x:f>
        <x:v>196.23</x:v>
      </x:c>
      <x:c r="E2405" s="8" t="n">
        <x:f>Source!E2399/100</x:f>
        <x:v>211.23</x:v>
      </x:c>
      <x:c r="F2405" s="8" t="n">
        <x:f>Source!F2399/100</x:f>
        <x:v>0</x:v>
      </x:c>
      <x:c r="G2405" s="8" t="n">
        <x:f>Source!G2399/100</x:f>
        <x:v>211.23</x:v>
      </x:c>
      <x:c r="H2405" s="8" t="n">
        <x:f>G2405-D2405</x:f>
        <x:v>15</x:v>
      </x:c>
      <x:c r="I2405" s="1" t="str">
        <x:f>IF(H2405&gt;0,"Overbilled","Shortfall")</x:f>
        <x:v>Overbilled</x:v>
      </x:c>
      <x:c r="J2405" s="7"/>
      <x:c r="K2405" s="7" t="str">
        <x:v>Open</x:v>
      </x:c>
      <x:c r="L2405" s="7"/>
    </x:row>
    <x:row r="2406" ht="21" customHeight="1">
      <x:c r="A2406" s="1" t="str">
        <x:f>Source!A2400</x:f>
        <x:v>C0015668</x:v>
      </x:c>
      <x:c r="B2406" s="1" t="str">
        <x:f>_xlfn.IFNA(VLOOKUP(Source!B2400,Advertisers!$A$5:$B$34,2,FALSE),"Missing advertiser")</x:f>
        <x:v>Synthetic advertiser 22</x:v>
      </x:c>
      <x:c r="C2406" s="1" t="n">
        <x:f>Source!C2400</x:f>
        <x:v>22</x:v>
      </x:c>
      <x:c r="D2406" s="8" t="n">
        <x:f>Source!D2400/100</x:f>
        <x:v>124.73</x:v>
      </x:c>
      <x:c r="E2406" s="8" t="n">
        <x:f>Source!E2400/100</x:f>
        <x:v>139.73</x:v>
      </x:c>
      <x:c r="F2406" s="8" t="n">
        <x:f>Source!F2400/100</x:f>
        <x:v>0</x:v>
      </x:c>
      <x:c r="G2406" s="8" t="n">
        <x:f>Source!G2400/100</x:f>
        <x:v>139.73</x:v>
      </x:c>
      <x:c r="H2406" s="8" t="n">
        <x:f>G2406-D2406</x:f>
        <x:v>14.999999999999986</x:v>
      </x:c>
      <x:c r="I2406" s="1" t="str">
        <x:f>IF(H2406&gt;0,"Overbilled","Shortfall")</x:f>
        <x:v>Overbilled</x:v>
      </x:c>
      <x:c r="J2406" s="7"/>
      <x:c r="K2406" s="7" t="str">
        <x:v>Open</x:v>
      </x:c>
      <x:c r="L2406" s="7"/>
    </x:row>
    <x:row r="2407" ht="21" customHeight="1">
      <x:c r="A2407" s="1" t="str">
        <x:f>Source!A2401</x:f>
        <x:v>C0002131</x:v>
      </x:c>
      <x:c r="B2407" s="1" t="str">
        <x:f>_xlfn.IFNA(VLOOKUP(Source!B2401,Advertisers!$A$5:$B$34,2,FALSE),"Missing advertiser")</x:f>
        <x:v>Synthetic advertiser 28</x:v>
      </x:c>
      <x:c r="C2407" s="1" t="n">
        <x:f>Source!C2401</x:f>
        <x:v>28</x:v>
      </x:c>
      <x:c r="D2407" s="8" t="n">
        <x:f>Source!D2401/100</x:f>
        <x:v>395.34</x:v>
      </x:c>
      <x:c r="E2407" s="8" t="n">
        <x:f>Source!E2401/100</x:f>
        <x:v>410.34</x:v>
      </x:c>
      <x:c r="F2407" s="8" t="n">
        <x:f>Source!F2401/100</x:f>
        <x:v>0</x:v>
      </x:c>
      <x:c r="G2407" s="8" t="n">
        <x:f>Source!G2401/100</x:f>
        <x:v>410.34</x:v>
      </x:c>
      <x:c r="H2407" s="8" t="n">
        <x:f>G2407-D2407</x:f>
        <x:v>15</x:v>
      </x:c>
      <x:c r="I2407" s="1" t="str">
        <x:f>IF(H2407&gt;0,"Overbilled","Shortfall")</x:f>
        <x:v>Overbilled</x:v>
      </x:c>
      <x:c r="J2407" s="7"/>
      <x:c r="K2407" s="7" t="str">
        <x:v>Open</x:v>
      </x:c>
      <x:c r="L2407" s="7"/>
    </x:row>
    <x:row r="2408" ht="21" customHeight="1">
      <x:c r="A2408" s="1" t="str">
        <x:f>Source!A2402</x:f>
        <x:v>C0002439</x:v>
      </x:c>
      <x:c r="B2408" s="1" t="str">
        <x:f>_xlfn.IFNA(VLOOKUP(Source!B2402,Advertisers!$A$5:$B$34,2,FALSE),"Missing advertiser")</x:f>
        <x:v>Synthetic advertiser 25</x:v>
      </x:c>
      <x:c r="C2408" s="1" t="n">
        <x:f>Source!C2402</x:f>
        <x:v>25</x:v>
      </x:c>
      <x:c r="D2408" s="8" t="n">
        <x:f>Source!D2402/100</x:f>
        <x:v>133.41</x:v>
      </x:c>
      <x:c r="E2408" s="8" t="n">
        <x:f>Source!E2402/100</x:f>
        <x:v>148.41</x:v>
      </x:c>
      <x:c r="F2408" s="8" t="n">
        <x:f>Source!F2402/100</x:f>
        <x:v>0</x:v>
      </x:c>
      <x:c r="G2408" s="8" t="n">
        <x:f>Source!G2402/100</x:f>
        <x:v>148.41</x:v>
      </x:c>
      <x:c r="H2408" s="8" t="n">
        <x:f>G2408-D2408</x:f>
        <x:v>15</x:v>
      </x:c>
      <x:c r="I2408" s="1" t="str">
        <x:f>IF(H2408&gt;0,"Overbilled","Shortfall")</x:f>
        <x:v>Overbilled</x:v>
      </x:c>
      <x:c r="J2408" s="7"/>
      <x:c r="K2408" s="7" t="str">
        <x:v>Open</x:v>
      </x:c>
      <x:c r="L2408" s="7"/>
    </x:row>
    <x:row r="2409" ht="21" customHeight="1">
      <x:c r="A2409" s="1" t="str">
        <x:f>Source!A2403</x:f>
        <x:v>C0015704</x:v>
      </x:c>
      <x:c r="B2409" s="1" t="str">
        <x:f>_xlfn.IFNA(VLOOKUP(Source!B2403,Advertisers!$A$5:$B$34,2,FALSE),"Missing advertiser")</x:f>
        <x:v>Synthetic advertiser 10</x:v>
      </x:c>
      <x:c r="C2409" s="1" t="n">
        <x:f>Source!C2403</x:f>
        <x:v>40</x:v>
      </x:c>
      <x:c r="D2409" s="8" t="n">
        <x:f>Source!D2403/100</x:f>
        <x:v>152.84</x:v>
      </x:c>
      <x:c r="E2409" s="8" t="n">
        <x:f>Source!E2403/100</x:f>
        <x:v>167.84</x:v>
      </x:c>
      <x:c r="F2409" s="8" t="n">
        <x:f>Source!F2403/100</x:f>
        <x:v>0</x:v>
      </x:c>
      <x:c r="G2409" s="8" t="n">
        <x:f>Source!G2403/100</x:f>
        <x:v>167.84</x:v>
      </x:c>
      <x:c r="H2409" s="8" t="n">
        <x:f>G2409-D2409</x:f>
        <x:v>15</x:v>
      </x:c>
      <x:c r="I2409" s="1" t="str">
        <x:f>IF(H2409&gt;0,"Overbilled","Shortfall")</x:f>
        <x:v>Overbilled</x:v>
      </x:c>
      <x:c r="J2409" s="7"/>
      <x:c r="K2409" s="7" t="str">
        <x:v>Open</x:v>
      </x:c>
      <x:c r="L2409" s="7"/>
    </x:row>
    <x:row r="2410" ht="21" customHeight="1">
      <x:c r="A2410" s="1" t="str">
        <x:f>Source!A2404</x:f>
        <x:v>C0002283</x:v>
      </x:c>
      <x:c r="B2410" s="1" t="str">
        <x:f>_xlfn.IFNA(VLOOKUP(Source!B2404,Advertisers!$A$5:$B$34,2,FALSE),"Missing advertiser")</x:f>
        <x:v>Synthetic advertiser 19</x:v>
      </x:c>
      <x:c r="C2410" s="1" t="n">
        <x:f>Source!C2404</x:f>
        <x:v>79</x:v>
      </x:c>
      <x:c r="D2410" s="8" t="n">
        <x:f>Source!D2404/100</x:f>
        <x:v>73.86</x:v>
      </x:c>
      <x:c r="E2410" s="8" t="n">
        <x:f>Source!E2404/100</x:f>
        <x:v>88.86</x:v>
      </x:c>
      <x:c r="F2410" s="8" t="n">
        <x:f>Source!F2404/100</x:f>
        <x:v>0</x:v>
      </x:c>
      <x:c r="G2410" s="8" t="n">
        <x:f>Source!G2404/100</x:f>
        <x:v>88.86</x:v>
      </x:c>
      <x:c r="H2410" s="8" t="n">
        <x:f>G2410-D2410</x:f>
        <x:v>15</x:v>
      </x:c>
      <x:c r="I2410" s="1" t="str">
        <x:f>IF(H2410&gt;0,"Overbilled","Shortfall")</x:f>
        <x:v>Overbilled</x:v>
      </x:c>
      <x:c r="J2410" s="7"/>
      <x:c r="K2410" s="7" t="str">
        <x:v>Open</x:v>
      </x:c>
      <x:c r="L2410" s="7"/>
    </x:row>
    <x:row r="2411" ht="21" customHeight="1">
      <x:c r="A2411" s="1" t="str">
        <x:f>Source!A2405</x:f>
        <x:v>C0002297</x:v>
      </x:c>
      <x:c r="B2411" s="1" t="str">
        <x:f>_xlfn.IFNA(VLOOKUP(Source!B2405,Advertisers!$A$5:$B$34,2,FALSE),"Missing advertiser")</x:f>
        <x:v>Synthetic advertiser 18</x:v>
      </x:c>
      <x:c r="C2411" s="1" t="n">
        <x:f>Source!C2405</x:f>
        <x:v>78</x:v>
      </x:c>
      <x:c r="D2411" s="8" t="n">
        <x:f>Source!D2405/100</x:f>
        <x:v>219.58</x:v>
      </x:c>
      <x:c r="E2411" s="8" t="n">
        <x:f>Source!E2405/100</x:f>
        <x:v>234.58</x:v>
      </x:c>
      <x:c r="F2411" s="8" t="n">
        <x:f>Source!F2405/100</x:f>
        <x:v>0</x:v>
      </x:c>
      <x:c r="G2411" s="8" t="n">
        <x:f>Source!G2405/100</x:f>
        <x:v>234.58</x:v>
      </x:c>
      <x:c r="H2411" s="8" t="n">
        <x:f>G2411-D2411</x:f>
        <x:v>15</x:v>
      </x:c>
      <x:c r="I2411" s="1" t="str">
        <x:f>IF(H2411&gt;0,"Overbilled","Shortfall")</x:f>
        <x:v>Overbilled</x:v>
      </x:c>
      <x:c r="J2411" s="7"/>
      <x:c r="K2411" s="7" t="str">
        <x:v>Open</x:v>
      </x:c>
      <x:c r="L2411" s="7"/>
    </x:row>
    <x:row r="2412" ht="21" customHeight="1">
      <x:c r="A2412" s="1" t="str">
        <x:f>Source!A2406</x:f>
        <x:v>C0002418</x:v>
      </x:c>
      <x:c r="B2412" s="1" t="str">
        <x:f>_xlfn.IFNA(VLOOKUP(Source!B2406,Advertisers!$A$5:$B$34,2,FALSE),"Missing advertiser")</x:f>
        <x:v>Synthetic advertiser 18</x:v>
      </x:c>
      <x:c r="C2412" s="1" t="n">
        <x:f>Source!C2406</x:f>
        <x:v>18</x:v>
      </x:c>
      <x:c r="D2412" s="8" t="n">
        <x:f>Source!D2406/100</x:f>
        <x:v>122.73</x:v>
      </x:c>
      <x:c r="E2412" s="8" t="n">
        <x:f>Source!E2406/100</x:f>
        <x:v>137.73</x:v>
      </x:c>
      <x:c r="F2412" s="8" t="n">
        <x:f>Source!F2406/100</x:f>
        <x:v>0</x:v>
      </x:c>
      <x:c r="G2412" s="8" t="n">
        <x:f>Source!G2406/100</x:f>
        <x:v>137.73</x:v>
      </x:c>
      <x:c r="H2412" s="8" t="n">
        <x:f>G2412-D2412</x:f>
        <x:v>14.999999999999986</x:v>
      </x:c>
      <x:c r="I2412" s="1" t="str">
        <x:f>IF(H2412&gt;0,"Overbilled","Shortfall")</x:f>
        <x:v>Overbilled</x:v>
      </x:c>
      <x:c r="J2412" s="7"/>
      <x:c r="K2412" s="7" t="str">
        <x:v>Open</x:v>
      </x:c>
      <x:c r="L2412" s="7"/>
    </x:row>
    <x:row r="2413" ht="21" customHeight="1">
      <x:c r="A2413" s="1" t="str">
        <x:f>Source!A2407</x:f>
        <x:v>C0002305</x:v>
      </x:c>
      <x:c r="B2413" s="1" t="str">
        <x:f>_xlfn.IFNA(VLOOKUP(Source!B2407,Advertisers!$A$5:$B$34,2,FALSE),"Missing advertiser")</x:f>
        <x:v>Synthetic advertiser 13</x:v>
      </x:c>
      <x:c r="C2413" s="1" t="n">
        <x:f>Source!C2407</x:f>
        <x:v>103</x:v>
      </x:c>
      <x:c r="D2413" s="8" t="n">
        <x:f>Source!D2407/100</x:f>
        <x:v>236.26</x:v>
      </x:c>
      <x:c r="E2413" s="8" t="n">
        <x:f>Source!E2407/100</x:f>
        <x:v>251.26</x:v>
      </x:c>
      <x:c r="F2413" s="8" t="n">
        <x:f>Source!F2407/100</x:f>
        <x:v>0</x:v>
      </x:c>
      <x:c r="G2413" s="8" t="n">
        <x:f>Source!G2407/100</x:f>
        <x:v>251.26</x:v>
      </x:c>
      <x:c r="H2413" s="8" t="n">
        <x:f>G2413-D2413</x:f>
        <x:v>15</x:v>
      </x:c>
      <x:c r="I2413" s="1" t="str">
        <x:f>IF(H2413&gt;0,"Overbilled","Shortfall")</x:f>
        <x:v>Overbilled</x:v>
      </x:c>
      <x:c r="J2413" s="7"/>
      <x:c r="K2413" s="7" t="str">
        <x:v>Open</x:v>
      </x:c>
      <x:c r="L2413" s="7"/>
    </x:row>
    <x:row r="2414" ht="21" customHeight="1">
      <x:c r="A2414" s="1" t="str">
        <x:f>Source!A2408</x:f>
        <x:v>C0002328</x:v>
      </x:c>
      <x:c r="B2414" s="1" t="str">
        <x:f>_xlfn.IFNA(VLOOKUP(Source!B2408,Advertisers!$A$5:$B$34,2,FALSE),"Missing advertiser")</x:f>
        <x:v>Synthetic advertiser 19</x:v>
      </x:c>
      <x:c r="C2414" s="1" t="n">
        <x:f>Source!C2408</x:f>
        <x:v>79</x:v>
      </x:c>
      <x:c r="D2414" s="8" t="n">
        <x:f>Source!D2408/100</x:f>
        <x:v>134.98</x:v>
      </x:c>
      <x:c r="E2414" s="8" t="n">
        <x:f>Source!E2408/100</x:f>
        <x:v>149.98</x:v>
      </x:c>
      <x:c r="F2414" s="8" t="n">
        <x:f>Source!F2408/100</x:f>
        <x:v>0</x:v>
      </x:c>
      <x:c r="G2414" s="8" t="n">
        <x:f>Source!G2408/100</x:f>
        <x:v>149.98</x:v>
      </x:c>
      <x:c r="H2414" s="8" t="n">
        <x:f>G2414-D2414</x:f>
        <x:v>15</x:v>
      </x:c>
      <x:c r="I2414" s="1" t="str">
        <x:f>IF(H2414&gt;0,"Overbilled","Shortfall")</x:f>
        <x:v>Overbilled</x:v>
      </x:c>
      <x:c r="J2414" s="7"/>
      <x:c r="K2414" s="7" t="str">
        <x:v>Open</x:v>
      </x:c>
      <x:c r="L2414" s="7"/>
    </x:row>
    <x:row r="2415" ht="21" customHeight="1">
      <x:c r="A2415" s="1" t="str">
        <x:f>Source!A2409</x:f>
        <x:v>C0002415</x:v>
      </x:c>
      <x:c r="B2415" s="1" t="str">
        <x:f>_xlfn.IFNA(VLOOKUP(Source!B2409,Advertisers!$A$5:$B$34,2,FALSE),"Missing advertiser")</x:f>
        <x:v>Synthetic advertiser 26</x:v>
      </x:c>
      <x:c r="C2415" s="1" t="n">
        <x:f>Source!C2409</x:f>
        <x:v>116</x:v>
      </x:c>
      <x:c r="D2415" s="8" t="n">
        <x:f>Source!D2409/100</x:f>
        <x:v>247.73</x:v>
      </x:c>
      <x:c r="E2415" s="8" t="n">
        <x:f>Source!E2409/100</x:f>
        <x:v>262.73</x:v>
      </x:c>
      <x:c r="F2415" s="8" t="n">
        <x:f>Source!F2409/100</x:f>
        <x:v>0</x:v>
      </x:c>
      <x:c r="G2415" s="8" t="n">
        <x:f>Source!G2409/100</x:f>
        <x:v>262.73</x:v>
      </x:c>
      <x:c r="H2415" s="8" t="n">
        <x:f>G2415-D2415</x:f>
        <x:v>15.000000000000028</x:v>
      </x:c>
      <x:c r="I2415" s="1" t="str">
        <x:f>IF(H2415&gt;0,"Overbilled","Shortfall")</x:f>
        <x:v>Overbilled</x:v>
      </x:c>
      <x:c r="J2415" s="7"/>
      <x:c r="K2415" s="7" t="str">
        <x:v>Open</x:v>
      </x:c>
      <x:c r="L2415" s="7"/>
    </x:row>
    <x:row r="2416" ht="21" customHeight="1">
      <x:c r="A2416" s="1" t="str">
        <x:f>Source!A2410</x:f>
        <x:v>C0002384</x:v>
      </x:c>
      <x:c r="B2416" s="1" t="str">
        <x:f>_xlfn.IFNA(VLOOKUP(Source!B2410,Advertisers!$A$5:$B$34,2,FALSE),"Missing advertiser")</x:f>
        <x:v>Synthetic advertiser 2</x:v>
      </x:c>
      <x:c r="C2416" s="1" t="n">
        <x:f>Source!C2410</x:f>
        <x:v>62</x:v>
      </x:c>
      <x:c r="D2416" s="8" t="n">
        <x:f>Source!D2410/100</x:f>
        <x:v>241.69</x:v>
      </x:c>
      <x:c r="E2416" s="8" t="n">
        <x:f>Source!E2410/100</x:f>
        <x:v>256.69</x:v>
      </x:c>
      <x:c r="F2416" s="8" t="n">
        <x:f>Source!F2410/100</x:f>
        <x:v>0</x:v>
      </x:c>
      <x:c r="G2416" s="8" t="n">
        <x:f>Source!G2410/100</x:f>
        <x:v>256.69</x:v>
      </x:c>
      <x:c r="H2416" s="8" t="n">
        <x:f>G2416-D2416</x:f>
        <x:v>15</x:v>
      </x:c>
      <x:c r="I2416" s="1" t="str">
        <x:f>IF(H2416&gt;0,"Overbilled","Shortfall")</x:f>
        <x:v>Overbilled</x:v>
      </x:c>
      <x:c r="J2416" s="7"/>
      <x:c r="K2416" s="7" t="str">
        <x:v>Open</x:v>
      </x:c>
      <x:c r="L2416" s="7"/>
    </x:row>
    <x:row r="2417" ht="21" customHeight="1">
      <x:c r="A2417" s="1" t="str">
        <x:f>Source!A2411</x:f>
        <x:v>C0002389</x:v>
      </x:c>
      <x:c r="B2417" s="1" t="str">
        <x:f>_xlfn.IFNA(VLOOKUP(Source!B2411,Advertisers!$A$5:$B$34,2,FALSE),"Missing advertiser")</x:f>
        <x:v>Synthetic advertiser 29</x:v>
      </x:c>
      <x:c r="C2417" s="1" t="n">
        <x:f>Source!C2411</x:f>
        <x:v>89</x:v>
      </x:c>
      <x:c r="D2417" s="8" t="n">
        <x:f>Source!D2411/100</x:f>
        <x:v>145.97</x:v>
      </x:c>
      <x:c r="E2417" s="8" t="n">
        <x:f>Source!E2411/100</x:f>
        <x:v>160.97</x:v>
      </x:c>
      <x:c r="F2417" s="8" t="n">
        <x:f>Source!F2411/100</x:f>
        <x:v>0</x:v>
      </x:c>
      <x:c r="G2417" s="8" t="n">
        <x:f>Source!G2411/100</x:f>
        <x:v>160.97</x:v>
      </x:c>
      <x:c r="H2417" s="8" t="n">
        <x:f>G2417-D2417</x:f>
        <x:v>15</x:v>
      </x:c>
      <x:c r="I2417" s="1" t="str">
        <x:f>IF(H2417&gt;0,"Overbilled","Shortfall")</x:f>
        <x:v>Overbilled</x:v>
      </x:c>
      <x:c r="J2417" s="7"/>
      <x:c r="K2417" s="7" t="str">
        <x:v>Open</x:v>
      </x:c>
      <x:c r="L2417" s="7"/>
    </x:row>
    <x:row r="2418" ht="21" customHeight="1">
      <x:c r="A2418" s="1" t="str">
        <x:f>Source!A2412</x:f>
        <x:v>C0002444</x:v>
      </x:c>
      <x:c r="B2418" s="1" t="str">
        <x:f>_xlfn.IFNA(VLOOKUP(Source!B2412,Advertisers!$A$5:$B$34,2,FALSE),"Missing advertiser")</x:f>
        <x:v>Synthetic advertiser 2</x:v>
      </x:c>
      <x:c r="C2418" s="1" t="n">
        <x:f>Source!C2412</x:f>
        <x:v>32</x:v>
      </x:c>
      <x:c r="D2418" s="8" t="n">
        <x:f>Source!D2412/100</x:f>
        <x:v>84.93</x:v>
      </x:c>
      <x:c r="E2418" s="8" t="n">
        <x:f>Source!E2412/100</x:f>
        <x:v>99.93</x:v>
      </x:c>
      <x:c r="F2418" s="8" t="n">
        <x:f>Source!F2412/100</x:f>
        <x:v>0</x:v>
      </x:c>
      <x:c r="G2418" s="8" t="n">
        <x:f>Source!G2412/100</x:f>
        <x:v>99.93</x:v>
      </x:c>
      <x:c r="H2418" s="8" t="n">
        <x:f>G2418-D2418</x:f>
        <x:v>15</x:v>
      </x:c>
      <x:c r="I2418" s="1" t="str">
        <x:f>IF(H2418&gt;0,"Overbilled","Shortfall")</x:f>
        <x:v>Overbilled</x:v>
      </x:c>
      <x:c r="J2418" s="7"/>
      <x:c r="K2418" s="7" t="str">
        <x:v>Open</x:v>
      </x:c>
      <x:c r="L2418" s="7"/>
    </x:row>
    <x:row r="2419" ht="21" customHeight="1">
      <x:c r="A2419" s="1" t="str">
        <x:f>Source!A2413</x:f>
        <x:v>C0010400</x:v>
      </x:c>
      <x:c r="B2419" s="1" t="str">
        <x:f>_xlfn.IFNA(VLOOKUP(Source!B2413,Advertisers!$A$5:$B$34,2,FALSE),"Missing advertiser")</x:f>
        <x:v>Synthetic advertiser 22</x:v>
      </x:c>
      <x:c r="C2419" s="1" t="n">
        <x:f>Source!C2413</x:f>
        <x:v>52</x:v>
      </x:c>
      <x:c r="D2419" s="8" t="n">
        <x:f>Source!D2413/100</x:f>
        <x:v>74.98</x:v>
      </x:c>
      <x:c r="E2419" s="8" t="n">
        <x:f>Source!E2413/100</x:f>
        <x:v>89.98</x:v>
      </x:c>
      <x:c r="F2419" s="8" t="n">
        <x:f>Source!F2413/100</x:f>
        <x:v>0</x:v>
      </x:c>
      <x:c r="G2419" s="8" t="n">
        <x:f>Source!G2413/100</x:f>
        <x:v>89.98</x:v>
      </x:c>
      <x:c r="H2419" s="8" t="n">
        <x:f>G2419-D2419</x:f>
        <x:v>15</x:v>
      </x:c>
      <x:c r="I2419" s="1" t="str">
        <x:f>IF(H2419&gt;0,"Overbilled","Shortfall")</x:f>
        <x:v>Overbilled</x:v>
      </x:c>
      <x:c r="J2419" s="7"/>
      <x:c r="K2419" s="7" t="str">
        <x:v>Open</x:v>
      </x:c>
      <x:c r="L2419" s="7"/>
    </x:row>
    <x:row r="2420" ht="21" customHeight="1">
      <x:c r="A2420" s="1" t="str">
        <x:f>Source!A2414</x:f>
        <x:v>C0010405</x:v>
      </x:c>
      <x:c r="B2420" s="1" t="str">
        <x:f>_xlfn.IFNA(VLOOKUP(Source!B2414,Advertisers!$A$5:$B$34,2,FALSE),"Missing advertiser")</x:f>
        <x:v>Synthetic advertiser 1</x:v>
      </x:c>
      <x:c r="C2420" s="1" t="n">
        <x:f>Source!C2414</x:f>
        <x:v>91</x:v>
      </x:c>
      <x:c r="D2420" s="8" t="n">
        <x:f>Source!D2414/100</x:f>
        <x:v>80.71</x:v>
      </x:c>
      <x:c r="E2420" s="8" t="n">
        <x:f>Source!E2414/100</x:f>
        <x:v>95.71</x:v>
      </x:c>
      <x:c r="F2420" s="8" t="n">
        <x:f>Source!F2414/100</x:f>
        <x:v>0</x:v>
      </x:c>
      <x:c r="G2420" s="8" t="n">
        <x:f>Source!G2414/100</x:f>
        <x:v>95.71</x:v>
      </x:c>
      <x:c r="H2420" s="8" t="n">
        <x:f>G2420-D2420</x:f>
        <x:v>15</x:v>
      </x:c>
      <x:c r="I2420" s="1" t="str">
        <x:f>IF(H2420&gt;0,"Overbilled","Shortfall")</x:f>
        <x:v>Overbilled</x:v>
      </x:c>
      <x:c r="J2420" s="7"/>
      <x:c r="K2420" s="7" t="str">
        <x:v>Open</x:v>
      </x:c>
      <x:c r="L2420" s="7"/>
    </x:row>
    <x:row r="2421" ht="21" customHeight="1">
      <x:c r="A2421" s="1" t="str">
        <x:f>Source!A2415</x:f>
        <x:v>C0010409</x:v>
      </x:c>
      <x:c r="B2421" s="1" t="str">
        <x:f>_xlfn.IFNA(VLOOKUP(Source!B2415,Advertisers!$A$5:$B$34,2,FALSE),"Missing advertiser")</x:f>
        <x:v>Synthetic advertiser 4</x:v>
      </x:c>
      <x:c r="C2421" s="1" t="n">
        <x:f>Source!C2415</x:f>
        <x:v>94</x:v>
      </x:c>
      <x:c r="D2421" s="8" t="n">
        <x:f>Source!D2415/100</x:f>
        <x:v>195.04</x:v>
      </x:c>
      <x:c r="E2421" s="8" t="n">
        <x:f>Source!E2415/100</x:f>
        <x:v>210.04</x:v>
      </x:c>
      <x:c r="F2421" s="8" t="n">
        <x:f>Source!F2415/100</x:f>
        <x:v>0</x:v>
      </x:c>
      <x:c r="G2421" s="8" t="n">
        <x:f>Source!G2415/100</x:f>
        <x:v>210.04</x:v>
      </x:c>
      <x:c r="H2421" s="8" t="n">
        <x:f>G2421-D2421</x:f>
        <x:v>15</x:v>
      </x:c>
      <x:c r="I2421" s="1" t="str">
        <x:f>IF(H2421&gt;0,"Overbilled","Shortfall")</x:f>
        <x:v>Overbilled</x:v>
      </x:c>
      <x:c r="J2421" s="7"/>
      <x:c r="K2421" s="7" t="str">
        <x:v>Open</x:v>
      </x:c>
      <x:c r="L2421" s="7"/>
    </x:row>
    <x:row r="2422" ht="21" customHeight="1">
      <x:c r="A2422" s="1" t="str">
        <x:f>Source!A2416</x:f>
        <x:v>C0010411</x:v>
      </x:c>
      <x:c r="B2422" s="1" t="str">
        <x:f>_xlfn.IFNA(VLOOKUP(Source!B2416,Advertisers!$A$5:$B$34,2,FALSE),"Missing advertiser")</x:f>
        <x:v>Synthetic advertiser 26</x:v>
      </x:c>
      <x:c r="C2422" s="1" t="n">
        <x:f>Source!C2416</x:f>
        <x:v>56</x:v>
      </x:c>
      <x:c r="D2422" s="8" t="n">
        <x:f>Source!D2416/100</x:f>
        <x:v>110.94</x:v>
      </x:c>
      <x:c r="E2422" s="8" t="n">
        <x:f>Source!E2416/100</x:f>
        <x:v>125.94</x:v>
      </x:c>
      <x:c r="F2422" s="8" t="n">
        <x:f>Source!F2416/100</x:f>
        <x:v>0</x:v>
      </x:c>
      <x:c r="G2422" s="8" t="n">
        <x:f>Source!G2416/100</x:f>
        <x:v>125.94</x:v>
      </x:c>
      <x:c r="H2422" s="8" t="n">
        <x:f>G2422-D2422</x:f>
        <x:v>15</x:v>
      </x:c>
      <x:c r="I2422" s="1" t="str">
        <x:f>IF(H2422&gt;0,"Overbilled","Shortfall")</x:f>
        <x:v>Overbilled</x:v>
      </x:c>
      <x:c r="J2422" s="7"/>
      <x:c r="K2422" s="7" t="str">
        <x:v>Open</x:v>
      </x:c>
      <x:c r="L2422" s="7"/>
    </x:row>
    <x:row r="2423" ht="21" customHeight="1">
      <x:c r="A2423" s="1" t="str">
        <x:f>Source!A2417</x:f>
        <x:v>C0010420</x:v>
      </x:c>
      <x:c r="B2423" s="1" t="str">
        <x:f>_xlfn.IFNA(VLOOKUP(Source!B2417,Advertisers!$A$5:$B$34,2,FALSE),"Missing advertiser")</x:f>
        <x:v>Synthetic advertiser 1</x:v>
      </x:c>
      <x:c r="C2423" s="1" t="n">
        <x:f>Source!C2417</x:f>
        <x:v>61</x:v>
      </x:c>
      <x:c r="D2423" s="8" t="n">
        <x:f>Source!D2417/100</x:f>
        <x:v>65.52</x:v>
      </x:c>
      <x:c r="E2423" s="8" t="n">
        <x:f>Source!E2417/100</x:f>
        <x:v>80.52</x:v>
      </x:c>
      <x:c r="F2423" s="8" t="n">
        <x:f>Source!F2417/100</x:f>
        <x:v>0</x:v>
      </x:c>
      <x:c r="G2423" s="8" t="n">
        <x:f>Source!G2417/100</x:f>
        <x:v>80.52</x:v>
      </x:c>
      <x:c r="H2423" s="8" t="n">
        <x:f>G2423-D2423</x:f>
        <x:v>15</x:v>
      </x:c>
      <x:c r="I2423" s="1" t="str">
        <x:f>IF(H2423&gt;0,"Overbilled","Shortfall")</x:f>
        <x:v>Overbilled</x:v>
      </x:c>
      <x:c r="J2423" s="7"/>
      <x:c r="K2423" s="7" t="str">
        <x:v>Open</x:v>
      </x:c>
      <x:c r="L2423" s="7"/>
    </x:row>
    <x:row r="2424" ht="21" customHeight="1">
      <x:c r="A2424" s="1" t="str">
        <x:f>Source!A2418</x:f>
        <x:v>C0010461</x:v>
      </x:c>
      <x:c r="B2424" s="1" t="str">
        <x:f>_xlfn.IFNA(VLOOKUP(Source!B2418,Advertisers!$A$5:$B$34,2,FALSE),"Missing advertiser")</x:f>
        <x:v>Synthetic advertiser 11</x:v>
      </x:c>
      <x:c r="C2424" s="1" t="n">
        <x:f>Source!C2418</x:f>
        <x:v>41</x:v>
      </x:c>
      <x:c r="D2424" s="8" t="n">
        <x:f>Source!D2418/100</x:f>
        <x:v>262.68</x:v>
      </x:c>
      <x:c r="E2424" s="8" t="n">
        <x:f>Source!E2418/100</x:f>
        <x:v>277.68</x:v>
      </x:c>
      <x:c r="F2424" s="8" t="n">
        <x:f>Source!F2418/100</x:f>
        <x:v>0</x:v>
      </x:c>
      <x:c r="G2424" s="8" t="n">
        <x:f>Source!G2418/100</x:f>
        <x:v>277.68</x:v>
      </x:c>
      <x:c r="H2424" s="8" t="n">
        <x:f>G2424-D2424</x:f>
        <x:v>15</x:v>
      </x:c>
      <x:c r="I2424" s="1" t="str">
        <x:f>IF(H2424&gt;0,"Overbilled","Shortfall")</x:f>
        <x:v>Overbilled</x:v>
      </x:c>
      <x:c r="J2424" s="7"/>
      <x:c r="K2424" s="7" t="str">
        <x:v>Open</x:v>
      </x:c>
      <x:c r="L2424" s="7"/>
    </x:row>
    <x:row r="2425" ht="21" customHeight="1">
      <x:c r="A2425" s="1" t="str">
        <x:f>Source!A2419</x:f>
        <x:v>C0010474</x:v>
      </x:c>
      <x:c r="B2425" s="1" t="str">
        <x:f>_xlfn.IFNA(VLOOKUP(Source!B2419,Advertisers!$A$5:$B$34,2,FALSE),"Missing advertiser")</x:f>
        <x:v>Synthetic advertiser 16</x:v>
      </x:c>
      <x:c r="C2425" s="1" t="n">
        <x:f>Source!C2419</x:f>
        <x:v>76</x:v>
      </x:c>
      <x:c r="D2425" s="8" t="n">
        <x:f>Source!D2419/100</x:f>
        <x:v>395.78</x:v>
      </x:c>
      <x:c r="E2425" s="8" t="n">
        <x:f>Source!E2419/100</x:f>
        <x:v>410.78</x:v>
      </x:c>
      <x:c r="F2425" s="8" t="n">
        <x:f>Source!F2419/100</x:f>
        <x:v>0</x:v>
      </x:c>
      <x:c r="G2425" s="8" t="n">
        <x:f>Source!G2419/100</x:f>
        <x:v>410.78</x:v>
      </x:c>
      <x:c r="H2425" s="8" t="n">
        <x:f>G2425-D2425</x:f>
        <x:v>15</x:v>
      </x:c>
      <x:c r="I2425" s="1" t="str">
        <x:f>IF(H2425&gt;0,"Overbilled","Shortfall")</x:f>
        <x:v>Overbilled</x:v>
      </x:c>
      <x:c r="J2425" s="7"/>
      <x:c r="K2425" s="7" t="str">
        <x:v>Open</x:v>
      </x:c>
      <x:c r="L2425" s="7"/>
    </x:row>
    <x:row r="2426" ht="21" customHeight="1">
      <x:c r="A2426" s="1" t="str">
        <x:f>Source!A2420</x:f>
        <x:v>C0010481</x:v>
      </x:c>
      <x:c r="B2426" s="1" t="str">
        <x:f>_xlfn.IFNA(VLOOKUP(Source!B2420,Advertisers!$A$5:$B$34,2,FALSE),"Missing advertiser")</x:f>
        <x:v>Synthetic advertiser 9</x:v>
      </x:c>
      <x:c r="C2426" s="1" t="n">
        <x:f>Source!C2420</x:f>
        <x:v>9</x:v>
      </x:c>
      <x:c r="D2426" s="8" t="n">
        <x:f>Source!D2420/100</x:f>
        <x:v>105.31</x:v>
      </x:c>
      <x:c r="E2426" s="8" t="n">
        <x:f>Source!E2420/100</x:f>
        <x:v>120.31</x:v>
      </x:c>
      <x:c r="F2426" s="8" t="n">
        <x:f>Source!F2420/100</x:f>
        <x:v>0</x:v>
      </x:c>
      <x:c r="G2426" s="8" t="n">
        <x:f>Source!G2420/100</x:f>
        <x:v>120.31</x:v>
      </x:c>
      <x:c r="H2426" s="8" t="n">
        <x:f>G2426-D2426</x:f>
        <x:v>15</x:v>
      </x:c>
      <x:c r="I2426" s="1" t="str">
        <x:f>IF(H2426&gt;0,"Overbilled","Shortfall")</x:f>
        <x:v>Overbilled</x:v>
      </x:c>
      <x:c r="J2426" s="7"/>
      <x:c r="K2426" s="7" t="str">
        <x:v>Open</x:v>
      </x:c>
      <x:c r="L2426" s="7"/>
    </x:row>
    <x:row r="2427" ht="21" customHeight="1">
      <x:c r="A2427" s="1" t="str">
        <x:f>Source!A2421</x:f>
        <x:v>C0010353</x:v>
      </x:c>
      <x:c r="B2427" s="1" t="str">
        <x:f>_xlfn.IFNA(VLOOKUP(Source!B2421,Advertisers!$A$5:$B$34,2,FALSE),"Missing advertiser")</x:f>
        <x:v>Synthetic advertiser 29</x:v>
      </x:c>
      <x:c r="C2427" s="1" t="n">
        <x:f>Source!C2421</x:f>
        <x:v>119</x:v>
      </x:c>
      <x:c r="D2427" s="8" t="n">
        <x:f>Source!D2421/100</x:f>
        <x:v>181.65</x:v>
      </x:c>
      <x:c r="E2427" s="8" t="n">
        <x:f>Source!E2421/100</x:f>
        <x:v>196.65</x:v>
      </x:c>
      <x:c r="F2427" s="8" t="n">
        <x:f>Source!F2421/100</x:f>
        <x:v>0</x:v>
      </x:c>
      <x:c r="G2427" s="8" t="n">
        <x:f>Source!G2421/100</x:f>
        <x:v>196.65</x:v>
      </x:c>
      <x:c r="H2427" s="8" t="n">
        <x:f>G2427-D2427</x:f>
        <x:v>15</x:v>
      </x:c>
      <x:c r="I2427" s="1" t="str">
        <x:f>IF(H2427&gt;0,"Overbilled","Shortfall")</x:f>
        <x:v>Overbilled</x:v>
      </x:c>
      <x:c r="J2427" s="7"/>
      <x:c r="K2427" s="7" t="str">
        <x:v>Open</x:v>
      </x:c>
      <x:c r="L2427" s="7"/>
    </x:row>
    <x:row r="2428" ht="21" customHeight="1">
      <x:c r="A2428" s="1" t="str">
        <x:f>Source!A2422</x:f>
        <x:v>C0002459</x:v>
      </x:c>
      <x:c r="B2428" s="1" t="str">
        <x:f>_xlfn.IFNA(VLOOKUP(Source!B2422,Advertisers!$A$5:$B$34,2,FALSE),"Missing advertiser")</x:f>
        <x:v>Synthetic advertiser 16</x:v>
      </x:c>
      <x:c r="C2428" s="1" t="n">
        <x:f>Source!C2422</x:f>
        <x:v>106</x:v>
      </x:c>
      <x:c r="D2428" s="8" t="n">
        <x:f>Source!D2422/100</x:f>
        <x:v>143.68</x:v>
      </x:c>
      <x:c r="E2428" s="8" t="n">
        <x:f>Source!E2422/100</x:f>
        <x:v>158.68</x:v>
      </x:c>
      <x:c r="F2428" s="8" t="n">
        <x:f>Source!F2422/100</x:f>
        <x:v>0</x:v>
      </x:c>
      <x:c r="G2428" s="8" t="n">
        <x:f>Source!G2422/100</x:f>
        <x:v>158.68</x:v>
      </x:c>
      <x:c r="H2428" s="8" t="n">
        <x:f>G2428-D2428</x:f>
        <x:v>15</x:v>
      </x:c>
      <x:c r="I2428" s="1" t="str">
        <x:f>IF(H2428&gt;0,"Overbilled","Shortfall")</x:f>
        <x:v>Overbilled</x:v>
      </x:c>
      <x:c r="J2428" s="7"/>
      <x:c r="K2428" s="7" t="str">
        <x:v>Open</x:v>
      </x:c>
      <x:c r="L2428" s="7"/>
    </x:row>
    <x:row r="2429" ht="21" customHeight="1">
      <x:c r="A2429" s="1" t="str">
        <x:f>Source!A2423</x:f>
        <x:v>C0015596</x:v>
      </x:c>
      <x:c r="B2429" s="1" t="str">
        <x:f>_xlfn.IFNA(VLOOKUP(Source!B2423,Advertisers!$A$5:$B$34,2,FALSE),"Missing advertiser")</x:f>
        <x:v>Synthetic advertiser 18</x:v>
      </x:c>
      <x:c r="C2429" s="1" t="n">
        <x:f>Source!C2423</x:f>
        <x:v>48</x:v>
      </x:c>
      <x:c r="D2429" s="8" t="n">
        <x:f>Source!D2423/100</x:f>
        <x:v>412.52</x:v>
      </x:c>
      <x:c r="E2429" s="8" t="n">
        <x:f>Source!E2423/100</x:f>
        <x:v>427.52</x:v>
      </x:c>
      <x:c r="F2429" s="8" t="n">
        <x:f>Source!F2423/100</x:f>
        <x:v>0</x:v>
      </x:c>
      <x:c r="G2429" s="8" t="n">
        <x:f>Source!G2423/100</x:f>
        <x:v>427.52</x:v>
      </x:c>
      <x:c r="H2429" s="8" t="n">
        <x:f>G2429-D2429</x:f>
        <x:v>15</x:v>
      </x:c>
      <x:c r="I2429" s="1" t="str">
        <x:f>IF(H2429&gt;0,"Overbilled","Shortfall")</x:f>
        <x:v>Overbilled</x:v>
      </x:c>
      <x:c r="J2429" s="7"/>
      <x:c r="K2429" s="7" t="str">
        <x:v>Open</x:v>
      </x:c>
      <x:c r="L2429" s="7"/>
    </x:row>
    <x:row r="2430" ht="21" customHeight="1">
      <x:c r="A2430" s="1" t="str">
        <x:f>Source!A2424</x:f>
        <x:v>C0002461</x:v>
      </x:c>
      <x:c r="B2430" s="1" t="str">
        <x:f>_xlfn.IFNA(VLOOKUP(Source!B2424,Advertisers!$A$5:$B$34,2,FALSE),"Missing advertiser")</x:f>
        <x:v>Synthetic advertiser 28</x:v>
      </x:c>
      <x:c r="C2430" s="1" t="n">
        <x:f>Source!C2424</x:f>
        <x:v>88</x:v>
      </x:c>
      <x:c r="D2430" s="8" t="n">
        <x:f>Source!D2424/100</x:f>
        <x:v>222.56</x:v>
      </x:c>
      <x:c r="E2430" s="8" t="n">
        <x:f>Source!E2424/100</x:f>
        <x:v>237.56</x:v>
      </x:c>
      <x:c r="F2430" s="8" t="n">
        <x:f>Source!F2424/100</x:f>
        <x:v>0</x:v>
      </x:c>
      <x:c r="G2430" s="8" t="n">
        <x:f>Source!G2424/100</x:f>
        <x:v>237.56</x:v>
      </x:c>
      <x:c r="H2430" s="8" t="n">
        <x:f>G2430-D2430</x:f>
        <x:v>15</x:v>
      </x:c>
      <x:c r="I2430" s="1" t="str">
        <x:f>IF(H2430&gt;0,"Overbilled","Shortfall")</x:f>
        <x:v>Overbilled</x:v>
      </x:c>
      <x:c r="J2430" s="7"/>
      <x:c r="K2430" s="7" t="str">
        <x:v>Open</x:v>
      </x:c>
      <x:c r="L2430" s="7"/>
    </x:row>
    <x:row r="2431" ht="21" customHeight="1">
      <x:c r="A2431" s="1" t="str">
        <x:f>Source!A2425</x:f>
        <x:v>C0002489</x:v>
      </x:c>
      <x:c r="B2431" s="1" t="str">
        <x:f>_xlfn.IFNA(VLOOKUP(Source!B2425,Advertisers!$A$5:$B$34,2,FALSE),"Missing advertiser")</x:f>
        <x:v>Synthetic advertiser 1</x:v>
      </x:c>
      <x:c r="C2431" s="1" t="n">
        <x:f>Source!C2425</x:f>
        <x:v>61</x:v>
      </x:c>
      <x:c r="D2431" s="8" t="n">
        <x:f>Source!D2425/100</x:f>
        <x:v>230.56</x:v>
      </x:c>
      <x:c r="E2431" s="8" t="n">
        <x:f>Source!E2425/100</x:f>
        <x:v>245.56</x:v>
      </x:c>
      <x:c r="F2431" s="8" t="n">
        <x:f>Source!F2425/100</x:f>
        <x:v>0</x:v>
      </x:c>
      <x:c r="G2431" s="8" t="n">
        <x:f>Source!G2425/100</x:f>
        <x:v>245.56</x:v>
      </x:c>
      <x:c r="H2431" s="8" t="n">
        <x:f>G2431-D2431</x:f>
        <x:v>15</x:v>
      </x:c>
      <x:c r="I2431" s="1" t="str">
        <x:f>IF(H2431&gt;0,"Overbilled","Shortfall")</x:f>
        <x:v>Overbilled</x:v>
      </x:c>
      <x:c r="J2431" s="7"/>
      <x:c r="K2431" s="7" t="str">
        <x:v>Open</x:v>
      </x:c>
      <x:c r="L2431" s="7"/>
    </x:row>
    <x:row r="2432" ht="21" customHeight="1">
      <x:c r="A2432" s="1" t="str">
        <x:f>Source!A2426</x:f>
        <x:v>C0008235</x:v>
      </x:c>
      <x:c r="B2432" s="1" t="str">
        <x:f>_xlfn.IFNA(VLOOKUP(Source!B2426,Advertisers!$A$5:$B$34,2,FALSE),"Missing advertiser")</x:f>
        <x:v>Synthetic advertiser 3</x:v>
      </x:c>
      <x:c r="C2432" s="1" t="n">
        <x:f>Source!C2426</x:f>
        <x:v>63</x:v>
      </x:c>
      <x:c r="D2432" s="8" t="n">
        <x:f>Source!D2426/100</x:f>
        <x:v>127.57</x:v>
      </x:c>
      <x:c r="E2432" s="8" t="n">
        <x:f>Source!E2426/100</x:f>
        <x:v>142.57</x:v>
      </x:c>
      <x:c r="F2432" s="8" t="n">
        <x:f>Source!F2426/100</x:f>
        <x:v>0</x:v>
      </x:c>
      <x:c r="G2432" s="8" t="n">
        <x:f>Source!G2426/100</x:f>
        <x:v>142.57</x:v>
      </x:c>
      <x:c r="H2432" s="8" t="n">
        <x:f>G2432-D2432</x:f>
        <x:v>15</x:v>
      </x:c>
      <x:c r="I2432" s="1" t="str">
        <x:f>IF(H2432&gt;0,"Overbilled","Shortfall")</x:f>
        <x:v>Overbilled</x:v>
      </x:c>
      <x:c r="J2432" s="7"/>
      <x:c r="K2432" s="7" t="str">
        <x:v>Open</x:v>
      </x:c>
      <x:c r="L2432" s="7"/>
    </x:row>
    <x:row r="2433" ht="21" customHeight="1">
      <x:c r="A2433" s="1" t="str">
        <x:f>Source!A2427</x:f>
        <x:v>C0002505</x:v>
      </x:c>
      <x:c r="B2433" s="1" t="str">
        <x:f>_xlfn.IFNA(VLOOKUP(Source!B2427,Advertisers!$A$5:$B$34,2,FALSE),"Missing advertiser")</x:f>
        <x:v>Synthetic advertiser 7</x:v>
      </x:c>
      <x:c r="C2433" s="1" t="n">
        <x:f>Source!C2427</x:f>
        <x:v>7</x:v>
      </x:c>
      <x:c r="D2433" s="8" t="n">
        <x:f>Source!D2427/100</x:f>
        <x:v>99.09</x:v>
      </x:c>
      <x:c r="E2433" s="8" t="n">
        <x:f>Source!E2427/100</x:f>
        <x:v>114.09</x:v>
      </x:c>
      <x:c r="F2433" s="8" t="n">
        <x:f>Source!F2427/100</x:f>
        <x:v>0</x:v>
      </x:c>
      <x:c r="G2433" s="8" t="n">
        <x:f>Source!G2427/100</x:f>
        <x:v>114.09</x:v>
      </x:c>
      <x:c r="H2433" s="8" t="n">
        <x:f>G2433-D2433</x:f>
        <x:v>15</x:v>
      </x:c>
      <x:c r="I2433" s="1" t="str">
        <x:f>IF(H2433&gt;0,"Overbilled","Shortfall")</x:f>
        <x:v>Overbilled</x:v>
      </x:c>
      <x:c r="J2433" s="7"/>
      <x:c r="K2433" s="7" t="str">
        <x:v>Open</x:v>
      </x:c>
      <x:c r="L2433" s="7"/>
    </x:row>
    <x:row r="2434" ht="21" customHeight="1">
      <x:c r="A2434" s="1" t="str">
        <x:f>Source!A2428</x:f>
        <x:v>C0002526</x:v>
      </x:c>
      <x:c r="B2434" s="1" t="str">
        <x:f>_xlfn.IFNA(VLOOKUP(Source!B2428,Advertisers!$A$5:$B$34,2,FALSE),"Missing advertiser")</x:f>
        <x:v>Synthetic advertiser 7</x:v>
      </x:c>
      <x:c r="C2434" s="1" t="n">
        <x:f>Source!C2428</x:f>
        <x:v>97</x:v>
      </x:c>
      <x:c r="D2434" s="8" t="n">
        <x:f>Source!D2428/100</x:f>
        <x:v>245.35</x:v>
      </x:c>
      <x:c r="E2434" s="8" t="n">
        <x:f>Source!E2428/100</x:f>
        <x:v>260.35</x:v>
      </x:c>
      <x:c r="F2434" s="8" t="n">
        <x:f>Source!F2428/100</x:f>
        <x:v>0</x:v>
      </x:c>
      <x:c r="G2434" s="8" t="n">
        <x:f>Source!G2428/100</x:f>
        <x:v>260.35</x:v>
      </x:c>
      <x:c r="H2434" s="8" t="n">
        <x:f>G2434-D2434</x:f>
        <x:v>15.000000000000028</x:v>
      </x:c>
      <x:c r="I2434" s="1" t="str">
        <x:f>IF(H2434&gt;0,"Overbilled","Shortfall")</x:f>
        <x:v>Overbilled</x:v>
      </x:c>
      <x:c r="J2434" s="7"/>
      <x:c r="K2434" s="7" t="str">
        <x:v>Open</x:v>
      </x:c>
      <x:c r="L2434" s="7"/>
    </x:row>
    <x:row r="2435" ht="21" customHeight="1">
      <x:c r="A2435" s="1" t="str">
        <x:f>Source!A2429</x:f>
        <x:v>C0008212</x:v>
      </x:c>
      <x:c r="B2435" s="1" t="str">
        <x:f>_xlfn.IFNA(VLOOKUP(Source!B2429,Advertisers!$A$5:$B$34,2,FALSE),"Missing advertiser")</x:f>
        <x:v>Synthetic advertiser 7</x:v>
      </x:c>
      <x:c r="C2435" s="1" t="n">
        <x:f>Source!C2429</x:f>
        <x:v>97</x:v>
      </x:c>
      <x:c r="D2435" s="8" t="n">
        <x:f>Source!D2429/100</x:f>
        <x:v>86.47</x:v>
      </x:c>
      <x:c r="E2435" s="8" t="n">
        <x:f>Source!E2429/100</x:f>
        <x:v>101.47</x:v>
      </x:c>
      <x:c r="F2435" s="8" t="n">
        <x:f>Source!F2429/100</x:f>
        <x:v>0</x:v>
      </x:c>
      <x:c r="G2435" s="8" t="n">
        <x:f>Source!G2429/100</x:f>
        <x:v>101.47</x:v>
      </x:c>
      <x:c r="H2435" s="8" t="n">
        <x:f>G2435-D2435</x:f>
        <x:v>15</x:v>
      </x:c>
      <x:c r="I2435" s="1" t="str">
        <x:f>IF(H2435&gt;0,"Overbilled","Shortfall")</x:f>
        <x:v>Overbilled</x:v>
      </x:c>
      <x:c r="J2435" s="7"/>
      <x:c r="K2435" s="7" t="str">
        <x:v>Open</x:v>
      </x:c>
      <x:c r="L2435" s="7"/>
    </x:row>
    <x:row r="2436" ht="21" customHeight="1">
      <x:c r="A2436" s="1" t="str">
        <x:f>Source!A2430</x:f>
        <x:v>C0008184</x:v>
      </x:c>
      <x:c r="B2436" s="1" t="str">
        <x:f>_xlfn.IFNA(VLOOKUP(Source!B2430,Advertisers!$A$5:$B$34,2,FALSE),"Missing advertiser")</x:f>
        <x:v>Synthetic advertiser 16</x:v>
      </x:c>
      <x:c r="C2436" s="1" t="n">
        <x:f>Source!C2430</x:f>
        <x:v>76</x:v>
      </x:c>
      <x:c r="D2436" s="8" t="n">
        <x:f>Source!D2430/100</x:f>
        <x:v>231.57</x:v>
      </x:c>
      <x:c r="E2436" s="8" t="n">
        <x:f>Source!E2430/100</x:f>
        <x:v>246.57</x:v>
      </x:c>
      <x:c r="F2436" s="8" t="n">
        <x:f>Source!F2430/100</x:f>
        <x:v>0</x:v>
      </x:c>
      <x:c r="G2436" s="8" t="n">
        <x:f>Source!G2430/100</x:f>
        <x:v>246.57</x:v>
      </x:c>
      <x:c r="H2436" s="8" t="n">
        <x:f>G2436-D2436</x:f>
        <x:v>15</x:v>
      </x:c>
      <x:c r="I2436" s="1" t="str">
        <x:f>IF(H2436&gt;0,"Overbilled","Shortfall")</x:f>
        <x:v>Overbilled</x:v>
      </x:c>
      <x:c r="J2436" s="7"/>
      <x:c r="K2436" s="7" t="str">
        <x:v>Open</x:v>
      </x:c>
      <x:c r="L2436" s="7"/>
    </x:row>
    <x:row r="2437" ht="21" customHeight="1">
      <x:c r="A2437" s="1" t="str">
        <x:f>Source!A2431</x:f>
        <x:v>C0002571</x:v>
      </x:c>
      <x:c r="B2437" s="1" t="str">
        <x:f>_xlfn.IFNA(VLOOKUP(Source!B2431,Advertisers!$A$5:$B$34,2,FALSE),"Missing advertiser")</x:f>
        <x:v>Synthetic advertiser 21</x:v>
      </x:c>
      <x:c r="C2437" s="1" t="n">
        <x:f>Source!C2431</x:f>
        <x:v>51</x:v>
      </x:c>
      <x:c r="D2437" s="8" t="n">
        <x:f>Source!D2431/100</x:f>
        <x:v>197.94</x:v>
      </x:c>
      <x:c r="E2437" s="8" t="n">
        <x:f>Source!E2431/100</x:f>
        <x:v>212.94</x:v>
      </x:c>
      <x:c r="F2437" s="8" t="n">
        <x:f>Source!F2431/100</x:f>
        <x:v>0</x:v>
      </x:c>
      <x:c r="G2437" s="8" t="n">
        <x:f>Source!G2431/100</x:f>
        <x:v>212.94</x:v>
      </x:c>
      <x:c r="H2437" s="8" t="n">
        <x:f>G2437-D2437</x:f>
        <x:v>15</x:v>
      </x:c>
      <x:c r="I2437" s="1" t="str">
        <x:f>IF(H2437&gt;0,"Overbilled","Shortfall")</x:f>
        <x:v>Overbilled</x:v>
      </x:c>
      <x:c r="J2437" s="7"/>
      <x:c r="K2437" s="7" t="str">
        <x:v>Open</x:v>
      </x:c>
      <x:c r="L2437" s="7"/>
    </x:row>
    <x:row r="2438" ht="21" customHeight="1">
      <x:c r="A2438" s="1" t="str">
        <x:f>Source!A2432</x:f>
        <x:v>C0015587</x:v>
      </x:c>
      <x:c r="B2438" s="1" t="str">
        <x:f>_xlfn.IFNA(VLOOKUP(Source!B2432,Advertisers!$A$5:$B$34,2,FALSE),"Missing advertiser")</x:f>
        <x:v>Synthetic advertiser 21</x:v>
      </x:c>
      <x:c r="C2438" s="1" t="n">
        <x:f>Source!C2432</x:f>
        <x:v>111</x:v>
      </x:c>
      <x:c r="D2438" s="8" t="n">
        <x:f>Source!D2432/100</x:f>
        <x:v>180.14</x:v>
      </x:c>
      <x:c r="E2438" s="8" t="n">
        <x:f>Source!E2432/100</x:f>
        <x:v>195.14</x:v>
      </x:c>
      <x:c r="F2438" s="8" t="n">
        <x:f>Source!F2432/100</x:f>
        <x:v>0</x:v>
      </x:c>
      <x:c r="G2438" s="8" t="n">
        <x:f>Source!G2432/100</x:f>
        <x:v>195.14</x:v>
      </x:c>
      <x:c r="H2438" s="8" t="n">
        <x:f>G2438-D2438</x:f>
        <x:v>15</x:v>
      </x:c>
      <x:c r="I2438" s="1" t="str">
        <x:f>IF(H2438&gt;0,"Overbilled","Shortfall")</x:f>
        <x:v>Overbilled</x:v>
      </x:c>
      <x:c r="J2438" s="7"/>
      <x:c r="K2438" s="7" t="str">
        <x:v>Open</x:v>
      </x:c>
      <x:c r="L2438" s="7"/>
    </x:row>
    <x:row r="2439" ht="21" customHeight="1">
      <x:c r="A2439" s="1" t="str">
        <x:f>Source!A2433</x:f>
        <x:v>C0015592</x:v>
      </x:c>
      <x:c r="B2439" s="1" t="str">
        <x:f>_xlfn.IFNA(VLOOKUP(Source!B2433,Advertisers!$A$5:$B$34,2,FALSE),"Missing advertiser")</x:f>
        <x:v>Synthetic advertiser 28</x:v>
      </x:c>
      <x:c r="C2439" s="1" t="n">
        <x:f>Source!C2433</x:f>
        <x:v>58</x:v>
      </x:c>
      <x:c r="D2439" s="8" t="n">
        <x:f>Source!D2433/100</x:f>
        <x:v>167.94</x:v>
      </x:c>
      <x:c r="E2439" s="8" t="n">
        <x:f>Source!E2433/100</x:f>
        <x:v>182.94</x:v>
      </x:c>
      <x:c r="F2439" s="8" t="n">
        <x:f>Source!F2433/100</x:f>
        <x:v>0</x:v>
      </x:c>
      <x:c r="G2439" s="8" t="n">
        <x:f>Source!G2433/100</x:f>
        <x:v>182.94</x:v>
      </x:c>
      <x:c r="H2439" s="8" t="n">
        <x:f>G2439-D2439</x:f>
        <x:v>15</x:v>
      </x:c>
      <x:c r="I2439" s="1" t="str">
        <x:f>IF(H2439&gt;0,"Overbilled","Shortfall")</x:f>
        <x:v>Overbilled</x:v>
      </x:c>
      <x:c r="J2439" s="7"/>
      <x:c r="K2439" s="7" t="str">
        <x:v>Open</x:v>
      </x:c>
      <x:c r="L2439" s="7"/>
    </x:row>
    <x:row r="2440" ht="21" customHeight="1">
      <x:c r="A2440" s="1" t="str">
        <x:f>Source!A2434</x:f>
        <x:v>C0008107</x:v>
      </x:c>
      <x:c r="B2440" s="1" t="str">
        <x:f>_xlfn.IFNA(VLOOKUP(Source!B2434,Advertisers!$A$5:$B$34,2,FALSE),"Missing advertiser")</x:f>
        <x:v>Synthetic advertiser 3</x:v>
      </x:c>
      <x:c r="C2440" s="1" t="n">
        <x:f>Source!C2434</x:f>
        <x:v>63</x:v>
      </x:c>
      <x:c r="D2440" s="8" t="n">
        <x:f>Source!D2434/100</x:f>
        <x:v>184.99</x:v>
      </x:c>
      <x:c r="E2440" s="8" t="n">
        <x:f>Source!E2434/100</x:f>
        <x:v>199.99</x:v>
      </x:c>
      <x:c r="F2440" s="8" t="n">
        <x:f>Source!F2434/100</x:f>
        <x:v>0</x:v>
      </x:c>
      <x:c r="G2440" s="8" t="n">
        <x:f>Source!G2434/100</x:f>
        <x:v>199.99</x:v>
      </x:c>
      <x:c r="H2440" s="8" t="n">
        <x:f>G2440-D2440</x:f>
        <x:v>15</x:v>
      </x:c>
      <x:c r="I2440" s="1" t="str">
        <x:f>IF(H2440&gt;0,"Overbilled","Shortfall")</x:f>
        <x:v>Overbilled</x:v>
      </x:c>
      <x:c r="J2440" s="7"/>
      <x:c r="K2440" s="7" t="str">
        <x:v>Open</x:v>
      </x:c>
      <x:c r="L2440" s="7"/>
    </x:row>
    <x:row r="2441" ht="21" customHeight="1">
      <x:c r="A2441" s="1" t="str">
        <x:f>Source!A2435</x:f>
        <x:v>C0008261</x:v>
      </x:c>
      <x:c r="B2441" s="1" t="str">
        <x:f>_xlfn.IFNA(VLOOKUP(Source!B2435,Advertisers!$A$5:$B$34,2,FALSE),"Missing advertiser")</x:f>
        <x:v>Synthetic advertiser 9</x:v>
      </x:c>
      <x:c r="C2441" s="1" t="n">
        <x:f>Source!C2435</x:f>
        <x:v>69</x:v>
      </x:c>
      <x:c r="D2441" s="8" t="n">
        <x:f>Source!D2435/100</x:f>
        <x:v>128.3</x:v>
      </x:c>
      <x:c r="E2441" s="8" t="n">
        <x:f>Source!E2435/100</x:f>
        <x:v>143.3</x:v>
      </x:c>
      <x:c r="F2441" s="8" t="n">
        <x:f>Source!F2435/100</x:f>
        <x:v>0</x:v>
      </x:c>
      <x:c r="G2441" s="8" t="n">
        <x:f>Source!G2435/100</x:f>
        <x:v>143.3</x:v>
      </x:c>
      <x:c r="H2441" s="8" t="n">
        <x:f>G2441-D2441</x:f>
        <x:v>15</x:v>
      </x:c>
      <x:c r="I2441" s="1" t="str">
        <x:f>IF(H2441&gt;0,"Overbilled","Shortfall")</x:f>
        <x:v>Overbilled</x:v>
      </x:c>
      <x:c r="J2441" s="7"/>
      <x:c r="K2441" s="7" t="str">
        <x:v>Open</x:v>
      </x:c>
      <x:c r="L2441" s="7"/>
    </x:row>
    <x:row r="2442" ht="21" customHeight="1">
      <x:c r="A2442" s="1" t="str">
        <x:f>Source!A2436</x:f>
        <x:v>C0002238</x:v>
      </x:c>
      <x:c r="B2442" s="1" t="str">
        <x:f>_xlfn.IFNA(VLOOKUP(Source!B2436,Advertisers!$A$5:$B$34,2,FALSE),"Missing advertiser")</x:f>
        <x:v>Synthetic advertiser 12</x:v>
      </x:c>
      <x:c r="C2442" s="1" t="n">
        <x:f>Source!C2436</x:f>
        <x:v>102</x:v>
      </x:c>
      <x:c r="D2442" s="8" t="n">
        <x:f>Source!D2436/100</x:f>
        <x:v>446.24</x:v>
      </x:c>
      <x:c r="E2442" s="8" t="n">
        <x:f>Source!E2436/100</x:f>
        <x:v>461.24</x:v>
      </x:c>
      <x:c r="F2442" s="8" t="n">
        <x:f>Source!F2436/100</x:f>
        <x:v>0</x:v>
      </x:c>
      <x:c r="G2442" s="8" t="n">
        <x:f>Source!G2436/100</x:f>
        <x:v>461.24</x:v>
      </x:c>
      <x:c r="H2442" s="8" t="n">
        <x:f>G2442-D2442</x:f>
        <x:v>15</x:v>
      </x:c>
      <x:c r="I2442" s="1" t="str">
        <x:f>IF(H2442&gt;0,"Overbilled","Shortfall")</x:f>
        <x:v>Overbilled</x:v>
      </x:c>
      <x:c r="J2442" s="7"/>
      <x:c r="K2442" s="7" t="str">
        <x:v>Open</x:v>
      </x:c>
      <x:c r="L2442" s="7"/>
    </x:row>
    <x:row r="2443" ht="21" customHeight="1">
      <x:c r="A2443" s="1" t="str">
        <x:f>Source!A2437</x:f>
        <x:v>C0015475</x:v>
      </x:c>
      <x:c r="B2443" s="1" t="str">
        <x:f>_xlfn.IFNA(VLOOKUP(Source!B2437,Advertisers!$A$5:$B$34,2,FALSE),"Missing advertiser")</x:f>
        <x:v>Synthetic advertiser 17</x:v>
      </x:c>
      <x:c r="C2443" s="1" t="n">
        <x:f>Source!C2437</x:f>
        <x:v>77</x:v>
      </x:c>
      <x:c r="D2443" s="8" t="n">
        <x:f>Source!D2437/100</x:f>
        <x:v>156.12</x:v>
      </x:c>
      <x:c r="E2443" s="8" t="n">
        <x:f>Source!E2437/100</x:f>
        <x:v>171.12</x:v>
      </x:c>
      <x:c r="F2443" s="8" t="n">
        <x:f>Source!F2437/100</x:f>
        <x:v>0</x:v>
      </x:c>
      <x:c r="G2443" s="8" t="n">
        <x:f>Source!G2437/100</x:f>
        <x:v>171.12</x:v>
      </x:c>
      <x:c r="H2443" s="8" t="n">
        <x:f>G2443-D2443</x:f>
        <x:v>15</x:v>
      </x:c>
      <x:c r="I2443" s="1" t="str">
        <x:f>IF(H2443&gt;0,"Overbilled","Shortfall")</x:f>
        <x:v>Overbilled</x:v>
      </x:c>
      <x:c r="J2443" s="7"/>
      <x:c r="K2443" s="7" t="str">
        <x:v>Open</x:v>
      </x:c>
      <x:c r="L2443" s="7"/>
    </x:row>
    <x:row r="2444" ht="21" customHeight="1">
      <x:c r="A2444" s="1" t="str">
        <x:f>Source!A2438</x:f>
        <x:v>C0002243</x:v>
      </x:c>
      <x:c r="B2444" s="1" t="str">
        <x:f>_xlfn.IFNA(VLOOKUP(Source!B2438,Advertisers!$A$5:$B$34,2,FALSE),"Missing advertiser")</x:f>
        <x:v>Synthetic advertiser 28</x:v>
      </x:c>
      <x:c r="C2444" s="1" t="n">
        <x:f>Source!C2438</x:f>
        <x:v>58</x:v>
      </x:c>
      <x:c r="D2444" s="8" t="n">
        <x:f>Source!D2438/100</x:f>
        <x:v>180.49</x:v>
      </x:c>
      <x:c r="E2444" s="8" t="n">
        <x:f>Source!E2438/100</x:f>
        <x:v>195.49</x:v>
      </x:c>
      <x:c r="F2444" s="8" t="n">
        <x:f>Source!F2438/100</x:f>
        <x:v>0</x:v>
      </x:c>
      <x:c r="G2444" s="8" t="n">
        <x:f>Source!G2438/100</x:f>
        <x:v>195.49</x:v>
      </x:c>
      <x:c r="H2444" s="8" t="n">
        <x:f>G2444-D2444</x:f>
        <x:v>15</x:v>
      </x:c>
      <x:c r="I2444" s="1" t="str">
        <x:f>IF(H2444&gt;0,"Overbilled","Shortfall")</x:f>
        <x:v>Overbilled</x:v>
      </x:c>
      <x:c r="J2444" s="7"/>
      <x:c r="K2444" s="7" t="str">
        <x:v>Open</x:v>
      </x:c>
      <x:c r="L2444" s="7"/>
    </x:row>
    <x:row r="2445" ht="21" customHeight="1">
      <x:c r="A2445" s="1" t="str">
        <x:f>Source!A2439</x:f>
        <x:v>C0015470</x:v>
      </x:c>
      <x:c r="B2445" s="1" t="str">
        <x:f>_xlfn.IFNA(VLOOKUP(Source!B2439,Advertisers!$A$5:$B$34,2,FALSE),"Missing advertiser")</x:f>
        <x:v>Synthetic advertiser 25</x:v>
      </x:c>
      <x:c r="C2445" s="1" t="n">
        <x:f>Source!C2439</x:f>
        <x:v>115</x:v>
      </x:c>
      <x:c r="D2445" s="8" t="n">
        <x:f>Source!D2439/100</x:f>
        <x:v>126.03</x:v>
      </x:c>
      <x:c r="E2445" s="8" t="n">
        <x:f>Source!E2439/100</x:f>
        <x:v>141.03</x:v>
      </x:c>
      <x:c r="F2445" s="8" t="n">
        <x:f>Source!F2439/100</x:f>
        <x:v>0</x:v>
      </x:c>
      <x:c r="G2445" s="8" t="n">
        <x:f>Source!G2439/100</x:f>
        <x:v>141.03</x:v>
      </x:c>
      <x:c r="H2445" s="8" t="n">
        <x:f>G2445-D2445</x:f>
        <x:v>15</x:v>
      </x:c>
      <x:c r="I2445" s="1" t="str">
        <x:f>IF(H2445&gt;0,"Overbilled","Shortfall")</x:f>
        <x:v>Overbilled</x:v>
      </x:c>
      <x:c r="J2445" s="7"/>
      <x:c r="K2445" s="7" t="str">
        <x:v>Open</x:v>
      </x:c>
      <x:c r="L2445" s="7"/>
    </x:row>
    <x:row r="2446" ht="21" customHeight="1">
      <x:c r="A2446" s="1" t="str">
        <x:f>Source!A2440</x:f>
        <x:v>C0015465</x:v>
      </x:c>
      <x:c r="B2446" s="1" t="str">
        <x:f>_xlfn.IFNA(VLOOKUP(Source!B2440,Advertisers!$A$5:$B$34,2,FALSE),"Missing advertiser")</x:f>
        <x:v>Synthetic advertiser 24</x:v>
      </x:c>
      <x:c r="C2446" s="1" t="n">
        <x:f>Source!C2440</x:f>
        <x:v>114</x:v>
      </x:c>
      <x:c r="D2446" s="8" t="n">
        <x:f>Source!D2440/100</x:f>
        <x:v>160.88</x:v>
      </x:c>
      <x:c r="E2446" s="8" t="n">
        <x:f>Source!E2440/100</x:f>
        <x:v>175.88</x:v>
      </x:c>
      <x:c r="F2446" s="8" t="n">
        <x:f>Source!F2440/100</x:f>
        <x:v>0</x:v>
      </x:c>
      <x:c r="G2446" s="8" t="n">
        <x:f>Source!G2440/100</x:f>
        <x:v>175.88</x:v>
      </x:c>
      <x:c r="H2446" s="8" t="n">
        <x:f>G2446-D2446</x:f>
        <x:v>15</x:v>
      </x:c>
      <x:c r="I2446" s="1" t="str">
        <x:f>IF(H2446&gt;0,"Overbilled","Shortfall")</x:f>
        <x:v>Overbilled</x:v>
      </x:c>
      <x:c r="J2446" s="7"/>
      <x:c r="K2446" s="7" t="str">
        <x:v>Open</x:v>
      </x:c>
      <x:c r="L2446" s="7"/>
    </x:row>
    <x:row r="2447" ht="21" customHeight="1">
      <x:c r="A2447" s="1" t="str">
        <x:f>Source!A2441</x:f>
        <x:v>C0002252</x:v>
      </x:c>
      <x:c r="B2447" s="1" t="str">
        <x:f>_xlfn.IFNA(VLOOKUP(Source!B2441,Advertisers!$A$5:$B$34,2,FALSE),"Missing advertiser")</x:f>
        <x:v>Synthetic advertiser 10</x:v>
      </x:c>
      <x:c r="C2447" s="1" t="n">
        <x:f>Source!C2441</x:f>
        <x:v>10</x:v>
      </x:c>
      <x:c r="D2447" s="8" t="n">
        <x:f>Source!D2441/100</x:f>
        <x:v>206.78</x:v>
      </x:c>
      <x:c r="E2447" s="8" t="n">
        <x:f>Source!E2441/100</x:f>
        <x:v>221.78</x:v>
      </x:c>
      <x:c r="F2447" s="8" t="n">
        <x:f>Source!F2441/100</x:f>
        <x:v>0</x:v>
      </x:c>
      <x:c r="G2447" s="8" t="n">
        <x:f>Source!G2441/100</x:f>
        <x:v>221.78</x:v>
      </x:c>
      <x:c r="H2447" s="8" t="n">
        <x:f>G2447-D2447</x:f>
        <x:v>15</x:v>
      </x:c>
      <x:c r="I2447" s="1" t="str">
        <x:f>IF(H2447&gt;0,"Overbilled","Shortfall")</x:f>
        <x:v>Overbilled</x:v>
      </x:c>
      <x:c r="J2447" s="7"/>
      <x:c r="K2447" s="7" t="str">
        <x:v>Open</x:v>
      </x:c>
      <x:c r="L2447" s="7"/>
    </x:row>
    <x:row r="2448" ht="21" customHeight="1">
      <x:c r="A2448" s="1" t="str">
        <x:f>Source!A2442</x:f>
        <x:v>C0002256</x:v>
      </x:c>
      <x:c r="B2448" s="1" t="str">
        <x:f>_xlfn.IFNA(VLOOKUP(Source!B2442,Advertisers!$A$5:$B$34,2,FALSE),"Missing advertiser")</x:f>
        <x:v>Synthetic advertiser 12</x:v>
      </x:c>
      <x:c r="C2448" s="1" t="n">
        <x:f>Source!C2442</x:f>
        <x:v>102</x:v>
      </x:c>
      <x:c r="D2448" s="8" t="n">
        <x:f>Source!D2442/100</x:f>
        <x:v>446.24</x:v>
      </x:c>
      <x:c r="E2448" s="8" t="n">
        <x:f>Source!E2442/100</x:f>
        <x:v>461.24</x:v>
      </x:c>
      <x:c r="F2448" s="8" t="n">
        <x:f>Source!F2442/100</x:f>
        <x:v>0</x:v>
      </x:c>
      <x:c r="G2448" s="8" t="n">
        <x:f>Source!G2442/100</x:f>
        <x:v>461.24</x:v>
      </x:c>
      <x:c r="H2448" s="8" t="n">
        <x:f>G2448-D2448</x:f>
        <x:v>15</x:v>
      </x:c>
      <x:c r="I2448" s="1" t="str">
        <x:f>IF(H2448&gt;0,"Overbilled","Shortfall")</x:f>
        <x:v>Overbilled</x:v>
      </x:c>
      <x:c r="J2448" s="7"/>
      <x:c r="K2448" s="7" t="str">
        <x:v>Open</x:v>
      </x:c>
      <x:c r="L2448" s="7"/>
    </x:row>
    <x:row r="2449" ht="21" customHeight="1">
      <x:c r="A2449" s="1" t="str">
        <x:f>Source!A2443</x:f>
        <x:v>C0002257</x:v>
      </x:c>
      <x:c r="B2449" s="1" t="str">
        <x:f>_xlfn.IFNA(VLOOKUP(Source!B2443,Advertisers!$A$5:$B$34,2,FALSE),"Missing advertiser")</x:f>
        <x:v>Synthetic advertiser 3</x:v>
      </x:c>
      <x:c r="C2449" s="1" t="n">
        <x:f>Source!C2443</x:f>
        <x:v>63</x:v>
      </x:c>
      <x:c r="D2449" s="8" t="n">
        <x:f>Source!D2443/100</x:f>
        <x:v>184.99</x:v>
      </x:c>
      <x:c r="E2449" s="8" t="n">
        <x:f>Source!E2443/100</x:f>
        <x:v>199.99</x:v>
      </x:c>
      <x:c r="F2449" s="8" t="n">
        <x:f>Source!F2443/100</x:f>
        <x:v>0</x:v>
      </x:c>
      <x:c r="G2449" s="8" t="n">
        <x:f>Source!G2443/100</x:f>
        <x:v>199.99</x:v>
      </x:c>
      <x:c r="H2449" s="8" t="n">
        <x:f>G2449-D2449</x:f>
        <x:v>15</x:v>
      </x:c>
      <x:c r="I2449" s="1" t="str">
        <x:f>IF(H2449&gt;0,"Overbilled","Shortfall")</x:f>
        <x:v>Overbilled</x:v>
      </x:c>
      <x:c r="J2449" s="7"/>
      <x:c r="K2449" s="7" t="str">
        <x:v>Open</x:v>
      </x:c>
      <x:c r="L2449" s="7"/>
    </x:row>
    <x:row r="2450" ht="21" customHeight="1">
      <x:c r="A2450" s="1" t="str">
        <x:f>Source!A2444</x:f>
        <x:v>C0015917</x:v>
      </x:c>
      <x:c r="B2450" s="1" t="str">
        <x:f>_xlfn.IFNA(VLOOKUP(Source!B2444,Advertisers!$A$5:$B$34,2,FALSE),"Missing advertiser")</x:f>
        <x:v>Synthetic advertiser 10</x:v>
      </x:c>
      <x:c r="C2450" s="1" t="n">
        <x:f>Source!C2444</x:f>
        <x:v>40</x:v>
      </x:c>
      <x:c r="D2450" s="8" t="n">
        <x:f>Source!D2444/100</x:f>
        <x:v>174.38</x:v>
      </x:c>
      <x:c r="E2450" s="8" t="n">
        <x:f>Source!E2444/100</x:f>
        <x:v>189.38</x:v>
      </x:c>
      <x:c r="F2450" s="8" t="n">
        <x:f>Source!F2444/100</x:f>
        <x:v>0</x:v>
      </x:c>
      <x:c r="G2450" s="8" t="n">
        <x:f>Source!G2444/100</x:f>
        <x:v>189.38</x:v>
      </x:c>
      <x:c r="H2450" s="8" t="n">
        <x:f>G2450-D2450</x:f>
        <x:v>15</x:v>
      </x:c>
      <x:c r="I2450" s="1" t="str">
        <x:f>IF(H2450&gt;0,"Overbilled","Shortfall")</x:f>
        <x:v>Overbilled</x:v>
      </x:c>
      <x:c r="J2450" s="7"/>
      <x:c r="K2450" s="7" t="str">
        <x:v>Open</x:v>
      </x:c>
      <x:c r="L2450" s="7"/>
    </x:row>
    <x:row r="2451" ht="21" customHeight="1">
      <x:c r="A2451" s="1" t="str">
        <x:f>Source!A2445</x:f>
        <x:v>C0015919</x:v>
      </x:c>
      <x:c r="B2451" s="1" t="str">
        <x:f>_xlfn.IFNA(VLOOKUP(Source!B2445,Advertisers!$A$5:$B$34,2,FALSE),"Missing advertiser")</x:f>
        <x:v>Synthetic advertiser 6</x:v>
      </x:c>
      <x:c r="C2451" s="1" t="n">
        <x:f>Source!C2445</x:f>
        <x:v>36</x:v>
      </x:c>
      <x:c r="D2451" s="8" t="n">
        <x:f>Source!D2445/100</x:f>
        <x:v>285.12</x:v>
      </x:c>
      <x:c r="E2451" s="8" t="n">
        <x:f>Source!E2445/100</x:f>
        <x:v>300.12</x:v>
      </x:c>
      <x:c r="F2451" s="8" t="n">
        <x:f>Source!F2445/100</x:f>
        <x:v>0</x:v>
      </x:c>
      <x:c r="G2451" s="8" t="n">
        <x:f>Source!G2445/100</x:f>
        <x:v>300.12</x:v>
      </x:c>
      <x:c r="H2451" s="8" t="n">
        <x:f>G2451-D2451</x:f>
        <x:v>15</x:v>
      </x:c>
      <x:c r="I2451" s="1" t="str">
        <x:f>IF(H2451&gt;0,"Overbilled","Shortfall")</x:f>
        <x:v>Overbilled</x:v>
      </x:c>
      <x:c r="J2451" s="7"/>
      <x:c r="K2451" s="7" t="str">
        <x:v>Open</x:v>
      </x:c>
      <x:c r="L2451" s="7"/>
    </x:row>
    <x:row r="2452" ht="21" customHeight="1">
      <x:c r="A2452" s="1" t="str">
        <x:f>Source!A2446</x:f>
        <x:v>C0002394</x:v>
      </x:c>
      <x:c r="B2452" s="1" t="str">
        <x:f>_xlfn.IFNA(VLOOKUP(Source!B2446,Advertisers!$A$5:$B$34,2,FALSE),"Missing advertiser")</x:f>
        <x:v>Synthetic advertiser 24</x:v>
      </x:c>
      <x:c r="C2452" s="1" t="n">
        <x:f>Source!C2446</x:f>
        <x:v>114</x:v>
      </x:c>
      <x:c r="D2452" s="8" t="n">
        <x:f>Source!D2446/100</x:f>
        <x:v>75.13</x:v>
      </x:c>
      <x:c r="E2452" s="8" t="n">
        <x:f>Source!E2446/100</x:f>
        <x:v>90.13</x:v>
      </x:c>
      <x:c r="F2452" s="8" t="n">
        <x:f>Source!F2446/100</x:f>
        <x:v>0</x:v>
      </x:c>
      <x:c r="G2452" s="8" t="n">
        <x:f>Source!G2446/100</x:f>
        <x:v>90.13</x:v>
      </x:c>
      <x:c r="H2452" s="8" t="n">
        <x:f>G2452-D2452</x:f>
        <x:v>15</x:v>
      </x:c>
      <x:c r="I2452" s="1" t="str">
        <x:f>IF(H2452&gt;0,"Overbilled","Shortfall")</x:f>
        <x:v>Overbilled</x:v>
      </x:c>
      <x:c r="J2452" s="7"/>
      <x:c r="K2452" s="7" t="str">
        <x:v>Open</x:v>
      </x:c>
      <x:c r="L2452" s="7"/>
    </x:row>
    <x:row r="2453" ht="21" customHeight="1">
      <x:c r="A2453" s="1" t="str">
        <x:f>Source!A2447</x:f>
        <x:v>C0015452</x:v>
      </x:c>
      <x:c r="B2453" s="1" t="str">
        <x:f>_xlfn.IFNA(VLOOKUP(Source!B2447,Advertisers!$A$5:$B$34,2,FALSE),"Missing advertiser")</x:f>
        <x:v>Synthetic advertiser 15</x:v>
      </x:c>
      <x:c r="C2453" s="1" t="n">
        <x:f>Source!C2447</x:f>
        <x:v>45</x:v>
      </x:c>
      <x:c r="D2453" s="8" t="n">
        <x:f>Source!D2447/100</x:f>
        <x:v>322</x:v>
      </x:c>
      <x:c r="E2453" s="8" t="n">
        <x:f>Source!E2447/100</x:f>
        <x:v>337</x:v>
      </x:c>
      <x:c r="F2453" s="8" t="n">
        <x:f>Source!F2447/100</x:f>
        <x:v>0</x:v>
      </x:c>
      <x:c r="G2453" s="8" t="n">
        <x:f>Source!G2447/100</x:f>
        <x:v>337</x:v>
      </x:c>
      <x:c r="H2453" s="8" t="n">
        <x:f>G2453-D2453</x:f>
        <x:v>15</x:v>
      </x:c>
      <x:c r="I2453" s="1" t="str">
        <x:f>IF(H2453&gt;0,"Overbilled","Shortfall")</x:f>
        <x:v>Overbilled</x:v>
      </x:c>
      <x:c r="J2453" s="7"/>
      <x:c r="K2453" s="7" t="str">
        <x:v>Open</x:v>
      </x:c>
      <x:c r="L2453" s="7"/>
    </x:row>
    <x:row r="2454" ht="21" customHeight="1">
      <x:c r="A2454" s="1" t="str">
        <x:f>Source!A2448</x:f>
        <x:v>C0015440</x:v>
      </x:c>
      <x:c r="B2454" s="1" t="str">
        <x:f>_xlfn.IFNA(VLOOKUP(Source!B2448,Advertisers!$A$5:$B$34,2,FALSE),"Missing advertiser")</x:f>
        <x:v>Synthetic advertiser 15</x:v>
      </x:c>
      <x:c r="C2454" s="1" t="n">
        <x:f>Source!C2448</x:f>
        <x:v>105</x:v>
      </x:c>
      <x:c r="D2454" s="8" t="n">
        <x:f>Source!D2448/100</x:f>
        <x:v>390.9</x:v>
      </x:c>
      <x:c r="E2454" s="8" t="n">
        <x:f>Source!E2448/100</x:f>
        <x:v>405.9</x:v>
      </x:c>
      <x:c r="F2454" s="8" t="n">
        <x:f>Source!F2448/100</x:f>
        <x:v>0</x:v>
      </x:c>
      <x:c r="G2454" s="8" t="n">
        <x:f>Source!G2448/100</x:f>
        <x:v>405.9</x:v>
      </x:c>
      <x:c r="H2454" s="8" t="n">
        <x:f>G2454-D2454</x:f>
        <x:v>15</x:v>
      </x:c>
      <x:c r="I2454" s="1" t="str">
        <x:f>IF(H2454&gt;0,"Overbilled","Shortfall")</x:f>
        <x:v>Overbilled</x:v>
      </x:c>
      <x:c r="J2454" s="7"/>
      <x:c r="K2454" s="7" t="str">
        <x:v>Open</x:v>
      </x:c>
      <x:c r="L2454" s="7"/>
    </x:row>
    <x:row r="2455" ht="21" customHeight="1">
      <x:c r="A2455" s="1" t="str">
        <x:f>Source!A2449</x:f>
        <x:v>C0015938</x:v>
      </x:c>
      <x:c r="B2455" s="1" t="str">
        <x:f>_xlfn.IFNA(VLOOKUP(Source!B2449,Advertisers!$A$5:$B$34,2,FALSE),"Missing advertiser")</x:f>
        <x:v>Synthetic advertiser 20</x:v>
      </x:c>
      <x:c r="C2455" s="1" t="n">
        <x:f>Source!C2449</x:f>
        <x:v>110</x:v>
      </x:c>
      <x:c r="D2455" s="8" t="n">
        <x:f>Source!D2449/100</x:f>
        <x:v>197.03</x:v>
      </x:c>
      <x:c r="E2455" s="8" t="n">
        <x:f>Source!E2449/100</x:f>
        <x:v>212.03</x:v>
      </x:c>
      <x:c r="F2455" s="8" t="n">
        <x:f>Source!F2449/100</x:f>
        <x:v>0</x:v>
      </x:c>
      <x:c r="G2455" s="8" t="n">
        <x:f>Source!G2449/100</x:f>
        <x:v>212.03</x:v>
      </x:c>
      <x:c r="H2455" s="8" t="n">
        <x:f>G2455-D2455</x:f>
        <x:v>15</x:v>
      </x:c>
      <x:c r="I2455" s="1" t="str">
        <x:f>IF(H2455&gt;0,"Overbilled","Shortfall")</x:f>
        <x:v>Overbilled</x:v>
      </x:c>
      <x:c r="J2455" s="7"/>
      <x:c r="K2455" s="7" t="str">
        <x:v>Open</x:v>
      </x:c>
      <x:c r="L2455" s="7"/>
    </x:row>
    <x:row r="2456" ht="21" customHeight="1">
      <x:c r="A2456" s="1" t="str">
        <x:f>Source!A2450</x:f>
        <x:v>C0015418</x:v>
      </x:c>
      <x:c r="B2456" s="1" t="str">
        <x:f>_xlfn.IFNA(VLOOKUP(Source!B2450,Advertisers!$A$5:$B$34,2,FALSE),"Missing advertiser")</x:f>
        <x:v>Synthetic advertiser 30</x:v>
      </x:c>
      <x:c r="C2456" s="1" t="n">
        <x:f>Source!C2450</x:f>
        <x:v>90</x:v>
      </x:c>
      <x:c r="D2456" s="8" t="n">
        <x:f>Source!D2450/100</x:f>
        <x:v>142.15</x:v>
      </x:c>
      <x:c r="E2456" s="8" t="n">
        <x:f>Source!E2450/100</x:f>
        <x:v>157.15</x:v>
      </x:c>
      <x:c r="F2456" s="8" t="n">
        <x:f>Source!F2450/100</x:f>
        <x:v>0</x:v>
      </x:c>
      <x:c r="G2456" s="8" t="n">
        <x:f>Source!G2450/100</x:f>
        <x:v>157.15</x:v>
      </x:c>
      <x:c r="H2456" s="8" t="n">
        <x:f>G2456-D2456</x:f>
        <x:v>15</x:v>
      </x:c>
      <x:c r="I2456" s="1" t="str">
        <x:f>IF(H2456&gt;0,"Overbilled","Shortfall")</x:f>
        <x:v>Overbilled</x:v>
      </x:c>
      <x:c r="J2456" s="7"/>
      <x:c r="K2456" s="7" t="str">
        <x:v>Open</x:v>
      </x:c>
      <x:c r="L2456" s="7"/>
    </x:row>
    <x:row r="2457" ht="21" customHeight="1">
      <x:c r="A2457" s="1" t="str">
        <x:f>Source!A2451</x:f>
        <x:v>C0015399</x:v>
      </x:c>
      <x:c r="B2457" s="1" t="str">
        <x:f>_xlfn.IFNA(VLOOKUP(Source!B2451,Advertisers!$A$5:$B$34,2,FALSE),"Missing advertiser")</x:f>
        <x:v>Synthetic advertiser 18</x:v>
      </x:c>
      <x:c r="C2457" s="1" t="n">
        <x:f>Source!C2451</x:f>
        <x:v>18</x:v>
      </x:c>
      <x:c r="D2457" s="8" t="n">
        <x:f>Source!D2451/100</x:f>
        <x:v>154.13</x:v>
      </x:c>
      <x:c r="E2457" s="8" t="n">
        <x:f>Source!E2451/100</x:f>
        <x:v>169.13</x:v>
      </x:c>
      <x:c r="F2457" s="8" t="n">
        <x:f>Source!F2451/100</x:f>
        <x:v>0</x:v>
      </x:c>
      <x:c r="G2457" s="8" t="n">
        <x:f>Source!G2451/100</x:f>
        <x:v>169.13</x:v>
      </x:c>
      <x:c r="H2457" s="8" t="n">
        <x:f>G2457-D2457</x:f>
        <x:v>15</x:v>
      </x:c>
      <x:c r="I2457" s="1" t="str">
        <x:f>IF(H2457&gt;0,"Overbilled","Shortfall")</x:f>
        <x:v>Overbilled</x:v>
      </x:c>
      <x:c r="J2457" s="7"/>
      <x:c r="K2457" s="7" t="str">
        <x:v>Open</x:v>
      </x:c>
      <x:c r="L2457" s="7"/>
    </x:row>
    <x:row r="2458" ht="21" customHeight="1">
      <x:c r="A2458" s="1" t="str">
        <x:f>Source!A2452</x:f>
        <x:v>C0015965</x:v>
      </x:c>
      <x:c r="B2458" s="1" t="str">
        <x:f>_xlfn.IFNA(VLOOKUP(Source!B2452,Advertisers!$A$5:$B$34,2,FALSE),"Missing advertiser")</x:f>
        <x:v>Synthetic advertiser 2</x:v>
      </x:c>
      <x:c r="C2458" s="1" t="n">
        <x:f>Source!C2452</x:f>
        <x:v>92</x:v>
      </x:c>
      <x:c r="D2458" s="8" t="n">
        <x:f>Source!D2452/100</x:f>
        <x:v>347.66</x:v>
      </x:c>
      <x:c r="E2458" s="8" t="n">
        <x:f>Source!E2452/100</x:f>
        <x:v>362.66</x:v>
      </x:c>
      <x:c r="F2458" s="8" t="n">
        <x:f>Source!F2452/100</x:f>
        <x:v>0</x:v>
      </x:c>
      <x:c r="G2458" s="8" t="n">
        <x:f>Source!G2452/100</x:f>
        <x:v>362.66</x:v>
      </x:c>
      <x:c r="H2458" s="8" t="n">
        <x:f>G2458-D2458</x:f>
        <x:v>15</x:v>
      </x:c>
      <x:c r="I2458" s="1" t="str">
        <x:f>IF(H2458&gt;0,"Overbilled","Shortfall")</x:f>
        <x:v>Overbilled</x:v>
      </x:c>
      <x:c r="J2458" s="7"/>
      <x:c r="K2458" s="7" t="str">
        <x:v>Open</x:v>
      </x:c>
      <x:c r="L2458" s="7"/>
    </x:row>
    <x:row r="2459" ht="21" customHeight="1">
      <x:c r="A2459" s="1" t="str">
        <x:f>Source!A2453</x:f>
        <x:v>C0015968</x:v>
      </x:c>
      <x:c r="B2459" s="1" t="str">
        <x:f>_xlfn.IFNA(VLOOKUP(Source!B2453,Advertisers!$A$5:$B$34,2,FALSE),"Missing advertiser")</x:f>
        <x:v>Synthetic advertiser 29</x:v>
      </x:c>
      <x:c r="C2459" s="1" t="n">
        <x:f>Source!C2453</x:f>
        <x:v>89</x:v>
      </x:c>
      <x:c r="D2459" s="8" t="n">
        <x:f>Source!D2453/100</x:f>
        <x:v>145.97</x:v>
      </x:c>
      <x:c r="E2459" s="8" t="n">
        <x:f>Source!E2453/100</x:f>
        <x:v>160.97</x:v>
      </x:c>
      <x:c r="F2459" s="8" t="n">
        <x:f>Source!F2453/100</x:f>
        <x:v>0</x:v>
      </x:c>
      <x:c r="G2459" s="8" t="n">
        <x:f>Source!G2453/100</x:f>
        <x:v>160.97</x:v>
      </x:c>
      <x:c r="H2459" s="8" t="n">
        <x:f>G2459-D2459</x:f>
        <x:v>15</x:v>
      </x:c>
      <x:c r="I2459" s="1" t="str">
        <x:f>IF(H2459&gt;0,"Overbilled","Shortfall")</x:f>
        <x:v>Overbilled</x:v>
      </x:c>
      <x:c r="J2459" s="7"/>
      <x:c r="K2459" s="7" t="str">
        <x:v>Open</x:v>
      </x:c>
      <x:c r="L2459" s="7"/>
    </x:row>
    <x:row r="2460" ht="21" customHeight="1">
      <x:c r="A2460" s="1" t="str">
        <x:f>Source!A2454</x:f>
        <x:v>C0015972</x:v>
      </x:c>
      <x:c r="B2460" s="1" t="str">
        <x:f>_xlfn.IFNA(VLOOKUP(Source!B2454,Advertisers!$A$5:$B$34,2,FALSE),"Missing advertiser")</x:f>
        <x:v>Synthetic advertiser 16</x:v>
      </x:c>
      <x:c r="C2460" s="1" t="n">
        <x:f>Source!C2454</x:f>
        <x:v>106</x:v>
      </x:c>
      <x:c r="D2460" s="8" t="n">
        <x:f>Source!D2454/100</x:f>
        <x:v>226.21</x:v>
      </x:c>
      <x:c r="E2460" s="8" t="n">
        <x:f>Source!E2454/100</x:f>
        <x:v>241.21</x:v>
      </x:c>
      <x:c r="F2460" s="8" t="n">
        <x:f>Source!F2454/100</x:f>
        <x:v>0</x:v>
      </x:c>
      <x:c r="G2460" s="8" t="n">
        <x:f>Source!G2454/100</x:f>
        <x:v>241.21</x:v>
      </x:c>
      <x:c r="H2460" s="8" t="n">
        <x:f>G2460-D2460</x:f>
        <x:v>15</x:v>
      </x:c>
      <x:c r="I2460" s="1" t="str">
        <x:f>IF(H2460&gt;0,"Overbilled","Shortfall")</x:f>
        <x:v>Overbilled</x:v>
      </x:c>
      <x:c r="J2460" s="7"/>
      <x:c r="K2460" s="7" t="str">
        <x:v>Open</x:v>
      </x:c>
      <x:c r="L2460" s="7"/>
    </x:row>
    <x:row r="2461" ht="21" customHeight="1">
      <x:c r="A2461" s="1" t="str">
        <x:f>Source!A2455</x:f>
        <x:v>C0010176</x:v>
      </x:c>
      <x:c r="B2461" s="1" t="str">
        <x:f>_xlfn.IFNA(VLOOKUP(Source!B2455,Advertisers!$A$5:$B$34,2,FALSE),"Missing advertiser")</x:f>
        <x:v>Synthetic advertiser 9</x:v>
      </x:c>
      <x:c r="C2461" s="1" t="n">
        <x:f>Source!C2455</x:f>
        <x:v>99</x:v>
      </x:c>
      <x:c r="D2461" s="8" t="n">
        <x:f>Source!D2455/100</x:f>
        <x:v>103.53</x:v>
      </x:c>
      <x:c r="E2461" s="8" t="n">
        <x:f>Source!E2455/100</x:f>
        <x:v>118.53</x:v>
      </x:c>
      <x:c r="F2461" s="8" t="n">
        <x:f>Source!F2455/100</x:f>
        <x:v>0</x:v>
      </x:c>
      <x:c r="G2461" s="8" t="n">
        <x:f>Source!G2455/100</x:f>
        <x:v>118.53</x:v>
      </x:c>
      <x:c r="H2461" s="8" t="n">
        <x:f>G2461-D2461</x:f>
        <x:v>15</x:v>
      </x:c>
      <x:c r="I2461" s="1" t="str">
        <x:f>IF(H2461&gt;0,"Overbilled","Shortfall")</x:f>
        <x:v>Overbilled</x:v>
      </x:c>
      <x:c r="J2461" s="7"/>
      <x:c r="K2461" s="7" t="str">
        <x:v>Open</x:v>
      </x:c>
      <x:c r="L2461" s="7"/>
    </x:row>
    <x:row r="2462" ht="21" customHeight="1">
      <x:c r="A2462" s="1" t="str">
        <x:f>Source!A2456</x:f>
        <x:v>C0008296</x:v>
      </x:c>
      <x:c r="B2462" s="1" t="str">
        <x:f>_xlfn.IFNA(VLOOKUP(Source!B2456,Advertisers!$A$5:$B$34,2,FALSE),"Missing advertiser")</x:f>
        <x:v>Synthetic advertiser 23</x:v>
      </x:c>
      <x:c r="C2462" s="1" t="n">
        <x:f>Source!C2456</x:f>
        <x:v>23</x:v>
      </x:c>
      <x:c r="D2462" s="8" t="n">
        <x:f>Source!D2456/100</x:f>
        <x:v>199.35</x:v>
      </x:c>
      <x:c r="E2462" s="8" t="n">
        <x:f>Source!E2456/100</x:f>
        <x:v>214.35</x:v>
      </x:c>
      <x:c r="F2462" s="8" t="n">
        <x:f>Source!F2456/100</x:f>
        <x:v>0</x:v>
      </x:c>
      <x:c r="G2462" s="8" t="n">
        <x:f>Source!G2456/100</x:f>
        <x:v>214.35</x:v>
      </x:c>
      <x:c r="H2462" s="8" t="n">
        <x:f>G2462-D2462</x:f>
        <x:v>15</x:v>
      </x:c>
      <x:c r="I2462" s="1" t="str">
        <x:f>IF(H2462&gt;0,"Overbilled","Shortfall")</x:f>
        <x:v>Overbilled</x:v>
      </x:c>
      <x:c r="J2462" s="7"/>
      <x:c r="K2462" s="7" t="str">
        <x:v>Open</x:v>
      </x:c>
      <x:c r="L2462" s="7"/>
    </x:row>
    <x:row r="2463" ht="21" customHeight="1">
      <x:c r="A2463" s="1" t="str">
        <x:f>Source!A2457</x:f>
        <x:v>C0015383</x:v>
      </x:c>
      <x:c r="B2463" s="1" t="str">
        <x:f>_xlfn.IFNA(VLOOKUP(Source!B2457,Advertisers!$A$5:$B$34,2,FALSE),"Missing advertiser")</x:f>
        <x:v>Synthetic advertiser 22</x:v>
      </x:c>
      <x:c r="C2463" s="1" t="n">
        <x:f>Source!C2457</x:f>
        <x:v>52</x:v>
      </x:c>
      <x:c r="D2463" s="8" t="n">
        <x:f>Source!D2457/100</x:f>
        <x:v>74.98</x:v>
      </x:c>
      <x:c r="E2463" s="8" t="n">
        <x:f>Source!E2457/100</x:f>
        <x:v>89.98</x:v>
      </x:c>
      <x:c r="F2463" s="8" t="n">
        <x:f>Source!F2457/100</x:f>
        <x:v>0</x:v>
      </x:c>
      <x:c r="G2463" s="8" t="n">
        <x:f>Source!G2457/100</x:f>
        <x:v>89.98</x:v>
      </x:c>
      <x:c r="H2463" s="8" t="n">
        <x:f>G2463-D2463</x:f>
        <x:v>15</x:v>
      </x:c>
      <x:c r="I2463" s="1" t="str">
        <x:f>IF(H2463&gt;0,"Overbilled","Shortfall")</x:f>
        <x:v>Overbilled</x:v>
      </x:c>
      <x:c r="J2463" s="7"/>
      <x:c r="K2463" s="7" t="str">
        <x:v>Open</x:v>
      </x:c>
      <x:c r="L2463" s="7"/>
    </x:row>
    <x:row r="2464" ht="21" customHeight="1">
      <x:c r="A2464" s="1" t="str">
        <x:f>Source!A2458</x:f>
        <x:v>C0015457</x:v>
      </x:c>
      <x:c r="B2464" s="1" t="str">
        <x:f>_xlfn.IFNA(VLOOKUP(Source!B2458,Advertisers!$A$5:$B$34,2,FALSE),"Missing advertiser")</x:f>
        <x:v>Synthetic advertiser 10</x:v>
      </x:c>
      <x:c r="C2464" s="1" t="n">
        <x:f>Source!C2458</x:f>
        <x:v>100</x:v>
      </x:c>
      <x:c r="D2464" s="8" t="n">
        <x:f>Source!D2458/100</x:f>
        <x:v>82</x:v>
      </x:c>
      <x:c r="E2464" s="8" t="n">
        <x:f>Source!E2458/100</x:f>
        <x:v>97</x:v>
      </x:c>
      <x:c r="F2464" s="8" t="n">
        <x:f>Source!F2458/100</x:f>
        <x:v>0</x:v>
      </x:c>
      <x:c r="G2464" s="8" t="n">
        <x:f>Source!G2458/100</x:f>
        <x:v>97</x:v>
      </x:c>
      <x:c r="H2464" s="8" t="n">
        <x:f>G2464-D2464</x:f>
        <x:v>15</x:v>
      </x:c>
      <x:c r="I2464" s="1" t="str">
        <x:f>IF(H2464&gt;0,"Overbilled","Shortfall")</x:f>
        <x:v>Overbilled</x:v>
      </x:c>
      <x:c r="J2464" s="7"/>
      <x:c r="K2464" s="7" t="str">
        <x:v>Open</x:v>
      </x:c>
      <x:c r="L2464" s="7"/>
    </x:row>
    <x:row r="2465" ht="21" customHeight="1">
      <x:c r="A2465" s="1" t="str">
        <x:f>Source!A2459</x:f>
        <x:v>C0002401</x:v>
      </x:c>
      <x:c r="B2465" s="1" t="str">
        <x:f>_xlfn.IFNA(VLOOKUP(Source!B2459,Advertisers!$A$5:$B$34,2,FALSE),"Missing advertiser")</x:f>
        <x:v>Synthetic advertiser 19</x:v>
      </x:c>
      <x:c r="C2465" s="1" t="n">
        <x:f>Source!C2459</x:f>
        <x:v>109</x:v>
      </x:c>
      <x:c r="D2465" s="8" t="n">
        <x:f>Source!D2459/100</x:f>
        <x:v>158.47</x:v>
      </x:c>
      <x:c r="E2465" s="8" t="n">
        <x:f>Source!E2459/100</x:f>
        <x:v>173.47</x:v>
      </x:c>
      <x:c r="F2465" s="8" t="n">
        <x:f>Source!F2459/100</x:f>
        <x:v>0</x:v>
      </x:c>
      <x:c r="G2465" s="8" t="n">
        <x:f>Source!G2459/100</x:f>
        <x:v>173.47</x:v>
      </x:c>
      <x:c r="H2465" s="8" t="n">
        <x:f>G2465-D2465</x:f>
        <x:v>15</x:v>
      </x:c>
      <x:c r="I2465" s="1" t="str">
        <x:f>IF(H2465&gt;0,"Overbilled","Shortfall")</x:f>
        <x:v>Overbilled</x:v>
      </x:c>
      <x:c r="J2465" s="7"/>
      <x:c r="K2465" s="7" t="str">
        <x:v>Open</x:v>
      </x:c>
      <x:c r="L2465" s="7"/>
    </x:row>
    <x:row r="2466" ht="21" customHeight="1">
      <x:c r="A2466" s="1" t="str">
        <x:f>Source!A2460</x:f>
        <x:v>C0002413</x:v>
      </x:c>
      <x:c r="B2466" s="1" t="str">
        <x:f>_xlfn.IFNA(VLOOKUP(Source!B2460,Advertisers!$A$5:$B$34,2,FALSE),"Missing advertiser")</x:f>
        <x:v>Synthetic advertiser 14</x:v>
      </x:c>
      <x:c r="C2466" s="1" t="n">
        <x:f>Source!C2460</x:f>
        <x:v>44</x:v>
      </x:c>
      <x:c r="D2466" s="8" t="n">
        <x:f>Source!D2460/100</x:f>
        <x:v>112.89</x:v>
      </x:c>
      <x:c r="E2466" s="8" t="n">
        <x:f>Source!E2460/100</x:f>
        <x:v>127.89</x:v>
      </x:c>
      <x:c r="F2466" s="8" t="n">
        <x:f>Source!F2460/100</x:f>
        <x:v>0</x:v>
      </x:c>
      <x:c r="G2466" s="8" t="n">
        <x:f>Source!G2460/100</x:f>
        <x:v>127.89</x:v>
      </x:c>
      <x:c r="H2466" s="8" t="n">
        <x:f>G2466-D2466</x:f>
        <x:v>15</x:v>
      </x:c>
      <x:c r="I2466" s="1" t="str">
        <x:f>IF(H2466&gt;0,"Overbilled","Shortfall")</x:f>
        <x:v>Overbilled</x:v>
      </x:c>
      <x:c r="J2466" s="7"/>
      <x:c r="K2466" s="7" t="str">
        <x:v>Open</x:v>
      </x:c>
      <x:c r="L2466" s="7"/>
    </x:row>
    <x:row r="2467" ht="21" customHeight="1">
      <x:c r="A2467" s="1" t="str">
        <x:f>Source!A2461</x:f>
        <x:v>C0002404</x:v>
      </x:c>
      <x:c r="B2467" s="1" t="str">
        <x:f>_xlfn.IFNA(VLOOKUP(Source!B2461,Advertisers!$A$5:$B$34,2,FALSE),"Missing advertiser")</x:f>
        <x:v>Synthetic advertiser 5</x:v>
      </x:c>
      <x:c r="C2467" s="1" t="n">
        <x:f>Source!C2461</x:f>
        <x:v>95</x:v>
      </x:c>
      <x:c r="D2467" s="8" t="n">
        <x:f>Source!D2461/100</x:f>
        <x:v>75.2</x:v>
      </x:c>
      <x:c r="E2467" s="8" t="n">
        <x:f>Source!E2461/100</x:f>
        <x:v>90.2</x:v>
      </x:c>
      <x:c r="F2467" s="8" t="n">
        <x:f>Source!F2461/100</x:f>
        <x:v>0</x:v>
      </x:c>
      <x:c r="G2467" s="8" t="n">
        <x:f>Source!G2461/100</x:f>
        <x:v>90.2</x:v>
      </x:c>
      <x:c r="H2467" s="8" t="n">
        <x:f>G2467-D2467</x:f>
        <x:v>15</x:v>
      </x:c>
      <x:c r="I2467" s="1" t="str">
        <x:f>IF(H2467&gt;0,"Overbilled","Shortfall")</x:f>
        <x:v>Overbilled</x:v>
      </x:c>
      <x:c r="J2467" s="7"/>
      <x:c r="K2467" s="7" t="str">
        <x:v>Open</x:v>
      </x:c>
      <x:c r="L2467" s="7"/>
    </x:row>
    <x:row r="2468" ht="21" customHeight="1">
      <x:c r="A2468" s="1" t="str">
        <x:f>Source!A2462</x:f>
        <x:v>C0015717</x:v>
      </x:c>
      <x:c r="B2468" s="1" t="str">
        <x:f>_xlfn.IFNA(VLOOKUP(Source!B2462,Advertisers!$A$5:$B$34,2,FALSE),"Missing advertiser")</x:f>
        <x:v>Synthetic advertiser 5</x:v>
      </x:c>
      <x:c r="C2468" s="1" t="n">
        <x:f>Source!C2462</x:f>
        <x:v>65</x:v>
      </x:c>
      <x:c r="D2468" s="8" t="n">
        <x:f>Source!D2462/100</x:f>
        <x:v>115.72</x:v>
      </x:c>
      <x:c r="E2468" s="8" t="n">
        <x:f>Source!E2462/100</x:f>
        <x:v>130.72</x:v>
      </x:c>
      <x:c r="F2468" s="8" t="n">
        <x:f>Source!F2462/100</x:f>
        <x:v>0</x:v>
      </x:c>
      <x:c r="G2468" s="8" t="n">
        <x:f>Source!G2462/100</x:f>
        <x:v>130.72</x:v>
      </x:c>
      <x:c r="H2468" s="8" t="n">
        <x:f>G2468-D2468</x:f>
        <x:v>15</x:v>
      </x:c>
      <x:c r="I2468" s="1" t="str">
        <x:f>IF(H2468&gt;0,"Overbilled","Shortfall")</x:f>
        <x:v>Overbilled</x:v>
      </x:c>
      <x:c r="J2468" s="7"/>
      <x:c r="K2468" s="7" t="str">
        <x:v>Open</x:v>
      </x:c>
      <x:c r="L2468" s="7"/>
    </x:row>
    <x:row r="2469" ht="21" customHeight="1">
      <x:c r="A2469" s="1" t="str">
        <x:f>Source!A2463</x:f>
        <x:v>C0015580</x:v>
      </x:c>
      <x:c r="B2469" s="1" t="str">
        <x:f>_xlfn.IFNA(VLOOKUP(Source!B2463,Advertisers!$A$5:$B$34,2,FALSE),"Missing advertiser")</x:f>
        <x:v>Synthetic advertiser 14</x:v>
      </x:c>
      <x:c r="C2469" s="1" t="n">
        <x:f>Source!C2463</x:f>
        <x:v>104</x:v>
      </x:c>
      <x:c r="D2469" s="8" t="n">
        <x:f>Source!D2463/100</x:f>
        <x:v>287.06</x:v>
      </x:c>
      <x:c r="E2469" s="8" t="n">
        <x:f>Source!E2463/100</x:f>
        <x:v>302.06</x:v>
      </x:c>
      <x:c r="F2469" s="8" t="n">
        <x:f>Source!F2463/100</x:f>
        <x:v>0</x:v>
      </x:c>
      <x:c r="G2469" s="8" t="n">
        <x:f>Source!G2463/100</x:f>
        <x:v>302.06</x:v>
      </x:c>
      <x:c r="H2469" s="8" t="n">
        <x:f>G2469-D2469</x:f>
        <x:v>15</x:v>
      </x:c>
      <x:c r="I2469" s="1" t="str">
        <x:f>IF(H2469&gt;0,"Overbilled","Shortfall")</x:f>
        <x:v>Overbilled</x:v>
      </x:c>
      <x:c r="J2469" s="7"/>
      <x:c r="K2469" s="7" t="str">
        <x:v>Open</x:v>
      </x:c>
      <x:c r="L2469" s="7"/>
    </x:row>
    <x:row r="2470" ht="21" customHeight="1">
      <x:c r="A2470" s="1" t="str">
        <x:f>Source!A2464</x:f>
        <x:v>C0015721</x:v>
      </x:c>
      <x:c r="B2470" s="1" t="str">
        <x:f>_xlfn.IFNA(VLOOKUP(Source!B2464,Advertisers!$A$5:$B$34,2,FALSE),"Missing advertiser")</x:f>
        <x:v>Synthetic advertiser 21</x:v>
      </x:c>
      <x:c r="C2470" s="1" t="n">
        <x:f>Source!C2464</x:f>
        <x:v>51</x:v>
      </x:c>
      <x:c r="D2470" s="8" t="n">
        <x:f>Source!D2464/100</x:f>
        <x:v>213.96</x:v>
      </x:c>
      <x:c r="E2470" s="8" t="n">
        <x:f>Source!E2464/100</x:f>
        <x:v>228.96</x:v>
      </x:c>
      <x:c r="F2470" s="8" t="n">
        <x:f>Source!F2464/100</x:f>
        <x:v>0</x:v>
      </x:c>
      <x:c r="G2470" s="8" t="n">
        <x:f>Source!G2464/100</x:f>
        <x:v>228.96</x:v>
      </x:c>
      <x:c r="H2470" s="8" t="n">
        <x:f>G2470-D2470</x:f>
        <x:v>15</x:v>
      </x:c>
      <x:c r="I2470" s="1" t="str">
        <x:f>IF(H2470&gt;0,"Overbilled","Shortfall")</x:f>
        <x:v>Overbilled</x:v>
      </x:c>
      <x:c r="J2470" s="7"/>
      <x:c r="K2470" s="7" t="str">
        <x:v>Open</x:v>
      </x:c>
      <x:c r="L2470" s="7"/>
    </x:row>
    <x:row r="2471" ht="21" customHeight="1">
      <x:c r="A2471" s="1" t="str">
        <x:f>Source!A2465</x:f>
        <x:v>C0015577</x:v>
      </x:c>
      <x:c r="B2471" s="1" t="str">
        <x:f>_xlfn.IFNA(VLOOKUP(Source!B2465,Advertisers!$A$5:$B$34,2,FALSE),"Missing advertiser")</x:f>
        <x:v>Synthetic advertiser 1</x:v>
      </x:c>
      <x:c r="C2471" s="1" t="n">
        <x:f>Source!C2465</x:f>
        <x:v>31</x:v>
      </x:c>
      <x:c r="D2471" s="8" t="n">
        <x:f>Source!D2465/100</x:f>
        <x:v>79.23</x:v>
      </x:c>
      <x:c r="E2471" s="8" t="n">
        <x:f>Source!E2465/100</x:f>
        <x:v>94.23</x:v>
      </x:c>
      <x:c r="F2471" s="8" t="n">
        <x:f>Source!F2465/100</x:f>
        <x:v>0</x:v>
      </x:c>
      <x:c r="G2471" s="8" t="n">
        <x:f>Source!G2465/100</x:f>
        <x:v>94.23</x:v>
      </x:c>
      <x:c r="H2471" s="8" t="n">
        <x:f>G2471-D2471</x:f>
        <x:v>15</x:v>
      </x:c>
      <x:c r="I2471" s="1" t="str">
        <x:f>IF(H2471&gt;0,"Overbilled","Shortfall")</x:f>
        <x:v>Overbilled</x:v>
      </x:c>
      <x:c r="J2471" s="7"/>
      <x:c r="K2471" s="7" t="str">
        <x:v>Open</x:v>
      </x:c>
      <x:c r="L2471" s="7"/>
    </x:row>
    <x:row r="2472" ht="21" customHeight="1">
      <x:c r="A2472" s="1" t="str">
        <x:f>Source!A2466</x:f>
        <x:v>C0015736</x:v>
      </x:c>
      <x:c r="B2472" s="1" t="str">
        <x:f>_xlfn.IFNA(VLOOKUP(Source!B2466,Advertisers!$A$5:$B$34,2,FALSE),"Missing advertiser")</x:f>
        <x:v>Synthetic advertiser 5</x:v>
      </x:c>
      <x:c r="C2472" s="1" t="n">
        <x:f>Source!C2466</x:f>
        <x:v>5</x:v>
      </x:c>
      <x:c r="D2472" s="8" t="n">
        <x:f>Source!D2466/100</x:f>
        <x:v>183.96</x:v>
      </x:c>
      <x:c r="E2472" s="8" t="n">
        <x:f>Source!E2466/100</x:f>
        <x:v>198.96</x:v>
      </x:c>
      <x:c r="F2472" s="8" t="n">
        <x:f>Source!F2466/100</x:f>
        <x:v>0</x:v>
      </x:c>
      <x:c r="G2472" s="8" t="n">
        <x:f>Source!G2466/100</x:f>
        <x:v>198.96</x:v>
      </x:c>
      <x:c r="H2472" s="8" t="n">
        <x:f>G2472-D2472</x:f>
        <x:v>15</x:v>
      </x:c>
      <x:c r="I2472" s="1" t="str">
        <x:f>IF(H2472&gt;0,"Overbilled","Shortfall")</x:f>
        <x:v>Overbilled</x:v>
      </x:c>
      <x:c r="J2472" s="7"/>
      <x:c r="K2472" s="7" t="str">
        <x:v>Open</x:v>
      </x:c>
      <x:c r="L2472" s="7"/>
    </x:row>
    <x:row r="2473" ht="21" customHeight="1">
      <x:c r="A2473" s="1" t="str">
        <x:f>Source!A2467</x:f>
        <x:v>C0015551</x:v>
      </x:c>
      <x:c r="B2473" s="1" t="str">
        <x:f>_xlfn.IFNA(VLOOKUP(Source!B2467,Advertisers!$A$5:$B$34,2,FALSE),"Missing advertiser")</x:f>
        <x:v>Synthetic advertiser 25</x:v>
      </x:c>
      <x:c r="C2473" s="1" t="n">
        <x:f>Source!C2467</x:f>
        <x:v>115</x:v>
      </x:c>
      <x:c r="D2473" s="8" t="n">
        <x:f>Source!D2467/100</x:f>
        <x:v>244.19</x:v>
      </x:c>
      <x:c r="E2473" s="8" t="n">
        <x:f>Source!E2467/100</x:f>
        <x:v>259.19</x:v>
      </x:c>
      <x:c r="F2473" s="8" t="n">
        <x:f>Source!F2467/100</x:f>
        <x:v>0</x:v>
      </x:c>
      <x:c r="G2473" s="8" t="n">
        <x:f>Source!G2467/100</x:f>
        <x:v>259.19</x:v>
      </x:c>
      <x:c r="H2473" s="8" t="n">
        <x:f>G2473-D2473</x:f>
        <x:v>15</x:v>
      </x:c>
      <x:c r="I2473" s="1" t="str">
        <x:f>IF(H2473&gt;0,"Overbilled","Shortfall")</x:f>
        <x:v>Overbilled</x:v>
      </x:c>
      <x:c r="J2473" s="7"/>
      <x:c r="K2473" s="7" t="str">
        <x:v>Open</x:v>
      </x:c>
      <x:c r="L2473" s="7"/>
    </x:row>
    <x:row r="2474" ht="21" customHeight="1">
      <x:c r="A2474" s="1" t="str">
        <x:f>Source!A2468</x:f>
        <x:v>C0015741</x:v>
      </x:c>
      <x:c r="B2474" s="1" t="str">
        <x:f>_xlfn.IFNA(VLOOKUP(Source!B2468,Advertisers!$A$5:$B$34,2,FALSE),"Missing advertiser")</x:f>
        <x:v>Synthetic advertiser 14</x:v>
      </x:c>
      <x:c r="C2474" s="1" t="n">
        <x:f>Source!C2468</x:f>
        <x:v>74</x:v>
      </x:c>
      <x:c r="D2474" s="8" t="n">
        <x:f>Source!D2468/100</x:f>
        <x:v>161.09</x:v>
      </x:c>
      <x:c r="E2474" s="8" t="n">
        <x:f>Source!E2468/100</x:f>
        <x:v>176.09</x:v>
      </x:c>
      <x:c r="F2474" s="8" t="n">
        <x:f>Source!F2468/100</x:f>
        <x:v>0</x:v>
      </x:c>
      <x:c r="G2474" s="8" t="n">
        <x:f>Source!G2468/100</x:f>
        <x:v>176.09</x:v>
      </x:c>
      <x:c r="H2474" s="8" t="n">
        <x:f>G2474-D2474</x:f>
        <x:v>15</x:v>
      </x:c>
      <x:c r="I2474" s="1" t="str">
        <x:f>IF(H2474&gt;0,"Overbilled","Shortfall")</x:f>
        <x:v>Overbilled</x:v>
      </x:c>
      <x:c r="J2474" s="7"/>
      <x:c r="K2474" s="7" t="str">
        <x:v>Open</x:v>
      </x:c>
      <x:c r="L2474" s="7"/>
    </x:row>
    <x:row r="2475" ht="21" customHeight="1">
      <x:c r="A2475" s="1" t="str">
        <x:f>Source!A2469</x:f>
        <x:v>C0015490</x:v>
      </x:c>
      <x:c r="B2475" s="1" t="str">
        <x:f>_xlfn.IFNA(VLOOKUP(Source!B2469,Advertisers!$A$5:$B$34,2,FALSE),"Missing advertiser")</x:f>
        <x:v>Synthetic advertiser 12</x:v>
      </x:c>
      <x:c r="C2475" s="1" t="n">
        <x:f>Source!C2469</x:f>
        <x:v>102</x:v>
      </x:c>
      <x:c r="D2475" s="8" t="n">
        <x:f>Source!D2469/100</x:f>
        <x:v>446.24</x:v>
      </x:c>
      <x:c r="E2475" s="8" t="n">
        <x:f>Source!E2469/100</x:f>
        <x:v>461.24</x:v>
      </x:c>
      <x:c r="F2475" s="8" t="n">
        <x:f>Source!F2469/100</x:f>
        <x:v>0</x:v>
      </x:c>
      <x:c r="G2475" s="8" t="n">
        <x:f>Source!G2469/100</x:f>
        <x:v>461.24</x:v>
      </x:c>
      <x:c r="H2475" s="8" t="n">
        <x:f>G2475-D2475</x:f>
        <x:v>15</x:v>
      </x:c>
      <x:c r="I2475" s="1" t="str">
        <x:f>IF(H2475&gt;0,"Overbilled","Shortfall")</x:f>
        <x:v>Overbilled</x:v>
      </x:c>
      <x:c r="J2475" s="7"/>
      <x:c r="K2475" s="7" t="str">
        <x:v>Open</x:v>
      </x:c>
      <x:c r="L2475" s="7"/>
    </x:row>
    <x:row r="2476" ht="21" customHeight="1">
      <x:c r="A2476" s="1" t="str">
        <x:f>Source!A2470</x:f>
        <x:v>C0015793</x:v>
      </x:c>
      <x:c r="B2476" s="1" t="str">
        <x:f>_xlfn.IFNA(VLOOKUP(Source!B2470,Advertisers!$A$5:$B$34,2,FALSE),"Missing advertiser")</x:f>
        <x:v>Synthetic advertiser 1</x:v>
      </x:c>
      <x:c r="C2476" s="1" t="n">
        <x:f>Source!C2470</x:f>
        <x:v>91</x:v>
      </x:c>
      <x:c r="D2476" s="8" t="n">
        <x:f>Source!D2470/100</x:f>
        <x:v>98.33</x:v>
      </x:c>
      <x:c r="E2476" s="8" t="n">
        <x:f>Source!E2470/100</x:f>
        <x:v>113.33</x:v>
      </x:c>
      <x:c r="F2476" s="8" t="n">
        <x:f>Source!F2470/100</x:f>
        <x:v>0</x:v>
      </x:c>
      <x:c r="G2476" s="8" t="n">
        <x:f>Source!G2470/100</x:f>
        <x:v>113.33</x:v>
      </x:c>
      <x:c r="H2476" s="8" t="n">
        <x:f>G2476-D2476</x:f>
        <x:v>15</x:v>
      </x:c>
      <x:c r="I2476" s="1" t="str">
        <x:f>IF(H2476&gt;0,"Overbilled","Shortfall")</x:f>
        <x:v>Overbilled</x:v>
      </x:c>
      <x:c r="J2476" s="7"/>
      <x:c r="K2476" s="7" t="str">
        <x:v>Open</x:v>
      </x:c>
      <x:c r="L2476" s="7"/>
    </x:row>
    <x:row r="2477" ht="21" customHeight="1">
      <x:c r="A2477" s="1" t="str">
        <x:f>Source!A2471</x:f>
        <x:v>C0015812</x:v>
      </x:c>
      <x:c r="B2477" s="1" t="str">
        <x:f>_xlfn.IFNA(VLOOKUP(Source!B2471,Advertisers!$A$5:$B$34,2,FALSE),"Missing advertiser")</x:f>
        <x:v>Synthetic advertiser 19</x:v>
      </x:c>
      <x:c r="C2477" s="1" t="n">
        <x:f>Source!C2471</x:f>
        <x:v>49</x:v>
      </x:c>
      <x:c r="D2477" s="8" t="n">
        <x:f>Source!D2471/100</x:f>
        <x:v>77.3</x:v>
      </x:c>
      <x:c r="E2477" s="8" t="n">
        <x:f>Source!E2471/100</x:f>
        <x:v>92.3</x:v>
      </x:c>
      <x:c r="F2477" s="8" t="n">
        <x:f>Source!F2471/100</x:f>
        <x:v>0</x:v>
      </x:c>
      <x:c r="G2477" s="8" t="n">
        <x:f>Source!G2471/100</x:f>
        <x:v>92.3</x:v>
      </x:c>
      <x:c r="H2477" s="8" t="n">
        <x:f>G2477-D2477</x:f>
        <x:v>15</x:v>
      </x:c>
      <x:c r="I2477" s="1" t="str">
        <x:f>IF(H2477&gt;0,"Overbilled","Shortfall")</x:f>
        <x:v>Overbilled</x:v>
      </x:c>
      <x:c r="J2477" s="7"/>
      <x:c r="K2477" s="7" t="str">
        <x:v>Open</x:v>
      </x:c>
      <x:c r="L2477" s="7"/>
    </x:row>
    <x:row r="2478" ht="21" customHeight="1">
      <x:c r="A2478" s="1" t="str">
        <x:f>Source!A2472</x:f>
        <x:v>C0015536</x:v>
      </x:c>
      <x:c r="B2478" s="1" t="str">
        <x:f>_xlfn.IFNA(VLOOKUP(Source!B2472,Advertisers!$A$5:$B$34,2,FALSE),"Missing advertiser")</x:f>
        <x:v>Synthetic advertiser 30</x:v>
      </x:c>
      <x:c r="C2478" s="1" t="n">
        <x:f>Source!C2472</x:f>
        <x:v>90</x:v>
      </x:c>
      <x:c r="D2478" s="8" t="n">
        <x:f>Source!D2472/100</x:f>
        <x:v>170.72</x:v>
      </x:c>
      <x:c r="E2478" s="8" t="n">
        <x:f>Source!E2472/100</x:f>
        <x:v>185.72</x:v>
      </x:c>
      <x:c r="F2478" s="8" t="n">
        <x:f>Source!F2472/100</x:f>
        <x:v>0</x:v>
      </x:c>
      <x:c r="G2478" s="8" t="n">
        <x:f>Source!G2472/100</x:f>
        <x:v>185.72</x:v>
      </x:c>
      <x:c r="H2478" s="8" t="n">
        <x:f>G2478-D2478</x:f>
        <x:v>15</x:v>
      </x:c>
      <x:c r="I2478" s="1" t="str">
        <x:f>IF(H2478&gt;0,"Overbilled","Shortfall")</x:f>
        <x:v>Overbilled</x:v>
      </x:c>
      <x:c r="J2478" s="7"/>
      <x:c r="K2478" s="7" t="str">
        <x:v>Open</x:v>
      </x:c>
      <x:c r="L2478" s="7"/>
    </x:row>
    <x:row r="2479" ht="21" customHeight="1">
      <x:c r="A2479" s="1" t="str">
        <x:f>Source!A2473</x:f>
        <x:v>C0015815</x:v>
      </x:c>
      <x:c r="B2479" s="1" t="str">
        <x:f>_xlfn.IFNA(VLOOKUP(Source!B2473,Advertisers!$A$5:$B$34,2,FALSE),"Missing advertiser")</x:f>
        <x:v>Synthetic advertiser 4</x:v>
      </x:c>
      <x:c r="C2479" s="1" t="n">
        <x:f>Source!C2473</x:f>
        <x:v>94</x:v>
      </x:c>
      <x:c r="D2479" s="8" t="n">
        <x:f>Source!D2473/100</x:f>
        <x:v>126.67</x:v>
      </x:c>
      <x:c r="E2479" s="8" t="n">
        <x:f>Source!E2473/100</x:f>
        <x:v>141.67</x:v>
      </x:c>
      <x:c r="F2479" s="8" t="n">
        <x:f>Source!F2473/100</x:f>
        <x:v>0</x:v>
      </x:c>
      <x:c r="G2479" s="8" t="n">
        <x:f>Source!G2473/100</x:f>
        <x:v>141.67</x:v>
      </x:c>
      <x:c r="H2479" s="8" t="n">
        <x:f>G2479-D2479</x:f>
        <x:v>14.999999999999986</x:v>
      </x:c>
      <x:c r="I2479" s="1" t="str">
        <x:f>IF(H2479&gt;0,"Overbilled","Shortfall")</x:f>
        <x:v>Overbilled</x:v>
      </x:c>
      <x:c r="J2479" s="7"/>
      <x:c r="K2479" s="7" t="str">
        <x:v>Open</x:v>
      </x:c>
      <x:c r="L2479" s="7"/>
    </x:row>
    <x:row r="2480" ht="21" customHeight="1">
      <x:c r="A2480" s="1" t="str">
        <x:f>Source!A2474</x:f>
        <x:v>C0015836</x:v>
      </x:c>
      <x:c r="B2480" s="1" t="str">
        <x:f>_xlfn.IFNA(VLOOKUP(Source!B2474,Advertisers!$A$5:$B$34,2,FALSE),"Missing advertiser")</x:f>
        <x:v>Synthetic advertiser 20</x:v>
      </x:c>
      <x:c r="C2480" s="1" t="n">
        <x:f>Source!C2474</x:f>
        <x:v>20</x:v>
      </x:c>
      <x:c r="D2480" s="8" t="n">
        <x:f>Source!D2474/100</x:f>
        <x:v>240.58</x:v>
      </x:c>
      <x:c r="E2480" s="8" t="n">
        <x:f>Source!E2474/100</x:f>
        <x:v>255.58</x:v>
      </x:c>
      <x:c r="F2480" s="8" t="n">
        <x:f>Source!F2474/100</x:f>
        <x:v>0</x:v>
      </x:c>
      <x:c r="G2480" s="8" t="n">
        <x:f>Source!G2474/100</x:f>
        <x:v>255.58</x:v>
      </x:c>
      <x:c r="H2480" s="8" t="n">
        <x:f>G2480-D2480</x:f>
        <x:v>15</x:v>
      </x:c>
      <x:c r="I2480" s="1" t="str">
        <x:f>IF(H2480&gt;0,"Overbilled","Shortfall")</x:f>
        <x:v>Overbilled</x:v>
      </x:c>
      <x:c r="J2480" s="7"/>
      <x:c r="K2480" s="7" t="str">
        <x:v>Open</x:v>
      </x:c>
      <x:c r="L2480" s="7"/>
    </x:row>
    <x:row r="2481" ht="21" customHeight="1">
      <x:c r="A2481" s="1" t="str">
        <x:f>Source!A2475</x:f>
        <x:v>C0015839</x:v>
      </x:c>
      <x:c r="B2481" s="1" t="str">
        <x:f>_xlfn.IFNA(VLOOKUP(Source!B2475,Advertisers!$A$5:$B$34,2,FALSE),"Missing advertiser")</x:f>
        <x:v>Synthetic advertiser 27</x:v>
      </x:c>
      <x:c r="C2481" s="1" t="n">
        <x:f>Source!C2475</x:f>
        <x:v>27</x:v>
      </x:c>
      <x:c r="D2481" s="8" t="n">
        <x:f>Source!D2475/100</x:f>
        <x:v>308.4</x:v>
      </x:c>
      <x:c r="E2481" s="8" t="n">
        <x:f>Source!E2475/100</x:f>
        <x:v>323.4</x:v>
      </x:c>
      <x:c r="F2481" s="8" t="n">
        <x:f>Source!F2475/100</x:f>
        <x:v>0</x:v>
      </x:c>
      <x:c r="G2481" s="8" t="n">
        <x:f>Source!G2475/100</x:f>
        <x:v>323.4</x:v>
      </x:c>
      <x:c r="H2481" s="8" t="n">
        <x:f>G2481-D2481</x:f>
        <x:v>15</x:v>
      </x:c>
      <x:c r="I2481" s="1" t="str">
        <x:f>IF(H2481&gt;0,"Overbilled","Shortfall")</x:f>
        <x:v>Overbilled</x:v>
      </x:c>
      <x:c r="J2481" s="7"/>
      <x:c r="K2481" s="7" t="str">
        <x:v>Open</x:v>
      </x:c>
      <x:c r="L2481" s="7"/>
    </x:row>
    <x:row r="2482" ht="21" customHeight="1">
      <x:c r="A2482" s="1" t="str">
        <x:f>Source!A2476</x:f>
        <x:v>C0015524</x:v>
      </x:c>
      <x:c r="B2482" s="1" t="str">
        <x:f>_xlfn.IFNA(VLOOKUP(Source!B2476,Advertisers!$A$5:$B$34,2,FALSE),"Missing advertiser")</x:f>
        <x:v>Synthetic advertiser 7</x:v>
      </x:c>
      <x:c r="C2482" s="1" t="n">
        <x:f>Source!C2476</x:f>
        <x:v>7</x:v>
      </x:c>
      <x:c r="D2482" s="8" t="n">
        <x:f>Source!D2476/100</x:f>
        <x:v>144.31</x:v>
      </x:c>
      <x:c r="E2482" s="8" t="n">
        <x:f>Source!E2476/100</x:f>
        <x:v>159.31</x:v>
      </x:c>
      <x:c r="F2482" s="8" t="n">
        <x:f>Source!F2476/100</x:f>
        <x:v>0</x:v>
      </x:c>
      <x:c r="G2482" s="8" t="n">
        <x:f>Source!G2476/100</x:f>
        <x:v>159.31</x:v>
      </x:c>
      <x:c r="H2482" s="8" t="n">
        <x:f>G2482-D2482</x:f>
        <x:v>15</x:v>
      </x:c>
      <x:c r="I2482" s="1" t="str">
        <x:f>IF(H2482&gt;0,"Overbilled","Shortfall")</x:f>
        <x:v>Overbilled</x:v>
      </x:c>
      <x:c r="J2482" s="7"/>
      <x:c r="K2482" s="7" t="str">
        <x:v>Open</x:v>
      </x:c>
      <x:c r="L2482" s="7"/>
    </x:row>
    <x:row r="2483" ht="21" customHeight="1">
      <x:c r="A2483" s="1" t="str">
        <x:f>Source!A2477</x:f>
        <x:v>C0015844</x:v>
      </x:c>
      <x:c r="B2483" s="1" t="str">
        <x:f>_xlfn.IFNA(VLOOKUP(Source!B2477,Advertisers!$A$5:$B$34,2,FALSE),"Missing advertiser")</x:f>
        <x:v>Synthetic advertiser 13</x:v>
      </x:c>
      <x:c r="C2483" s="1" t="n">
        <x:f>Source!C2477</x:f>
        <x:v>13</x:v>
      </x:c>
      <x:c r="D2483" s="8" t="n">
        <x:f>Source!D2477/100</x:f>
        <x:v>102.23</x:v>
      </x:c>
      <x:c r="E2483" s="8" t="n">
        <x:f>Source!E2477/100</x:f>
        <x:v>117.23</x:v>
      </x:c>
      <x:c r="F2483" s="8" t="n">
        <x:f>Source!F2477/100</x:f>
        <x:v>0</x:v>
      </x:c>
      <x:c r="G2483" s="8" t="n">
        <x:f>Source!G2477/100</x:f>
        <x:v>117.23</x:v>
      </x:c>
      <x:c r="H2483" s="8" t="n">
        <x:f>G2483-D2483</x:f>
        <x:v>15</x:v>
      </x:c>
      <x:c r="I2483" s="1" t="str">
        <x:f>IF(H2483&gt;0,"Overbilled","Shortfall")</x:f>
        <x:v>Overbilled</x:v>
      </x:c>
      <x:c r="J2483" s="7"/>
      <x:c r="K2483" s="7" t="str">
        <x:v>Open</x:v>
      </x:c>
      <x:c r="L2483" s="7"/>
    </x:row>
    <x:row r="2484" ht="21" customHeight="1">
      <x:c r="A2484" s="1" t="str">
        <x:f>Source!A2478</x:f>
        <x:v>C0002164</x:v>
      </x:c>
      <x:c r="B2484" s="1" t="str">
        <x:f>_xlfn.IFNA(VLOOKUP(Source!B2478,Advertisers!$A$5:$B$34,2,FALSE),"Missing advertiser")</x:f>
        <x:v>Synthetic advertiser 7</x:v>
      </x:c>
      <x:c r="C2484" s="1" t="n">
        <x:f>Source!C2478</x:f>
        <x:v>37</x:v>
      </x:c>
      <x:c r="D2484" s="8" t="n">
        <x:f>Source!D2478/100</x:f>
        <x:v>62.22</x:v>
      </x:c>
      <x:c r="E2484" s="8" t="n">
        <x:f>Source!E2478/100</x:f>
        <x:v>77.22</x:v>
      </x:c>
      <x:c r="F2484" s="8" t="n">
        <x:f>Source!F2478/100</x:f>
        <x:v>0</x:v>
      </x:c>
      <x:c r="G2484" s="8" t="n">
        <x:f>Source!G2478/100</x:f>
        <x:v>77.22</x:v>
      </x:c>
      <x:c r="H2484" s="8" t="n">
        <x:f>G2484-D2484</x:f>
        <x:v>15</x:v>
      </x:c>
      <x:c r="I2484" s="1" t="str">
        <x:f>IF(H2484&gt;0,"Overbilled","Shortfall")</x:f>
        <x:v>Overbilled</x:v>
      </x:c>
      <x:c r="J2484" s="7"/>
      <x:c r="K2484" s="7" t="str">
        <x:v>Open</x:v>
      </x:c>
      <x:c r="L2484" s="7"/>
    </x:row>
    <x:row r="2485" ht="21" customHeight="1">
      <x:c r="A2485" s="1" t="str">
        <x:f>Source!A2479</x:f>
        <x:v>C0002173</x:v>
      </x:c>
      <x:c r="B2485" s="1" t="str">
        <x:f>_xlfn.IFNA(VLOOKUP(Source!B2479,Advertisers!$A$5:$B$34,2,FALSE),"Missing advertiser")</x:f>
        <x:v>Synthetic advertiser 13</x:v>
      </x:c>
      <x:c r="C2485" s="1" t="n">
        <x:f>Source!C2479</x:f>
        <x:v>13</x:v>
      </x:c>
      <x:c r="D2485" s="8" t="n">
        <x:f>Source!D2479/100</x:f>
        <x:v>104.45</x:v>
      </x:c>
      <x:c r="E2485" s="8" t="n">
        <x:f>Source!E2479/100</x:f>
        <x:v>119.45</x:v>
      </x:c>
      <x:c r="F2485" s="8" t="n">
        <x:f>Source!F2479/100</x:f>
        <x:v>0</x:v>
      </x:c>
      <x:c r="G2485" s="8" t="n">
        <x:f>Source!G2479/100</x:f>
        <x:v>119.45</x:v>
      </x:c>
      <x:c r="H2485" s="8" t="n">
        <x:f>G2485-D2485</x:f>
        <x:v>15</x:v>
      </x:c>
      <x:c r="I2485" s="1" t="str">
        <x:f>IF(H2485&gt;0,"Overbilled","Shortfall")</x:f>
        <x:v>Overbilled</x:v>
      </x:c>
      <x:c r="J2485" s="7"/>
      <x:c r="K2485" s="7" t="str">
        <x:v>Open</x:v>
      </x:c>
      <x:c r="L2485" s="7"/>
    </x:row>
    <x:row r="2486" ht="21" customHeight="1">
      <x:c r="A2486" s="1" t="str">
        <x:f>Source!A2480</x:f>
        <x:v>C0002180</x:v>
      </x:c>
      <x:c r="B2486" s="1" t="str">
        <x:f>_xlfn.IFNA(VLOOKUP(Source!B2480,Advertisers!$A$5:$B$34,2,FALSE),"Missing advertiser")</x:f>
        <x:v>Synthetic advertiser 23</x:v>
      </x:c>
      <x:c r="C2486" s="1" t="n">
        <x:f>Source!C2480</x:f>
        <x:v>53</x:v>
      </x:c>
      <x:c r="D2486" s="8" t="n">
        <x:f>Source!D2480/100</x:f>
        <x:v>50.87</x:v>
      </x:c>
      <x:c r="E2486" s="8" t="n">
        <x:f>Source!E2480/100</x:f>
        <x:v>65.87</x:v>
      </x:c>
      <x:c r="F2486" s="8" t="n">
        <x:f>Source!F2480/100</x:f>
        <x:v>0</x:v>
      </x:c>
      <x:c r="G2486" s="8" t="n">
        <x:f>Source!G2480/100</x:f>
        <x:v>65.87</x:v>
      </x:c>
      <x:c r="H2486" s="8" t="n">
        <x:f>G2486-D2486</x:f>
        <x:v>15.000000000000007</x:v>
      </x:c>
      <x:c r="I2486" s="1" t="str">
        <x:f>IF(H2486&gt;0,"Overbilled","Shortfall")</x:f>
        <x:v>Overbilled</x:v>
      </x:c>
      <x:c r="J2486" s="7"/>
      <x:c r="K2486" s="7" t="str">
        <x:v>Open</x:v>
      </x:c>
      <x:c r="L2486" s="7"/>
    </x:row>
    <x:row r="2487" ht="21" customHeight="1">
      <x:c r="A2487" s="1" t="str">
        <x:f>Source!A2481</x:f>
        <x:v>C0015786</x:v>
      </x:c>
      <x:c r="B2487" s="1" t="str">
        <x:f>_xlfn.IFNA(VLOOKUP(Source!B2481,Advertisers!$A$5:$B$34,2,FALSE),"Missing advertiser")</x:f>
        <x:v>Synthetic advertiser 16</x:v>
      </x:c>
      <x:c r="C2487" s="1" t="n">
        <x:f>Source!C2481</x:f>
        <x:v>46</x:v>
      </x:c>
      <x:c r="D2487" s="8" t="n">
        <x:f>Source!D2481/100</x:f>
        <x:v>269.52</x:v>
      </x:c>
      <x:c r="E2487" s="8" t="n">
        <x:f>Source!E2481/100</x:f>
        <x:v>284.52</x:v>
      </x:c>
      <x:c r="F2487" s="8" t="n">
        <x:f>Source!F2481/100</x:f>
        <x:v>0</x:v>
      </x:c>
      <x:c r="G2487" s="8" t="n">
        <x:f>Source!G2481/100</x:f>
        <x:v>284.52</x:v>
      </x:c>
      <x:c r="H2487" s="8" t="n">
        <x:f>G2487-D2487</x:f>
        <x:v>15</x:v>
      </x:c>
      <x:c r="I2487" s="1" t="str">
        <x:f>IF(H2487&gt;0,"Overbilled","Shortfall")</x:f>
        <x:v>Overbilled</x:v>
      </x:c>
      <x:c r="J2487" s="7"/>
      <x:c r="K2487" s="7" t="str">
        <x:v>Open</x:v>
      </x:c>
      <x:c r="L2487" s="7"/>
    </x:row>
    <x:row r="2488" ht="21" customHeight="1">
      <x:c r="A2488" s="1" t="str">
        <x:f>Source!A2482</x:f>
        <x:v>C0009559</x:v>
      </x:c>
      <x:c r="B2488" s="1" t="str">
        <x:f>_xlfn.IFNA(VLOOKUP(Source!B2482,Advertisers!$A$5:$B$34,2,FALSE),"Missing advertiser")</x:f>
        <x:v>Synthetic advertiser 28</x:v>
      </x:c>
      <x:c r="C2488" s="1" t="n">
        <x:f>Source!C2482</x:f>
        <x:v>118</x:v>
      </x:c>
      <x:c r="D2488" s="8" t="n">
        <x:f>Source!D2482/100</x:f>
        <x:v>225.63</x:v>
      </x:c>
      <x:c r="E2488" s="8" t="n">
        <x:f>Source!E2482/100</x:f>
        <x:v>240.63</x:v>
      </x:c>
      <x:c r="F2488" s="8" t="n">
        <x:f>Source!F2482/100</x:f>
        <x:v>0</x:v>
      </x:c>
      <x:c r="G2488" s="8" t="n">
        <x:f>Source!G2482/100</x:f>
        <x:v>240.63</x:v>
      </x:c>
      <x:c r="H2488" s="8" t="n">
        <x:f>G2488-D2488</x:f>
        <x:v>15</x:v>
      </x:c>
      <x:c r="I2488" s="1" t="str">
        <x:f>IF(H2488&gt;0,"Overbilled","Shortfall")</x:f>
        <x:v>Overbilled</x:v>
      </x:c>
      <x:c r="J2488" s="7"/>
      <x:c r="K2488" s="7" t="str">
        <x:v>Open</x:v>
      </x:c>
      <x:c r="L2488" s="7"/>
    </x:row>
    <x:row r="2489" ht="21" customHeight="1">
      <x:c r="A2489" s="1" t="str">
        <x:f>Source!A2483</x:f>
        <x:v>C0009595</x:v>
      </x:c>
      <x:c r="B2489" s="1" t="str">
        <x:f>_xlfn.IFNA(VLOOKUP(Source!B2483,Advertisers!$A$5:$B$34,2,FALSE),"Missing advertiser")</x:f>
        <x:v>Synthetic advertiser 13</x:v>
      </x:c>
      <x:c r="C2489" s="1" t="n">
        <x:f>Source!C2483</x:f>
        <x:v>13</x:v>
      </x:c>
      <x:c r="D2489" s="8" t="n">
        <x:f>Source!D2483/100</x:f>
        <x:v>151.02</x:v>
      </x:c>
      <x:c r="E2489" s="8" t="n">
        <x:f>Source!E2483/100</x:f>
        <x:v>166.02</x:v>
      </x:c>
      <x:c r="F2489" s="8" t="n">
        <x:f>Source!F2483/100</x:f>
        <x:v>0</x:v>
      </x:c>
      <x:c r="G2489" s="8" t="n">
        <x:f>Source!G2483/100</x:f>
        <x:v>166.02</x:v>
      </x:c>
      <x:c r="H2489" s="8" t="n">
        <x:f>G2489-D2489</x:f>
        <x:v>15</x:v>
      </x:c>
      <x:c r="I2489" s="1" t="str">
        <x:f>IF(H2489&gt;0,"Overbilled","Shortfall")</x:f>
        <x:v>Overbilled</x:v>
      </x:c>
      <x:c r="J2489" s="7"/>
      <x:c r="K2489" s="7" t="str">
        <x:v>Open</x:v>
      </x:c>
      <x:c r="L2489" s="7"/>
    </x:row>
    <x:row r="2490" ht="21" customHeight="1">
      <x:c r="A2490" s="1" t="str">
        <x:f>Source!A2484</x:f>
        <x:v>C0009602</x:v>
      </x:c>
      <x:c r="B2490" s="1" t="str">
        <x:f>_xlfn.IFNA(VLOOKUP(Source!B2484,Advertisers!$A$5:$B$34,2,FALSE),"Missing advertiser")</x:f>
        <x:v>Synthetic advertiser 17</x:v>
      </x:c>
      <x:c r="C2490" s="1" t="n">
        <x:f>Source!C2484</x:f>
        <x:v>47</x:v>
      </x:c>
      <x:c r="D2490" s="8" t="n">
        <x:f>Source!D2484/100</x:f>
        <x:v>113.08</x:v>
      </x:c>
      <x:c r="E2490" s="8" t="n">
        <x:f>Source!E2484/100</x:f>
        <x:v>128.08</x:v>
      </x:c>
      <x:c r="F2490" s="8" t="n">
        <x:f>Source!F2484/100</x:f>
        <x:v>0</x:v>
      </x:c>
      <x:c r="G2490" s="8" t="n">
        <x:f>Source!G2484/100</x:f>
        <x:v>128.08</x:v>
      </x:c>
      <x:c r="H2490" s="8" t="n">
        <x:f>G2490-D2490</x:f>
        <x:v>15.000000000000014</x:v>
      </x:c>
      <x:c r="I2490" s="1" t="str">
        <x:f>IF(H2490&gt;0,"Overbilled","Shortfall")</x:f>
        <x:v>Overbilled</x:v>
      </x:c>
      <x:c r="J2490" s="7"/>
      <x:c r="K2490" s="7" t="str">
        <x:v>Open</x:v>
      </x:c>
      <x:c r="L2490" s="7"/>
    </x:row>
    <x:row r="2491" ht="21" customHeight="1">
      <x:c r="A2491" s="1" t="str">
        <x:f>Source!A2485</x:f>
        <x:v>C0009603</x:v>
      </x:c>
      <x:c r="B2491" s="1" t="str">
        <x:f>_xlfn.IFNA(VLOOKUP(Source!B2485,Advertisers!$A$5:$B$34,2,FALSE),"Missing advertiser")</x:f>
        <x:v>Synthetic advertiser 15</x:v>
      </x:c>
      <x:c r="C2491" s="1" t="n">
        <x:f>Source!C2485</x:f>
        <x:v>15</x:v>
      </x:c>
      <x:c r="D2491" s="8" t="n">
        <x:f>Source!D2485/100</x:f>
        <x:v>182.12</x:v>
      </x:c>
      <x:c r="E2491" s="8" t="n">
        <x:f>Source!E2485/100</x:f>
        <x:v>197.12</x:v>
      </x:c>
      <x:c r="F2491" s="8" t="n">
        <x:f>Source!F2485/100</x:f>
        <x:v>0</x:v>
      </x:c>
      <x:c r="G2491" s="8" t="n">
        <x:f>Source!G2485/100</x:f>
        <x:v>197.12</x:v>
      </x:c>
      <x:c r="H2491" s="8" t="n">
        <x:f>G2491-D2491</x:f>
        <x:v>15</x:v>
      </x:c>
      <x:c r="I2491" s="1" t="str">
        <x:f>IF(H2491&gt;0,"Overbilled","Shortfall")</x:f>
        <x:v>Overbilled</x:v>
      </x:c>
      <x:c r="J2491" s="7"/>
      <x:c r="K2491" s="7" t="str">
        <x:v>Open</x:v>
      </x:c>
      <x:c r="L2491" s="7"/>
    </x:row>
    <x:row r="2492" ht="21" customHeight="1">
      <x:c r="A2492" s="1" t="str">
        <x:f>Source!A2486</x:f>
        <x:v>C0008829</x:v>
      </x:c>
      <x:c r="B2492" s="1" t="str">
        <x:f>_xlfn.IFNA(VLOOKUP(Source!B2486,Advertisers!$A$5:$B$34,2,FALSE),"Missing advertiser")</x:f>
        <x:v>Synthetic advertiser 24</x:v>
      </x:c>
      <x:c r="C2492" s="1" t="n">
        <x:f>Source!C2486</x:f>
        <x:v>54</x:v>
      </x:c>
      <x:c r="D2492" s="8" t="n">
        <x:f>Source!D2486/100</x:f>
        <x:v>125.27</x:v>
      </x:c>
      <x:c r="E2492" s="8" t="n">
        <x:f>Source!E2486/100</x:f>
        <x:v>140.27</x:v>
      </x:c>
      <x:c r="F2492" s="8" t="n">
        <x:f>Source!F2486/100</x:f>
        <x:v>0</x:v>
      </x:c>
      <x:c r="G2492" s="8" t="n">
        <x:f>Source!G2486/100</x:f>
        <x:v>140.27</x:v>
      </x:c>
      <x:c r="H2492" s="8" t="n">
        <x:f>G2492-D2492</x:f>
        <x:v>15.000000000000014</x:v>
      </x:c>
      <x:c r="I2492" s="1" t="str">
        <x:f>IF(H2492&gt;0,"Overbilled","Shortfall")</x:f>
        <x:v>Overbilled</x:v>
      </x:c>
      <x:c r="J2492" s="7"/>
      <x:c r="K2492" s="7" t="str">
        <x:v>Open</x:v>
      </x:c>
      <x:c r="L2492" s="7"/>
    </x:row>
    <x:row r="2493" ht="21" customHeight="1">
      <x:c r="A2493" s="1" t="str">
        <x:f>Source!A2487</x:f>
        <x:v>C0008869</x:v>
      </x:c>
      <x:c r="B2493" s="1" t="str">
        <x:f>_xlfn.IFNA(VLOOKUP(Source!B2487,Advertisers!$A$5:$B$34,2,FALSE),"Missing advertiser")</x:f>
        <x:v>Synthetic advertiser 20</x:v>
      </x:c>
      <x:c r="C2493" s="1" t="n">
        <x:f>Source!C2487</x:f>
        <x:v>50</x:v>
      </x:c>
      <x:c r="D2493" s="8" t="n">
        <x:f>Source!D2487/100</x:f>
        <x:v>51.09</x:v>
      </x:c>
      <x:c r="E2493" s="8" t="n">
        <x:f>Source!E2487/100</x:f>
        <x:v>66.09</x:v>
      </x:c>
      <x:c r="F2493" s="8" t="n">
        <x:f>Source!F2487/100</x:f>
        <x:v>0</x:v>
      </x:c>
      <x:c r="G2493" s="8" t="n">
        <x:f>Source!G2487/100</x:f>
        <x:v>66.09</x:v>
      </x:c>
      <x:c r="H2493" s="8" t="n">
        <x:f>G2493-D2493</x:f>
        <x:v>15</x:v>
      </x:c>
      <x:c r="I2493" s="1" t="str">
        <x:f>IF(H2493&gt;0,"Overbilled","Shortfall")</x:f>
        <x:v>Overbilled</x:v>
      </x:c>
      <x:c r="J2493" s="7"/>
      <x:c r="K2493" s="7" t="str">
        <x:v>Open</x:v>
      </x:c>
      <x:c r="L2493" s="7"/>
    </x:row>
    <x:row r="2494" ht="21" customHeight="1">
      <x:c r="A2494" s="1" t="str">
        <x:f>Source!A2488</x:f>
        <x:v>C0008885</x:v>
      </x:c>
      <x:c r="B2494" s="1" t="str">
        <x:f>_xlfn.IFNA(VLOOKUP(Source!B2488,Advertisers!$A$5:$B$34,2,FALSE),"Missing advertiser")</x:f>
        <x:v>Synthetic advertiser 27</x:v>
      </x:c>
      <x:c r="C2494" s="1" t="n">
        <x:f>Source!C2488</x:f>
        <x:v>117</x:v>
      </x:c>
      <x:c r="D2494" s="8" t="n">
        <x:f>Source!D2488/100</x:f>
        <x:v>200.17</x:v>
      </x:c>
      <x:c r="E2494" s="8" t="n">
        <x:f>Source!E2488/100</x:f>
        <x:v>215.17</x:v>
      </x:c>
      <x:c r="F2494" s="8" t="n">
        <x:f>Source!F2488/100</x:f>
        <x:v>0</x:v>
      </x:c>
      <x:c r="G2494" s="8" t="n">
        <x:f>Source!G2488/100</x:f>
        <x:v>215.17</x:v>
      </x:c>
      <x:c r="H2494" s="8" t="n">
        <x:f>G2494-D2494</x:f>
        <x:v>15</x:v>
      </x:c>
      <x:c r="I2494" s="1" t="str">
        <x:f>IF(H2494&gt;0,"Overbilled","Shortfall")</x:f>
        <x:v>Overbilled</x:v>
      </x:c>
      <x:c r="J2494" s="7"/>
      <x:c r="K2494" s="7" t="str">
        <x:v>Open</x:v>
      </x:c>
      <x:c r="L2494" s="7"/>
    </x:row>
    <x:row r="2495" ht="21" customHeight="1">
      <x:c r="A2495" s="1" t="str">
        <x:f>Source!A2489</x:f>
        <x:v>C0008895</x:v>
      </x:c>
      <x:c r="B2495" s="1" t="str">
        <x:f>_xlfn.IFNA(VLOOKUP(Source!B2489,Advertisers!$A$5:$B$34,2,FALSE),"Missing advertiser")</x:f>
        <x:v>Synthetic advertiser 13</x:v>
      </x:c>
      <x:c r="C2495" s="1" t="n">
        <x:f>Source!C2489</x:f>
        <x:v>73</x:v>
      </x:c>
      <x:c r="D2495" s="8" t="n">
        <x:f>Source!D2489/100</x:f>
        <x:v>151.64</x:v>
      </x:c>
      <x:c r="E2495" s="8" t="n">
        <x:f>Source!E2489/100</x:f>
        <x:v>166.64</x:v>
      </x:c>
      <x:c r="F2495" s="8" t="n">
        <x:f>Source!F2489/100</x:f>
        <x:v>0</x:v>
      </x:c>
      <x:c r="G2495" s="8" t="n">
        <x:f>Source!G2489/100</x:f>
        <x:v>166.64</x:v>
      </x:c>
      <x:c r="H2495" s="8" t="n">
        <x:f>G2495-D2495</x:f>
        <x:v>15</x:v>
      </x:c>
      <x:c r="I2495" s="1" t="str">
        <x:f>IF(H2495&gt;0,"Overbilled","Shortfall")</x:f>
        <x:v>Overbilled</x:v>
      </x:c>
      <x:c r="J2495" s="7"/>
      <x:c r="K2495" s="7" t="str">
        <x:v>Open</x:v>
      </x:c>
      <x:c r="L2495" s="7"/>
    </x:row>
    <x:row r="2496" ht="21" customHeight="1">
      <x:c r="A2496" s="1" t="str">
        <x:f>Source!A2490</x:f>
        <x:v>C0008901</x:v>
      </x:c>
      <x:c r="B2496" s="1" t="str">
        <x:f>_xlfn.IFNA(VLOOKUP(Source!B2490,Advertisers!$A$5:$B$34,2,FALSE),"Missing advertiser")</x:f>
        <x:v>Synthetic advertiser 29</x:v>
      </x:c>
      <x:c r="C2496" s="1" t="n">
        <x:f>Source!C2490</x:f>
        <x:v>89</x:v>
      </x:c>
      <x:c r="D2496" s="8" t="n">
        <x:f>Source!D2490/100</x:f>
        <x:v>198.79</x:v>
      </x:c>
      <x:c r="E2496" s="8" t="n">
        <x:f>Source!E2490/100</x:f>
        <x:v>213.79</x:v>
      </x:c>
      <x:c r="F2496" s="8" t="n">
        <x:f>Source!F2490/100</x:f>
        <x:v>0</x:v>
      </x:c>
      <x:c r="G2496" s="8" t="n">
        <x:f>Source!G2490/100</x:f>
        <x:v>213.79</x:v>
      </x:c>
      <x:c r="H2496" s="8" t="n">
        <x:f>G2496-D2496</x:f>
        <x:v>15</x:v>
      </x:c>
      <x:c r="I2496" s="1" t="str">
        <x:f>IF(H2496&gt;0,"Overbilled","Shortfall")</x:f>
        <x:v>Overbilled</x:v>
      </x:c>
      <x:c r="J2496" s="7"/>
      <x:c r="K2496" s="7" t="str">
        <x:v>Open</x:v>
      </x:c>
      <x:c r="L2496" s="7"/>
    </x:row>
    <x:row r="2497" ht="21" customHeight="1">
      <x:c r="A2497" s="1" t="str">
        <x:f>Source!A2491</x:f>
        <x:v>C0008948</x:v>
      </x:c>
      <x:c r="B2497" s="1" t="str">
        <x:f>_xlfn.IFNA(VLOOKUP(Source!B2491,Advertisers!$A$5:$B$34,2,FALSE),"Missing advertiser")</x:f>
        <x:v>Synthetic advertiser 17</x:v>
      </x:c>
      <x:c r="C2497" s="1" t="n">
        <x:f>Source!C2491</x:f>
        <x:v>77</x:v>
      </x:c>
      <x:c r="D2497" s="8" t="n">
        <x:f>Source!D2491/100</x:f>
        <x:v>229.13</x:v>
      </x:c>
      <x:c r="E2497" s="8" t="n">
        <x:f>Source!E2491/100</x:f>
        <x:v>244.13</x:v>
      </x:c>
      <x:c r="F2497" s="8" t="n">
        <x:f>Source!F2491/100</x:f>
        <x:v>0</x:v>
      </x:c>
      <x:c r="G2497" s="8" t="n">
        <x:f>Source!G2491/100</x:f>
        <x:v>244.13</x:v>
      </x:c>
      <x:c r="H2497" s="8" t="n">
        <x:f>G2497-D2497</x:f>
        <x:v>15</x:v>
      </x:c>
      <x:c r="I2497" s="1" t="str">
        <x:f>IF(H2497&gt;0,"Overbilled","Shortfall")</x:f>
        <x:v>Overbilled</x:v>
      </x:c>
      <x:c r="J2497" s="7"/>
      <x:c r="K2497" s="7" t="str">
        <x:v>Open</x:v>
      </x:c>
      <x:c r="L2497" s="7"/>
    </x:row>
    <x:row r="2498" ht="21" customHeight="1">
      <x:c r="A2498" s="1" t="str">
        <x:f>Source!A2492</x:f>
        <x:v>C0008977</x:v>
      </x:c>
      <x:c r="B2498" s="1" t="str">
        <x:f>_xlfn.IFNA(VLOOKUP(Source!B2492,Advertisers!$A$5:$B$34,2,FALSE),"Missing advertiser")</x:f>
        <x:v>Synthetic advertiser 3</x:v>
      </x:c>
      <x:c r="C2498" s="1" t="n">
        <x:f>Source!C2492</x:f>
        <x:v>93</x:v>
      </x:c>
      <x:c r="D2498" s="8" t="n">
        <x:f>Source!D2492/100</x:f>
        <x:v>227.36</x:v>
      </x:c>
      <x:c r="E2498" s="8" t="n">
        <x:f>Source!E2492/100</x:f>
        <x:v>242.36</x:v>
      </x:c>
      <x:c r="F2498" s="8" t="n">
        <x:f>Source!F2492/100</x:f>
        <x:v>0</x:v>
      </x:c>
      <x:c r="G2498" s="8" t="n">
        <x:f>Source!G2492/100</x:f>
        <x:v>242.36</x:v>
      </x:c>
      <x:c r="H2498" s="8" t="n">
        <x:f>G2498-D2498</x:f>
        <x:v>15</x:v>
      </x:c>
      <x:c r="I2498" s="1" t="str">
        <x:f>IF(H2498&gt;0,"Overbilled","Shortfall")</x:f>
        <x:v>Overbilled</x:v>
      </x:c>
      <x:c r="J2498" s="7"/>
      <x:c r="K2498" s="7" t="str">
        <x:v>Open</x:v>
      </x:c>
      <x:c r="L2498" s="7"/>
    </x:row>
    <x:row r="2499" ht="21" customHeight="1">
      <x:c r="A2499" s="1" t="str">
        <x:f>Source!A2493</x:f>
        <x:v>C0008985</x:v>
      </x:c>
      <x:c r="B2499" s="1" t="str">
        <x:f>_xlfn.IFNA(VLOOKUP(Source!B2493,Advertisers!$A$5:$B$34,2,FALSE),"Missing advertiser")</x:f>
        <x:v>Synthetic advertiser 4</x:v>
      </x:c>
      <x:c r="C2499" s="1" t="n">
        <x:f>Source!C2493</x:f>
        <x:v>34</x:v>
      </x:c>
      <x:c r="D2499" s="8" t="n">
        <x:f>Source!D2493/100</x:f>
        <x:v>154.75</x:v>
      </x:c>
      <x:c r="E2499" s="8" t="n">
        <x:f>Source!E2493/100</x:f>
        <x:v>169.75</x:v>
      </x:c>
      <x:c r="F2499" s="8" t="n">
        <x:f>Source!F2493/100</x:f>
        <x:v>0</x:v>
      </x:c>
      <x:c r="G2499" s="8" t="n">
        <x:f>Source!G2493/100</x:f>
        <x:v>169.75</x:v>
      </x:c>
      <x:c r="H2499" s="8" t="n">
        <x:f>G2499-D2499</x:f>
        <x:v>15</x:v>
      </x:c>
      <x:c r="I2499" s="1" t="str">
        <x:f>IF(H2499&gt;0,"Overbilled","Shortfall")</x:f>
        <x:v>Overbilled</x:v>
      </x:c>
      <x:c r="J2499" s="7"/>
      <x:c r="K2499" s="7" t="str">
        <x:v>Open</x:v>
      </x:c>
      <x:c r="L2499" s="7"/>
    </x:row>
    <x:row r="2500" ht="21" customHeight="1">
      <x:c r="A2500" s="1" t="str">
        <x:f>Source!A2494</x:f>
        <x:v>C0002734</x:v>
      </x:c>
      <x:c r="B2500" s="1" t="str">
        <x:f>_xlfn.IFNA(VLOOKUP(Source!B2494,Advertisers!$A$5:$B$34,2,FALSE),"Missing advertiser")</x:f>
        <x:v>Synthetic advertiser 27</x:v>
      </x:c>
      <x:c r="C2500" s="1" t="n">
        <x:f>Source!C2494</x:f>
        <x:v>87</x:v>
      </x:c>
      <x:c r="D2500" s="8" t="n">
        <x:f>Source!D2494/100</x:f>
        <x:v>205.51</x:v>
      </x:c>
      <x:c r="E2500" s="8" t="n">
        <x:f>Source!E2494/100</x:f>
        <x:v>220.51</x:v>
      </x:c>
      <x:c r="F2500" s="8" t="n">
        <x:f>Source!F2494/100</x:f>
        <x:v>0</x:v>
      </x:c>
      <x:c r="G2500" s="8" t="n">
        <x:f>Source!G2494/100</x:f>
        <x:v>220.51</x:v>
      </x:c>
      <x:c r="H2500" s="8" t="n">
        <x:f>G2500-D2500</x:f>
        <x:v>15</x:v>
      </x:c>
      <x:c r="I2500" s="1" t="str">
        <x:f>IF(H2500&gt;0,"Overbilled","Shortfall")</x:f>
        <x:v>Overbilled</x:v>
      </x:c>
      <x:c r="J2500" s="7"/>
      <x:c r="K2500" s="7" t="str">
        <x:v>Open</x:v>
      </x:c>
      <x:c r="L2500" s="7"/>
    </x:row>
    <x:row r="2501" ht="21" customHeight="1">
      <x:c r="A2501" s="1" t="str">
        <x:f>Source!A2495</x:f>
        <x:v>C0009765</x:v>
      </x:c>
      <x:c r="B2501" s="1" t="str">
        <x:f>_xlfn.IFNA(VLOOKUP(Source!B2495,Advertisers!$A$5:$B$34,2,FALSE),"Missing advertiser")</x:f>
        <x:v>Synthetic advertiser 8</x:v>
      </x:c>
      <x:c r="C2501" s="1" t="n">
        <x:f>Source!C2495</x:f>
        <x:v>38</x:v>
      </x:c>
      <x:c r="D2501" s="8" t="n">
        <x:f>Source!D2495/100</x:f>
        <x:v>187.15</x:v>
      </x:c>
      <x:c r="E2501" s="8" t="n">
        <x:f>Source!E2495/100</x:f>
        <x:v>202.15</x:v>
      </x:c>
      <x:c r="F2501" s="8" t="n">
        <x:f>Source!F2495/100</x:f>
        <x:v>0</x:v>
      </x:c>
      <x:c r="G2501" s="8" t="n">
        <x:f>Source!G2495/100</x:f>
        <x:v>202.15</x:v>
      </x:c>
      <x:c r="H2501" s="8" t="n">
        <x:f>G2501-D2501</x:f>
        <x:v>15</x:v>
      </x:c>
      <x:c r="I2501" s="1" t="str">
        <x:f>IF(H2501&gt;0,"Overbilled","Shortfall")</x:f>
        <x:v>Overbilled</x:v>
      </x:c>
      <x:c r="J2501" s="7"/>
      <x:c r="K2501" s="7" t="str">
        <x:v>Open</x:v>
      </x:c>
      <x:c r="L2501" s="7"/>
    </x:row>
    <x:row r="2502" ht="21" customHeight="1">
      <x:c r="A2502" s="1" t="str">
        <x:f>Source!A2496</x:f>
        <x:v>C0009791</x:v>
      </x:c>
      <x:c r="B2502" s="1" t="str">
        <x:f>_xlfn.IFNA(VLOOKUP(Source!B2496,Advertisers!$A$5:$B$34,2,FALSE),"Missing advertiser")</x:f>
        <x:v>Synthetic advertiser 29</x:v>
      </x:c>
      <x:c r="C2502" s="1" t="n">
        <x:f>Source!C2496</x:f>
        <x:v>59</x:v>
      </x:c>
      <x:c r="D2502" s="8" t="n">
        <x:f>Source!D2496/100</x:f>
        <x:v>161.66</x:v>
      </x:c>
      <x:c r="E2502" s="8" t="n">
        <x:f>Source!E2496/100</x:f>
        <x:v>176.66</x:v>
      </x:c>
      <x:c r="F2502" s="8" t="n">
        <x:f>Source!F2496/100</x:f>
        <x:v>0</x:v>
      </x:c>
      <x:c r="G2502" s="8" t="n">
        <x:f>Source!G2496/100</x:f>
        <x:v>176.66</x:v>
      </x:c>
      <x:c r="H2502" s="8" t="n">
        <x:f>G2502-D2502</x:f>
        <x:v>15</x:v>
      </x:c>
      <x:c r="I2502" s="1" t="str">
        <x:f>IF(H2502&gt;0,"Overbilled","Shortfall")</x:f>
        <x:v>Overbilled</x:v>
      </x:c>
      <x:c r="J2502" s="7"/>
      <x:c r="K2502" s="7" t="str">
        <x:v>Open</x:v>
      </x:c>
      <x:c r="L2502" s="7"/>
    </x:row>
    <x:row r="2503" ht="21" customHeight="1">
      <x:c r="A2503" s="1" t="str">
        <x:f>Source!A2497</x:f>
        <x:v>C0009795</x:v>
      </x:c>
      <x:c r="B2503" s="1" t="str">
        <x:f>_xlfn.IFNA(VLOOKUP(Source!B2497,Advertisers!$A$5:$B$34,2,FALSE),"Missing advertiser")</x:f>
        <x:v>Synthetic advertiser 26</x:v>
      </x:c>
      <x:c r="C2503" s="1" t="n">
        <x:f>Source!C2497</x:f>
        <x:v>116</x:v>
      </x:c>
      <x:c r="D2503" s="8" t="n">
        <x:f>Source!D2497/100</x:f>
        <x:v>124.17</x:v>
      </x:c>
      <x:c r="E2503" s="8" t="n">
        <x:f>Source!E2497/100</x:f>
        <x:v>139.17</x:v>
      </x:c>
      <x:c r="F2503" s="8" t="n">
        <x:f>Source!F2497/100</x:f>
        <x:v>0</x:v>
      </x:c>
      <x:c r="G2503" s="8" t="n">
        <x:f>Source!G2497/100</x:f>
        <x:v>139.17</x:v>
      </x:c>
      <x:c r="H2503" s="8" t="n">
        <x:f>G2503-D2503</x:f>
        <x:v>14.999999999999986</x:v>
      </x:c>
      <x:c r="I2503" s="1" t="str">
        <x:f>IF(H2503&gt;0,"Overbilled","Shortfall")</x:f>
        <x:v>Overbilled</x:v>
      </x:c>
      <x:c r="J2503" s="7"/>
      <x:c r="K2503" s="7" t="str">
        <x:v>Open</x:v>
      </x:c>
      <x:c r="L2503" s="7"/>
    </x:row>
    <x:row r="2504" ht="21" customHeight="1">
      <x:c r="A2504" s="1" t="str">
        <x:f>Source!A2498</x:f>
        <x:v>C0017093</x:v>
      </x:c>
      <x:c r="B2504" s="1" t="str">
        <x:f>_xlfn.IFNA(VLOOKUP(Source!B2498,Advertisers!$A$5:$B$34,2,FALSE),"Missing advertiser")</x:f>
        <x:v>Synthetic advertiser 15</x:v>
      </x:c>
      <x:c r="C2504" s="1" t="n">
        <x:f>Source!C2498</x:f>
        <x:v>105</x:v>
      </x:c>
      <x:c r="D2504" s="8" t="n">
        <x:f>Source!D2498/100</x:f>
        <x:v>203.79</x:v>
      </x:c>
      <x:c r="E2504" s="8" t="n">
        <x:f>Source!E2498/100</x:f>
        <x:v>218.79</x:v>
      </x:c>
      <x:c r="F2504" s="8" t="n">
        <x:f>Source!F2498/100</x:f>
        <x:v>0</x:v>
      </x:c>
      <x:c r="G2504" s="8" t="n">
        <x:f>Source!G2498/100</x:f>
        <x:v>218.79</x:v>
      </x:c>
      <x:c r="H2504" s="8" t="n">
        <x:f>G2504-D2504</x:f>
        <x:v>15</x:v>
      </x:c>
      <x:c r="I2504" s="1" t="str">
        <x:f>IF(H2504&gt;0,"Overbilled","Shortfall")</x:f>
        <x:v>Overbilled</x:v>
      </x:c>
      <x:c r="J2504" s="7"/>
      <x:c r="K2504" s="7" t="str">
        <x:v>Open</x:v>
      </x:c>
      <x:c r="L2504" s="7"/>
    </x:row>
    <x:row r="2505" ht="21" customHeight="1">
      <x:c r="A2505" s="1" t="str">
        <x:f>Source!A2499</x:f>
        <x:v>C0017094</x:v>
      </x:c>
      <x:c r="B2505" s="1" t="str">
        <x:f>_xlfn.IFNA(VLOOKUP(Source!B2499,Advertisers!$A$5:$B$34,2,FALSE),"Missing advertiser")</x:f>
        <x:v>Synthetic advertiser 17</x:v>
      </x:c>
      <x:c r="C2505" s="1" t="n">
        <x:f>Source!C2499</x:f>
        <x:v>107</x:v>
      </x:c>
      <x:c r="D2505" s="8" t="n">
        <x:f>Source!D2499/100</x:f>
        <x:v>149.1</x:v>
      </x:c>
      <x:c r="E2505" s="8" t="n">
        <x:f>Source!E2499/100</x:f>
        <x:v>164.1</x:v>
      </x:c>
      <x:c r="F2505" s="8" t="n">
        <x:f>Source!F2499/100</x:f>
        <x:v>0</x:v>
      </x:c>
      <x:c r="G2505" s="8" t="n">
        <x:f>Source!G2499/100</x:f>
        <x:v>164.1</x:v>
      </x:c>
      <x:c r="H2505" s="8" t="n">
        <x:f>G2505-D2505</x:f>
        <x:v>15</x:v>
      </x:c>
      <x:c r="I2505" s="1" t="str">
        <x:f>IF(H2505&gt;0,"Overbilled","Shortfall")</x:f>
        <x:v>Overbilled</x:v>
      </x:c>
      <x:c r="J2505" s="7"/>
      <x:c r="K2505" s="7" t="str">
        <x:v>Open</x:v>
      </x:c>
      <x:c r="L2505" s="7"/>
    </x:row>
    <x:row r="2506" ht="21" customHeight="1">
      <x:c r="A2506" s="1" t="str">
        <x:f>Source!A2500</x:f>
        <x:v>C0017105</x:v>
      </x:c>
      <x:c r="B2506" s="1" t="str">
        <x:f>_xlfn.IFNA(VLOOKUP(Source!B2500,Advertisers!$A$5:$B$34,2,FALSE),"Missing advertiser")</x:f>
        <x:v>Synthetic advertiser 1</x:v>
      </x:c>
      <x:c r="C2506" s="1" t="n">
        <x:f>Source!C2500</x:f>
        <x:v>31</x:v>
      </x:c>
      <x:c r="D2506" s="8" t="n">
        <x:f>Source!D2500/100</x:f>
        <x:v>226.33</x:v>
      </x:c>
      <x:c r="E2506" s="8" t="n">
        <x:f>Source!E2500/100</x:f>
        <x:v>241.33</x:v>
      </x:c>
      <x:c r="F2506" s="8" t="n">
        <x:f>Source!F2500/100</x:f>
        <x:v>0</x:v>
      </x:c>
      <x:c r="G2506" s="8" t="n">
        <x:f>Source!G2500/100</x:f>
        <x:v>241.33</x:v>
      </x:c>
      <x:c r="H2506" s="8" t="n">
        <x:f>G2506-D2506</x:f>
        <x:v>15</x:v>
      </x:c>
      <x:c r="I2506" s="1" t="str">
        <x:f>IF(H2506&gt;0,"Overbilled","Shortfall")</x:f>
        <x:v>Overbilled</x:v>
      </x:c>
      <x:c r="J2506" s="7"/>
      <x:c r="K2506" s="7" t="str">
        <x:v>Open</x:v>
      </x:c>
      <x:c r="L2506" s="7"/>
    </x:row>
    <x:row r="2507" ht="21" customHeight="1">
      <x:c r="A2507" s="1" t="str">
        <x:f>Source!A2501</x:f>
        <x:v>C0017109</x:v>
      </x:c>
      <x:c r="B2507" s="1" t="str">
        <x:f>_xlfn.IFNA(VLOOKUP(Source!B2501,Advertisers!$A$5:$B$34,2,FALSE),"Missing advertiser")</x:f>
        <x:v>Synthetic advertiser 21</x:v>
      </x:c>
      <x:c r="C2507" s="1" t="n">
        <x:f>Source!C2501</x:f>
        <x:v>21</x:v>
      </x:c>
      <x:c r="D2507" s="8" t="n">
        <x:f>Source!D2501/100</x:f>
        <x:v>160.6</x:v>
      </x:c>
      <x:c r="E2507" s="8" t="n">
        <x:f>Source!E2501/100</x:f>
        <x:v>175.6</x:v>
      </x:c>
      <x:c r="F2507" s="8" t="n">
        <x:f>Source!F2501/100</x:f>
        <x:v>0</x:v>
      </x:c>
      <x:c r="G2507" s="8" t="n">
        <x:f>Source!G2501/100</x:f>
        <x:v>175.6</x:v>
      </x:c>
      <x:c r="H2507" s="8" t="n">
        <x:f>G2507-D2507</x:f>
        <x:v>15</x:v>
      </x:c>
      <x:c r="I2507" s="1" t="str">
        <x:f>IF(H2507&gt;0,"Overbilled","Shortfall")</x:f>
        <x:v>Overbilled</x:v>
      </x:c>
      <x:c r="J2507" s="7"/>
      <x:c r="K2507" s="7" t="str">
        <x:v>Open</x:v>
      </x:c>
      <x:c r="L2507" s="7"/>
    </x:row>
    <x:row r="2508" ht="21" customHeight="1">
      <x:c r="A2508" s="1" t="str">
        <x:f>Source!A2502</x:f>
        <x:v>C0017147</x:v>
      </x:c>
      <x:c r="B2508" s="1" t="str">
        <x:f>_xlfn.IFNA(VLOOKUP(Source!B2502,Advertisers!$A$5:$B$34,2,FALSE),"Missing advertiser")</x:f>
        <x:v>Synthetic advertiser 14</x:v>
      </x:c>
      <x:c r="C2508" s="1" t="n">
        <x:f>Source!C2502</x:f>
        <x:v>74</x:v>
      </x:c>
      <x:c r="D2508" s="8" t="n">
        <x:f>Source!D2502/100</x:f>
        <x:v>64.8</x:v>
      </x:c>
      <x:c r="E2508" s="8" t="n">
        <x:f>Source!E2502/100</x:f>
        <x:v>79.8</x:v>
      </x:c>
      <x:c r="F2508" s="8" t="n">
        <x:f>Source!F2502/100</x:f>
        <x:v>0</x:v>
      </x:c>
      <x:c r="G2508" s="8" t="n">
        <x:f>Source!G2502/100</x:f>
        <x:v>79.8</x:v>
      </x:c>
      <x:c r="H2508" s="8" t="n">
        <x:f>G2508-D2508</x:f>
        <x:v>15</x:v>
      </x:c>
      <x:c r="I2508" s="1" t="str">
        <x:f>IF(H2508&gt;0,"Overbilled","Shortfall")</x:f>
        <x:v>Overbilled</x:v>
      </x:c>
      <x:c r="J2508" s="7"/>
      <x:c r="K2508" s="7" t="str">
        <x:v>Open</x:v>
      </x:c>
      <x:c r="L2508" s="7"/>
    </x:row>
    <x:row r="2509" ht="21" customHeight="1">
      <x:c r="A2509" s="1" t="str">
        <x:f>Source!A2503</x:f>
        <x:v>C0017155</x:v>
      </x:c>
      <x:c r="B2509" s="1" t="str">
        <x:f>_xlfn.IFNA(VLOOKUP(Source!B2503,Advertisers!$A$5:$B$34,2,FALSE),"Missing advertiser")</x:f>
        <x:v>Synthetic advertiser 24</x:v>
      </x:c>
      <x:c r="C2509" s="1" t="n">
        <x:f>Source!C2503</x:f>
        <x:v>54</x:v>
      </x:c>
      <x:c r="D2509" s="8" t="n">
        <x:f>Source!D2503/100</x:f>
        <x:v>84.62</x:v>
      </x:c>
      <x:c r="E2509" s="8" t="n">
        <x:f>Source!E2503/100</x:f>
        <x:v>99.62</x:v>
      </x:c>
      <x:c r="F2509" s="8" t="n">
        <x:f>Source!F2503/100</x:f>
        <x:v>0</x:v>
      </x:c>
      <x:c r="G2509" s="8" t="n">
        <x:f>Source!G2503/100</x:f>
        <x:v>99.62</x:v>
      </x:c>
      <x:c r="H2509" s="8" t="n">
        <x:f>G2509-D2509</x:f>
        <x:v>15</x:v>
      </x:c>
      <x:c r="I2509" s="1" t="str">
        <x:f>IF(H2509&gt;0,"Overbilled","Shortfall")</x:f>
        <x:v>Overbilled</x:v>
      </x:c>
      <x:c r="J2509" s="7"/>
      <x:c r="K2509" s="7" t="str">
        <x:v>Open</x:v>
      </x:c>
      <x:c r="L2509" s="7"/>
    </x:row>
    <x:row r="2510" ht="21" customHeight="1">
      <x:c r="A2510" s="1" t="str">
        <x:f>Source!A2504</x:f>
        <x:v>C0017167</x:v>
      </x:c>
      <x:c r="B2510" s="1" t="str">
        <x:f>_xlfn.IFNA(VLOOKUP(Source!B2504,Advertisers!$A$5:$B$34,2,FALSE),"Missing advertiser")</x:f>
        <x:v>Synthetic advertiser 19</x:v>
      </x:c>
      <x:c r="C2510" s="1" t="n">
        <x:f>Source!C2504</x:f>
        <x:v>49</x:v>
      </x:c>
      <x:c r="D2510" s="8" t="n">
        <x:f>Source!D2504/100</x:f>
        <x:v>229.41</x:v>
      </x:c>
      <x:c r="E2510" s="8" t="n">
        <x:f>Source!E2504/100</x:f>
        <x:v>244.41</x:v>
      </x:c>
      <x:c r="F2510" s="8" t="n">
        <x:f>Source!F2504/100</x:f>
        <x:v>0</x:v>
      </x:c>
      <x:c r="G2510" s="8" t="n">
        <x:f>Source!G2504/100</x:f>
        <x:v>244.41</x:v>
      </x:c>
      <x:c r="H2510" s="8" t="n">
        <x:f>G2510-D2510</x:f>
        <x:v>15</x:v>
      </x:c>
      <x:c r="I2510" s="1" t="str">
        <x:f>IF(H2510&gt;0,"Overbilled","Shortfall")</x:f>
        <x:v>Overbilled</x:v>
      </x:c>
      <x:c r="J2510" s="7"/>
      <x:c r="K2510" s="7" t="str">
        <x:v>Open</x:v>
      </x:c>
      <x:c r="L2510" s="7"/>
    </x:row>
    <x:row r="2511" ht="21" customHeight="1">
      <x:c r="A2511" s="1" t="str">
        <x:f>Source!A2505</x:f>
        <x:v>C0017212</x:v>
      </x:c>
      <x:c r="B2511" s="1" t="str">
        <x:f>_xlfn.IFNA(VLOOKUP(Source!B2505,Advertisers!$A$5:$B$34,2,FALSE),"Missing advertiser")</x:f>
        <x:v>Synthetic advertiser 4</x:v>
      </x:c>
      <x:c r="C2511" s="1" t="n">
        <x:f>Source!C2505</x:f>
        <x:v>34</x:v>
      </x:c>
      <x:c r="D2511" s="8" t="n">
        <x:f>Source!D2505/100</x:f>
        <x:v>154.75</x:v>
      </x:c>
      <x:c r="E2511" s="8" t="n">
        <x:f>Source!E2505/100</x:f>
        <x:v>169.75</x:v>
      </x:c>
      <x:c r="F2511" s="8" t="n">
        <x:f>Source!F2505/100</x:f>
        <x:v>0</x:v>
      </x:c>
      <x:c r="G2511" s="8" t="n">
        <x:f>Source!G2505/100</x:f>
        <x:v>169.75</x:v>
      </x:c>
      <x:c r="H2511" s="8" t="n">
        <x:f>G2511-D2511</x:f>
        <x:v>15</x:v>
      </x:c>
      <x:c r="I2511" s="1" t="str">
        <x:f>IF(H2511&gt;0,"Overbilled","Shortfall")</x:f>
        <x:v>Overbilled</x:v>
      </x:c>
      <x:c r="J2511" s="7"/>
      <x:c r="K2511" s="7" t="str">
        <x:v>Open</x:v>
      </x:c>
      <x:c r="L2511" s="7"/>
    </x:row>
    <x:row r="2512" ht="21" customHeight="1">
      <x:c r="A2512" s="1" t="str">
        <x:f>Source!A2506</x:f>
        <x:v>C0000594</x:v>
      </x:c>
      <x:c r="B2512" s="1" t="str">
        <x:f>_xlfn.IFNA(VLOOKUP(Source!B2506,Advertisers!$A$5:$B$34,2,FALSE),"Missing advertiser")</x:f>
        <x:v>Synthetic advertiser 26</x:v>
      </x:c>
      <x:c r="C2512" s="1" t="n">
        <x:f>Source!C2506</x:f>
        <x:v>56</x:v>
      </x:c>
      <x:c r="D2512" s="8" t="n">
        <x:f>Source!D2506/100</x:f>
        <x:v>244.69</x:v>
      </x:c>
      <x:c r="E2512" s="8" t="n">
        <x:f>Source!E2506/100</x:f>
        <x:v>259.69</x:v>
      </x:c>
      <x:c r="F2512" s="8" t="n">
        <x:f>Source!F2506/100</x:f>
        <x:v>0</x:v>
      </x:c>
      <x:c r="G2512" s="8" t="n">
        <x:f>Source!G2506/100</x:f>
        <x:v>259.69</x:v>
      </x:c>
      <x:c r="H2512" s="8" t="n">
        <x:f>G2512-D2512</x:f>
        <x:v>15</x:v>
      </x:c>
      <x:c r="I2512" s="1" t="str">
        <x:f>IF(H2512&gt;0,"Overbilled","Shortfall")</x:f>
        <x:v>Overbilled</x:v>
      </x:c>
      <x:c r="J2512" s="7"/>
      <x:c r="K2512" s="7" t="str">
        <x:v>Open</x:v>
      </x:c>
      <x:c r="L2512" s="7"/>
    </x:row>
    <x:row r="2513" ht="21" customHeight="1">
      <x:c r="A2513" s="1" t="str">
        <x:f>Source!A2507</x:f>
        <x:v>C0000607</x:v>
      </x:c>
      <x:c r="B2513" s="1" t="str">
        <x:f>_xlfn.IFNA(VLOOKUP(Source!B2507,Advertisers!$A$5:$B$34,2,FALSE),"Missing advertiser")</x:f>
        <x:v>Synthetic advertiser 19</x:v>
      </x:c>
      <x:c r="C2513" s="1" t="n">
        <x:f>Source!C2507</x:f>
        <x:v>109</x:v>
      </x:c>
      <x:c r="D2513" s="8" t="n">
        <x:f>Source!D2507/100</x:f>
        <x:v>140.87</x:v>
      </x:c>
      <x:c r="E2513" s="8" t="n">
        <x:f>Source!E2507/100</x:f>
        <x:v>155.87</x:v>
      </x:c>
      <x:c r="F2513" s="8" t="n">
        <x:f>Source!F2507/100</x:f>
        <x:v>0</x:v>
      </x:c>
      <x:c r="G2513" s="8" t="n">
        <x:f>Source!G2507/100</x:f>
        <x:v>155.87</x:v>
      </x:c>
      <x:c r="H2513" s="8" t="n">
        <x:f>G2513-D2513</x:f>
        <x:v>15</x:v>
      </x:c>
      <x:c r="I2513" s="1" t="str">
        <x:f>IF(H2513&gt;0,"Overbilled","Shortfall")</x:f>
        <x:v>Overbilled</x:v>
      </x:c>
      <x:c r="J2513" s="7"/>
      <x:c r="K2513" s="7" t="str">
        <x:v>Open</x:v>
      </x:c>
      <x:c r="L2513" s="7"/>
    </x:row>
    <x:row r="2514" ht="21" customHeight="1">
      <x:c r="A2514" s="1" t="str">
        <x:f>Source!A2508</x:f>
        <x:v>C0009636</x:v>
      </x:c>
      <x:c r="B2514" s="1" t="str">
        <x:f>_xlfn.IFNA(VLOOKUP(Source!B2508,Advertisers!$A$5:$B$34,2,FALSE),"Missing advertiser")</x:f>
        <x:v>Synthetic advertiser 6</x:v>
      </x:c>
      <x:c r="C2514" s="1" t="n">
        <x:f>Source!C2508</x:f>
        <x:v>96</x:v>
      </x:c>
      <x:c r="D2514" s="8" t="n">
        <x:f>Source!D2508/100</x:f>
        <x:v>229.46</x:v>
      </x:c>
      <x:c r="E2514" s="8" t="n">
        <x:f>Source!E2508/100</x:f>
        <x:v>244.46</x:v>
      </x:c>
      <x:c r="F2514" s="8" t="n">
        <x:f>Source!F2508/100</x:f>
        <x:v>0</x:v>
      </x:c>
      <x:c r="G2514" s="8" t="n">
        <x:f>Source!G2508/100</x:f>
        <x:v>244.46</x:v>
      </x:c>
      <x:c r="H2514" s="8" t="n">
        <x:f>G2514-D2514</x:f>
        <x:v>15</x:v>
      </x:c>
      <x:c r="I2514" s="1" t="str">
        <x:f>IF(H2514&gt;0,"Overbilled","Shortfall")</x:f>
        <x:v>Overbilled</x:v>
      </x:c>
      <x:c r="J2514" s="7"/>
      <x:c r="K2514" s="7" t="str">
        <x:v>Open</x:v>
      </x:c>
      <x:c r="L2514" s="7"/>
    </x:row>
    <x:row r="2515" ht="21" customHeight="1">
      <x:c r="A2515" s="1" t="str">
        <x:f>Source!A2509</x:f>
        <x:v>C0009930</x:v>
      </x:c>
      <x:c r="B2515" s="1" t="str">
        <x:f>_xlfn.IFNA(VLOOKUP(Source!B2509,Advertisers!$A$5:$B$34,2,FALSE),"Missing advertiser")</x:f>
        <x:v>Synthetic advertiser 2</x:v>
      </x:c>
      <x:c r="C2515" s="1" t="n">
        <x:f>Source!C2509</x:f>
        <x:v>62</x:v>
      </x:c>
      <x:c r="D2515" s="8" t="n">
        <x:f>Source!D2509/100</x:f>
        <x:v>248.9</x:v>
      </x:c>
      <x:c r="E2515" s="8" t="n">
        <x:f>Source!E2509/100</x:f>
        <x:v>263.9</x:v>
      </x:c>
      <x:c r="F2515" s="8" t="n">
        <x:f>Source!F2509/100</x:f>
        <x:v>0</x:v>
      </x:c>
      <x:c r="G2515" s="8" t="n">
        <x:f>Source!G2509/100</x:f>
        <x:v>263.9</x:v>
      </x:c>
      <x:c r="H2515" s="8" t="n">
        <x:f>G2515-D2515</x:f>
        <x:v>14.999999999999972</x:v>
      </x:c>
      <x:c r="I2515" s="1" t="str">
        <x:f>IF(H2515&gt;0,"Overbilled","Shortfall")</x:f>
        <x:v>Overbilled</x:v>
      </x:c>
      <x:c r="J2515" s="7"/>
      <x:c r="K2515" s="7" t="str">
        <x:v>Open</x:v>
      </x:c>
      <x:c r="L2515" s="7"/>
    </x:row>
    <x:row r="2516" ht="21" customHeight="1">
      <x:c r="A2516" s="1" t="str">
        <x:f>Source!A2510</x:f>
        <x:v>C0001025</x:v>
      </x:c>
      <x:c r="B2516" s="1" t="str">
        <x:f>_xlfn.IFNA(VLOOKUP(Source!B2510,Advertisers!$A$5:$B$34,2,FALSE),"Missing advertiser")</x:f>
        <x:v>Synthetic advertiser 9</x:v>
      </x:c>
      <x:c r="C2516" s="1" t="n">
        <x:f>Source!C2510</x:f>
        <x:v>9</x:v>
      </x:c>
      <x:c r="D2516" s="8" t="n">
        <x:f>Source!D2510/100</x:f>
        <x:v>105.31</x:v>
      </x:c>
      <x:c r="E2516" s="8" t="n">
        <x:f>Source!E2510/100</x:f>
        <x:v>120.31</x:v>
      </x:c>
      <x:c r="F2516" s="8" t="n">
        <x:f>Source!F2510/100</x:f>
        <x:v>0</x:v>
      </x:c>
      <x:c r="G2516" s="8" t="n">
        <x:f>Source!G2510/100</x:f>
        <x:v>120.31</x:v>
      </x:c>
      <x:c r="H2516" s="8" t="n">
        <x:f>G2516-D2516</x:f>
        <x:v>15</x:v>
      </x:c>
      <x:c r="I2516" s="1" t="str">
        <x:f>IF(H2516&gt;0,"Overbilled","Shortfall")</x:f>
        <x:v>Overbilled</x:v>
      </x:c>
      <x:c r="J2516" s="7"/>
      <x:c r="K2516" s="7" t="str">
        <x:v>Open</x:v>
      </x:c>
      <x:c r="L2516" s="7"/>
    </x:row>
    <x:row r="2517" ht="21" customHeight="1">
      <x:c r="A2517" s="1" t="str">
        <x:f>Source!A2511</x:f>
        <x:v>C0001097</x:v>
      </x:c>
      <x:c r="B2517" s="1" t="str">
        <x:f>_xlfn.IFNA(VLOOKUP(Source!B2511,Advertisers!$A$5:$B$34,2,FALSE),"Missing advertiser")</x:f>
        <x:v>Synthetic advertiser 3</x:v>
      </x:c>
      <x:c r="C2517" s="1" t="n">
        <x:f>Source!C2511</x:f>
        <x:v>63</x:v>
      </x:c>
      <x:c r="D2517" s="8" t="n">
        <x:f>Source!D2511/100</x:f>
        <x:v>127.57</x:v>
      </x:c>
      <x:c r="E2517" s="8" t="n">
        <x:f>Source!E2511/100</x:f>
        <x:v>142.57</x:v>
      </x:c>
      <x:c r="F2517" s="8" t="n">
        <x:f>Source!F2511/100</x:f>
        <x:v>0</x:v>
      </x:c>
      <x:c r="G2517" s="8" t="n">
        <x:f>Source!G2511/100</x:f>
        <x:v>142.57</x:v>
      </x:c>
      <x:c r="H2517" s="8" t="n">
        <x:f>G2517-D2517</x:f>
        <x:v>15</x:v>
      </x:c>
      <x:c r="I2517" s="1" t="str">
        <x:f>IF(H2517&gt;0,"Overbilled","Shortfall")</x:f>
        <x:v>Overbilled</x:v>
      </x:c>
      <x:c r="J2517" s="7"/>
      <x:c r="K2517" s="7" t="str">
        <x:v>Open</x:v>
      </x:c>
      <x:c r="L2517" s="7"/>
    </x:row>
    <x:row r="2518" ht="21" customHeight="1">
      <x:c r="A2518" s="1" t="str">
        <x:f>Source!A2512</x:f>
        <x:v>C0001133</x:v>
      </x:c>
      <x:c r="B2518" s="1" t="str">
        <x:f>_xlfn.IFNA(VLOOKUP(Source!B2512,Advertisers!$A$5:$B$34,2,FALSE),"Missing advertiser")</x:f>
        <x:v>Synthetic advertiser 24</x:v>
      </x:c>
      <x:c r="C2518" s="1" t="n">
        <x:f>Source!C2512</x:f>
        <x:v>24</x:v>
      </x:c>
      <x:c r="D2518" s="8" t="n">
        <x:f>Source!D2512/100</x:f>
        <x:v>78.78</x:v>
      </x:c>
      <x:c r="E2518" s="8" t="n">
        <x:f>Source!E2512/100</x:f>
        <x:v>93.78</x:v>
      </x:c>
      <x:c r="F2518" s="8" t="n">
        <x:f>Source!F2512/100</x:f>
        <x:v>0</x:v>
      </x:c>
      <x:c r="G2518" s="8" t="n">
        <x:f>Source!G2512/100</x:f>
        <x:v>93.78</x:v>
      </x:c>
      <x:c r="H2518" s="8" t="n">
        <x:f>G2518-D2518</x:f>
        <x:v>15</x:v>
      </x:c>
      <x:c r="I2518" s="1" t="str">
        <x:f>IF(H2518&gt;0,"Overbilled","Shortfall")</x:f>
        <x:v>Overbilled</x:v>
      </x:c>
      <x:c r="J2518" s="7"/>
      <x:c r="K2518" s="7" t="str">
        <x:v>Open</x:v>
      </x:c>
      <x:c r="L2518" s="7"/>
    </x:row>
    <x:row r="2519" ht="21" customHeight="1">
      <x:c r="A2519" s="1" t="str">
        <x:f>Source!A2513</x:f>
        <x:v>C0001212</x:v>
      </x:c>
      <x:c r="B2519" s="1" t="str">
        <x:f>_xlfn.IFNA(VLOOKUP(Source!B2513,Advertisers!$A$5:$B$34,2,FALSE),"Missing advertiser")</x:f>
        <x:v>Synthetic advertiser 9</x:v>
      </x:c>
      <x:c r="C2519" s="1" t="n">
        <x:f>Source!C2513</x:f>
        <x:v>69</x:v>
      </x:c>
      <x:c r="D2519" s="8" t="n">
        <x:f>Source!D2513/100</x:f>
        <x:v>219.6</x:v>
      </x:c>
      <x:c r="E2519" s="8" t="n">
        <x:f>Source!E2513/100</x:f>
        <x:v>234.6</x:v>
      </x:c>
      <x:c r="F2519" s="8" t="n">
        <x:f>Source!F2513/100</x:f>
        <x:v>0</x:v>
      </x:c>
      <x:c r="G2519" s="8" t="n">
        <x:f>Source!G2513/100</x:f>
        <x:v>234.6</x:v>
      </x:c>
      <x:c r="H2519" s="8" t="n">
        <x:f>G2519-D2519</x:f>
        <x:v>15</x:v>
      </x:c>
      <x:c r="I2519" s="1" t="str">
        <x:f>IF(H2519&gt;0,"Overbilled","Shortfall")</x:f>
        <x:v>Overbilled</x:v>
      </x:c>
      <x:c r="J2519" s="7"/>
      <x:c r="K2519" s="7" t="str">
        <x:v>Open</x:v>
      </x:c>
      <x:c r="L2519" s="7"/>
    </x:row>
    <x:row r="2520" ht="21" customHeight="1">
      <x:c r="A2520" s="1" t="str">
        <x:f>Source!A2514</x:f>
        <x:v>C0016881</x:v>
      </x:c>
      <x:c r="B2520" s="1" t="str">
        <x:f>_xlfn.IFNA(VLOOKUP(Source!B2514,Advertisers!$A$5:$B$34,2,FALSE),"Missing advertiser")</x:f>
        <x:v>Synthetic advertiser 7</x:v>
      </x:c>
      <x:c r="C2520" s="1" t="n">
        <x:f>Source!C2514</x:f>
        <x:v>67</x:v>
      </x:c>
      <x:c r="D2520" s="8" t="n">
        <x:f>Source!D2514/100</x:f>
        <x:v>198.74</x:v>
      </x:c>
      <x:c r="E2520" s="8" t="n">
        <x:f>Source!E2514/100</x:f>
        <x:v>213.74</x:v>
      </x:c>
      <x:c r="F2520" s="8" t="n">
        <x:f>Source!F2514/100</x:f>
        <x:v>0</x:v>
      </x:c>
      <x:c r="G2520" s="8" t="n">
        <x:f>Source!G2514/100</x:f>
        <x:v>213.74</x:v>
      </x:c>
      <x:c r="H2520" s="8" t="n">
        <x:f>G2520-D2520</x:f>
        <x:v>15</x:v>
      </x:c>
      <x:c r="I2520" s="1" t="str">
        <x:f>IF(H2520&gt;0,"Overbilled","Shortfall")</x:f>
        <x:v>Overbilled</x:v>
      </x:c>
      <x:c r="J2520" s="7"/>
      <x:c r="K2520" s="7" t="str">
        <x:v>Open</x:v>
      </x:c>
      <x:c r="L2520" s="7"/>
    </x:row>
    <x:row r="2521" ht="21" customHeight="1">
      <x:c r="A2521" s="1" t="str">
        <x:f>Source!A2515</x:f>
        <x:v>C0016888</x:v>
      </x:c>
      <x:c r="B2521" s="1" t="str">
        <x:f>_xlfn.IFNA(VLOOKUP(Source!B2515,Advertisers!$A$5:$B$34,2,FALSE),"Missing advertiser")</x:f>
        <x:v>Synthetic advertiser 22</x:v>
      </x:c>
      <x:c r="C2521" s="1" t="n">
        <x:f>Source!C2515</x:f>
        <x:v>22</x:v>
      </x:c>
      <x:c r="D2521" s="8" t="n">
        <x:f>Source!D2515/100</x:f>
        <x:v>457.38</x:v>
      </x:c>
      <x:c r="E2521" s="8" t="n">
        <x:f>Source!E2515/100</x:f>
        <x:v>472.38</x:v>
      </x:c>
      <x:c r="F2521" s="8" t="n">
        <x:f>Source!F2515/100</x:f>
        <x:v>0</x:v>
      </x:c>
      <x:c r="G2521" s="8" t="n">
        <x:f>Source!G2515/100</x:f>
        <x:v>472.38</x:v>
      </x:c>
      <x:c r="H2521" s="8" t="n">
        <x:f>G2521-D2521</x:f>
        <x:v>15</x:v>
      </x:c>
      <x:c r="I2521" s="1" t="str">
        <x:f>IF(H2521&gt;0,"Overbilled","Shortfall")</x:f>
        <x:v>Overbilled</x:v>
      </x:c>
      <x:c r="J2521" s="7"/>
      <x:c r="K2521" s="7" t="str">
        <x:v>Open</x:v>
      </x:c>
      <x:c r="L2521" s="7"/>
    </x:row>
    <x:row r="2522" ht="21" customHeight="1">
      <x:c r="A2522" s="1" t="str">
        <x:f>Source!A2516</x:f>
        <x:v>C0016891</x:v>
      </x:c>
      <x:c r="B2522" s="1" t="str">
        <x:f>_xlfn.IFNA(VLOOKUP(Source!B2516,Advertisers!$A$5:$B$34,2,FALSE),"Missing advertiser")</x:f>
        <x:v>Synthetic advertiser 23</x:v>
      </x:c>
      <x:c r="C2522" s="1" t="n">
        <x:f>Source!C2516</x:f>
        <x:v>23</x:v>
      </x:c>
      <x:c r="D2522" s="8" t="n">
        <x:f>Source!D2516/100</x:f>
        <x:v>199.35</x:v>
      </x:c>
      <x:c r="E2522" s="8" t="n">
        <x:f>Source!E2516/100</x:f>
        <x:v>214.35</x:v>
      </x:c>
      <x:c r="F2522" s="8" t="n">
        <x:f>Source!F2516/100</x:f>
        <x:v>0</x:v>
      </x:c>
      <x:c r="G2522" s="8" t="n">
        <x:f>Source!G2516/100</x:f>
        <x:v>214.35</x:v>
      </x:c>
      <x:c r="H2522" s="8" t="n">
        <x:f>G2522-D2522</x:f>
        <x:v>15</x:v>
      </x:c>
      <x:c r="I2522" s="1" t="str">
        <x:f>IF(H2522&gt;0,"Overbilled","Shortfall")</x:f>
        <x:v>Overbilled</x:v>
      </x:c>
      <x:c r="J2522" s="7"/>
      <x:c r="K2522" s="7" t="str">
        <x:v>Open</x:v>
      </x:c>
      <x:c r="L2522" s="7"/>
    </x:row>
    <x:row r="2523" ht="21" customHeight="1">
      <x:c r="A2523" s="1" t="str">
        <x:f>Source!A2517</x:f>
        <x:v>C0016912</x:v>
      </x:c>
      <x:c r="B2523" s="1" t="str">
        <x:f>_xlfn.IFNA(VLOOKUP(Source!B2517,Advertisers!$A$5:$B$34,2,FALSE),"Missing advertiser")</x:f>
        <x:v>Synthetic advertiser 18</x:v>
      </x:c>
      <x:c r="C2523" s="1" t="n">
        <x:f>Source!C2517</x:f>
        <x:v>48</x:v>
      </x:c>
      <x:c r="D2523" s="8" t="n">
        <x:f>Source!D2517/100</x:f>
        <x:v>412.52</x:v>
      </x:c>
      <x:c r="E2523" s="8" t="n">
        <x:f>Source!E2517/100</x:f>
        <x:v>427.52</x:v>
      </x:c>
      <x:c r="F2523" s="8" t="n">
        <x:f>Source!F2517/100</x:f>
        <x:v>0</x:v>
      </x:c>
      <x:c r="G2523" s="8" t="n">
        <x:f>Source!G2517/100</x:f>
        <x:v>427.52</x:v>
      </x:c>
      <x:c r="H2523" s="8" t="n">
        <x:f>G2523-D2523</x:f>
        <x:v>15</x:v>
      </x:c>
      <x:c r="I2523" s="1" t="str">
        <x:f>IF(H2523&gt;0,"Overbilled","Shortfall")</x:f>
        <x:v>Overbilled</x:v>
      </x:c>
      <x:c r="J2523" s="7"/>
      <x:c r="K2523" s="7" t="str">
        <x:v>Open</x:v>
      </x:c>
      <x:c r="L2523" s="7"/>
    </x:row>
    <x:row r="2524" ht="21" customHeight="1">
      <x:c r="A2524" s="1" t="str">
        <x:f>Source!A2518</x:f>
        <x:v>C0016932</x:v>
      </x:c>
      <x:c r="B2524" s="1" t="str">
        <x:f>_xlfn.IFNA(VLOOKUP(Source!B2518,Advertisers!$A$5:$B$34,2,FALSE),"Missing advertiser")</x:f>
        <x:v>Synthetic advertiser 26</x:v>
      </x:c>
      <x:c r="C2524" s="1" t="n">
        <x:f>Source!C2518</x:f>
        <x:v>56</x:v>
      </x:c>
      <x:c r="D2524" s="8" t="n">
        <x:f>Source!D2518/100</x:f>
        <x:v>110.94</x:v>
      </x:c>
      <x:c r="E2524" s="8" t="n">
        <x:f>Source!E2518/100</x:f>
        <x:v>125.94</x:v>
      </x:c>
      <x:c r="F2524" s="8" t="n">
        <x:f>Source!F2518/100</x:f>
        <x:v>0</x:v>
      </x:c>
      <x:c r="G2524" s="8" t="n">
        <x:f>Source!G2518/100</x:f>
        <x:v>125.94</x:v>
      </x:c>
      <x:c r="H2524" s="8" t="n">
        <x:f>G2524-D2524</x:f>
        <x:v>15</x:v>
      </x:c>
      <x:c r="I2524" s="1" t="str">
        <x:f>IF(H2524&gt;0,"Overbilled","Shortfall")</x:f>
        <x:v>Overbilled</x:v>
      </x:c>
      <x:c r="J2524" s="7"/>
      <x:c r="K2524" s="7" t="str">
        <x:v>Open</x:v>
      </x:c>
      <x:c r="L2524" s="7"/>
    </x:row>
    <x:row r="2525" ht="21" customHeight="1">
      <x:c r="A2525" s="1" t="str">
        <x:f>Source!A2519</x:f>
        <x:v>C0016972</x:v>
      </x:c>
      <x:c r="B2525" s="1" t="str">
        <x:f>_xlfn.IFNA(VLOOKUP(Source!B2519,Advertisers!$A$5:$B$34,2,FALSE),"Missing advertiser")</x:f>
        <x:v>Synthetic advertiser 4</x:v>
      </x:c>
      <x:c r="C2525" s="1" t="n">
        <x:f>Source!C2519</x:f>
        <x:v>64</x:v>
      </x:c>
      <x:c r="D2525" s="8" t="n">
        <x:f>Source!D2519/100</x:f>
        <x:v>483.22</x:v>
      </x:c>
      <x:c r="E2525" s="8" t="n">
        <x:f>Source!E2519/100</x:f>
        <x:v>498.22</x:v>
      </x:c>
      <x:c r="F2525" s="8" t="n">
        <x:f>Source!F2519/100</x:f>
        <x:v>0</x:v>
      </x:c>
      <x:c r="G2525" s="8" t="n">
        <x:f>Source!G2519/100</x:f>
        <x:v>498.22</x:v>
      </x:c>
      <x:c r="H2525" s="8" t="n">
        <x:f>G2525-D2525</x:f>
        <x:v>15</x:v>
      </x:c>
      <x:c r="I2525" s="1" t="str">
        <x:f>IF(H2525&gt;0,"Overbilled","Shortfall")</x:f>
        <x:v>Overbilled</x:v>
      </x:c>
      <x:c r="J2525" s="7"/>
      <x:c r="K2525" s="7" t="str">
        <x:v>Open</x:v>
      </x:c>
      <x:c r="L2525" s="7"/>
    </x:row>
    <x:row r="2526" ht="21" customHeight="1">
      <x:c r="A2526" s="1" t="str">
        <x:f>Source!A2520</x:f>
        <x:v>C0017016</x:v>
      </x:c>
      <x:c r="B2526" s="1" t="str">
        <x:f>_xlfn.IFNA(VLOOKUP(Source!B2520,Advertisers!$A$5:$B$34,2,FALSE),"Missing advertiser")</x:f>
        <x:v>Synthetic advertiser 11</x:v>
      </x:c>
      <x:c r="C2526" s="1" t="n">
        <x:f>Source!C2520</x:f>
        <x:v>101</x:v>
      </x:c>
      <x:c r="D2526" s="8" t="n">
        <x:f>Source!D2520/100</x:f>
        <x:v>493.42</x:v>
      </x:c>
      <x:c r="E2526" s="8" t="n">
        <x:f>Source!E2520/100</x:f>
        <x:v>508.42</x:v>
      </x:c>
      <x:c r="F2526" s="8" t="n">
        <x:f>Source!F2520/100</x:f>
        <x:v>0</x:v>
      </x:c>
      <x:c r="G2526" s="8" t="n">
        <x:f>Source!G2520/100</x:f>
        <x:v>508.42</x:v>
      </x:c>
      <x:c r="H2526" s="8" t="n">
        <x:f>G2526-D2526</x:f>
        <x:v>15</x:v>
      </x:c>
      <x:c r="I2526" s="1" t="str">
        <x:f>IF(H2526&gt;0,"Overbilled","Shortfall")</x:f>
        <x:v>Overbilled</x:v>
      </x:c>
      <x:c r="J2526" s="7"/>
      <x:c r="K2526" s="7" t="str">
        <x:v>Open</x:v>
      </x:c>
      <x:c r="L2526" s="7"/>
    </x:row>
    <x:row r="2527" ht="21" customHeight="1">
      <x:c r="A2527" s="1" t="str">
        <x:f>Source!A2521</x:f>
        <x:v>C0009555</x:v>
      </x:c>
      <x:c r="B2527" s="1" t="str">
        <x:f>_xlfn.IFNA(VLOOKUP(Source!B2521,Advertisers!$A$5:$B$34,2,FALSE),"Missing advertiser")</x:f>
        <x:v>Synthetic advertiser 11</x:v>
      </x:c>
      <x:c r="C2527" s="1" t="n">
        <x:f>Source!C2521</x:f>
        <x:v>11</x:v>
      </x:c>
      <x:c r="D2527" s="8" t="n">
        <x:f>Source!D2521/100</x:f>
        <x:v>193.41</x:v>
      </x:c>
      <x:c r="E2527" s="8" t="n">
        <x:f>Source!E2521/100</x:f>
        <x:v>208.41</x:v>
      </x:c>
      <x:c r="F2527" s="8" t="n">
        <x:f>Source!F2521/100</x:f>
        <x:v>0</x:v>
      </x:c>
      <x:c r="G2527" s="8" t="n">
        <x:f>Source!G2521/100</x:f>
        <x:v>208.41</x:v>
      </x:c>
      <x:c r="H2527" s="8" t="n">
        <x:f>G2527-D2527</x:f>
        <x:v>15</x:v>
      </x:c>
      <x:c r="I2527" s="1" t="str">
        <x:f>IF(H2527&gt;0,"Overbilled","Shortfall")</x:f>
        <x:v>Overbilled</x:v>
      </x:c>
      <x:c r="J2527" s="7"/>
      <x:c r="K2527" s="7" t="str">
        <x:v>Open</x:v>
      </x:c>
      <x:c r="L2527" s="7"/>
    </x:row>
    <x:row r="2528" ht="21" customHeight="1">
      <x:c r="A2528" s="1" t="str">
        <x:f>Source!A2522</x:f>
        <x:v>C0000784</x:v>
      </x:c>
      <x:c r="B2528" s="1" t="str">
        <x:f>_xlfn.IFNA(VLOOKUP(Source!B2522,Advertisers!$A$5:$B$34,2,FALSE),"Missing advertiser")</x:f>
        <x:v>Synthetic advertiser 11</x:v>
      </x:c>
      <x:c r="C2528" s="1" t="n">
        <x:f>Source!C2522</x:f>
        <x:v>71</x:v>
      </x:c>
      <x:c r="D2528" s="8" t="n">
        <x:f>Source!D2522/100</x:f>
        <x:v>192.7</x:v>
      </x:c>
      <x:c r="E2528" s="8" t="n">
        <x:f>Source!E2522/100</x:f>
        <x:v>207.7</x:v>
      </x:c>
      <x:c r="F2528" s="8" t="n">
        <x:f>Source!F2522/100</x:f>
        <x:v>0</x:v>
      </x:c>
      <x:c r="G2528" s="8" t="n">
        <x:f>Source!G2522/100</x:f>
        <x:v>207.7</x:v>
      </x:c>
      <x:c r="H2528" s="8" t="n">
        <x:f>G2528-D2528</x:f>
        <x:v>15</x:v>
      </x:c>
      <x:c r="I2528" s="1" t="str">
        <x:f>IF(H2528&gt;0,"Overbilled","Shortfall")</x:f>
        <x:v>Overbilled</x:v>
      </x:c>
      <x:c r="J2528" s="7"/>
      <x:c r="K2528" s="7" t="str">
        <x:v>Open</x:v>
      </x:c>
      <x:c r="L2528" s="7"/>
    </x:row>
    <x:row r="2529" ht="21" customHeight="1">
      <x:c r="A2529" s="1" t="str">
        <x:f>Source!A2523</x:f>
        <x:v>C0000786</x:v>
      </x:c>
      <x:c r="B2529" s="1" t="str">
        <x:f>_xlfn.IFNA(VLOOKUP(Source!B2523,Advertisers!$A$5:$B$34,2,FALSE),"Missing advertiser")</x:f>
        <x:v>Synthetic advertiser 24</x:v>
      </x:c>
      <x:c r="C2529" s="1" t="n">
        <x:f>Source!C2523</x:f>
        <x:v>24</x:v>
      </x:c>
      <x:c r="D2529" s="8" t="n">
        <x:f>Source!D2523/100</x:f>
        <x:v>114.08</x:v>
      </x:c>
      <x:c r="E2529" s="8" t="n">
        <x:f>Source!E2523/100</x:f>
        <x:v>129.08</x:v>
      </x:c>
      <x:c r="F2529" s="8" t="n">
        <x:f>Source!F2523/100</x:f>
        <x:v>0</x:v>
      </x:c>
      <x:c r="G2529" s="8" t="n">
        <x:f>Source!G2523/100</x:f>
        <x:v>129.08</x:v>
      </x:c>
      <x:c r="H2529" s="8" t="n">
        <x:f>G2529-D2529</x:f>
        <x:v>15.000000000000014</x:v>
      </x:c>
      <x:c r="I2529" s="1" t="str">
        <x:f>IF(H2529&gt;0,"Overbilled","Shortfall")</x:f>
        <x:v>Overbilled</x:v>
      </x:c>
      <x:c r="J2529" s="7"/>
      <x:c r="K2529" s="7" t="str">
        <x:v>Open</x:v>
      </x:c>
      <x:c r="L2529" s="7"/>
    </x:row>
    <x:row r="2530" ht="21" customHeight="1">
      <x:c r="A2530" s="1" t="str">
        <x:f>Source!A2524</x:f>
        <x:v>C0000789</x:v>
      </x:c>
      <x:c r="B2530" s="1" t="str">
        <x:f>_xlfn.IFNA(VLOOKUP(Source!B2524,Advertisers!$A$5:$B$34,2,FALSE),"Missing advertiser")</x:f>
        <x:v>Synthetic advertiser 4</x:v>
      </x:c>
      <x:c r="C2530" s="1" t="n">
        <x:f>Source!C2524</x:f>
        <x:v>4</x:v>
      </x:c>
      <x:c r="D2530" s="8" t="n">
        <x:f>Source!D2524/100</x:f>
        <x:v>80.85</x:v>
      </x:c>
      <x:c r="E2530" s="8" t="n">
        <x:f>Source!E2524/100</x:f>
        <x:v>95.85</x:v>
      </x:c>
      <x:c r="F2530" s="8" t="n">
        <x:f>Source!F2524/100</x:f>
        <x:v>0</x:v>
      </x:c>
      <x:c r="G2530" s="8" t="n">
        <x:f>Source!G2524/100</x:f>
        <x:v>95.85</x:v>
      </x:c>
      <x:c r="H2530" s="8" t="n">
        <x:f>G2530-D2530</x:f>
        <x:v>15</x:v>
      </x:c>
      <x:c r="I2530" s="1" t="str">
        <x:f>IF(H2530&gt;0,"Overbilled","Shortfall")</x:f>
        <x:v>Overbilled</x:v>
      </x:c>
      <x:c r="J2530" s="7"/>
      <x:c r="K2530" s="7" t="str">
        <x:v>Open</x:v>
      </x:c>
      <x:c r="L2530" s="7"/>
    </x:row>
    <x:row r="2531" ht="21" customHeight="1">
      <x:c r="A2531" s="1" t="str">
        <x:f>Source!A2525</x:f>
        <x:v>C0000823</x:v>
      </x:c>
      <x:c r="B2531" s="1" t="str">
        <x:f>_xlfn.IFNA(VLOOKUP(Source!B2525,Advertisers!$A$5:$B$34,2,FALSE),"Missing advertiser")</x:f>
        <x:v>Synthetic advertiser 1</x:v>
      </x:c>
      <x:c r="C2531" s="1" t="n">
        <x:f>Source!C2525</x:f>
        <x:v>91</x:v>
      </x:c>
      <x:c r="D2531" s="8" t="n">
        <x:f>Source!D2525/100</x:f>
        <x:v>98.33</x:v>
      </x:c>
      <x:c r="E2531" s="8" t="n">
        <x:f>Source!E2525/100</x:f>
        <x:v>113.33</x:v>
      </x:c>
      <x:c r="F2531" s="8" t="n">
        <x:f>Source!F2525/100</x:f>
        <x:v>0</x:v>
      </x:c>
      <x:c r="G2531" s="8" t="n">
        <x:f>Source!G2525/100</x:f>
        <x:v>113.33</x:v>
      </x:c>
      <x:c r="H2531" s="8" t="n">
        <x:f>G2531-D2531</x:f>
        <x:v>15</x:v>
      </x:c>
      <x:c r="I2531" s="1" t="str">
        <x:f>IF(H2531&gt;0,"Overbilled","Shortfall")</x:f>
        <x:v>Overbilled</x:v>
      </x:c>
      <x:c r="J2531" s="7"/>
      <x:c r="K2531" s="7" t="str">
        <x:v>Open</x:v>
      </x:c>
      <x:c r="L2531" s="7"/>
    </x:row>
    <x:row r="2532" ht="21" customHeight="1">
      <x:c r="A2532" s="1" t="str">
        <x:f>Source!A2526</x:f>
        <x:v>C0000828</x:v>
      </x:c>
      <x:c r="B2532" s="1" t="str">
        <x:f>_xlfn.IFNA(VLOOKUP(Source!B2526,Advertisers!$A$5:$B$34,2,FALSE),"Missing advertiser")</x:f>
        <x:v>Synthetic advertiser 15</x:v>
      </x:c>
      <x:c r="C2532" s="1" t="n">
        <x:f>Source!C2526</x:f>
        <x:v>75</x:v>
      </x:c>
      <x:c r="D2532" s="8" t="n">
        <x:f>Source!D2526/100</x:f>
        <x:v>59.74</x:v>
      </x:c>
      <x:c r="E2532" s="8" t="n">
        <x:f>Source!E2526/100</x:f>
        <x:v>74.74</x:v>
      </x:c>
      <x:c r="F2532" s="8" t="n">
        <x:f>Source!F2526/100</x:f>
        <x:v>0</x:v>
      </x:c>
      <x:c r="G2532" s="8" t="n">
        <x:f>Source!G2526/100</x:f>
        <x:v>74.74</x:v>
      </x:c>
      <x:c r="H2532" s="8" t="n">
        <x:f>G2532-D2532</x:f>
        <x:v>14.999999999999993</x:v>
      </x:c>
      <x:c r="I2532" s="1" t="str">
        <x:f>IF(H2532&gt;0,"Overbilled","Shortfall")</x:f>
        <x:v>Overbilled</x:v>
      </x:c>
      <x:c r="J2532" s="7"/>
      <x:c r="K2532" s="7" t="str">
        <x:v>Open</x:v>
      </x:c>
      <x:c r="L2532" s="7"/>
    </x:row>
    <x:row r="2533" ht="21" customHeight="1">
      <x:c r="A2533" s="1" t="str">
        <x:f>Source!A2527</x:f>
        <x:v>C0000831</x:v>
      </x:c>
      <x:c r="B2533" s="1" t="str">
        <x:f>_xlfn.IFNA(VLOOKUP(Source!B2527,Advertisers!$A$5:$B$34,2,FALSE),"Missing advertiser")</x:f>
        <x:v>Synthetic advertiser 24</x:v>
      </x:c>
      <x:c r="C2533" s="1" t="n">
        <x:f>Source!C2527</x:f>
        <x:v>24</x:v>
      </x:c>
      <x:c r="D2533" s="8" t="n">
        <x:f>Source!D2527/100</x:f>
        <x:v>78.78</x:v>
      </x:c>
      <x:c r="E2533" s="8" t="n">
        <x:f>Source!E2527/100</x:f>
        <x:v>93.78</x:v>
      </x:c>
      <x:c r="F2533" s="8" t="n">
        <x:f>Source!F2527/100</x:f>
        <x:v>0</x:v>
      </x:c>
      <x:c r="G2533" s="8" t="n">
        <x:f>Source!G2527/100</x:f>
        <x:v>93.78</x:v>
      </x:c>
      <x:c r="H2533" s="8" t="n">
        <x:f>G2533-D2533</x:f>
        <x:v>15</x:v>
      </x:c>
      <x:c r="I2533" s="1" t="str">
        <x:f>IF(H2533&gt;0,"Overbilled","Shortfall")</x:f>
        <x:v>Overbilled</x:v>
      </x:c>
      <x:c r="J2533" s="7"/>
      <x:c r="K2533" s="7" t="str">
        <x:v>Open</x:v>
      </x:c>
      <x:c r="L2533" s="7"/>
    </x:row>
    <x:row r="2534" ht="21" customHeight="1">
      <x:c r="A2534" s="1" t="str">
        <x:f>Source!A2528</x:f>
        <x:v>C0000837</x:v>
      </x:c>
      <x:c r="B2534" s="1" t="str">
        <x:f>_xlfn.IFNA(VLOOKUP(Source!B2528,Advertisers!$A$5:$B$34,2,FALSE),"Missing advertiser")</x:f>
        <x:v>Synthetic advertiser 24</x:v>
      </x:c>
      <x:c r="C2534" s="1" t="n">
        <x:f>Source!C2528</x:f>
        <x:v>84</x:v>
      </x:c>
      <x:c r="D2534" s="8" t="n">
        <x:f>Source!D2528/100</x:f>
        <x:v>137.68</x:v>
      </x:c>
      <x:c r="E2534" s="8" t="n">
        <x:f>Source!E2528/100</x:f>
        <x:v>152.68</x:v>
      </x:c>
      <x:c r="F2534" s="8" t="n">
        <x:f>Source!F2528/100</x:f>
        <x:v>0</x:v>
      </x:c>
      <x:c r="G2534" s="8" t="n">
        <x:f>Source!G2528/100</x:f>
        <x:v>152.68</x:v>
      </x:c>
      <x:c r="H2534" s="8" t="n">
        <x:f>G2534-D2534</x:f>
        <x:v>15</x:v>
      </x:c>
      <x:c r="I2534" s="1" t="str">
        <x:f>IF(H2534&gt;0,"Overbilled","Shortfall")</x:f>
        <x:v>Overbilled</x:v>
      </x:c>
      <x:c r="J2534" s="7"/>
      <x:c r="K2534" s="7" t="str">
        <x:v>Open</x:v>
      </x:c>
      <x:c r="L2534" s="7"/>
    </x:row>
    <x:row r="2535" ht="21" customHeight="1">
      <x:c r="A2535" s="1" t="str">
        <x:f>Source!A2529</x:f>
        <x:v>C0000849</x:v>
      </x:c>
      <x:c r="B2535" s="1" t="str">
        <x:f>_xlfn.IFNA(VLOOKUP(Source!B2529,Advertisers!$A$5:$B$34,2,FALSE),"Missing advertiser")</x:f>
        <x:v>Synthetic advertiser 11</x:v>
      </x:c>
      <x:c r="C2535" s="1" t="n">
        <x:f>Source!C2529</x:f>
        <x:v>11</x:v>
      </x:c>
      <x:c r="D2535" s="8" t="n">
        <x:f>Source!D2529/100</x:f>
        <x:v>80.46</x:v>
      </x:c>
      <x:c r="E2535" s="8" t="n">
        <x:f>Source!E2529/100</x:f>
        <x:v>95.46</x:v>
      </x:c>
      <x:c r="F2535" s="8" t="n">
        <x:f>Source!F2529/100</x:f>
        <x:v>0</x:v>
      </x:c>
      <x:c r="G2535" s="8" t="n">
        <x:f>Source!G2529/100</x:f>
        <x:v>95.46</x:v>
      </x:c>
      <x:c r="H2535" s="8" t="n">
        <x:f>G2535-D2535</x:f>
        <x:v>15</x:v>
      </x:c>
      <x:c r="I2535" s="1" t="str">
        <x:f>IF(H2535&gt;0,"Overbilled","Shortfall")</x:f>
        <x:v>Overbilled</x:v>
      </x:c>
      <x:c r="J2535" s="7"/>
      <x:c r="K2535" s="7" t="str">
        <x:v>Open</x:v>
      </x:c>
      <x:c r="L2535" s="7"/>
    </x:row>
    <x:row r="2536" ht="21" customHeight="1">
      <x:c r="A2536" s="1" t="str">
        <x:f>Source!A2530</x:f>
        <x:v>C0000865</x:v>
      </x:c>
      <x:c r="B2536" s="1" t="str">
        <x:f>_xlfn.IFNA(VLOOKUP(Source!B2530,Advertisers!$A$5:$B$34,2,FALSE),"Missing advertiser")</x:f>
        <x:v>Synthetic advertiser 7</x:v>
      </x:c>
      <x:c r="C2536" s="1" t="n">
        <x:f>Source!C2530</x:f>
        <x:v>97</x:v>
      </x:c>
      <x:c r="D2536" s="8" t="n">
        <x:f>Source!D2530/100</x:f>
        <x:v>168.91</x:v>
      </x:c>
      <x:c r="E2536" s="8" t="n">
        <x:f>Source!E2530/100</x:f>
        <x:v>183.91</x:v>
      </x:c>
      <x:c r="F2536" s="8" t="n">
        <x:f>Source!F2530/100</x:f>
        <x:v>0</x:v>
      </x:c>
      <x:c r="G2536" s="8" t="n">
        <x:f>Source!G2530/100</x:f>
        <x:v>183.91</x:v>
      </x:c>
      <x:c r="H2536" s="8" t="n">
        <x:f>G2536-D2536</x:f>
        <x:v>15</x:v>
      </x:c>
      <x:c r="I2536" s="1" t="str">
        <x:f>IF(H2536&gt;0,"Overbilled","Shortfall")</x:f>
        <x:v>Overbilled</x:v>
      </x:c>
      <x:c r="J2536" s="7"/>
      <x:c r="K2536" s="7" t="str">
        <x:v>Open</x:v>
      </x:c>
      <x:c r="L2536" s="7"/>
    </x:row>
    <x:row r="2537" ht="21" customHeight="1">
      <x:c r="A2537" s="1" t="str">
        <x:f>Source!A2531</x:f>
        <x:v>C0000900</x:v>
      </x:c>
      <x:c r="B2537" s="1" t="str">
        <x:f>_xlfn.IFNA(VLOOKUP(Source!B2531,Advertisers!$A$5:$B$34,2,FALSE),"Missing advertiser")</x:f>
        <x:v>Synthetic advertiser 9</x:v>
      </x:c>
      <x:c r="C2537" s="1" t="n">
        <x:f>Source!C2531</x:f>
        <x:v>69</x:v>
      </x:c>
      <x:c r="D2537" s="8" t="n">
        <x:f>Source!D2531/100</x:f>
        <x:v>219.6</x:v>
      </x:c>
      <x:c r="E2537" s="8" t="n">
        <x:f>Source!E2531/100</x:f>
        <x:v>234.6</x:v>
      </x:c>
      <x:c r="F2537" s="8" t="n">
        <x:f>Source!F2531/100</x:f>
        <x:v>0</x:v>
      </x:c>
      <x:c r="G2537" s="8" t="n">
        <x:f>Source!G2531/100</x:f>
        <x:v>234.6</x:v>
      </x:c>
      <x:c r="H2537" s="8" t="n">
        <x:f>G2537-D2537</x:f>
        <x:v>15</x:v>
      </x:c>
      <x:c r="I2537" s="1" t="str">
        <x:f>IF(H2537&gt;0,"Overbilled","Shortfall")</x:f>
        <x:v>Overbilled</x:v>
      </x:c>
      <x:c r="J2537" s="7"/>
      <x:c r="K2537" s="7" t="str">
        <x:v>Open</x:v>
      </x:c>
      <x:c r="L2537" s="7"/>
    </x:row>
    <x:row r="2538" ht="21" customHeight="1">
      <x:c r="A2538" s="1" t="str">
        <x:f>Source!A2532</x:f>
        <x:v>C0000937</x:v>
      </x:c>
      <x:c r="B2538" s="1" t="str">
        <x:f>_xlfn.IFNA(VLOOKUP(Source!B2532,Advertisers!$A$5:$B$34,2,FALSE),"Missing advertiser")</x:f>
        <x:v>Synthetic advertiser 30</x:v>
      </x:c>
      <x:c r="C2538" s="1" t="n">
        <x:f>Source!C2532</x:f>
        <x:v>120</x:v>
      </x:c>
      <x:c r="D2538" s="8" t="n">
        <x:f>Source!D2532/100</x:f>
        <x:v>237.08</x:v>
      </x:c>
      <x:c r="E2538" s="8" t="n">
        <x:f>Source!E2532/100</x:f>
        <x:v>252.08</x:v>
      </x:c>
      <x:c r="F2538" s="8" t="n">
        <x:f>Source!F2532/100</x:f>
        <x:v>0</x:v>
      </x:c>
      <x:c r="G2538" s="8" t="n">
        <x:f>Source!G2532/100</x:f>
        <x:v>252.08</x:v>
      </x:c>
      <x:c r="H2538" s="8" t="n">
        <x:f>G2538-D2538</x:f>
        <x:v>15</x:v>
      </x:c>
      <x:c r="I2538" s="1" t="str">
        <x:f>IF(H2538&gt;0,"Overbilled","Shortfall")</x:f>
        <x:v>Overbilled</x:v>
      </x:c>
      <x:c r="J2538" s="7"/>
      <x:c r="K2538" s="7" t="str">
        <x:v>Open</x:v>
      </x:c>
      <x:c r="L2538" s="7"/>
    </x:row>
    <x:row r="2539" ht="21" customHeight="1">
      <x:c r="A2539" s="1" t="str">
        <x:f>Source!A2533</x:f>
        <x:v>C0000952</x:v>
      </x:c>
      <x:c r="B2539" s="1" t="str">
        <x:f>_xlfn.IFNA(VLOOKUP(Source!B2533,Advertisers!$A$5:$B$34,2,FALSE),"Missing advertiser")</x:f>
        <x:v>Synthetic advertiser 22</x:v>
      </x:c>
      <x:c r="C2539" s="1" t="n">
        <x:f>Source!C2533</x:f>
        <x:v>82</x:v>
      </x:c>
      <x:c r="D2539" s="8" t="n">
        <x:f>Source!D2533/100</x:f>
        <x:v>228.18</x:v>
      </x:c>
      <x:c r="E2539" s="8" t="n">
        <x:f>Source!E2533/100</x:f>
        <x:v>243.18</x:v>
      </x:c>
      <x:c r="F2539" s="8" t="n">
        <x:f>Source!F2533/100</x:f>
        <x:v>0</x:v>
      </x:c>
      <x:c r="G2539" s="8" t="n">
        <x:f>Source!G2533/100</x:f>
        <x:v>243.18</x:v>
      </x:c>
      <x:c r="H2539" s="8" t="n">
        <x:f>G2539-D2539</x:f>
        <x:v>15</x:v>
      </x:c>
      <x:c r="I2539" s="1" t="str">
        <x:f>IF(H2539&gt;0,"Overbilled","Shortfall")</x:f>
        <x:v>Overbilled</x:v>
      </x:c>
      <x:c r="J2539" s="7"/>
      <x:c r="K2539" s="7" t="str">
        <x:v>Open</x:v>
      </x:c>
      <x:c r="L2539" s="7"/>
    </x:row>
    <x:row r="2540" ht="21" customHeight="1">
      <x:c r="A2540" s="1" t="str">
        <x:f>Source!A2534</x:f>
        <x:v>C0009548</x:v>
      </x:c>
      <x:c r="B2540" s="1" t="str">
        <x:f>_xlfn.IFNA(VLOOKUP(Source!B2534,Advertisers!$A$5:$B$34,2,FALSE),"Missing advertiser")</x:f>
        <x:v>Synthetic advertiser 19</x:v>
      </x:c>
      <x:c r="C2540" s="1" t="n">
        <x:f>Source!C2534</x:f>
        <x:v>79</x:v>
      </x:c>
      <x:c r="D2540" s="8" t="n">
        <x:f>Source!D2534/100</x:f>
        <x:v>134.98</x:v>
      </x:c>
      <x:c r="E2540" s="8" t="n">
        <x:f>Source!E2534/100</x:f>
        <x:v>149.98</x:v>
      </x:c>
      <x:c r="F2540" s="8" t="n">
        <x:f>Source!F2534/100</x:f>
        <x:v>0</x:v>
      </x:c>
      <x:c r="G2540" s="8" t="n">
        <x:f>Source!G2534/100</x:f>
        <x:v>149.98</x:v>
      </x:c>
      <x:c r="H2540" s="8" t="n">
        <x:f>G2540-D2540</x:f>
        <x:v>15</x:v>
      </x:c>
      <x:c r="I2540" s="1" t="str">
        <x:f>IF(H2540&gt;0,"Overbilled","Shortfall")</x:f>
        <x:v>Overbilled</x:v>
      </x:c>
      <x:c r="J2540" s="7"/>
      <x:c r="K2540" s="7" t="str">
        <x:v>Open</x:v>
      </x:c>
      <x:c r="L2540" s="7"/>
    </x:row>
    <x:row r="2541" ht="21" customHeight="1">
      <x:c r="A2541" s="1" t="str">
        <x:f>Source!A2535</x:f>
        <x:v>C0017028</x:v>
      </x:c>
      <x:c r="B2541" s="1" t="str">
        <x:f>_xlfn.IFNA(VLOOKUP(Source!B2535,Advertisers!$A$5:$B$34,2,FALSE),"Missing advertiser")</x:f>
        <x:v>Synthetic advertiser 28</x:v>
      </x:c>
      <x:c r="C2541" s="1" t="n">
        <x:f>Source!C2535</x:f>
        <x:v>88</x:v>
      </x:c>
      <x:c r="D2541" s="8" t="n">
        <x:f>Source!D2535/100</x:f>
        <x:v>222.56</x:v>
      </x:c>
      <x:c r="E2541" s="8" t="n">
        <x:f>Source!E2535/100</x:f>
        <x:v>237.56</x:v>
      </x:c>
      <x:c r="F2541" s="8" t="n">
        <x:f>Source!F2535/100</x:f>
        <x:v>0</x:v>
      </x:c>
      <x:c r="G2541" s="8" t="n">
        <x:f>Source!G2535/100</x:f>
        <x:v>237.56</x:v>
      </x:c>
      <x:c r="H2541" s="8" t="n">
        <x:f>G2541-D2541</x:f>
        <x:v>15</x:v>
      </x:c>
      <x:c r="I2541" s="1" t="str">
        <x:f>IF(H2541&gt;0,"Overbilled","Shortfall")</x:f>
        <x:v>Overbilled</x:v>
      </x:c>
      <x:c r="J2541" s="7"/>
      <x:c r="K2541" s="7" t="str">
        <x:v>Open</x:v>
      </x:c>
      <x:c r="L2541" s="7"/>
    </x:row>
    <x:row r="2542" ht="21" customHeight="1">
      <x:c r="A2542" s="1" t="str">
        <x:f>Source!A2536</x:f>
        <x:v>C0017371</x:v>
      </x:c>
      <x:c r="B2542" s="1" t="str">
        <x:f>_xlfn.IFNA(VLOOKUP(Source!B2536,Advertisers!$A$5:$B$34,2,FALSE),"Missing advertiser")</x:f>
        <x:v>Synthetic advertiser 22</x:v>
      </x:c>
      <x:c r="C2542" s="1" t="n">
        <x:f>Source!C2536</x:f>
        <x:v>112</x:v>
      </x:c>
      <x:c r="D2542" s="8" t="n">
        <x:f>Source!D2536/100</x:f>
        <x:v>398.84</x:v>
      </x:c>
      <x:c r="E2542" s="8" t="n">
        <x:f>Source!E2536/100</x:f>
        <x:v>413.84</x:v>
      </x:c>
      <x:c r="F2542" s="8" t="n">
        <x:f>Source!F2536/100</x:f>
        <x:v>0</x:v>
      </x:c>
      <x:c r="G2542" s="8" t="n">
        <x:f>Source!G2536/100</x:f>
        <x:v>413.84</x:v>
      </x:c>
      <x:c r="H2542" s="8" t="n">
        <x:f>G2542-D2542</x:f>
        <x:v>15</x:v>
      </x:c>
      <x:c r="I2542" s="1" t="str">
        <x:f>IF(H2542&gt;0,"Overbilled","Shortfall")</x:f>
        <x:v>Overbilled</x:v>
      </x:c>
      <x:c r="J2542" s="7"/>
      <x:c r="K2542" s="7" t="str">
        <x:v>Open</x:v>
      </x:c>
      <x:c r="L2542" s="7"/>
    </x:row>
    <x:row r="2543" ht="21" customHeight="1">
      <x:c r="A2543" s="1" t="str">
        <x:f>Source!A2537</x:f>
        <x:v>C0000669</x:v>
      </x:c>
      <x:c r="B2543" s="1" t="str">
        <x:f>_xlfn.IFNA(VLOOKUP(Source!B2537,Advertisers!$A$5:$B$34,2,FALSE),"Missing advertiser")</x:f>
        <x:v>Synthetic advertiser 25</x:v>
      </x:c>
      <x:c r="C2543" s="1" t="n">
        <x:f>Source!C2537</x:f>
        <x:v>25</x:v>
      </x:c>
      <x:c r="D2543" s="8" t="n">
        <x:f>Source!D2537/100</x:f>
        <x:v>53.59</x:v>
      </x:c>
      <x:c r="E2543" s="8" t="n">
        <x:f>Source!E2537/100</x:f>
        <x:v>68.59</x:v>
      </x:c>
      <x:c r="F2543" s="8" t="n">
        <x:f>Source!F2537/100</x:f>
        <x:v>0</x:v>
      </x:c>
      <x:c r="G2543" s="8" t="n">
        <x:f>Source!G2537/100</x:f>
        <x:v>68.59</x:v>
      </x:c>
      <x:c r="H2543" s="8" t="n">
        <x:f>G2543-D2543</x:f>
        <x:v>15</x:v>
      </x:c>
      <x:c r="I2543" s="1" t="str">
        <x:f>IF(H2543&gt;0,"Overbilled","Shortfall")</x:f>
        <x:v>Overbilled</x:v>
      </x:c>
      <x:c r="J2543" s="7"/>
      <x:c r="K2543" s="7" t="str">
        <x:v>Open</x:v>
      </x:c>
      <x:c r="L2543" s="7"/>
    </x:row>
    <x:row r="2544" ht="21" customHeight="1">
      <x:c r="A2544" s="1" t="str">
        <x:f>Source!A2538</x:f>
        <x:v>C0000673</x:v>
      </x:c>
      <x:c r="B2544" s="1" t="str">
        <x:f>_xlfn.IFNA(VLOOKUP(Source!B2538,Advertisers!$A$5:$B$34,2,FALSE),"Missing advertiser")</x:f>
        <x:v>Synthetic advertiser 26</x:v>
      </x:c>
      <x:c r="C2544" s="1" t="n">
        <x:f>Source!C2538</x:f>
        <x:v>86</x:v>
      </x:c>
      <x:c r="D2544" s="8" t="n">
        <x:f>Source!D2538/100</x:f>
        <x:v>112.51</x:v>
      </x:c>
      <x:c r="E2544" s="8" t="n">
        <x:f>Source!E2538/100</x:f>
        <x:v>127.51</x:v>
      </x:c>
      <x:c r="F2544" s="8" t="n">
        <x:f>Source!F2538/100</x:f>
        <x:v>0</x:v>
      </x:c>
      <x:c r="G2544" s="8" t="n">
        <x:f>Source!G2538/100</x:f>
        <x:v>127.51</x:v>
      </x:c>
      <x:c r="H2544" s="8" t="n">
        <x:f>G2544-D2544</x:f>
        <x:v>15</x:v>
      </x:c>
      <x:c r="I2544" s="1" t="str">
        <x:f>IF(H2544&gt;0,"Overbilled","Shortfall")</x:f>
        <x:v>Overbilled</x:v>
      </x:c>
      <x:c r="J2544" s="7"/>
      <x:c r="K2544" s="7" t="str">
        <x:v>Open</x:v>
      </x:c>
      <x:c r="L2544" s="7"/>
    </x:row>
    <x:row r="2545" ht="21" customHeight="1">
      <x:c r="A2545" s="1" t="str">
        <x:f>Source!A2539</x:f>
        <x:v>C0000692</x:v>
      </x:c>
      <x:c r="B2545" s="1" t="str">
        <x:f>_xlfn.IFNA(VLOOKUP(Source!B2539,Advertisers!$A$5:$B$34,2,FALSE),"Missing advertiser")</x:f>
        <x:v>Synthetic advertiser 9</x:v>
      </x:c>
      <x:c r="C2545" s="1" t="n">
        <x:f>Source!C2539</x:f>
        <x:v>99</x:v>
      </x:c>
      <x:c r="D2545" s="8" t="n">
        <x:f>Source!D2539/100</x:f>
        <x:v>57.03</x:v>
      </x:c>
      <x:c r="E2545" s="8" t="n">
        <x:f>Source!E2539/100</x:f>
        <x:v>72.03</x:v>
      </x:c>
      <x:c r="F2545" s="8" t="n">
        <x:f>Source!F2539/100</x:f>
        <x:v>0</x:v>
      </x:c>
      <x:c r="G2545" s="8" t="n">
        <x:f>Source!G2539/100</x:f>
        <x:v>72.03</x:v>
      </x:c>
      <x:c r="H2545" s="8" t="n">
        <x:f>G2545-D2545</x:f>
        <x:v>15</x:v>
      </x:c>
      <x:c r="I2545" s="1" t="str">
        <x:f>IF(H2545&gt;0,"Overbilled","Shortfall")</x:f>
        <x:v>Overbilled</x:v>
      </x:c>
      <x:c r="J2545" s="7"/>
      <x:c r="K2545" s="7" t="str">
        <x:v>Open</x:v>
      </x:c>
      <x:c r="L2545" s="7"/>
    </x:row>
    <x:row r="2546" ht="21" customHeight="1">
      <x:c r="A2546" s="1" t="str">
        <x:f>Source!A2540</x:f>
        <x:v>C0000720</x:v>
      </x:c>
      <x:c r="B2546" s="1" t="str">
        <x:f>_xlfn.IFNA(VLOOKUP(Source!B2540,Advertisers!$A$5:$B$34,2,FALSE),"Missing advertiser")</x:f>
        <x:v>Synthetic advertiser 29</x:v>
      </x:c>
      <x:c r="C2546" s="1" t="n">
        <x:f>Source!C2540</x:f>
        <x:v>89</x:v>
      </x:c>
      <x:c r="D2546" s="8" t="n">
        <x:f>Source!D2540/100</x:f>
        <x:v>95.8</x:v>
      </x:c>
      <x:c r="E2546" s="8" t="n">
        <x:f>Source!E2540/100</x:f>
        <x:v>110.8</x:v>
      </x:c>
      <x:c r="F2546" s="8" t="n">
        <x:f>Source!F2540/100</x:f>
        <x:v>0</x:v>
      </x:c>
      <x:c r="G2546" s="8" t="n">
        <x:f>Source!G2540/100</x:f>
        <x:v>110.8</x:v>
      </x:c>
      <x:c r="H2546" s="8" t="n">
        <x:f>G2546-D2546</x:f>
        <x:v>15</x:v>
      </x:c>
      <x:c r="I2546" s="1" t="str">
        <x:f>IF(H2546&gt;0,"Overbilled","Shortfall")</x:f>
        <x:v>Overbilled</x:v>
      </x:c>
      <x:c r="J2546" s="7"/>
      <x:c r="K2546" s="7" t="str">
        <x:v>Open</x:v>
      </x:c>
      <x:c r="L2546" s="7"/>
    </x:row>
    <x:row r="2547" ht="21" customHeight="1">
      <x:c r="A2547" s="1" t="str">
        <x:f>Source!A2541</x:f>
        <x:v>C0000744</x:v>
      </x:c>
      <x:c r="B2547" s="1" t="str">
        <x:f>_xlfn.IFNA(VLOOKUP(Source!B2541,Advertisers!$A$5:$B$34,2,FALSE),"Missing advertiser")</x:f>
        <x:v>Synthetic advertiser 10</x:v>
      </x:c>
      <x:c r="C2547" s="1" t="n">
        <x:f>Source!C2541</x:f>
        <x:v>100</x:v>
      </x:c>
      <x:c r="D2547" s="8" t="n">
        <x:f>Source!D2541/100</x:f>
        <x:v>68.81</x:v>
      </x:c>
      <x:c r="E2547" s="8" t="n">
        <x:f>Source!E2541/100</x:f>
        <x:v>83.81</x:v>
      </x:c>
      <x:c r="F2547" s="8" t="n">
        <x:f>Source!F2541/100</x:f>
        <x:v>0</x:v>
      </x:c>
      <x:c r="G2547" s="8" t="n">
        <x:f>Source!G2541/100</x:f>
        <x:v>83.81</x:v>
      </x:c>
      <x:c r="H2547" s="8" t="n">
        <x:f>G2547-D2547</x:f>
        <x:v>15</x:v>
      </x:c>
      <x:c r="I2547" s="1" t="str">
        <x:f>IF(H2547&gt;0,"Overbilled","Shortfall")</x:f>
        <x:v>Overbilled</x:v>
      </x:c>
      <x:c r="J2547" s="7"/>
      <x:c r="K2547" s="7" t="str">
        <x:v>Open</x:v>
      </x:c>
      <x:c r="L2547" s="7"/>
    </x:row>
    <x:row r="2548" ht="21" customHeight="1">
      <x:c r="A2548" s="1" t="str">
        <x:f>Source!A2542</x:f>
        <x:v>C0017258</x:v>
      </x:c>
      <x:c r="B2548" s="1" t="str">
        <x:f>_xlfn.IFNA(VLOOKUP(Source!B2542,Advertisers!$A$5:$B$34,2,FALSE),"Missing advertiser")</x:f>
        <x:v>Synthetic advertiser 7</x:v>
      </x:c>
      <x:c r="C2548" s="1" t="n">
        <x:f>Source!C2542</x:f>
        <x:v>67</x:v>
      </x:c>
      <x:c r="D2548" s="8" t="n">
        <x:f>Source!D2542/100</x:f>
        <x:v>198.74</x:v>
      </x:c>
      <x:c r="E2548" s="8" t="n">
        <x:f>Source!E2542/100</x:f>
        <x:v>213.74</x:v>
      </x:c>
      <x:c r="F2548" s="8" t="n">
        <x:f>Source!F2542/100</x:f>
        <x:v>0</x:v>
      </x:c>
      <x:c r="G2548" s="8" t="n">
        <x:f>Source!G2542/100</x:f>
        <x:v>213.74</x:v>
      </x:c>
      <x:c r="H2548" s="8" t="n">
        <x:f>G2548-D2548</x:f>
        <x:v>15</x:v>
      </x:c>
      <x:c r="I2548" s="1" t="str">
        <x:f>IF(H2548&gt;0,"Overbilled","Shortfall")</x:f>
        <x:v>Overbilled</x:v>
      </x:c>
      <x:c r="J2548" s="7"/>
      <x:c r="K2548" s="7" t="str">
        <x:v>Open</x:v>
      </x:c>
      <x:c r="L2548" s="7"/>
    </x:row>
    <x:row r="2549" ht="21" customHeight="1">
      <x:c r="A2549" s="1" t="str">
        <x:f>Source!A2543</x:f>
        <x:v>C0017266</x:v>
      </x:c>
      <x:c r="B2549" s="1" t="str">
        <x:f>_xlfn.IFNA(VLOOKUP(Source!B2543,Advertisers!$A$5:$B$34,2,FALSE),"Missing advertiser")</x:f>
        <x:v>Synthetic advertiser 3</x:v>
      </x:c>
      <x:c r="C2549" s="1" t="n">
        <x:f>Source!C2543</x:f>
        <x:v>3</x:v>
      </x:c>
      <x:c r="D2549" s="8" t="n">
        <x:f>Source!D2543/100</x:f>
        <x:v>83.04</x:v>
      </x:c>
      <x:c r="E2549" s="8" t="n">
        <x:f>Source!E2543/100</x:f>
        <x:v>98.04</x:v>
      </x:c>
      <x:c r="F2549" s="8" t="n">
        <x:f>Source!F2543/100</x:f>
        <x:v>0</x:v>
      </x:c>
      <x:c r="G2549" s="8" t="n">
        <x:f>Source!G2543/100</x:f>
        <x:v>98.04</x:v>
      </x:c>
      <x:c r="H2549" s="8" t="n">
        <x:f>G2549-D2549</x:f>
        <x:v>15</x:v>
      </x:c>
      <x:c r="I2549" s="1" t="str">
        <x:f>IF(H2549&gt;0,"Overbilled","Shortfall")</x:f>
        <x:v>Overbilled</x:v>
      </x:c>
      <x:c r="J2549" s="7"/>
      <x:c r="K2549" s="7" t="str">
        <x:v>Open</x:v>
      </x:c>
      <x:c r="L2549" s="7"/>
    </x:row>
    <x:row r="2550" ht="21" customHeight="1">
      <x:c r="A2550" s="1" t="str">
        <x:f>Source!A2544</x:f>
        <x:v>C0009328</x:v>
      </x:c>
      <x:c r="B2550" s="1" t="str">
        <x:f>_xlfn.IFNA(VLOOKUP(Source!B2544,Advertisers!$A$5:$B$34,2,FALSE),"Missing advertiser")</x:f>
        <x:v>Synthetic advertiser 16</x:v>
      </x:c>
      <x:c r="C2550" s="1" t="n">
        <x:f>Source!C2544</x:f>
        <x:v>76</x:v>
      </x:c>
      <x:c r="D2550" s="8" t="n">
        <x:f>Source!D2544/100</x:f>
        <x:v>395.78</x:v>
      </x:c>
      <x:c r="E2550" s="8" t="n">
        <x:f>Source!E2544/100</x:f>
        <x:v>410.78</x:v>
      </x:c>
      <x:c r="F2550" s="8" t="n">
        <x:f>Source!F2544/100</x:f>
        <x:v>0</x:v>
      </x:c>
      <x:c r="G2550" s="8" t="n">
        <x:f>Source!G2544/100</x:f>
        <x:v>410.78</x:v>
      </x:c>
      <x:c r="H2550" s="8" t="n">
        <x:f>G2550-D2550</x:f>
        <x:v>15</x:v>
      </x:c>
      <x:c r="I2550" s="1" t="str">
        <x:f>IF(H2550&gt;0,"Overbilled","Shortfall")</x:f>
        <x:v>Overbilled</x:v>
      </x:c>
      <x:c r="J2550" s="7"/>
      <x:c r="K2550" s="7" t="str">
        <x:v>Open</x:v>
      </x:c>
      <x:c r="L2550" s="7"/>
    </x:row>
    <x:row r="2551" ht="21" customHeight="1">
      <x:c r="A2551" s="1" t="str">
        <x:f>Source!A2545</x:f>
        <x:v>C0009391</x:v>
      </x:c>
      <x:c r="B2551" s="1" t="str">
        <x:f>_xlfn.IFNA(VLOOKUP(Source!B2545,Advertisers!$A$5:$B$34,2,FALSE),"Missing advertiser")</x:f>
        <x:v>Synthetic advertiser 16</x:v>
      </x:c>
      <x:c r="C2551" s="1" t="n">
        <x:f>Source!C2545</x:f>
        <x:v>46</x:v>
      </x:c>
      <x:c r="D2551" s="8" t="n">
        <x:f>Source!D2545/100</x:f>
        <x:v>247.33</x:v>
      </x:c>
      <x:c r="E2551" s="8" t="n">
        <x:f>Source!E2545/100</x:f>
        <x:v>262.33</x:v>
      </x:c>
      <x:c r="F2551" s="8" t="n">
        <x:f>Source!F2545/100</x:f>
        <x:v>0</x:v>
      </x:c>
      <x:c r="G2551" s="8" t="n">
        <x:f>Source!G2545/100</x:f>
        <x:v>262.33</x:v>
      </x:c>
      <x:c r="H2551" s="8" t="n">
        <x:f>G2551-D2551</x:f>
        <x:v>14.999999999999972</x:v>
      </x:c>
      <x:c r="I2551" s="1" t="str">
        <x:f>IF(H2551&gt;0,"Overbilled","Shortfall")</x:f>
        <x:v>Overbilled</x:v>
      </x:c>
      <x:c r="J2551" s="7"/>
      <x:c r="K2551" s="7" t="str">
        <x:v>Open</x:v>
      </x:c>
      <x:c r="L2551" s="7"/>
    </x:row>
    <x:row r="2552" ht="21" customHeight="1">
      <x:c r="A2552" s="1" t="str">
        <x:f>Source!A2546</x:f>
        <x:v>C0009406</x:v>
      </x:c>
      <x:c r="B2552" s="1" t="str">
        <x:f>_xlfn.IFNA(VLOOKUP(Source!B2546,Advertisers!$A$5:$B$34,2,FALSE),"Missing advertiser")</x:f>
        <x:v>Synthetic advertiser 12</x:v>
      </x:c>
      <x:c r="C2552" s="1" t="n">
        <x:f>Source!C2546</x:f>
        <x:v>72</x:v>
      </x:c>
      <x:c r="D2552" s="8" t="n">
        <x:f>Source!D2546/100</x:f>
        <x:v>180.82</x:v>
      </x:c>
      <x:c r="E2552" s="8" t="n">
        <x:f>Source!E2546/100</x:f>
        <x:v>195.82</x:v>
      </x:c>
      <x:c r="F2552" s="8" t="n">
        <x:f>Source!F2546/100</x:f>
        <x:v>0</x:v>
      </x:c>
      <x:c r="G2552" s="8" t="n">
        <x:f>Source!G2546/100</x:f>
        <x:v>195.82</x:v>
      </x:c>
      <x:c r="H2552" s="8" t="n">
        <x:f>G2552-D2552</x:f>
        <x:v>15</x:v>
      </x:c>
      <x:c r="I2552" s="1" t="str">
        <x:f>IF(H2552&gt;0,"Overbilled","Shortfall")</x:f>
        <x:v>Overbilled</x:v>
      </x:c>
      <x:c r="J2552" s="7"/>
      <x:c r="K2552" s="7" t="str">
        <x:v>Open</x:v>
      </x:c>
      <x:c r="L2552" s="7"/>
    </x:row>
    <x:row r="2553" ht="21" customHeight="1">
      <x:c r="A2553" s="1" t="str">
        <x:f>Source!A2547</x:f>
        <x:v>C0008999</x:v>
      </x:c>
      <x:c r="B2553" s="1" t="str">
        <x:f>_xlfn.IFNA(VLOOKUP(Source!B2547,Advertisers!$A$5:$B$34,2,FALSE),"Missing advertiser")</x:f>
        <x:v>Synthetic advertiser 29</x:v>
      </x:c>
      <x:c r="C2553" s="1" t="n">
        <x:f>Source!C2547</x:f>
        <x:v>29</x:v>
      </x:c>
      <x:c r="D2553" s="8" t="n">
        <x:f>Source!D2547/100</x:f>
        <x:v>156.15</x:v>
      </x:c>
      <x:c r="E2553" s="8" t="n">
        <x:f>Source!E2547/100</x:f>
        <x:v>171.15</x:v>
      </x:c>
      <x:c r="F2553" s="8" t="n">
        <x:f>Source!F2547/100</x:f>
        <x:v>0</x:v>
      </x:c>
      <x:c r="G2553" s="8" t="n">
        <x:f>Source!G2547/100</x:f>
        <x:v>171.15</x:v>
      </x:c>
      <x:c r="H2553" s="8" t="n">
        <x:f>G2553-D2553</x:f>
        <x:v>15</x:v>
      </x:c>
      <x:c r="I2553" s="1" t="str">
        <x:f>IF(H2553&gt;0,"Overbilled","Shortfall")</x:f>
        <x:v>Overbilled</x:v>
      </x:c>
      <x:c r="J2553" s="7"/>
      <x:c r="K2553" s="7" t="str">
        <x:v>Open</x:v>
      </x:c>
      <x:c r="L2553" s="7"/>
    </x:row>
    <x:row r="2554" ht="21" customHeight="1">
      <x:c r="A2554" s="1" t="str">
        <x:f>Source!A2548</x:f>
        <x:v>C0000612</x:v>
      </x:c>
      <x:c r="B2554" s="1" t="str">
        <x:f>_xlfn.IFNA(VLOOKUP(Source!B2548,Advertisers!$A$5:$B$34,2,FALSE),"Missing advertiser")</x:f>
        <x:v>Synthetic advertiser 9</x:v>
      </x:c>
      <x:c r="C2554" s="1" t="n">
        <x:f>Source!C2548</x:f>
        <x:v>39</x:v>
      </x:c>
      <x:c r="D2554" s="8" t="n">
        <x:f>Source!D2548/100</x:f>
        <x:v>176.58</x:v>
      </x:c>
      <x:c r="E2554" s="8" t="n">
        <x:f>Source!E2548/100</x:f>
        <x:v>191.58</x:v>
      </x:c>
      <x:c r="F2554" s="8" t="n">
        <x:f>Source!F2548/100</x:f>
        <x:v>0</x:v>
      </x:c>
      <x:c r="G2554" s="8" t="n">
        <x:f>Source!G2548/100</x:f>
        <x:v>191.58</x:v>
      </x:c>
      <x:c r="H2554" s="8" t="n">
        <x:f>G2554-D2554</x:f>
        <x:v>15</x:v>
      </x:c>
      <x:c r="I2554" s="1" t="str">
        <x:f>IF(H2554&gt;0,"Overbilled","Shortfall")</x:f>
        <x:v>Overbilled</x:v>
      </x:c>
      <x:c r="J2554" s="7"/>
      <x:c r="K2554" s="7" t="str">
        <x:v>Open</x:v>
      </x:c>
      <x:c r="L2554" s="7"/>
    </x:row>
    <x:row r="2555" ht="21" customHeight="1">
      <x:c r="A2555" s="1" t="str">
        <x:f>Source!A2549</x:f>
        <x:v>C0009056</x:v>
      </x:c>
      <x:c r="B2555" s="1" t="str">
        <x:f>_xlfn.IFNA(VLOOKUP(Source!B2549,Advertisers!$A$5:$B$34,2,FALSE),"Missing advertiser")</x:f>
        <x:v>Synthetic advertiser 5</x:v>
      </x:c>
      <x:c r="C2555" s="1" t="n">
        <x:f>Source!C2549</x:f>
        <x:v>95</x:v>
      </x:c>
      <x:c r="D2555" s="8" t="n">
        <x:f>Source!D2549/100</x:f>
        <x:v>74.83</x:v>
      </x:c>
      <x:c r="E2555" s="8" t="n">
        <x:f>Source!E2549/100</x:f>
        <x:v>89.83</x:v>
      </x:c>
      <x:c r="F2555" s="8" t="n">
        <x:f>Source!F2549/100</x:f>
        <x:v>0</x:v>
      </x:c>
      <x:c r="G2555" s="8" t="n">
        <x:f>Source!G2549/100</x:f>
        <x:v>89.83</x:v>
      </x:c>
      <x:c r="H2555" s="8" t="n">
        <x:f>G2555-D2555</x:f>
        <x:v>15</x:v>
      </x:c>
      <x:c r="I2555" s="1" t="str">
        <x:f>IF(H2555&gt;0,"Overbilled","Shortfall")</x:f>
        <x:v>Overbilled</x:v>
      </x:c>
      <x:c r="J2555" s="7"/>
      <x:c r="K2555" s="7" t="str">
        <x:v>Open</x:v>
      </x:c>
      <x:c r="L2555" s="7"/>
    </x:row>
    <x:row r="2556" ht="21" customHeight="1">
      <x:c r="A2556" s="1" t="str">
        <x:f>Source!A2550</x:f>
        <x:v>C0009077</x:v>
      </x:c>
      <x:c r="B2556" s="1" t="str">
        <x:f>_xlfn.IFNA(VLOOKUP(Source!B2550,Advertisers!$A$5:$B$34,2,FALSE),"Missing advertiser")</x:f>
        <x:v>Synthetic advertiser 20</x:v>
      </x:c>
      <x:c r="C2556" s="1" t="n">
        <x:f>Source!C2550</x:f>
        <x:v>20</x:v>
      </x:c>
      <x:c r="D2556" s="8" t="n">
        <x:f>Source!D2550/100</x:f>
        <x:v>284.02</x:v>
      </x:c>
      <x:c r="E2556" s="8" t="n">
        <x:f>Source!E2550/100</x:f>
        <x:v>299.02</x:v>
      </x:c>
      <x:c r="F2556" s="8" t="n">
        <x:f>Source!F2550/100</x:f>
        <x:v>0</x:v>
      </x:c>
      <x:c r="G2556" s="8" t="n">
        <x:f>Source!G2550/100</x:f>
        <x:v>299.02</x:v>
      </x:c>
      <x:c r="H2556" s="8" t="n">
        <x:f>G2556-D2556</x:f>
        <x:v>15</x:v>
      </x:c>
      <x:c r="I2556" s="1" t="str">
        <x:f>IF(H2556&gt;0,"Overbilled","Shortfall")</x:f>
        <x:v>Overbilled</x:v>
      </x:c>
      <x:c r="J2556" s="7"/>
      <x:c r="K2556" s="7" t="str">
        <x:v>Open</x:v>
      </x:c>
      <x:c r="L2556" s="7"/>
    </x:row>
    <x:row r="2557" ht="21" customHeight="1">
      <x:c r="A2557" s="1" t="str">
        <x:f>Source!A2551</x:f>
        <x:v>C0009091</x:v>
      </x:c>
      <x:c r="B2557" s="1" t="str">
        <x:f>_xlfn.IFNA(VLOOKUP(Source!B2551,Advertisers!$A$5:$B$34,2,FALSE),"Missing advertiser")</x:f>
        <x:v>Synthetic advertiser 7</x:v>
      </x:c>
      <x:c r="C2557" s="1" t="n">
        <x:f>Source!C2551</x:f>
        <x:v>7</x:v>
      </x:c>
      <x:c r="D2557" s="8" t="n">
        <x:f>Source!D2551/100</x:f>
        <x:v>141.78</x:v>
      </x:c>
      <x:c r="E2557" s="8" t="n">
        <x:f>Source!E2551/100</x:f>
        <x:v>156.78</x:v>
      </x:c>
      <x:c r="F2557" s="8" t="n">
        <x:f>Source!F2551/100</x:f>
        <x:v>0</x:v>
      </x:c>
      <x:c r="G2557" s="8" t="n">
        <x:f>Source!G2551/100</x:f>
        <x:v>156.78</x:v>
      </x:c>
      <x:c r="H2557" s="8" t="n">
        <x:f>G2557-D2557</x:f>
        <x:v>15</x:v>
      </x:c>
      <x:c r="I2557" s="1" t="str">
        <x:f>IF(H2557&gt;0,"Overbilled","Shortfall")</x:f>
        <x:v>Overbilled</x:v>
      </x:c>
      <x:c r="J2557" s="7"/>
      <x:c r="K2557" s="7" t="str">
        <x:v>Open</x:v>
      </x:c>
      <x:c r="L2557" s="7"/>
    </x:row>
    <x:row r="2558" ht="21" customHeight="1">
      <x:c r="A2558" s="1" t="str">
        <x:f>Source!A2552</x:f>
        <x:v>C0009182</x:v>
      </x:c>
      <x:c r="B2558" s="1" t="str">
        <x:f>_xlfn.IFNA(VLOOKUP(Source!B2552,Advertisers!$A$5:$B$34,2,FALSE),"Missing advertiser")</x:f>
        <x:v>Synthetic advertiser 13</x:v>
      </x:c>
      <x:c r="C2558" s="1" t="n">
        <x:f>Source!C2552</x:f>
        <x:v>43</x:v>
      </x:c>
      <x:c r="D2558" s="8" t="n">
        <x:f>Source!D2552/100</x:f>
        <x:v>195.76</x:v>
      </x:c>
      <x:c r="E2558" s="8" t="n">
        <x:f>Source!E2552/100</x:f>
        <x:v>210.76</x:v>
      </x:c>
      <x:c r="F2558" s="8" t="n">
        <x:f>Source!F2552/100</x:f>
        <x:v>0</x:v>
      </x:c>
      <x:c r="G2558" s="8" t="n">
        <x:f>Source!G2552/100</x:f>
        <x:v>210.76</x:v>
      </x:c>
      <x:c r="H2558" s="8" t="n">
        <x:f>G2558-D2558</x:f>
        <x:v>15</x:v>
      </x:c>
      <x:c r="I2558" s="1" t="str">
        <x:f>IF(H2558&gt;0,"Overbilled","Shortfall")</x:f>
        <x:v>Overbilled</x:v>
      </x:c>
      <x:c r="J2558" s="7"/>
      <x:c r="K2558" s="7" t="str">
        <x:v>Open</x:v>
      </x:c>
      <x:c r="L2558" s="7"/>
    </x:row>
    <x:row r="2559" ht="21" customHeight="1">
      <x:c r="A2559" s="1" t="str">
        <x:f>Source!A2553</x:f>
        <x:v>C0009455</x:v>
      </x:c>
      <x:c r="B2559" s="1" t="str">
        <x:f>_xlfn.IFNA(VLOOKUP(Source!B2553,Advertisers!$A$5:$B$34,2,FALSE),"Missing advertiser")</x:f>
        <x:v>Synthetic advertiser 15</x:v>
      </x:c>
      <x:c r="C2559" s="1" t="n">
        <x:f>Source!C2553</x:f>
        <x:v>105</x:v>
      </x:c>
      <x:c r="D2559" s="8" t="n">
        <x:f>Source!D2553/100</x:f>
        <x:v>203.79</x:v>
      </x:c>
      <x:c r="E2559" s="8" t="n">
        <x:f>Source!E2553/100</x:f>
        <x:v>218.79</x:v>
      </x:c>
      <x:c r="F2559" s="8" t="n">
        <x:f>Source!F2553/100</x:f>
        <x:v>0</x:v>
      </x:c>
      <x:c r="G2559" s="8" t="n">
        <x:f>Source!G2553/100</x:f>
        <x:v>218.79</x:v>
      </x:c>
      <x:c r="H2559" s="8" t="n">
        <x:f>G2559-D2559</x:f>
        <x:v>15</x:v>
      </x:c>
      <x:c r="I2559" s="1" t="str">
        <x:f>IF(H2559&gt;0,"Overbilled","Shortfall")</x:f>
        <x:v>Overbilled</x:v>
      </x:c>
      <x:c r="J2559" s="7"/>
      <x:c r="K2559" s="7" t="str">
        <x:v>Open</x:v>
      </x:c>
      <x:c r="L2559" s="7"/>
    </x:row>
    <x:row r="2560" ht="21" customHeight="1">
      <x:c r="A2560" s="1" t="str">
        <x:f>Source!A2554</x:f>
        <x:v>C0009459</x:v>
      </x:c>
      <x:c r="B2560" s="1" t="str">
        <x:f>_xlfn.IFNA(VLOOKUP(Source!B2554,Advertisers!$A$5:$B$34,2,FALSE),"Missing advertiser")</x:f>
        <x:v>Synthetic advertiser 9</x:v>
      </x:c>
      <x:c r="C2560" s="1" t="n">
        <x:f>Source!C2554</x:f>
        <x:v>69</x:v>
      </x:c>
      <x:c r="D2560" s="8" t="n">
        <x:f>Source!D2554/100</x:f>
        <x:v>219.6</x:v>
      </x:c>
      <x:c r="E2560" s="8" t="n">
        <x:f>Source!E2554/100</x:f>
        <x:v>234.6</x:v>
      </x:c>
      <x:c r="F2560" s="8" t="n">
        <x:f>Source!F2554/100</x:f>
        <x:v>0</x:v>
      </x:c>
      <x:c r="G2560" s="8" t="n">
        <x:f>Source!G2554/100</x:f>
        <x:v>234.6</x:v>
      </x:c>
      <x:c r="H2560" s="8" t="n">
        <x:f>G2560-D2560</x:f>
        <x:v>15</x:v>
      </x:c>
      <x:c r="I2560" s="1" t="str">
        <x:f>IF(H2560&gt;0,"Overbilled","Shortfall")</x:f>
        <x:v>Overbilled</x:v>
      </x:c>
      <x:c r="J2560" s="7"/>
      <x:c r="K2560" s="7" t="str">
        <x:v>Open</x:v>
      </x:c>
      <x:c r="L2560" s="7"/>
    </x:row>
    <x:row r="2561" ht="21" customHeight="1">
      <x:c r="A2561" s="1" t="str">
        <x:f>Source!A2555</x:f>
        <x:v>C0009466</x:v>
      </x:c>
      <x:c r="B2561" s="1" t="str">
        <x:f>_xlfn.IFNA(VLOOKUP(Source!B2555,Advertisers!$A$5:$B$34,2,FALSE),"Missing advertiser")</x:f>
        <x:v>Synthetic advertiser 1</x:v>
      </x:c>
      <x:c r="C2561" s="1" t="n">
        <x:f>Source!C2555</x:f>
        <x:v>61</x:v>
      </x:c>
      <x:c r="D2561" s="8" t="n">
        <x:f>Source!D2555/100</x:f>
        <x:v>65.52</x:v>
      </x:c>
      <x:c r="E2561" s="8" t="n">
        <x:f>Source!E2555/100</x:f>
        <x:v>80.52</x:v>
      </x:c>
      <x:c r="F2561" s="8" t="n">
        <x:f>Source!F2555/100</x:f>
        <x:v>0</x:v>
      </x:c>
      <x:c r="G2561" s="8" t="n">
        <x:f>Source!G2555/100</x:f>
        <x:v>80.52</x:v>
      </x:c>
      <x:c r="H2561" s="8" t="n">
        <x:f>G2561-D2561</x:f>
        <x:v>15</x:v>
      </x:c>
      <x:c r="I2561" s="1" t="str">
        <x:f>IF(H2561&gt;0,"Overbilled","Shortfall")</x:f>
        <x:v>Overbilled</x:v>
      </x:c>
      <x:c r="J2561" s="7"/>
      <x:c r="K2561" s="7" t="str">
        <x:v>Open</x:v>
      </x:c>
      <x:c r="L2561" s="7"/>
    </x:row>
    <x:row r="2562" ht="21" customHeight="1">
      <x:c r="A2562" s="1" t="str">
        <x:f>Source!A2556</x:f>
        <x:v>C0009474</x:v>
      </x:c>
      <x:c r="B2562" s="1" t="str">
        <x:f>_xlfn.IFNA(VLOOKUP(Source!B2556,Advertisers!$A$5:$B$34,2,FALSE),"Missing advertiser")</x:f>
        <x:v>Synthetic advertiser 28</x:v>
      </x:c>
      <x:c r="C2562" s="1" t="n">
        <x:f>Source!C2556</x:f>
        <x:v>118</x:v>
      </x:c>
      <x:c r="D2562" s="8" t="n">
        <x:f>Source!D2556/100</x:f>
        <x:v>75.8</x:v>
      </x:c>
      <x:c r="E2562" s="8" t="n">
        <x:f>Source!E2556/100</x:f>
        <x:v>90.8</x:v>
      </x:c>
      <x:c r="F2562" s="8" t="n">
        <x:f>Source!F2556/100</x:f>
        <x:v>0</x:v>
      </x:c>
      <x:c r="G2562" s="8" t="n">
        <x:f>Source!G2556/100</x:f>
        <x:v>90.8</x:v>
      </x:c>
      <x:c r="H2562" s="8" t="n">
        <x:f>G2562-D2562</x:f>
        <x:v>15</x:v>
      </x:c>
      <x:c r="I2562" s="1" t="str">
        <x:f>IF(H2562&gt;0,"Overbilled","Shortfall")</x:f>
        <x:v>Overbilled</x:v>
      </x:c>
      <x:c r="J2562" s="7"/>
      <x:c r="K2562" s="7" t="str">
        <x:v>Open</x:v>
      </x:c>
      <x:c r="L2562" s="7"/>
    </x:row>
    <x:row r="2563" ht="21" customHeight="1">
      <x:c r="A2563" s="1" t="str">
        <x:f>Source!A2557</x:f>
        <x:v>C0009487</x:v>
      </x:c>
      <x:c r="B2563" s="1" t="str">
        <x:f>_xlfn.IFNA(VLOOKUP(Source!B2557,Advertisers!$A$5:$B$34,2,FALSE),"Missing advertiser")</x:f>
        <x:v>Synthetic advertiser 25</x:v>
      </x:c>
      <x:c r="C2563" s="1" t="n">
        <x:f>Source!C2557</x:f>
        <x:v>115</x:v>
      </x:c>
      <x:c r="D2563" s="8" t="n">
        <x:f>Source!D2557/100</x:f>
        <x:v>228.6</x:v>
      </x:c>
      <x:c r="E2563" s="8" t="n">
        <x:f>Source!E2557/100</x:f>
        <x:v>243.6</x:v>
      </x:c>
      <x:c r="F2563" s="8" t="n">
        <x:f>Source!F2557/100</x:f>
        <x:v>0</x:v>
      </x:c>
      <x:c r="G2563" s="8" t="n">
        <x:f>Source!G2557/100</x:f>
        <x:v>243.6</x:v>
      </x:c>
      <x:c r="H2563" s="8" t="n">
        <x:f>G2563-D2563</x:f>
        <x:v>15</x:v>
      </x:c>
      <x:c r="I2563" s="1" t="str">
        <x:f>IF(H2563&gt;0,"Overbilled","Shortfall")</x:f>
        <x:v>Overbilled</x:v>
      </x:c>
      <x:c r="J2563" s="7"/>
      <x:c r="K2563" s="7" t="str">
        <x:v>Open</x:v>
      </x:c>
      <x:c r="L2563" s="7"/>
    </x:row>
    <x:row r="2564" ht="21" customHeight="1">
      <x:c r="A2564" s="1" t="str">
        <x:f>Source!A2558</x:f>
        <x:v>C0009517</x:v>
      </x:c>
      <x:c r="B2564" s="1" t="str">
        <x:f>_xlfn.IFNA(VLOOKUP(Source!B2558,Advertisers!$A$5:$B$34,2,FALSE),"Missing advertiser")</x:f>
        <x:v>Synthetic advertiser 22</x:v>
      </x:c>
      <x:c r="C2564" s="1" t="n">
        <x:f>Source!C2558</x:f>
        <x:v>22</x:v>
      </x:c>
      <x:c r="D2564" s="8" t="n">
        <x:f>Source!D2558/100</x:f>
        <x:v>54.42</x:v>
      </x:c>
      <x:c r="E2564" s="8" t="n">
        <x:f>Source!E2558/100</x:f>
        <x:v>69.42</x:v>
      </x:c>
      <x:c r="F2564" s="8" t="n">
        <x:f>Source!F2558/100</x:f>
        <x:v>0</x:v>
      </x:c>
      <x:c r="G2564" s="8" t="n">
        <x:f>Source!G2558/100</x:f>
        <x:v>69.42</x:v>
      </x:c>
      <x:c r="H2564" s="8" t="n">
        <x:f>G2564-D2564</x:f>
        <x:v>15</x:v>
      </x:c>
      <x:c r="I2564" s="1" t="str">
        <x:f>IF(H2564&gt;0,"Overbilled","Shortfall")</x:f>
        <x:v>Overbilled</x:v>
      </x:c>
      <x:c r="J2564" s="7"/>
      <x:c r="K2564" s="7" t="str">
        <x:v>Open</x:v>
      </x:c>
      <x:c r="L2564" s="7"/>
    </x:row>
    <x:row r="2565" ht="21" customHeight="1">
      <x:c r="A2565" s="1" t="str">
        <x:f>Source!A2559</x:f>
        <x:v>C0009540</x:v>
      </x:c>
      <x:c r="B2565" s="1" t="str">
        <x:f>_xlfn.IFNA(VLOOKUP(Source!B2559,Advertisers!$A$5:$B$34,2,FALSE),"Missing advertiser")</x:f>
        <x:v>Synthetic advertiser 26</x:v>
      </x:c>
      <x:c r="C2565" s="1" t="n">
        <x:f>Source!C2559</x:f>
        <x:v>86</x:v>
      </x:c>
      <x:c r="D2565" s="8" t="n">
        <x:f>Source!D2559/100</x:f>
        <x:v>58.21</x:v>
      </x:c>
      <x:c r="E2565" s="8" t="n">
        <x:f>Source!E2559/100</x:f>
        <x:v>73.21</x:v>
      </x:c>
      <x:c r="F2565" s="8" t="n">
        <x:f>Source!F2559/100</x:f>
        <x:v>0</x:v>
      </x:c>
      <x:c r="G2565" s="8" t="n">
        <x:f>Source!G2559/100</x:f>
        <x:v>73.21</x:v>
      </x:c>
      <x:c r="H2565" s="8" t="n">
        <x:f>G2565-D2565</x:f>
        <x:v>14.999999999999993</x:v>
      </x:c>
      <x:c r="I2565" s="1" t="str">
        <x:f>IF(H2565&gt;0,"Overbilled","Shortfall")</x:f>
        <x:v>Overbilled</x:v>
      </x:c>
      <x:c r="J2565" s="7"/>
      <x:c r="K2565" s="7" t="str">
        <x:v>Open</x:v>
      </x:c>
      <x:c r="L2565" s="7"/>
    </x:row>
    <x:row r="2566" ht="21" customHeight="1">
      <x:c r="A2566" s="1" t="str">
        <x:f>Source!A2560</x:f>
        <x:v>C0017346</x:v>
      </x:c>
      <x:c r="B2566" s="1" t="str">
        <x:f>_xlfn.IFNA(VLOOKUP(Source!B2560,Advertisers!$A$5:$B$34,2,FALSE),"Missing advertiser")</x:f>
        <x:v>Synthetic advertiser 1</x:v>
      </x:c>
      <x:c r="C2566" s="1" t="n">
        <x:f>Source!C2560</x:f>
        <x:v>31</x:v>
      </x:c>
      <x:c r="D2566" s="8" t="n">
        <x:f>Source!D2560/100</x:f>
        <x:v>226.33</x:v>
      </x:c>
      <x:c r="E2566" s="8" t="n">
        <x:f>Source!E2560/100</x:f>
        <x:v>241.33</x:v>
      </x:c>
      <x:c r="F2566" s="8" t="n">
        <x:f>Source!F2560/100</x:f>
        <x:v>0</x:v>
      </x:c>
      <x:c r="G2566" s="8" t="n">
        <x:f>Source!G2560/100</x:f>
        <x:v>241.33</x:v>
      </x:c>
      <x:c r="H2566" s="8" t="n">
        <x:f>G2566-D2566</x:f>
        <x:v>15</x:v>
      </x:c>
      <x:c r="I2566" s="1" t="str">
        <x:f>IF(H2566&gt;0,"Overbilled","Shortfall")</x:f>
        <x:v>Overbilled</x:v>
      </x:c>
      <x:c r="J2566" s="7"/>
      <x:c r="K2566" s="7" t="str">
        <x:v>Open</x:v>
      </x:c>
      <x:c r="L2566" s="7"/>
    </x:row>
    <x:row r="2567" ht="21" customHeight="1">
      <x:c r="A2567" s="1" t="str">
        <x:f>Source!A2561</x:f>
        <x:v>C0017347</x:v>
      </x:c>
      <x:c r="B2567" s="1" t="str">
        <x:f>_xlfn.IFNA(VLOOKUP(Source!B2561,Advertisers!$A$5:$B$34,2,FALSE),"Missing advertiser")</x:f>
        <x:v>Synthetic advertiser 3</x:v>
      </x:c>
      <x:c r="C2567" s="1" t="n">
        <x:f>Source!C2561</x:f>
        <x:v>3</x:v>
      </x:c>
      <x:c r="D2567" s="8" t="n">
        <x:f>Source!D2561/100</x:f>
        <x:v>83.04</x:v>
      </x:c>
      <x:c r="E2567" s="8" t="n">
        <x:f>Source!E2561/100</x:f>
        <x:v>98.04</x:v>
      </x:c>
      <x:c r="F2567" s="8" t="n">
        <x:f>Source!F2561/100</x:f>
        <x:v>0</x:v>
      </x:c>
      <x:c r="G2567" s="8" t="n">
        <x:f>Source!G2561/100</x:f>
        <x:v>98.04</x:v>
      </x:c>
      <x:c r="H2567" s="8" t="n">
        <x:f>G2567-D2567</x:f>
        <x:v>15</x:v>
      </x:c>
      <x:c r="I2567" s="1" t="str">
        <x:f>IF(H2567&gt;0,"Overbilled","Shortfall")</x:f>
        <x:v>Overbilled</x:v>
      </x:c>
      <x:c r="J2567" s="7"/>
      <x:c r="K2567" s="7" t="str">
        <x:v>Open</x:v>
      </x:c>
      <x:c r="L2567" s="7"/>
    </x:row>
    <x:row r="2568" ht="21" customHeight="1">
      <x:c r="A2568" s="1" t="str">
        <x:f>Source!A2562</x:f>
        <x:v>C0009021</x:v>
      </x:c>
      <x:c r="B2568" s="1" t="str">
        <x:f>_xlfn.IFNA(VLOOKUP(Source!B2562,Advertisers!$A$5:$B$34,2,FALSE),"Missing advertiser")</x:f>
        <x:v>Synthetic advertiser 28</x:v>
      </x:c>
      <x:c r="C2568" s="1" t="n">
        <x:f>Source!C2562</x:f>
        <x:v>58</x:v>
      </x:c>
      <x:c r="D2568" s="8" t="n">
        <x:f>Source!D2562/100</x:f>
        <x:v>95.12</x:v>
      </x:c>
      <x:c r="E2568" s="8" t="n">
        <x:f>Source!E2562/100</x:f>
        <x:v>110.12</x:v>
      </x:c>
      <x:c r="F2568" s="8" t="n">
        <x:f>Source!F2562/100</x:f>
        <x:v>0</x:v>
      </x:c>
      <x:c r="G2568" s="8" t="n">
        <x:f>Source!G2562/100</x:f>
        <x:v>110.12</x:v>
      </x:c>
      <x:c r="H2568" s="8" t="n">
        <x:f>G2568-D2568</x:f>
        <x:v>15</x:v>
      </x:c>
      <x:c r="I2568" s="1" t="str">
        <x:f>IF(H2568&gt;0,"Overbilled","Shortfall")</x:f>
        <x:v>Overbilled</x:v>
      </x:c>
      <x:c r="J2568" s="7"/>
      <x:c r="K2568" s="7" t="str">
        <x:v>Open</x:v>
      </x:c>
      <x:c r="L2568" s="7"/>
    </x:row>
    <x:row r="2569" ht="21" customHeight="1">
      <x:c r="A2569" s="1" t="str">
        <x:f>Source!A2563</x:f>
        <x:v>C0000623</x:v>
      </x:c>
      <x:c r="B2569" s="1" t="str">
        <x:f>_xlfn.IFNA(VLOOKUP(Source!B2563,Advertisers!$A$5:$B$34,2,FALSE),"Missing advertiser")</x:f>
        <x:v>Synthetic advertiser 9</x:v>
      </x:c>
      <x:c r="C2569" s="1" t="n">
        <x:f>Source!C2563</x:f>
        <x:v>69</x:v>
      </x:c>
      <x:c r="D2569" s="8" t="n">
        <x:f>Source!D2563/100</x:f>
        <x:v>129.71</x:v>
      </x:c>
      <x:c r="E2569" s="8" t="n">
        <x:f>Source!E2563/100</x:f>
        <x:v>144.71</x:v>
      </x:c>
      <x:c r="F2569" s="8" t="n">
        <x:f>Source!F2563/100</x:f>
        <x:v>0</x:v>
      </x:c>
      <x:c r="G2569" s="8" t="n">
        <x:f>Source!G2563/100</x:f>
        <x:v>144.71</x:v>
      </x:c>
      <x:c r="H2569" s="8" t="n">
        <x:f>G2569-D2569</x:f>
        <x:v>15</x:v>
      </x:c>
      <x:c r="I2569" s="1" t="str">
        <x:f>IF(H2569&gt;0,"Overbilled","Shortfall")</x:f>
        <x:v>Overbilled</x:v>
      </x:c>
      <x:c r="J2569" s="7"/>
      <x:c r="K2569" s="7" t="str">
        <x:v>Open</x:v>
      </x:c>
      <x:c r="L2569" s="7"/>
    </x:row>
    <x:row r="2570" ht="21" customHeight="1">
      <x:c r="A2570" s="1" t="str">
        <x:f>Source!A2564</x:f>
        <x:v>C0017849</x:v>
      </x:c>
      <x:c r="B2570" s="1" t="str">
        <x:f>_xlfn.IFNA(VLOOKUP(Source!B2564,Advertisers!$A$5:$B$34,2,FALSE),"Missing advertiser")</x:f>
        <x:v>Synthetic advertiser 23</x:v>
      </x:c>
      <x:c r="C2570" s="1" t="n">
        <x:f>Source!C2564</x:f>
        <x:v>113</x:v>
      </x:c>
      <x:c r="D2570" s="8" t="n">
        <x:f>Source!D2564/100</x:f>
        <x:v>129.72</x:v>
      </x:c>
      <x:c r="E2570" s="8" t="n">
        <x:f>Source!E2564/100</x:f>
        <x:v>144.72</x:v>
      </x:c>
      <x:c r="F2570" s="8" t="n">
        <x:f>Source!F2564/100</x:f>
        <x:v>0</x:v>
      </x:c>
      <x:c r="G2570" s="8" t="n">
        <x:f>Source!G2564/100</x:f>
        <x:v>144.72</x:v>
      </x:c>
      <x:c r="H2570" s="8" t="n">
        <x:f>G2570-D2570</x:f>
        <x:v>15</x:v>
      </x:c>
      <x:c r="I2570" s="1" t="str">
        <x:f>IF(H2570&gt;0,"Overbilled","Shortfall")</x:f>
        <x:v>Overbilled</x:v>
      </x:c>
      <x:c r="J2570" s="7"/>
      <x:c r="K2570" s="7" t="str">
        <x:v>Open</x:v>
      </x:c>
      <x:c r="L2570" s="7"/>
    </x:row>
    <x:row r="2571" ht="21" customHeight="1">
      <x:c r="A2571" s="1" t="str">
        <x:f>Source!A2565</x:f>
        <x:v>C0017861</x:v>
      </x:c>
      <x:c r="B2571" s="1" t="str">
        <x:f>_xlfn.IFNA(VLOOKUP(Source!B2565,Advertisers!$A$5:$B$34,2,FALSE),"Missing advertiser")</x:f>
        <x:v>Synthetic advertiser 15</x:v>
      </x:c>
      <x:c r="C2571" s="1" t="n">
        <x:f>Source!C2565</x:f>
        <x:v>105</x:v>
      </x:c>
      <x:c r="D2571" s="8" t="n">
        <x:f>Source!D2565/100</x:f>
        <x:v>186.91</x:v>
      </x:c>
      <x:c r="E2571" s="8" t="n">
        <x:f>Source!E2565/100</x:f>
        <x:v>201.91</x:v>
      </x:c>
      <x:c r="F2571" s="8" t="n">
        <x:f>Source!F2565/100</x:f>
        <x:v>0</x:v>
      </x:c>
      <x:c r="G2571" s="8" t="n">
        <x:f>Source!G2565/100</x:f>
        <x:v>201.91</x:v>
      </x:c>
      <x:c r="H2571" s="8" t="n">
        <x:f>G2571-D2571</x:f>
        <x:v>15</x:v>
      </x:c>
      <x:c r="I2571" s="1" t="str">
        <x:f>IF(H2571&gt;0,"Overbilled","Shortfall")</x:f>
        <x:v>Overbilled</x:v>
      </x:c>
      <x:c r="J2571" s="7"/>
      <x:c r="K2571" s="7" t="str">
        <x:v>Open</x:v>
      </x:c>
      <x:c r="L2571" s="7"/>
    </x:row>
    <x:row r="2572" ht="21" customHeight="1">
      <x:c r="A2572" s="1" t="str">
        <x:f>Source!A2566</x:f>
        <x:v>C0017865</x:v>
      </x:c>
      <x:c r="B2572" s="1" t="str">
        <x:f>_xlfn.IFNA(VLOOKUP(Source!B2566,Advertisers!$A$5:$B$34,2,FALSE),"Missing advertiser")</x:f>
        <x:v>Synthetic advertiser 10</x:v>
      </x:c>
      <x:c r="C2572" s="1" t="n">
        <x:f>Source!C2566</x:f>
        <x:v>10</x:v>
      </x:c>
      <x:c r="D2572" s="8" t="n">
        <x:f>Source!D2566/100</x:f>
        <x:v>54.54</x:v>
      </x:c>
      <x:c r="E2572" s="8" t="n">
        <x:f>Source!E2566/100</x:f>
        <x:v>69.54</x:v>
      </x:c>
      <x:c r="F2572" s="8" t="n">
        <x:f>Source!F2566/100</x:f>
        <x:v>0</x:v>
      </x:c>
      <x:c r="G2572" s="8" t="n">
        <x:f>Source!G2566/100</x:f>
        <x:v>69.54</x:v>
      </x:c>
      <x:c r="H2572" s="8" t="n">
        <x:f>G2572-D2572</x:f>
        <x:v>15.000000000000007</x:v>
      </x:c>
      <x:c r="I2572" s="1" t="str">
        <x:f>IF(H2572&gt;0,"Overbilled","Shortfall")</x:f>
        <x:v>Overbilled</x:v>
      </x:c>
      <x:c r="J2572" s="7"/>
      <x:c r="K2572" s="7" t="str">
        <x:v>Open</x:v>
      </x:c>
      <x:c r="L2572" s="7"/>
    </x:row>
    <x:row r="2573" ht="21" customHeight="1">
      <x:c r="A2573" s="1" t="str">
        <x:f>Source!A2567</x:f>
        <x:v>C0017873</x:v>
      </x:c>
      <x:c r="B2573" s="1" t="str">
        <x:f>_xlfn.IFNA(VLOOKUP(Source!B2567,Advertisers!$A$5:$B$34,2,FALSE),"Missing advertiser")</x:f>
        <x:v>Synthetic advertiser 20</x:v>
      </x:c>
      <x:c r="C2573" s="1" t="n">
        <x:f>Source!C2567</x:f>
        <x:v>50</x:v>
      </x:c>
      <x:c r="D2573" s="8" t="n">
        <x:f>Source!D2567/100</x:f>
        <x:v>232.13</x:v>
      </x:c>
      <x:c r="E2573" s="8" t="n">
        <x:f>Source!E2567/100</x:f>
        <x:v>247.13</x:v>
      </x:c>
      <x:c r="F2573" s="8" t="n">
        <x:f>Source!F2567/100</x:f>
        <x:v>0</x:v>
      </x:c>
      <x:c r="G2573" s="8" t="n">
        <x:f>Source!G2567/100</x:f>
        <x:v>247.13</x:v>
      </x:c>
      <x:c r="H2573" s="8" t="n">
        <x:f>G2573-D2573</x:f>
        <x:v>15</x:v>
      </x:c>
      <x:c r="I2573" s="1" t="str">
        <x:f>IF(H2573&gt;0,"Overbilled","Shortfall")</x:f>
        <x:v>Overbilled</x:v>
      </x:c>
      <x:c r="J2573" s="7"/>
      <x:c r="K2573" s="7" t="str">
        <x:v>Open</x:v>
      </x:c>
      <x:c r="L2573" s="7"/>
    </x:row>
    <x:row r="2574" ht="21" customHeight="1">
      <x:c r="A2574" s="1" t="str">
        <x:f>Source!A2568</x:f>
        <x:v>C0017906</x:v>
      </x:c>
      <x:c r="B2574" s="1" t="str">
        <x:f>_xlfn.IFNA(VLOOKUP(Source!B2568,Advertisers!$A$5:$B$34,2,FALSE),"Missing advertiser")</x:f>
        <x:v>Synthetic advertiser 5</x:v>
      </x:c>
      <x:c r="C2574" s="1" t="n">
        <x:f>Source!C2568</x:f>
        <x:v>5</x:v>
      </x:c>
      <x:c r="D2574" s="8" t="n">
        <x:f>Source!D2568/100</x:f>
        <x:v>187.3</x:v>
      </x:c>
      <x:c r="E2574" s="8" t="n">
        <x:f>Source!E2568/100</x:f>
        <x:v>202.3</x:v>
      </x:c>
      <x:c r="F2574" s="8" t="n">
        <x:f>Source!F2568/100</x:f>
        <x:v>0</x:v>
      </x:c>
      <x:c r="G2574" s="8" t="n">
        <x:f>Source!G2568/100</x:f>
        <x:v>202.3</x:v>
      </x:c>
      <x:c r="H2574" s="8" t="n">
        <x:f>G2574-D2574</x:f>
        <x:v>15</x:v>
      </x:c>
      <x:c r="I2574" s="1" t="str">
        <x:f>IF(H2574&gt;0,"Overbilled","Shortfall")</x:f>
        <x:v>Overbilled</x:v>
      </x:c>
      <x:c r="J2574" s="7"/>
      <x:c r="K2574" s="7" t="str">
        <x:v>Open</x:v>
      </x:c>
      <x:c r="L2574" s="7"/>
    </x:row>
    <x:row r="2575" ht="21" customHeight="1">
      <x:c r="A2575" s="1" t="str">
        <x:f>Source!A2569</x:f>
        <x:v>C0017916</x:v>
      </x:c>
      <x:c r="B2575" s="1" t="str">
        <x:f>_xlfn.IFNA(VLOOKUP(Source!B2569,Advertisers!$A$5:$B$34,2,FALSE),"Missing advertiser")</x:f>
        <x:v>Synthetic advertiser 5</x:v>
      </x:c>
      <x:c r="C2575" s="1" t="n">
        <x:f>Source!C2569</x:f>
        <x:v>35</x:v>
      </x:c>
      <x:c r="D2575" s="8" t="n">
        <x:f>Source!D2569/100</x:f>
        <x:v>218.72</x:v>
      </x:c>
      <x:c r="E2575" s="8" t="n">
        <x:f>Source!E2569/100</x:f>
        <x:v>233.72</x:v>
      </x:c>
      <x:c r="F2575" s="8" t="n">
        <x:f>Source!F2569/100</x:f>
        <x:v>0</x:v>
      </x:c>
      <x:c r="G2575" s="8" t="n">
        <x:f>Source!G2569/100</x:f>
        <x:v>233.72</x:v>
      </x:c>
      <x:c r="H2575" s="8" t="n">
        <x:f>G2575-D2575</x:f>
        <x:v>15</x:v>
      </x:c>
      <x:c r="I2575" s="1" t="str">
        <x:f>IF(H2575&gt;0,"Overbilled","Shortfall")</x:f>
        <x:v>Overbilled</x:v>
      </x:c>
      <x:c r="J2575" s="7"/>
      <x:c r="K2575" s="7" t="str">
        <x:v>Open</x:v>
      </x:c>
      <x:c r="L2575" s="7"/>
    </x:row>
    <x:row r="2576" ht="21" customHeight="1">
      <x:c r="A2576" s="1" t="str">
        <x:f>Source!A2570</x:f>
        <x:v>C0017938</x:v>
      </x:c>
      <x:c r="B2576" s="1" t="str">
        <x:f>_xlfn.IFNA(VLOOKUP(Source!B2570,Advertisers!$A$5:$B$34,2,FALSE),"Missing advertiser")</x:f>
        <x:v>Synthetic advertiser 23</x:v>
      </x:c>
      <x:c r="C2576" s="1" t="n">
        <x:f>Source!C2570</x:f>
        <x:v>53</x:v>
      </x:c>
      <x:c r="D2576" s="8" t="n">
        <x:f>Source!D2570/100</x:f>
        <x:v>50.87</x:v>
      </x:c>
      <x:c r="E2576" s="8" t="n">
        <x:f>Source!E2570/100</x:f>
        <x:v>65.87</x:v>
      </x:c>
      <x:c r="F2576" s="8" t="n">
        <x:f>Source!F2570/100</x:f>
        <x:v>0</x:v>
      </x:c>
      <x:c r="G2576" s="8" t="n">
        <x:f>Source!G2570/100</x:f>
        <x:v>65.87</x:v>
      </x:c>
      <x:c r="H2576" s="8" t="n">
        <x:f>G2576-D2576</x:f>
        <x:v>15.000000000000007</x:v>
      </x:c>
      <x:c r="I2576" s="1" t="str">
        <x:f>IF(H2576&gt;0,"Overbilled","Shortfall")</x:f>
        <x:v>Overbilled</x:v>
      </x:c>
      <x:c r="J2576" s="7"/>
      <x:c r="K2576" s="7" t="str">
        <x:v>Open</x:v>
      </x:c>
      <x:c r="L2576" s="7"/>
    </x:row>
    <x:row r="2577" ht="21" customHeight="1">
      <x:c r="A2577" s="1" t="str">
        <x:f>Source!A2571</x:f>
        <x:v>C0017946</x:v>
      </x:c>
      <x:c r="B2577" s="1" t="str">
        <x:f>_xlfn.IFNA(VLOOKUP(Source!B2571,Advertisers!$A$5:$B$34,2,FALSE),"Missing advertiser")</x:f>
        <x:v>Synthetic advertiser 16</x:v>
      </x:c>
      <x:c r="C2577" s="1" t="n">
        <x:f>Source!C2571</x:f>
        <x:v>76</x:v>
      </x:c>
      <x:c r="D2577" s="8" t="n">
        <x:f>Source!D2571/100</x:f>
        <x:v>231.57</x:v>
      </x:c>
      <x:c r="E2577" s="8" t="n">
        <x:f>Source!E2571/100</x:f>
        <x:v>246.57</x:v>
      </x:c>
      <x:c r="F2577" s="8" t="n">
        <x:f>Source!F2571/100</x:f>
        <x:v>0</x:v>
      </x:c>
      <x:c r="G2577" s="8" t="n">
        <x:f>Source!G2571/100</x:f>
        <x:v>246.57</x:v>
      </x:c>
      <x:c r="H2577" s="8" t="n">
        <x:f>G2577-D2577</x:f>
        <x:v>15</x:v>
      </x:c>
      <x:c r="I2577" s="1" t="str">
        <x:f>IF(H2577&gt;0,"Overbilled","Shortfall")</x:f>
        <x:v>Overbilled</x:v>
      </x:c>
      <x:c r="J2577" s="7"/>
      <x:c r="K2577" s="7" t="str">
        <x:v>Open</x:v>
      </x:c>
      <x:c r="L2577" s="7"/>
    </x:row>
    <x:row r="2578" ht="21" customHeight="1">
      <x:c r="A2578" s="1" t="str">
        <x:f>Source!A2572</x:f>
        <x:v>C0000040</x:v>
      </x:c>
      <x:c r="B2578" s="1" t="str">
        <x:f>_xlfn.IFNA(VLOOKUP(Source!B2572,Advertisers!$A$5:$B$34,2,FALSE),"Missing advertiser")</x:f>
        <x:v>Synthetic advertiser 14</x:v>
      </x:c>
      <x:c r="C2578" s="1" t="n">
        <x:f>Source!C2572</x:f>
        <x:v>14</x:v>
      </x:c>
      <x:c r="D2578" s="8" t="n">
        <x:f>Source!D2572/100</x:f>
        <x:v>165.84</x:v>
      </x:c>
      <x:c r="E2578" s="8" t="n">
        <x:f>Source!E2572/100</x:f>
        <x:v>180.84</x:v>
      </x:c>
      <x:c r="F2578" s="8" t="n">
        <x:f>Source!F2572/100</x:f>
        <x:v>0</x:v>
      </x:c>
      <x:c r="G2578" s="8" t="n">
        <x:f>Source!G2572/100</x:f>
        <x:v>180.84</x:v>
      </x:c>
      <x:c r="H2578" s="8" t="n">
        <x:f>G2578-D2578</x:f>
        <x:v>15</x:v>
      </x:c>
      <x:c r="I2578" s="1" t="str">
        <x:f>IF(H2578&gt;0,"Overbilled","Shortfall")</x:f>
        <x:v>Overbilled</x:v>
      </x:c>
      <x:c r="J2578" s="7"/>
      <x:c r="K2578" s="7" t="str">
        <x:v>Open</x:v>
      </x:c>
      <x:c r="L2578" s="7"/>
    </x:row>
    <x:row r="2579" ht="21" customHeight="1">
      <x:c r="A2579" s="1" t="str">
        <x:f>Source!A2573</x:f>
        <x:v>C0009234</x:v>
      </x:c>
      <x:c r="B2579" s="1" t="str">
        <x:f>_xlfn.IFNA(VLOOKUP(Source!B2573,Advertisers!$A$5:$B$34,2,FALSE),"Missing advertiser")</x:f>
        <x:v>Synthetic advertiser 22</x:v>
      </x:c>
      <x:c r="C2579" s="1" t="n">
        <x:f>Source!C2573</x:f>
        <x:v>22</x:v>
      </x:c>
      <x:c r="D2579" s="8" t="n">
        <x:f>Source!D2573/100</x:f>
        <x:v>54.42</x:v>
      </x:c>
      <x:c r="E2579" s="8" t="n">
        <x:f>Source!E2573/100</x:f>
        <x:v>69.42</x:v>
      </x:c>
      <x:c r="F2579" s="8" t="n">
        <x:f>Source!F2573/100</x:f>
        <x:v>0</x:v>
      </x:c>
      <x:c r="G2579" s="8" t="n">
        <x:f>Source!G2573/100</x:f>
        <x:v>69.42</x:v>
      </x:c>
      <x:c r="H2579" s="8" t="n">
        <x:f>G2579-D2579</x:f>
        <x:v>15</x:v>
      </x:c>
      <x:c r="I2579" s="1" t="str">
        <x:f>IF(H2579&gt;0,"Overbilled","Shortfall")</x:f>
        <x:v>Overbilled</x:v>
      </x:c>
      <x:c r="J2579" s="7"/>
      <x:c r="K2579" s="7" t="str">
        <x:v>Open</x:v>
      </x:c>
      <x:c r="L2579" s="7"/>
    </x:row>
    <x:row r="2580" ht="21" customHeight="1">
      <x:c r="A2580" s="1" t="str">
        <x:f>Source!A2574</x:f>
        <x:v>C0009248</x:v>
      </x:c>
      <x:c r="B2580" s="1" t="str">
        <x:f>_xlfn.IFNA(VLOOKUP(Source!B2574,Advertisers!$A$5:$B$34,2,FALSE),"Missing advertiser")</x:f>
        <x:v>Synthetic advertiser 29</x:v>
      </x:c>
      <x:c r="C2580" s="1" t="n">
        <x:f>Source!C2574</x:f>
        <x:v>89</x:v>
      </x:c>
      <x:c r="D2580" s="8" t="n">
        <x:f>Source!D2574/100</x:f>
        <x:v>198.79</x:v>
      </x:c>
      <x:c r="E2580" s="8" t="n">
        <x:f>Source!E2574/100</x:f>
        <x:v>213.79</x:v>
      </x:c>
      <x:c r="F2580" s="8" t="n">
        <x:f>Source!F2574/100</x:f>
        <x:v>0</x:v>
      </x:c>
      <x:c r="G2580" s="8" t="n">
        <x:f>Source!G2574/100</x:f>
        <x:v>213.79</x:v>
      </x:c>
      <x:c r="H2580" s="8" t="n">
        <x:f>G2580-D2580</x:f>
        <x:v>15</x:v>
      </x:c>
      <x:c r="I2580" s="1" t="str">
        <x:f>IF(H2580&gt;0,"Overbilled","Shortfall")</x:f>
        <x:v>Overbilled</x:v>
      </x:c>
      <x:c r="J2580" s="7"/>
      <x:c r="K2580" s="7" t="str">
        <x:v>Open</x:v>
      </x:c>
      <x:c r="L2580" s="7"/>
    </x:row>
    <x:row r="2581" ht="21" customHeight="1">
      <x:c r="A2581" s="1" t="str">
        <x:f>Source!A2575</x:f>
        <x:v>C0000338</x:v>
      </x:c>
      <x:c r="B2581" s="1" t="str">
        <x:f>_xlfn.IFNA(VLOOKUP(Source!B2575,Advertisers!$A$5:$B$34,2,FALSE),"Missing advertiser")</x:f>
        <x:v>Synthetic advertiser 23</x:v>
      </x:c>
      <x:c r="C2581" s="1" t="n">
        <x:f>Source!C2575</x:f>
        <x:v>113</x:v>
      </x:c>
      <x:c r="D2581" s="8" t="n">
        <x:f>Source!D2575/100</x:f>
        <x:v>153.53</x:v>
      </x:c>
      <x:c r="E2581" s="8" t="n">
        <x:f>Source!E2575/100</x:f>
        <x:v>168.53</x:v>
      </x:c>
      <x:c r="F2581" s="8" t="n">
        <x:f>Source!F2575/100</x:f>
        <x:v>0</x:v>
      </x:c>
      <x:c r="G2581" s="8" t="n">
        <x:f>Source!G2575/100</x:f>
        <x:v>168.53</x:v>
      </x:c>
      <x:c r="H2581" s="8" t="n">
        <x:f>G2581-D2581</x:f>
        <x:v>15</x:v>
      </x:c>
      <x:c r="I2581" s="1" t="str">
        <x:f>IF(H2581&gt;0,"Overbilled","Shortfall")</x:f>
        <x:v>Overbilled</x:v>
      </x:c>
      <x:c r="J2581" s="7"/>
      <x:c r="K2581" s="7" t="str">
        <x:v>Open</x:v>
      </x:c>
      <x:c r="L2581" s="7"/>
    </x:row>
    <x:row r="2582" ht="21" customHeight="1">
      <x:c r="A2582" s="1" t="str">
        <x:f>Source!A2576</x:f>
        <x:v>C0009277</x:v>
      </x:c>
      <x:c r="B2582" s="1" t="str">
        <x:f>_xlfn.IFNA(VLOOKUP(Source!B2576,Advertisers!$A$5:$B$34,2,FALSE),"Missing advertiser")</x:f>
        <x:v>Synthetic advertiser 4</x:v>
      </x:c>
      <x:c r="C2582" s="1" t="n">
        <x:f>Source!C2576</x:f>
        <x:v>64</x:v>
      </x:c>
      <x:c r="D2582" s="8" t="n">
        <x:f>Source!D2576/100</x:f>
        <x:v>83.18</x:v>
      </x:c>
      <x:c r="E2582" s="8" t="n">
        <x:f>Source!E2576/100</x:f>
        <x:v>98.18</x:v>
      </x:c>
      <x:c r="F2582" s="8" t="n">
        <x:f>Source!F2576/100</x:f>
        <x:v>0</x:v>
      </x:c>
      <x:c r="G2582" s="8" t="n">
        <x:f>Source!G2576/100</x:f>
        <x:v>98.18</x:v>
      </x:c>
      <x:c r="H2582" s="8" t="n">
        <x:f>G2582-D2582</x:f>
        <x:v>15</x:v>
      </x:c>
      <x:c r="I2582" s="1" t="str">
        <x:f>IF(H2582&gt;0,"Overbilled","Shortfall")</x:f>
        <x:v>Overbilled</x:v>
      </x:c>
      <x:c r="J2582" s="7"/>
      <x:c r="K2582" s="7" t="str">
        <x:v>Open</x:v>
      </x:c>
      <x:c r="L2582" s="7"/>
    </x:row>
    <x:row r="2583" ht="21" customHeight="1">
      <x:c r="A2583" s="1" t="str">
        <x:f>Source!A2577</x:f>
        <x:v>C0009320</x:v>
      </x:c>
      <x:c r="B2583" s="1" t="str">
        <x:f>_xlfn.IFNA(VLOOKUP(Source!B2577,Advertisers!$A$5:$B$34,2,FALSE),"Missing advertiser")</x:f>
        <x:v>Synthetic advertiser 1</x:v>
      </x:c>
      <x:c r="C2583" s="1" t="n">
        <x:f>Source!C2577</x:f>
        <x:v>31</x:v>
      </x:c>
      <x:c r="D2583" s="8" t="n">
        <x:f>Source!D2577/100</x:f>
        <x:v>79.23</x:v>
      </x:c>
      <x:c r="E2583" s="8" t="n">
        <x:f>Source!E2577/100</x:f>
        <x:v>94.23</x:v>
      </x:c>
      <x:c r="F2583" s="8" t="n">
        <x:f>Source!F2577/100</x:f>
        <x:v>0</x:v>
      </x:c>
      <x:c r="G2583" s="8" t="n">
        <x:f>Source!G2577/100</x:f>
        <x:v>94.23</x:v>
      </x:c>
      <x:c r="H2583" s="8" t="n">
        <x:f>G2583-D2583</x:f>
        <x:v>15</x:v>
      </x:c>
      <x:c r="I2583" s="1" t="str">
        <x:f>IF(H2583&gt;0,"Overbilled","Shortfall")</x:f>
        <x:v>Overbilled</x:v>
      </x:c>
      <x:c r="J2583" s="7"/>
      <x:c r="K2583" s="7" t="str">
        <x:v>Open</x:v>
      </x:c>
      <x:c r="L2583" s="7"/>
    </x:row>
    <x:row r="2584" ht="21" customHeight="1">
      <x:c r="A2584" s="1" t="str">
        <x:f>Source!A2578</x:f>
        <x:v>C0017493</x:v>
      </x:c>
      <x:c r="B2584" s="1" t="str">
        <x:f>_xlfn.IFNA(VLOOKUP(Source!B2578,Advertisers!$A$5:$B$34,2,FALSE),"Missing advertiser")</x:f>
        <x:v>Synthetic advertiser 2</x:v>
      </x:c>
      <x:c r="C2584" s="1" t="n">
        <x:f>Source!C2578</x:f>
        <x:v>2</x:v>
      </x:c>
      <x:c r="D2584" s="8" t="n">
        <x:f>Source!D2578/100</x:f>
        <x:v>318.18</x:v>
      </x:c>
      <x:c r="E2584" s="8" t="n">
        <x:f>Source!E2578/100</x:f>
        <x:v>333.18</x:v>
      </x:c>
      <x:c r="F2584" s="8" t="n">
        <x:f>Source!F2578/100</x:f>
        <x:v>0</x:v>
      </x:c>
      <x:c r="G2584" s="8" t="n">
        <x:f>Source!G2578/100</x:f>
        <x:v>333.18</x:v>
      </x:c>
      <x:c r="H2584" s="8" t="n">
        <x:f>G2584-D2584</x:f>
        <x:v>15</x:v>
      </x:c>
      <x:c r="I2584" s="1" t="str">
        <x:f>IF(H2584&gt;0,"Overbilled","Shortfall")</x:f>
        <x:v>Overbilled</x:v>
      </x:c>
      <x:c r="J2584" s="7"/>
      <x:c r="K2584" s="7" t="str">
        <x:v>Open</x:v>
      </x:c>
      <x:c r="L2584" s="7"/>
    </x:row>
    <x:row r="2585" ht="21" customHeight="1">
      <x:c r="A2585" s="1" t="str">
        <x:f>Source!A2579</x:f>
        <x:v>C0017503</x:v>
      </x:c>
      <x:c r="B2585" s="1" t="str">
        <x:f>_xlfn.IFNA(VLOOKUP(Source!B2579,Advertisers!$A$5:$B$34,2,FALSE),"Missing advertiser")</x:f>
        <x:v>Synthetic advertiser 25</x:v>
      </x:c>
      <x:c r="C2585" s="1" t="n">
        <x:f>Source!C2579</x:f>
        <x:v>55</x:v>
      </x:c>
      <x:c r="D2585" s="8" t="n">
        <x:f>Source!D2579/100</x:f>
        <x:v>138.53</x:v>
      </x:c>
      <x:c r="E2585" s="8" t="n">
        <x:f>Source!E2579/100</x:f>
        <x:v>153.53</x:v>
      </x:c>
      <x:c r="F2585" s="8" t="n">
        <x:f>Source!F2579/100</x:f>
        <x:v>0</x:v>
      </x:c>
      <x:c r="G2585" s="8" t="n">
        <x:f>Source!G2579/100</x:f>
        <x:v>153.53</x:v>
      </x:c>
      <x:c r="H2585" s="8" t="n">
        <x:f>G2585-D2585</x:f>
        <x:v>15</x:v>
      </x:c>
      <x:c r="I2585" s="1" t="str">
        <x:f>IF(H2585&gt;0,"Overbilled","Shortfall")</x:f>
        <x:v>Overbilled</x:v>
      </x:c>
      <x:c r="J2585" s="7"/>
      <x:c r="K2585" s="7" t="str">
        <x:v>Open</x:v>
      </x:c>
      <x:c r="L2585" s="7"/>
    </x:row>
    <x:row r="2586" ht="21" customHeight="1">
      <x:c r="A2586" s="1" t="str">
        <x:f>Source!A2580</x:f>
        <x:v>C0017539</x:v>
      </x:c>
      <x:c r="B2586" s="1" t="str">
        <x:f>_xlfn.IFNA(VLOOKUP(Source!B2580,Advertisers!$A$5:$B$34,2,FALSE),"Missing advertiser")</x:f>
        <x:v>Synthetic advertiser 25</x:v>
      </x:c>
      <x:c r="C2586" s="1" t="n">
        <x:f>Source!C2580</x:f>
        <x:v>25</x:v>
      </x:c>
      <x:c r="D2586" s="8" t="n">
        <x:f>Source!D2580/100</x:f>
        <x:v>53.59</x:v>
      </x:c>
      <x:c r="E2586" s="8" t="n">
        <x:f>Source!E2580/100</x:f>
        <x:v>68.59</x:v>
      </x:c>
      <x:c r="F2586" s="8" t="n">
        <x:f>Source!F2580/100</x:f>
        <x:v>0</x:v>
      </x:c>
      <x:c r="G2586" s="8" t="n">
        <x:f>Source!G2580/100</x:f>
        <x:v>68.59</x:v>
      </x:c>
      <x:c r="H2586" s="8" t="n">
        <x:f>G2586-D2586</x:f>
        <x:v>15</x:v>
      </x:c>
      <x:c r="I2586" s="1" t="str">
        <x:f>IF(H2586&gt;0,"Overbilled","Shortfall")</x:f>
        <x:v>Overbilled</x:v>
      </x:c>
      <x:c r="J2586" s="7"/>
      <x:c r="K2586" s="7" t="str">
        <x:v>Open</x:v>
      </x:c>
      <x:c r="L2586" s="7"/>
    </x:row>
    <x:row r="2587" ht="21" customHeight="1">
      <x:c r="A2587" s="1" t="str">
        <x:f>Source!A2581</x:f>
        <x:v>C0017556</x:v>
      </x:c>
      <x:c r="B2587" s="1" t="str">
        <x:f>_xlfn.IFNA(VLOOKUP(Source!B2581,Advertisers!$A$5:$B$34,2,FALSE),"Missing advertiser")</x:f>
        <x:v>Synthetic advertiser 9</x:v>
      </x:c>
      <x:c r="C2587" s="1" t="n">
        <x:f>Source!C2581</x:f>
        <x:v>9</x:v>
      </x:c>
      <x:c r="D2587" s="8" t="n">
        <x:f>Source!D2581/100</x:f>
        <x:v>193.58</x:v>
      </x:c>
      <x:c r="E2587" s="8" t="n">
        <x:f>Source!E2581/100</x:f>
        <x:v>208.58</x:v>
      </x:c>
      <x:c r="F2587" s="8" t="n">
        <x:f>Source!F2581/100</x:f>
        <x:v>0</x:v>
      </x:c>
      <x:c r="G2587" s="8" t="n">
        <x:f>Source!G2581/100</x:f>
        <x:v>208.58</x:v>
      </x:c>
      <x:c r="H2587" s="8" t="n">
        <x:f>G2587-D2587</x:f>
        <x:v>15</x:v>
      </x:c>
      <x:c r="I2587" s="1" t="str">
        <x:f>IF(H2587&gt;0,"Overbilled","Shortfall")</x:f>
        <x:v>Overbilled</x:v>
      </x:c>
      <x:c r="J2587" s="7"/>
      <x:c r="K2587" s="7" t="str">
        <x:v>Open</x:v>
      </x:c>
      <x:c r="L2587" s="7"/>
    </x:row>
    <x:row r="2588" ht="21" customHeight="1">
      <x:c r="A2588" s="1" t="str">
        <x:f>Source!A2582</x:f>
        <x:v>C0000248</x:v>
      </x:c>
      <x:c r="B2588" s="1" t="str">
        <x:f>_xlfn.IFNA(VLOOKUP(Source!B2582,Advertisers!$A$5:$B$34,2,FALSE),"Missing advertiser")</x:f>
        <x:v>Synthetic advertiser 23</x:v>
      </x:c>
      <x:c r="C2588" s="1" t="n">
        <x:f>Source!C2582</x:f>
        <x:v>83</x:v>
      </x:c>
      <x:c r="D2588" s="8" t="n">
        <x:f>Source!D2582/100</x:f>
        <x:v>81.08</x:v>
      </x:c>
      <x:c r="E2588" s="8" t="n">
        <x:f>Source!E2582/100</x:f>
        <x:v>96.08</x:v>
      </x:c>
      <x:c r="F2588" s="8" t="n">
        <x:f>Source!F2582/100</x:f>
        <x:v>0</x:v>
      </x:c>
      <x:c r="G2588" s="8" t="n">
        <x:f>Source!G2582/100</x:f>
        <x:v>96.08</x:v>
      </x:c>
      <x:c r="H2588" s="8" t="n">
        <x:f>G2588-D2588</x:f>
        <x:v>15</x:v>
      </x:c>
      <x:c r="I2588" s="1" t="str">
        <x:f>IF(H2588&gt;0,"Overbilled","Shortfall")</x:f>
        <x:v>Overbilled</x:v>
      </x:c>
      <x:c r="J2588" s="7"/>
      <x:c r="K2588" s="7" t="str">
        <x:v>Open</x:v>
      </x:c>
      <x:c r="L2588" s="7"/>
    </x:row>
    <x:row r="2589" ht="21" customHeight="1">
      <x:c r="A2589" s="1" t="str">
        <x:f>Source!A2583</x:f>
        <x:v>C0000265</x:v>
      </x:c>
      <x:c r="B2589" s="1" t="str">
        <x:f>_xlfn.IFNA(VLOOKUP(Source!B2583,Advertisers!$A$5:$B$34,2,FALSE),"Missing advertiser")</x:f>
        <x:v>Synthetic advertiser 29</x:v>
      </x:c>
      <x:c r="C2589" s="1" t="n">
        <x:f>Source!C2583</x:f>
        <x:v>89</x:v>
      </x:c>
      <x:c r="D2589" s="8" t="n">
        <x:f>Source!D2583/100</x:f>
        <x:v>95.8</x:v>
      </x:c>
      <x:c r="E2589" s="8" t="n">
        <x:f>Source!E2583/100</x:f>
        <x:v>110.8</x:v>
      </x:c>
      <x:c r="F2589" s="8" t="n">
        <x:f>Source!F2583/100</x:f>
        <x:v>0</x:v>
      </x:c>
      <x:c r="G2589" s="8" t="n">
        <x:f>Source!G2583/100</x:f>
        <x:v>110.8</x:v>
      </x:c>
      <x:c r="H2589" s="8" t="n">
        <x:f>G2589-D2589</x:f>
        <x:v>15</x:v>
      </x:c>
      <x:c r="I2589" s="1" t="str">
        <x:f>IF(H2589&gt;0,"Overbilled","Shortfall")</x:f>
        <x:v>Overbilled</x:v>
      </x:c>
      <x:c r="J2589" s="7"/>
      <x:c r="K2589" s="7" t="str">
        <x:v>Open</x:v>
      </x:c>
      <x:c r="L2589" s="7"/>
    </x:row>
    <x:row r="2590" ht="21" customHeight="1">
      <x:c r="A2590" s="1" t="str">
        <x:f>Source!A2584</x:f>
        <x:v>C0000278</x:v>
      </x:c>
      <x:c r="B2590" s="1" t="str">
        <x:f>_xlfn.IFNA(VLOOKUP(Source!B2584,Advertisers!$A$5:$B$34,2,FALSE),"Missing advertiser")</x:f>
        <x:v>Synthetic advertiser 3</x:v>
      </x:c>
      <x:c r="C2590" s="1" t="n">
        <x:f>Source!C2584</x:f>
        <x:v>93</x:v>
      </x:c>
      <x:c r="D2590" s="8" t="n">
        <x:f>Source!D2584/100</x:f>
        <x:v>227.36</x:v>
      </x:c>
      <x:c r="E2590" s="8" t="n">
        <x:f>Source!E2584/100</x:f>
        <x:v>242.36</x:v>
      </x:c>
      <x:c r="F2590" s="8" t="n">
        <x:f>Source!F2584/100</x:f>
        <x:v>0</x:v>
      </x:c>
      <x:c r="G2590" s="8" t="n">
        <x:f>Source!G2584/100</x:f>
        <x:v>242.36</x:v>
      </x:c>
      <x:c r="H2590" s="8" t="n">
        <x:f>G2590-D2590</x:f>
        <x:v>15</x:v>
      </x:c>
      <x:c r="I2590" s="1" t="str">
        <x:f>IF(H2590&gt;0,"Overbilled","Shortfall")</x:f>
        <x:v>Overbilled</x:v>
      </x:c>
      <x:c r="J2590" s="7"/>
      <x:c r="K2590" s="7" t="str">
        <x:v>Open</x:v>
      </x:c>
      <x:c r="L2590" s="7"/>
    </x:row>
    <x:row r="2591" ht="21" customHeight="1">
      <x:c r="A2591" s="1" t="str">
        <x:f>Source!A2585</x:f>
        <x:v>C0000285</x:v>
      </x:c>
      <x:c r="B2591" s="1" t="str">
        <x:f>_xlfn.IFNA(VLOOKUP(Source!B2585,Advertisers!$A$5:$B$34,2,FALSE),"Missing advertiser")</x:f>
        <x:v>Synthetic advertiser 5</x:v>
      </x:c>
      <x:c r="C2591" s="1" t="n">
        <x:f>Source!C2585</x:f>
        <x:v>95</x:v>
      </x:c>
      <x:c r="D2591" s="8" t="n">
        <x:f>Source!D2585/100</x:f>
        <x:v>62.04</x:v>
      </x:c>
      <x:c r="E2591" s="8" t="n">
        <x:f>Source!E2585/100</x:f>
        <x:v>77.04</x:v>
      </x:c>
      <x:c r="F2591" s="8" t="n">
        <x:f>Source!F2585/100</x:f>
        <x:v>0</x:v>
      </x:c>
      <x:c r="G2591" s="8" t="n">
        <x:f>Source!G2585/100</x:f>
        <x:v>77.04</x:v>
      </x:c>
      <x:c r="H2591" s="8" t="n">
        <x:f>G2591-D2591</x:f>
        <x:v>15.000000000000007</x:v>
      </x:c>
      <x:c r="I2591" s="1" t="str">
        <x:f>IF(H2591&gt;0,"Overbilled","Shortfall")</x:f>
        <x:v>Overbilled</x:v>
      </x:c>
      <x:c r="J2591" s="7"/>
      <x:c r="K2591" s="7" t="str">
        <x:v>Open</x:v>
      </x:c>
      <x:c r="L2591" s="7"/>
    </x:row>
    <x:row r="2592" ht="21" customHeight="1">
      <x:c r="A2592" s="1" t="str">
        <x:f>Source!A2586</x:f>
        <x:v>C0000288</x:v>
      </x:c>
      <x:c r="B2592" s="1" t="str">
        <x:f>_xlfn.IFNA(VLOOKUP(Source!B2586,Advertisers!$A$5:$B$34,2,FALSE),"Missing advertiser")</x:f>
        <x:v>Synthetic advertiser 6</x:v>
      </x:c>
      <x:c r="C2592" s="1" t="n">
        <x:f>Source!C2586</x:f>
        <x:v>96</x:v>
      </x:c>
      <x:c r="D2592" s="8" t="n">
        <x:f>Source!D2586/100</x:f>
        <x:v>229.46</x:v>
      </x:c>
      <x:c r="E2592" s="8" t="n">
        <x:f>Source!E2586/100</x:f>
        <x:v>244.46</x:v>
      </x:c>
      <x:c r="F2592" s="8" t="n">
        <x:f>Source!F2586/100</x:f>
        <x:v>0</x:v>
      </x:c>
      <x:c r="G2592" s="8" t="n">
        <x:f>Source!G2586/100</x:f>
        <x:v>244.46</x:v>
      </x:c>
      <x:c r="H2592" s="8" t="n">
        <x:f>G2592-D2592</x:f>
        <x:v>15</x:v>
      </x:c>
      <x:c r="I2592" s="1" t="str">
        <x:f>IF(H2592&gt;0,"Overbilled","Shortfall")</x:f>
        <x:v>Overbilled</x:v>
      </x:c>
      <x:c r="J2592" s="7"/>
      <x:c r="K2592" s="7" t="str">
        <x:v>Open</x:v>
      </x:c>
      <x:c r="L2592" s="7"/>
    </x:row>
    <x:row r="2593" ht="21" customHeight="1">
      <x:c r="A2593" s="1" t="str">
        <x:f>Source!A2587</x:f>
        <x:v>C0000297</x:v>
      </x:c>
      <x:c r="B2593" s="1" t="str">
        <x:f>_xlfn.IFNA(VLOOKUP(Source!B2587,Advertisers!$A$5:$B$34,2,FALSE),"Missing advertiser")</x:f>
        <x:v>Synthetic advertiser 9</x:v>
      </x:c>
      <x:c r="C2593" s="1" t="n">
        <x:f>Source!C2587</x:f>
        <x:v>99</x:v>
      </x:c>
      <x:c r="D2593" s="8" t="n">
        <x:f>Source!D2587/100</x:f>
        <x:v>57.03</x:v>
      </x:c>
      <x:c r="E2593" s="8" t="n">
        <x:f>Source!E2587/100</x:f>
        <x:v>72.03</x:v>
      </x:c>
      <x:c r="F2593" s="8" t="n">
        <x:f>Source!F2587/100</x:f>
        <x:v>0</x:v>
      </x:c>
      <x:c r="G2593" s="8" t="n">
        <x:f>Source!G2587/100</x:f>
        <x:v>72.03</x:v>
      </x:c>
      <x:c r="H2593" s="8" t="n">
        <x:f>G2593-D2593</x:f>
        <x:v>15</x:v>
      </x:c>
      <x:c r="I2593" s="1" t="str">
        <x:f>IF(H2593&gt;0,"Overbilled","Shortfall")</x:f>
        <x:v>Overbilled</x:v>
      </x:c>
      <x:c r="J2593" s="7"/>
      <x:c r="K2593" s="7" t="str">
        <x:v>Open</x:v>
      </x:c>
      <x:c r="L2593" s="7"/>
    </x:row>
    <x:row r="2594" ht="21" customHeight="1">
      <x:c r="A2594" s="1" t="str">
        <x:f>Source!A2588</x:f>
        <x:v>C0000301</x:v>
      </x:c>
      <x:c r="B2594" s="1" t="str">
        <x:f>_xlfn.IFNA(VLOOKUP(Source!B2588,Advertisers!$A$5:$B$34,2,FALSE),"Missing advertiser")</x:f>
        <x:v>Synthetic advertiser 11</x:v>
      </x:c>
      <x:c r="C2594" s="1" t="n">
        <x:f>Source!C2588</x:f>
        <x:v>101</x:v>
      </x:c>
      <x:c r="D2594" s="8" t="n">
        <x:f>Source!D2588/100</x:f>
        <x:v>493.42</x:v>
      </x:c>
      <x:c r="E2594" s="8" t="n">
        <x:f>Source!E2588/100</x:f>
        <x:v>508.42</x:v>
      </x:c>
      <x:c r="F2594" s="8" t="n">
        <x:f>Source!F2588/100</x:f>
        <x:v>0</x:v>
      </x:c>
      <x:c r="G2594" s="8" t="n">
        <x:f>Source!G2588/100</x:f>
        <x:v>508.42</x:v>
      </x:c>
      <x:c r="H2594" s="8" t="n">
        <x:f>G2594-D2594</x:f>
        <x:v>15</x:v>
      </x:c>
      <x:c r="I2594" s="1" t="str">
        <x:f>IF(H2594&gt;0,"Overbilled","Shortfall")</x:f>
        <x:v>Overbilled</x:v>
      </x:c>
      <x:c r="J2594" s="7"/>
      <x:c r="K2594" s="7" t="str">
        <x:v>Open</x:v>
      </x:c>
      <x:c r="L2594" s="7"/>
    </x:row>
    <x:row r="2595" ht="21" customHeight="1">
      <x:c r="A2595" s="1" t="str">
        <x:f>Source!A2589</x:f>
        <x:v>C0009270</x:v>
      </x:c>
      <x:c r="B2595" s="1" t="str">
        <x:f>_xlfn.IFNA(VLOOKUP(Source!B2589,Advertisers!$A$5:$B$34,2,FALSE),"Missing advertiser")</x:f>
        <x:v>Synthetic advertiser 22</x:v>
      </x:c>
      <x:c r="C2595" s="1" t="n">
        <x:f>Source!C2589</x:f>
        <x:v>82</x:v>
      </x:c>
      <x:c r="D2595" s="8" t="n">
        <x:f>Source!D2589/100</x:f>
        <x:v>198.47</x:v>
      </x:c>
      <x:c r="E2595" s="8" t="n">
        <x:f>Source!E2589/100</x:f>
        <x:v>213.47</x:v>
      </x:c>
      <x:c r="F2595" s="8" t="n">
        <x:f>Source!F2589/100</x:f>
        <x:v>0</x:v>
      </x:c>
      <x:c r="G2595" s="8" t="n">
        <x:f>Source!G2589/100</x:f>
        <x:v>213.47</x:v>
      </x:c>
      <x:c r="H2595" s="8" t="n">
        <x:f>G2595-D2595</x:f>
        <x:v>15</x:v>
      </x:c>
      <x:c r="I2595" s="1" t="str">
        <x:f>IF(H2595&gt;0,"Overbilled","Shortfall")</x:f>
        <x:v>Overbilled</x:v>
      </x:c>
      <x:c r="J2595" s="7"/>
      <x:c r="K2595" s="7" t="str">
        <x:v>Open</x:v>
      </x:c>
      <x:c r="L2595" s="7"/>
    </x:row>
    <x:row r="2596" ht="21" customHeight="1">
      <x:c r="A2596" s="1" t="str">
        <x:f>Source!A2590</x:f>
        <x:v>C0008402</x:v>
      </x:c>
      <x:c r="B2596" s="1" t="str">
        <x:f>_xlfn.IFNA(VLOOKUP(Source!B2590,Advertisers!$A$5:$B$34,2,FALSE),"Missing advertiser")</x:f>
        <x:v>Synthetic advertiser 29</x:v>
      </x:c>
      <x:c r="C2596" s="1" t="n">
        <x:f>Source!C2590</x:f>
        <x:v>29</x:v>
      </x:c>
      <x:c r="D2596" s="8" t="n">
        <x:f>Source!D2590/100</x:f>
        <x:v>401.34</x:v>
      </x:c>
      <x:c r="E2596" s="8" t="n">
        <x:f>Source!E2590/100</x:f>
        <x:v>416.34</x:v>
      </x:c>
      <x:c r="F2596" s="8" t="n">
        <x:f>Source!F2590/100</x:f>
        <x:v>0</x:v>
      </x:c>
      <x:c r="G2596" s="8" t="n">
        <x:f>Source!G2590/100</x:f>
        <x:v>416.34</x:v>
      </x:c>
      <x:c r="H2596" s="8" t="n">
        <x:f>G2596-D2596</x:f>
        <x:v>15</x:v>
      </x:c>
      <x:c r="I2596" s="1" t="str">
        <x:f>IF(H2596&gt;0,"Overbilled","Shortfall")</x:f>
        <x:v>Overbilled</x:v>
      </x:c>
      <x:c r="J2596" s="7"/>
      <x:c r="K2596" s="7" t="str">
        <x:v>Open</x:v>
      </x:c>
      <x:c r="L2596" s="7"/>
    </x:row>
    <x:row r="2597" ht="21" customHeight="1">
      <x:c r="A2597" s="1" t="str">
        <x:f>Source!A2591</x:f>
        <x:v>C0008494</x:v>
      </x:c>
      <x:c r="B2597" s="1" t="str">
        <x:f>_xlfn.IFNA(VLOOKUP(Source!B2591,Advertisers!$A$5:$B$34,2,FALSE),"Missing advertiser")</x:f>
        <x:v>Synthetic advertiser 5</x:v>
      </x:c>
      <x:c r="C2597" s="1" t="n">
        <x:f>Source!C2591</x:f>
        <x:v>95</x:v>
      </x:c>
      <x:c r="D2597" s="8" t="n">
        <x:f>Source!D2591/100</x:f>
        <x:v>74.83</x:v>
      </x:c>
      <x:c r="E2597" s="8" t="n">
        <x:f>Source!E2591/100</x:f>
        <x:v>89.83</x:v>
      </x:c>
      <x:c r="F2597" s="8" t="n">
        <x:f>Source!F2591/100</x:f>
        <x:v>0</x:v>
      </x:c>
      <x:c r="G2597" s="8" t="n">
        <x:f>Source!G2591/100</x:f>
        <x:v>89.83</x:v>
      </x:c>
      <x:c r="H2597" s="8" t="n">
        <x:f>G2597-D2597</x:f>
        <x:v>15</x:v>
      </x:c>
      <x:c r="I2597" s="1" t="str">
        <x:f>IF(H2597&gt;0,"Overbilled","Shortfall")</x:f>
        <x:v>Overbilled</x:v>
      </x:c>
      <x:c r="J2597" s="7"/>
      <x:c r="K2597" s="7" t="str">
        <x:v>Open</x:v>
      </x:c>
      <x:c r="L2597" s="7"/>
    </x:row>
    <x:row r="2598" ht="21" customHeight="1">
      <x:c r="A2598" s="1" t="str">
        <x:f>Source!A2592</x:f>
        <x:v>C0008540</x:v>
      </x:c>
      <x:c r="B2598" s="1" t="str">
        <x:f>_xlfn.IFNA(VLOOKUP(Source!B2592,Advertisers!$A$5:$B$34,2,FALSE),"Missing advertiser")</x:f>
        <x:v>Synthetic advertiser 11</x:v>
      </x:c>
      <x:c r="C2598" s="1" t="n">
        <x:f>Source!C2592</x:f>
        <x:v>101</x:v>
      </x:c>
      <x:c r="D2598" s="8" t="n">
        <x:f>Source!D2592/100</x:f>
        <x:v>143.96</x:v>
      </x:c>
      <x:c r="E2598" s="8" t="n">
        <x:f>Source!E2592/100</x:f>
        <x:v>158.96</x:v>
      </x:c>
      <x:c r="F2598" s="8" t="n">
        <x:f>Source!F2592/100</x:f>
        <x:v>0</x:v>
      </x:c>
      <x:c r="G2598" s="8" t="n">
        <x:f>Source!G2592/100</x:f>
        <x:v>158.96</x:v>
      </x:c>
      <x:c r="H2598" s="8" t="n">
        <x:f>G2598-D2598</x:f>
        <x:v>15</x:v>
      </x:c>
      <x:c r="I2598" s="1" t="str">
        <x:f>IF(H2598&gt;0,"Overbilled","Shortfall")</x:f>
        <x:v>Overbilled</x:v>
      </x:c>
      <x:c r="J2598" s="7"/>
      <x:c r="K2598" s="7" t="str">
        <x:v>Open</x:v>
      </x:c>
      <x:c r="L2598" s="7"/>
    </x:row>
    <x:row r="2599" ht="21" customHeight="1">
      <x:c r="A2599" s="1" t="str">
        <x:f>Source!A2593</x:f>
        <x:v>C0008554</x:v>
      </x:c>
      <x:c r="B2599" s="1" t="str">
        <x:f>_xlfn.IFNA(VLOOKUP(Source!B2593,Advertisers!$A$5:$B$34,2,FALSE),"Missing advertiser")</x:f>
        <x:v>Synthetic advertiser 13</x:v>
      </x:c>
      <x:c r="C2599" s="1" t="n">
        <x:f>Source!C2593</x:f>
        <x:v>73</x:v>
      </x:c>
      <x:c r="D2599" s="8" t="n">
        <x:f>Source!D2593/100</x:f>
        <x:v>214.3</x:v>
      </x:c>
      <x:c r="E2599" s="8" t="n">
        <x:f>Source!E2593/100</x:f>
        <x:v>229.3</x:v>
      </x:c>
      <x:c r="F2599" s="8" t="n">
        <x:f>Source!F2593/100</x:f>
        <x:v>0</x:v>
      </x:c>
      <x:c r="G2599" s="8" t="n">
        <x:f>Source!G2593/100</x:f>
        <x:v>229.3</x:v>
      </x:c>
      <x:c r="H2599" s="8" t="n">
        <x:f>G2599-D2599</x:f>
        <x:v>15</x:v>
      </x:c>
      <x:c r="I2599" s="1" t="str">
        <x:f>IF(H2599&gt;0,"Overbilled","Shortfall")</x:f>
        <x:v>Overbilled</x:v>
      </x:c>
      <x:c r="J2599" s="7"/>
      <x:c r="K2599" s="7" t="str">
        <x:v>Open</x:v>
      </x:c>
      <x:c r="L2599" s="7"/>
    </x:row>
    <x:row r="2600" ht="21" customHeight="1">
      <x:c r="A2600" s="1" t="str">
        <x:f>Source!A2594</x:f>
        <x:v>C0008570</x:v>
      </x:c>
      <x:c r="B2600" s="1" t="str">
        <x:f>_xlfn.IFNA(VLOOKUP(Source!B2594,Advertisers!$A$5:$B$34,2,FALSE),"Missing advertiser")</x:f>
        <x:v>Synthetic advertiser 7</x:v>
      </x:c>
      <x:c r="C2600" s="1" t="n">
        <x:f>Source!C2594</x:f>
        <x:v>67</x:v>
      </x:c>
      <x:c r="D2600" s="8" t="n">
        <x:f>Source!D2594/100</x:f>
        <x:v>161.24</x:v>
      </x:c>
      <x:c r="E2600" s="8" t="n">
        <x:f>Source!E2594/100</x:f>
        <x:v>176.24</x:v>
      </x:c>
      <x:c r="F2600" s="8" t="n">
        <x:f>Source!F2594/100</x:f>
        <x:v>0</x:v>
      </x:c>
      <x:c r="G2600" s="8" t="n">
        <x:f>Source!G2594/100</x:f>
        <x:v>176.24</x:v>
      </x:c>
      <x:c r="H2600" s="8" t="n">
        <x:f>G2600-D2600</x:f>
        <x:v>15</x:v>
      </x:c>
      <x:c r="I2600" s="1" t="str">
        <x:f>IF(H2600&gt;0,"Overbilled","Shortfall")</x:f>
        <x:v>Overbilled</x:v>
      </x:c>
      <x:c r="J2600" s="7"/>
      <x:c r="K2600" s="7" t="str">
        <x:v>Open</x:v>
      </x:c>
      <x:c r="L2600" s="7"/>
    </x:row>
    <x:row r="2601" ht="21" customHeight="1">
      <x:c r="A2601" s="1" t="str">
        <x:f>Source!A2595</x:f>
        <x:v>C0010028</x:v>
      </x:c>
      <x:c r="B2601" s="1" t="str">
        <x:f>_xlfn.IFNA(VLOOKUP(Source!B2595,Advertisers!$A$5:$B$34,2,FALSE),"Missing advertiser")</x:f>
        <x:v>Synthetic advertiser 1</x:v>
      </x:c>
      <x:c r="C2601" s="1" t="n">
        <x:f>Source!C2595</x:f>
        <x:v>31</x:v>
      </x:c>
      <x:c r="D2601" s="8" t="n">
        <x:f>Source!D2595/100</x:f>
        <x:v>226.33</x:v>
      </x:c>
      <x:c r="E2601" s="8" t="n">
        <x:f>Source!E2595/100</x:f>
        <x:v>241.33</x:v>
      </x:c>
      <x:c r="F2601" s="8" t="n">
        <x:f>Source!F2595/100</x:f>
        <x:v>0</x:v>
      </x:c>
      <x:c r="G2601" s="8" t="n">
        <x:f>Source!G2595/100</x:f>
        <x:v>241.33</x:v>
      </x:c>
      <x:c r="H2601" s="8" t="n">
        <x:f>G2601-D2601</x:f>
        <x:v>15</x:v>
      </x:c>
      <x:c r="I2601" s="1" t="str">
        <x:f>IF(H2601&gt;0,"Overbilled","Shortfall")</x:f>
        <x:v>Overbilled</x:v>
      </x:c>
      <x:c r="J2601" s="7"/>
      <x:c r="K2601" s="7" t="str">
        <x:v>Open</x:v>
      </x:c>
      <x:c r="L2601" s="7"/>
    </x:row>
    <x:row r="2602" ht="21" customHeight="1">
      <x:c r="A2602" s="1" t="str">
        <x:f>Source!A2596</x:f>
        <x:v>C0010086</x:v>
      </x:c>
      <x:c r="B2602" s="1" t="str">
        <x:f>_xlfn.IFNA(VLOOKUP(Source!B2596,Advertisers!$A$5:$B$34,2,FALSE),"Missing advertiser")</x:f>
        <x:v>Synthetic advertiser 5</x:v>
      </x:c>
      <x:c r="C2602" s="1" t="n">
        <x:f>Source!C2596</x:f>
        <x:v>95</x:v>
      </x:c>
      <x:c r="D2602" s="8" t="n">
        <x:f>Source!D2596/100</x:f>
        <x:v>74.83</x:v>
      </x:c>
      <x:c r="E2602" s="8" t="n">
        <x:f>Source!E2596/100</x:f>
        <x:v>89.83</x:v>
      </x:c>
      <x:c r="F2602" s="8" t="n">
        <x:f>Source!F2596/100</x:f>
        <x:v>0</x:v>
      </x:c>
      <x:c r="G2602" s="8" t="n">
        <x:f>Source!G2596/100</x:f>
        <x:v>89.83</x:v>
      </x:c>
      <x:c r="H2602" s="8" t="n">
        <x:f>G2602-D2602</x:f>
        <x:v>15</x:v>
      </x:c>
      <x:c r="I2602" s="1" t="str">
        <x:f>IF(H2602&gt;0,"Overbilled","Shortfall")</x:f>
        <x:v>Overbilled</x:v>
      </x:c>
      <x:c r="J2602" s="7"/>
      <x:c r="K2602" s="7" t="str">
        <x:v>Open</x:v>
      </x:c>
      <x:c r="L2602" s="7"/>
    </x:row>
    <x:row r="2603" ht="21" customHeight="1">
      <x:c r="A2603" s="1" t="str">
        <x:f>Source!A2597</x:f>
        <x:v>C0010174</x:v>
      </x:c>
      <x:c r="B2603" s="1" t="str">
        <x:f>_xlfn.IFNA(VLOOKUP(Source!B2597,Advertisers!$A$5:$B$34,2,FALSE),"Missing advertiser")</x:f>
        <x:v>Synthetic advertiser 9</x:v>
      </x:c>
      <x:c r="C2603" s="1" t="n">
        <x:f>Source!C2597</x:f>
        <x:v>99</x:v>
      </x:c>
      <x:c r="D2603" s="8" t="n">
        <x:f>Source!D2597/100</x:f>
        <x:v>103.53</x:v>
      </x:c>
      <x:c r="E2603" s="8" t="n">
        <x:f>Source!E2597/100</x:f>
        <x:v>118.53</x:v>
      </x:c>
      <x:c r="F2603" s="8" t="n">
        <x:f>Source!F2597/100</x:f>
        <x:v>0</x:v>
      </x:c>
      <x:c r="G2603" s="8" t="n">
        <x:f>Source!G2597/100</x:f>
        <x:v>118.53</x:v>
      </x:c>
      <x:c r="H2603" s="8" t="n">
        <x:f>G2603-D2603</x:f>
        <x:v>15</x:v>
      </x:c>
      <x:c r="I2603" s="1" t="str">
        <x:f>IF(H2603&gt;0,"Overbilled","Shortfall")</x:f>
        <x:v>Overbilled</x:v>
      </x:c>
      <x:c r="J2603" s="7"/>
      <x:c r="K2603" s="7" t="str">
        <x:v>Open</x:v>
      </x:c>
      <x:c r="L2603" s="7"/>
    </x:row>
    <x:row r="2604" ht="21" customHeight="1">
      <x:c r="A2604" s="1" t="str">
        <x:f>Source!A2598</x:f>
        <x:v>C0001576</x:v>
      </x:c>
      <x:c r="B2604" s="1" t="str">
        <x:f>_xlfn.IFNA(VLOOKUP(Source!B2598,Advertisers!$A$5:$B$34,2,FALSE),"Missing advertiser")</x:f>
        <x:v>Synthetic advertiser 23</x:v>
      </x:c>
      <x:c r="C2604" s="1" t="n">
        <x:f>Source!C2598</x:f>
        <x:v>23</x:v>
      </x:c>
      <x:c r="D2604" s="8" t="n">
        <x:f>Source!D2598/100</x:f>
        <x:v>74.55</x:v>
      </x:c>
      <x:c r="E2604" s="8" t="n">
        <x:f>Source!E2598/100</x:f>
        <x:v>89.55</x:v>
      </x:c>
      <x:c r="F2604" s="8" t="n">
        <x:f>Source!F2598/100</x:f>
        <x:v>0</x:v>
      </x:c>
      <x:c r="G2604" s="8" t="n">
        <x:f>Source!G2598/100</x:f>
        <x:v>89.55</x:v>
      </x:c>
      <x:c r="H2604" s="8" t="n">
        <x:f>G2604-D2604</x:f>
        <x:v>15</x:v>
      </x:c>
      <x:c r="I2604" s="1" t="str">
        <x:f>IF(H2604&gt;0,"Overbilled","Shortfall")</x:f>
        <x:v>Overbilled</x:v>
      </x:c>
      <x:c r="J2604" s="7"/>
      <x:c r="K2604" s="7" t="str">
        <x:v>Open</x:v>
      </x:c>
      <x:c r="L2604" s="7"/>
    </x:row>
    <x:row r="2605" ht="21" customHeight="1">
      <x:c r="A2605" s="1" t="str">
        <x:f>Source!A2599</x:f>
        <x:v>C0001601</x:v>
      </x:c>
      <x:c r="B2605" s="1" t="str">
        <x:f>_xlfn.IFNA(VLOOKUP(Source!B2599,Advertisers!$A$5:$B$34,2,FALSE),"Missing advertiser")</x:f>
        <x:v>Synthetic advertiser 11</x:v>
      </x:c>
      <x:c r="C2605" s="1" t="n">
        <x:f>Source!C2599</x:f>
        <x:v>11</x:v>
      </x:c>
      <x:c r="D2605" s="8" t="n">
        <x:f>Source!D2599/100</x:f>
        <x:v>80.46</x:v>
      </x:c>
      <x:c r="E2605" s="8" t="n">
        <x:f>Source!E2599/100</x:f>
        <x:v>95.46</x:v>
      </x:c>
      <x:c r="F2605" s="8" t="n">
        <x:f>Source!F2599/100</x:f>
        <x:v>0</x:v>
      </x:c>
      <x:c r="G2605" s="8" t="n">
        <x:f>Source!G2599/100</x:f>
        <x:v>95.46</x:v>
      </x:c>
      <x:c r="H2605" s="8" t="n">
        <x:f>G2605-D2605</x:f>
        <x:v>15</x:v>
      </x:c>
      <x:c r="I2605" s="1" t="str">
        <x:f>IF(H2605&gt;0,"Overbilled","Shortfall")</x:f>
        <x:v>Overbilled</x:v>
      </x:c>
      <x:c r="J2605" s="7"/>
      <x:c r="K2605" s="7" t="str">
        <x:v>Open</x:v>
      </x:c>
      <x:c r="L2605" s="7"/>
    </x:row>
    <x:row r="2606" ht="21" customHeight="1">
      <x:c r="A2606" s="1" t="str">
        <x:f>Source!A2600</x:f>
        <x:v>C0001637</x:v>
      </x:c>
      <x:c r="B2606" s="1" t="str">
        <x:f>_xlfn.IFNA(VLOOKUP(Source!B2600,Advertisers!$A$5:$B$34,2,FALSE),"Missing advertiser")</x:f>
        <x:v>Synthetic advertiser 16</x:v>
      </x:c>
      <x:c r="C2606" s="1" t="n">
        <x:f>Source!C2600</x:f>
        <x:v>76</x:v>
      </x:c>
      <x:c r="D2606" s="8" t="n">
        <x:f>Source!D2600/100</x:f>
        <x:v>221.63</x:v>
      </x:c>
      <x:c r="E2606" s="8" t="n">
        <x:f>Source!E2600/100</x:f>
        <x:v>236.63</x:v>
      </x:c>
      <x:c r="F2606" s="8" t="n">
        <x:f>Source!F2600/100</x:f>
        <x:v>0</x:v>
      </x:c>
      <x:c r="G2606" s="8" t="n">
        <x:f>Source!G2600/100</x:f>
        <x:v>236.63</x:v>
      </x:c>
      <x:c r="H2606" s="8" t="n">
        <x:f>G2606-D2606</x:f>
        <x:v>15</x:v>
      </x:c>
      <x:c r="I2606" s="1" t="str">
        <x:f>IF(H2606&gt;0,"Overbilled","Shortfall")</x:f>
        <x:v>Overbilled</x:v>
      </x:c>
      <x:c r="J2606" s="7"/>
      <x:c r="K2606" s="7" t="str">
        <x:v>Open</x:v>
      </x:c>
      <x:c r="L2606" s="7"/>
    </x:row>
    <x:row r="2607" ht="21" customHeight="1">
      <x:c r="A2607" s="1" t="str">
        <x:f>Source!A2601</x:f>
        <x:v>C0001644</x:v>
      </x:c>
      <x:c r="B2607" s="1" t="str">
        <x:f>_xlfn.IFNA(VLOOKUP(Source!B2601,Advertisers!$A$5:$B$34,2,FALSE),"Missing advertiser")</x:f>
        <x:v>Synthetic advertiser 17</x:v>
      </x:c>
      <x:c r="C2607" s="1" t="n">
        <x:f>Source!C2601</x:f>
        <x:v>77</x:v>
      </x:c>
      <x:c r="D2607" s="8" t="n">
        <x:f>Source!D2601/100</x:f>
        <x:v>133</x:v>
      </x:c>
      <x:c r="E2607" s="8" t="n">
        <x:f>Source!E2601/100</x:f>
        <x:v>148</x:v>
      </x:c>
      <x:c r="F2607" s="8" t="n">
        <x:f>Source!F2601/100</x:f>
        <x:v>0</x:v>
      </x:c>
      <x:c r="G2607" s="8" t="n">
        <x:f>Source!G2601/100</x:f>
        <x:v>148</x:v>
      </x:c>
      <x:c r="H2607" s="8" t="n">
        <x:f>G2607-D2607</x:f>
        <x:v>15</x:v>
      </x:c>
      <x:c r="I2607" s="1" t="str">
        <x:f>IF(H2607&gt;0,"Overbilled","Shortfall")</x:f>
        <x:v>Overbilled</x:v>
      </x:c>
      <x:c r="J2607" s="7"/>
      <x:c r="K2607" s="7" t="str">
        <x:v>Open</x:v>
      </x:c>
      <x:c r="L2607" s="7"/>
    </x:row>
    <x:row r="2608" ht="21" customHeight="1">
      <x:c r="A2608" s="1" t="str">
        <x:f>Source!A2602</x:f>
        <x:v>C0009890</x:v>
      </x:c>
      <x:c r="B2608" s="1" t="str">
        <x:f>_xlfn.IFNA(VLOOKUP(Source!B2602,Advertisers!$A$5:$B$34,2,FALSE),"Missing advertiser")</x:f>
        <x:v>Synthetic advertiser 30</x:v>
      </x:c>
      <x:c r="C2608" s="1" t="n">
        <x:f>Source!C2602</x:f>
        <x:v>30</x:v>
      </x:c>
      <x:c r="D2608" s="8" t="n">
        <x:f>Source!D2602/100</x:f>
        <x:v>135.18</x:v>
      </x:c>
      <x:c r="E2608" s="8" t="n">
        <x:f>Source!E2602/100</x:f>
        <x:v>150.18</x:v>
      </x:c>
      <x:c r="F2608" s="8" t="n">
        <x:f>Source!F2602/100</x:f>
        <x:v>0</x:v>
      </x:c>
      <x:c r="G2608" s="8" t="n">
        <x:f>Source!G2602/100</x:f>
        <x:v>150.18</x:v>
      </x:c>
      <x:c r="H2608" s="8" t="n">
        <x:f>G2608-D2608</x:f>
        <x:v>15</x:v>
      </x:c>
      <x:c r="I2608" s="1" t="str">
        <x:f>IF(H2608&gt;0,"Overbilled","Shortfall")</x:f>
        <x:v>Overbilled</x:v>
      </x:c>
      <x:c r="J2608" s="7"/>
      <x:c r="K2608" s="7" t="str">
        <x:v>Open</x:v>
      </x:c>
      <x:c r="L2608" s="7"/>
    </x:row>
    <x:row r="2609" ht="21" customHeight="1">
      <x:c r="A2609" s="1" t="str">
        <x:f>Source!A2603</x:f>
        <x:v>C0001684</x:v>
      </x:c>
      <x:c r="B2609" s="1" t="str">
        <x:f>_xlfn.IFNA(VLOOKUP(Source!B2603,Advertisers!$A$5:$B$34,2,FALSE),"Missing advertiser")</x:f>
        <x:v>Synthetic advertiser 9</x:v>
      </x:c>
      <x:c r="C2609" s="1" t="n">
        <x:f>Source!C2603</x:f>
        <x:v>99</x:v>
      </x:c>
      <x:c r="D2609" s="8" t="n">
        <x:f>Source!D2603/100</x:f>
        <x:v>267.7</x:v>
      </x:c>
      <x:c r="E2609" s="8" t="n">
        <x:f>Source!E2603/100</x:f>
        <x:v>282.7</x:v>
      </x:c>
      <x:c r="F2609" s="8" t="n">
        <x:f>Source!F2603/100</x:f>
        <x:v>0</x:v>
      </x:c>
      <x:c r="G2609" s="8" t="n">
        <x:f>Source!G2603/100</x:f>
        <x:v>282.7</x:v>
      </x:c>
      <x:c r="H2609" s="8" t="n">
        <x:f>G2609-D2609</x:f>
        <x:v>15</x:v>
      </x:c>
      <x:c r="I2609" s="1" t="str">
        <x:f>IF(H2609&gt;0,"Overbilled","Shortfall")</x:f>
        <x:v>Overbilled</x:v>
      </x:c>
      <x:c r="J2609" s="7"/>
      <x:c r="K2609" s="7" t="str">
        <x:v>Open</x:v>
      </x:c>
      <x:c r="L2609" s="7"/>
    </x:row>
    <x:row r="2610" ht="21" customHeight="1">
      <x:c r="A2610" s="1" t="str">
        <x:f>Source!A2604</x:f>
        <x:v>C0001689</x:v>
      </x:c>
      <x:c r="B2610" s="1" t="str">
        <x:f>_xlfn.IFNA(VLOOKUP(Source!B2604,Advertisers!$A$5:$B$34,2,FALSE),"Missing advertiser")</x:f>
        <x:v>Synthetic advertiser 21</x:v>
      </x:c>
      <x:c r="C2610" s="1" t="n">
        <x:f>Source!C2604</x:f>
        <x:v>51</x:v>
      </x:c>
      <x:c r="D2610" s="8" t="n">
        <x:f>Source!D2604/100</x:f>
        <x:v>213.96</x:v>
      </x:c>
      <x:c r="E2610" s="8" t="n">
        <x:f>Source!E2604/100</x:f>
        <x:v>228.96</x:v>
      </x:c>
      <x:c r="F2610" s="8" t="n">
        <x:f>Source!F2604/100</x:f>
        <x:v>0</x:v>
      </x:c>
      <x:c r="G2610" s="8" t="n">
        <x:f>Source!G2604/100</x:f>
        <x:v>228.96</x:v>
      </x:c>
      <x:c r="H2610" s="8" t="n">
        <x:f>G2610-D2610</x:f>
        <x:v>15</x:v>
      </x:c>
      <x:c r="I2610" s="1" t="str">
        <x:f>IF(H2610&gt;0,"Overbilled","Shortfall")</x:f>
        <x:v>Overbilled</x:v>
      </x:c>
      <x:c r="J2610" s="7"/>
      <x:c r="K2610" s="7" t="str">
        <x:v>Open</x:v>
      </x:c>
      <x:c r="L2610" s="7"/>
    </x:row>
    <x:row r="2611" ht="21" customHeight="1">
      <x:c r="A2611" s="1" t="str">
        <x:f>Source!A2605</x:f>
        <x:v>C0001738</x:v>
      </x:c>
      <x:c r="B2611" s="1" t="str">
        <x:f>_xlfn.IFNA(VLOOKUP(Source!B2605,Advertisers!$A$5:$B$34,2,FALSE),"Missing advertiser")</x:f>
        <x:v>Synthetic advertiser 16</x:v>
      </x:c>
      <x:c r="C2611" s="1" t="n">
        <x:f>Source!C2605</x:f>
        <x:v>106</x:v>
      </x:c>
      <x:c r="D2611" s="8" t="n">
        <x:f>Source!D2605/100</x:f>
        <x:v>226.21</x:v>
      </x:c>
      <x:c r="E2611" s="8" t="n">
        <x:f>Source!E2605/100</x:f>
        <x:v>241.21</x:v>
      </x:c>
      <x:c r="F2611" s="8" t="n">
        <x:f>Source!F2605/100</x:f>
        <x:v>0</x:v>
      </x:c>
      <x:c r="G2611" s="8" t="n">
        <x:f>Source!G2605/100</x:f>
        <x:v>241.21</x:v>
      </x:c>
      <x:c r="H2611" s="8" t="n">
        <x:f>G2611-D2611</x:f>
        <x:v>15</x:v>
      </x:c>
      <x:c r="I2611" s="1" t="str">
        <x:f>IF(H2611&gt;0,"Overbilled","Shortfall")</x:f>
        <x:v>Overbilled</x:v>
      </x:c>
      <x:c r="J2611" s="7"/>
      <x:c r="K2611" s="7" t="str">
        <x:v>Open</x:v>
      </x:c>
      <x:c r="L2611" s="7"/>
    </x:row>
    <x:row r="2612" ht="21" customHeight="1">
      <x:c r="A2612" s="1" t="str">
        <x:f>Source!A2606</x:f>
        <x:v>C0016391</x:v>
      </x:c>
      <x:c r="B2612" s="1" t="str">
        <x:f>_xlfn.IFNA(VLOOKUP(Source!B2606,Advertisers!$A$5:$B$34,2,FALSE),"Missing advertiser")</x:f>
        <x:v>Synthetic advertiser 12</x:v>
      </x:c>
      <x:c r="C2612" s="1" t="n">
        <x:f>Source!C2606</x:f>
        <x:v>12</x:v>
      </x:c>
      <x:c r="D2612" s="8" t="n">
        <x:f>Source!D2606/100</x:f>
        <x:v>122.36</x:v>
      </x:c>
      <x:c r="E2612" s="8" t="n">
        <x:f>Source!E2606/100</x:f>
        <x:v>137.36</x:v>
      </x:c>
      <x:c r="F2612" s="8" t="n">
        <x:f>Source!F2606/100</x:f>
        <x:v>0</x:v>
      </x:c>
      <x:c r="G2612" s="8" t="n">
        <x:f>Source!G2606/100</x:f>
        <x:v>137.36</x:v>
      </x:c>
      <x:c r="H2612" s="8" t="n">
        <x:f>G2612-D2612</x:f>
        <x:v>15.000000000000014</x:v>
      </x:c>
      <x:c r="I2612" s="1" t="str">
        <x:f>IF(H2612&gt;0,"Overbilled","Shortfall")</x:f>
        <x:v>Overbilled</x:v>
      </x:c>
      <x:c r="J2612" s="7"/>
      <x:c r="K2612" s="7" t="str">
        <x:v>Open</x:v>
      </x:c>
      <x:c r="L2612" s="7"/>
    </x:row>
    <x:row r="2613" ht="21" customHeight="1">
      <x:c r="A2613" s="1" t="str">
        <x:f>Source!A2607</x:f>
        <x:v>C0016410</x:v>
      </x:c>
      <x:c r="B2613" s="1" t="str">
        <x:f>_xlfn.IFNA(VLOOKUP(Source!B2607,Advertisers!$A$5:$B$34,2,FALSE),"Missing advertiser")</x:f>
        <x:v>Synthetic advertiser 7</x:v>
      </x:c>
      <x:c r="C2613" s="1" t="n">
        <x:f>Source!C2607</x:f>
        <x:v>37</x:v>
      </x:c>
      <x:c r="D2613" s="8" t="n">
        <x:f>Source!D2607/100</x:f>
        <x:v>151.01</x:v>
      </x:c>
      <x:c r="E2613" s="8" t="n">
        <x:f>Source!E2607/100</x:f>
        <x:v>166.01</x:v>
      </x:c>
      <x:c r="F2613" s="8" t="n">
        <x:f>Source!F2607/100</x:f>
        <x:v>0</x:v>
      </x:c>
      <x:c r="G2613" s="8" t="n">
        <x:f>Source!G2607/100</x:f>
        <x:v>166.01</x:v>
      </x:c>
      <x:c r="H2613" s="8" t="n">
        <x:f>G2613-D2613</x:f>
        <x:v>15</x:v>
      </x:c>
      <x:c r="I2613" s="1" t="str">
        <x:f>IF(H2613&gt;0,"Overbilled","Shortfall")</x:f>
        <x:v>Overbilled</x:v>
      </x:c>
      <x:c r="J2613" s="7"/>
      <x:c r="K2613" s="7" t="str">
        <x:v>Open</x:v>
      </x:c>
      <x:c r="L2613" s="7"/>
    </x:row>
    <x:row r="2614" ht="21" customHeight="1">
      <x:c r="A2614" s="1" t="str">
        <x:f>Source!A2608</x:f>
        <x:v>C0016416</x:v>
      </x:c>
      <x:c r="B2614" s="1" t="str">
        <x:f>_xlfn.IFNA(VLOOKUP(Source!B2608,Advertisers!$A$5:$B$34,2,FALSE),"Missing advertiser")</x:f>
        <x:v>Synthetic advertiser 20</x:v>
      </x:c>
      <x:c r="C2614" s="1" t="n">
        <x:f>Source!C2608</x:f>
        <x:v>50</x:v>
      </x:c>
      <x:c r="D2614" s="8" t="n">
        <x:f>Source!D2608/100</x:f>
        <x:v>232.13</x:v>
      </x:c>
      <x:c r="E2614" s="8" t="n">
        <x:f>Source!E2608/100</x:f>
        <x:v>247.13</x:v>
      </x:c>
      <x:c r="F2614" s="8" t="n">
        <x:f>Source!F2608/100</x:f>
        <x:v>0</x:v>
      </x:c>
      <x:c r="G2614" s="8" t="n">
        <x:f>Source!G2608/100</x:f>
        <x:v>247.13</x:v>
      </x:c>
      <x:c r="H2614" s="8" t="n">
        <x:f>G2614-D2614</x:f>
        <x:v>15</x:v>
      </x:c>
      <x:c r="I2614" s="1" t="str">
        <x:f>IF(H2614&gt;0,"Overbilled","Shortfall")</x:f>
        <x:v>Overbilled</x:v>
      </x:c>
      <x:c r="J2614" s="7"/>
      <x:c r="K2614" s="7" t="str">
        <x:v>Open</x:v>
      </x:c>
      <x:c r="L2614" s="7"/>
    </x:row>
    <x:row r="2615" ht="21" customHeight="1">
      <x:c r="A2615" s="1" t="str">
        <x:f>Source!A2609</x:f>
        <x:v>C0016426</x:v>
      </x:c>
      <x:c r="B2615" s="1" t="str">
        <x:f>_xlfn.IFNA(VLOOKUP(Source!B2609,Advertisers!$A$5:$B$34,2,FALSE),"Missing advertiser")</x:f>
        <x:v>Synthetic advertiser 21</x:v>
      </x:c>
      <x:c r="C2615" s="1" t="n">
        <x:f>Source!C2609</x:f>
        <x:v>111</x:v>
      </x:c>
      <x:c r="D2615" s="8" t="n">
        <x:f>Source!D2609/100</x:f>
        <x:v>102.91</x:v>
      </x:c>
      <x:c r="E2615" s="8" t="n">
        <x:f>Source!E2609/100</x:f>
        <x:v>117.91</x:v>
      </x:c>
      <x:c r="F2615" s="8" t="n">
        <x:f>Source!F2609/100</x:f>
        <x:v>0</x:v>
      </x:c>
      <x:c r="G2615" s="8" t="n">
        <x:f>Source!G2609/100</x:f>
        <x:v>117.91</x:v>
      </x:c>
      <x:c r="H2615" s="8" t="n">
        <x:f>G2615-D2615</x:f>
        <x:v>15</x:v>
      </x:c>
      <x:c r="I2615" s="1" t="str">
        <x:f>IF(H2615&gt;0,"Overbilled","Shortfall")</x:f>
        <x:v>Overbilled</x:v>
      </x:c>
      <x:c r="J2615" s="7"/>
      <x:c r="K2615" s="7" t="str">
        <x:v>Open</x:v>
      </x:c>
      <x:c r="L2615" s="7"/>
    </x:row>
    <x:row r="2616" ht="21" customHeight="1">
      <x:c r="A2616" s="1" t="str">
        <x:f>Source!A2610</x:f>
        <x:v>C0016434</x:v>
      </x:c>
      <x:c r="B2616" s="1" t="str">
        <x:f>_xlfn.IFNA(VLOOKUP(Source!B2610,Advertisers!$A$5:$B$34,2,FALSE),"Missing advertiser")</x:f>
        <x:v>Synthetic advertiser 17</x:v>
      </x:c>
      <x:c r="C2616" s="1" t="n">
        <x:f>Source!C2610</x:f>
        <x:v>77</x:v>
      </x:c>
      <x:c r="D2616" s="8" t="n">
        <x:f>Source!D2610/100</x:f>
        <x:v>229.13</x:v>
      </x:c>
      <x:c r="E2616" s="8" t="n">
        <x:f>Source!E2610/100</x:f>
        <x:v>244.13</x:v>
      </x:c>
      <x:c r="F2616" s="8" t="n">
        <x:f>Source!F2610/100</x:f>
        <x:v>0</x:v>
      </x:c>
      <x:c r="G2616" s="8" t="n">
        <x:f>Source!G2610/100</x:f>
        <x:v>244.13</x:v>
      </x:c>
      <x:c r="H2616" s="8" t="n">
        <x:f>G2616-D2616</x:f>
        <x:v>15</x:v>
      </x:c>
      <x:c r="I2616" s="1" t="str">
        <x:f>IF(H2616&gt;0,"Overbilled","Shortfall")</x:f>
        <x:v>Overbilled</x:v>
      </x:c>
      <x:c r="J2616" s="7"/>
      <x:c r="K2616" s="7" t="str">
        <x:v>Open</x:v>
      </x:c>
      <x:c r="L2616" s="7"/>
    </x:row>
    <x:row r="2617" ht="21" customHeight="1">
      <x:c r="A2617" s="1" t="str">
        <x:f>Source!A2611</x:f>
        <x:v>C0016497</x:v>
      </x:c>
      <x:c r="B2617" s="1" t="str">
        <x:f>_xlfn.IFNA(VLOOKUP(Source!B2611,Advertisers!$A$5:$B$34,2,FALSE),"Missing advertiser")</x:f>
        <x:v>Synthetic advertiser 4</x:v>
      </x:c>
      <x:c r="C2617" s="1" t="n">
        <x:f>Source!C2611</x:f>
        <x:v>4</x:v>
      </x:c>
      <x:c r="D2617" s="8" t="n">
        <x:f>Source!D2611/100</x:f>
        <x:v>80.85</x:v>
      </x:c>
      <x:c r="E2617" s="8" t="n">
        <x:f>Source!E2611/100</x:f>
        <x:v>95.85</x:v>
      </x:c>
      <x:c r="F2617" s="8" t="n">
        <x:f>Source!F2611/100</x:f>
        <x:v>0</x:v>
      </x:c>
      <x:c r="G2617" s="8" t="n">
        <x:f>Source!G2611/100</x:f>
        <x:v>95.85</x:v>
      </x:c>
      <x:c r="H2617" s="8" t="n">
        <x:f>G2617-D2617</x:f>
        <x:v>15</x:v>
      </x:c>
      <x:c r="I2617" s="1" t="str">
        <x:f>IF(H2617&gt;0,"Overbilled","Shortfall")</x:f>
        <x:v>Overbilled</x:v>
      </x:c>
      <x:c r="J2617" s="7"/>
      <x:c r="K2617" s="7" t="str">
        <x:v>Open</x:v>
      </x:c>
      <x:c r="L2617" s="7"/>
    </x:row>
    <x:row r="2618" ht="21" customHeight="1">
      <x:c r="A2618" s="1" t="str">
        <x:f>Source!A2612</x:f>
        <x:v>C0016502</x:v>
      </x:c>
      <x:c r="B2618" s="1" t="str">
        <x:f>_xlfn.IFNA(VLOOKUP(Source!B2612,Advertisers!$A$5:$B$34,2,FALSE),"Missing advertiser")</x:f>
        <x:v>Synthetic advertiser 20</x:v>
      </x:c>
      <x:c r="C2618" s="1" t="n">
        <x:f>Source!C2612</x:f>
        <x:v>80</x:v>
      </x:c>
      <x:c r="D2618" s="8" t="n">
        <x:f>Source!D2612/100</x:f>
        <x:v>187.8</x:v>
      </x:c>
      <x:c r="E2618" s="8" t="n">
        <x:f>Source!E2612/100</x:f>
        <x:v>202.8</x:v>
      </x:c>
      <x:c r="F2618" s="8" t="n">
        <x:f>Source!F2612/100</x:f>
        <x:v>0</x:v>
      </x:c>
      <x:c r="G2618" s="8" t="n">
        <x:f>Source!G2612/100</x:f>
        <x:v>202.8</x:v>
      </x:c>
      <x:c r="H2618" s="8" t="n">
        <x:f>G2618-D2618</x:f>
        <x:v>15</x:v>
      </x:c>
      <x:c r="I2618" s="1" t="str">
        <x:f>IF(H2618&gt;0,"Overbilled","Shortfall")</x:f>
        <x:v>Overbilled</x:v>
      </x:c>
      <x:c r="J2618" s="7"/>
      <x:c r="K2618" s="7" t="str">
        <x:v>Open</x:v>
      </x:c>
      <x:c r="L2618" s="7"/>
    </x:row>
    <x:row r="2619" ht="21" customHeight="1">
      <x:c r="A2619" s="1" t="str">
        <x:f>Source!A2613</x:f>
        <x:v>C0016511</x:v>
      </x:c>
      <x:c r="B2619" s="1" t="str">
        <x:f>_xlfn.IFNA(VLOOKUP(Source!B2613,Advertisers!$A$5:$B$34,2,FALSE),"Missing advertiser")</x:f>
        <x:v>Synthetic advertiser 9</x:v>
      </x:c>
      <x:c r="C2619" s="1" t="n">
        <x:f>Source!C2613</x:f>
        <x:v>99</x:v>
      </x:c>
      <x:c r="D2619" s="8" t="n">
        <x:f>Source!D2613/100</x:f>
        <x:v>57.03</x:v>
      </x:c>
      <x:c r="E2619" s="8" t="n">
        <x:f>Source!E2613/100</x:f>
        <x:v>72.03</x:v>
      </x:c>
      <x:c r="F2619" s="8" t="n">
        <x:f>Source!F2613/100</x:f>
        <x:v>0</x:v>
      </x:c>
      <x:c r="G2619" s="8" t="n">
        <x:f>Source!G2613/100</x:f>
        <x:v>72.03</x:v>
      </x:c>
      <x:c r="H2619" s="8" t="n">
        <x:f>G2619-D2619</x:f>
        <x:v>15</x:v>
      </x:c>
      <x:c r="I2619" s="1" t="str">
        <x:f>IF(H2619&gt;0,"Overbilled","Shortfall")</x:f>
        <x:v>Overbilled</x:v>
      </x:c>
      <x:c r="J2619" s="7"/>
      <x:c r="K2619" s="7" t="str">
        <x:v>Open</x:v>
      </x:c>
      <x:c r="L2619" s="7"/>
    </x:row>
    <x:row r="2620" ht="21" customHeight="1">
      <x:c r="A2620" s="1" t="str">
        <x:f>Source!A2614</x:f>
        <x:v>C0001398</x:v>
      </x:c>
      <x:c r="B2620" s="1" t="str">
        <x:f>_xlfn.IFNA(VLOOKUP(Source!B2614,Advertisers!$A$5:$B$34,2,FALSE),"Missing advertiser")</x:f>
        <x:v>Synthetic advertiser 8</x:v>
      </x:c>
      <x:c r="C2620" s="1" t="n">
        <x:f>Source!C2614</x:f>
        <x:v>98</x:v>
      </x:c>
      <x:c r="D2620" s="8" t="n">
        <x:f>Source!D2614/100</x:f>
        <x:v>129.23</x:v>
      </x:c>
      <x:c r="E2620" s="8" t="n">
        <x:f>Source!E2614/100</x:f>
        <x:v>144.23</x:v>
      </x:c>
      <x:c r="F2620" s="8" t="n">
        <x:f>Source!F2614/100</x:f>
        <x:v>0</x:v>
      </x:c>
      <x:c r="G2620" s="8" t="n">
        <x:f>Source!G2614/100</x:f>
        <x:v>144.23</x:v>
      </x:c>
      <x:c r="H2620" s="8" t="n">
        <x:f>G2620-D2620</x:f>
        <x:v>15</x:v>
      </x:c>
      <x:c r="I2620" s="1" t="str">
        <x:f>IF(H2620&gt;0,"Overbilled","Shortfall")</x:f>
        <x:v>Overbilled</x:v>
      </x:c>
      <x:c r="J2620" s="7"/>
      <x:c r="K2620" s="7" t="str">
        <x:v>Open</x:v>
      </x:c>
      <x:c r="L2620" s="7"/>
    </x:row>
    <x:row r="2621" ht="21" customHeight="1">
      <x:c r="A2621" s="1" t="str">
        <x:f>Source!A2615</x:f>
        <x:v>C0001406</x:v>
      </x:c>
      <x:c r="B2621" s="1" t="str">
        <x:f>_xlfn.IFNA(VLOOKUP(Source!B2615,Advertisers!$A$5:$B$34,2,FALSE),"Missing advertiser")</x:f>
        <x:v>Synthetic advertiser 14</x:v>
      </x:c>
      <x:c r="C2621" s="1" t="n">
        <x:f>Source!C2615</x:f>
        <x:v>44</x:v>
      </x:c>
      <x:c r="D2621" s="8" t="n">
        <x:f>Source!D2615/100</x:f>
        <x:v>116.73</x:v>
      </x:c>
      <x:c r="E2621" s="8" t="n">
        <x:f>Source!E2615/100</x:f>
        <x:v>131.73</x:v>
      </x:c>
      <x:c r="F2621" s="8" t="n">
        <x:f>Source!F2615/100</x:f>
        <x:v>0</x:v>
      </x:c>
      <x:c r="G2621" s="8" t="n">
        <x:f>Source!G2615/100</x:f>
        <x:v>131.73</x:v>
      </x:c>
      <x:c r="H2621" s="8" t="n">
        <x:f>G2621-D2621</x:f>
        <x:v>14.999999999999986</x:v>
      </x:c>
      <x:c r="I2621" s="1" t="str">
        <x:f>IF(H2621&gt;0,"Overbilled","Shortfall")</x:f>
        <x:v>Overbilled</x:v>
      </x:c>
      <x:c r="J2621" s="7"/>
      <x:c r="K2621" s="7" t="str">
        <x:v>Open</x:v>
      </x:c>
      <x:c r="L2621" s="7"/>
    </x:row>
    <x:row r="2622" ht="21" customHeight="1">
      <x:c r="A2622" s="1" t="str">
        <x:f>Source!A2616</x:f>
        <x:v>C0001656</x:v>
      </x:c>
      <x:c r="B2622" s="1" t="str">
        <x:f>_xlfn.IFNA(VLOOKUP(Source!B2616,Advertisers!$A$5:$B$34,2,FALSE),"Missing advertiser")</x:f>
        <x:v>Synthetic advertiser 28</x:v>
      </x:c>
      <x:c r="C2622" s="1" t="n">
        <x:f>Source!C2616</x:f>
        <x:v>28</x:v>
      </x:c>
      <x:c r="D2622" s="8" t="n">
        <x:f>Source!D2616/100</x:f>
        <x:v>243.25</x:v>
      </x:c>
      <x:c r="E2622" s="8" t="n">
        <x:f>Source!E2616/100</x:f>
        <x:v>258.25</x:v>
      </x:c>
      <x:c r="F2622" s="8" t="n">
        <x:f>Source!F2616/100</x:f>
        <x:v>0</x:v>
      </x:c>
      <x:c r="G2622" s="8" t="n">
        <x:f>Source!G2616/100</x:f>
        <x:v>258.25</x:v>
      </x:c>
      <x:c r="H2622" s="8" t="n">
        <x:f>G2622-D2622</x:f>
        <x:v>15</x:v>
      </x:c>
      <x:c r="I2622" s="1" t="str">
        <x:f>IF(H2622&gt;0,"Overbilled","Shortfall")</x:f>
        <x:v>Overbilled</x:v>
      </x:c>
      <x:c r="J2622" s="7"/>
      <x:c r="K2622" s="7" t="str">
        <x:v>Open</x:v>
      </x:c>
      <x:c r="L2622" s="7"/>
    </x:row>
    <x:row r="2623" ht="21" customHeight="1">
      <x:c r="A2623" s="1" t="str">
        <x:f>Source!A2617</x:f>
        <x:v>C0016030</x:v>
      </x:c>
      <x:c r="B2623" s="1" t="str">
        <x:f>_xlfn.IFNA(VLOOKUP(Source!B2617,Advertisers!$A$5:$B$34,2,FALSE),"Missing advertiser")</x:f>
        <x:v>Synthetic advertiser 6</x:v>
      </x:c>
      <x:c r="C2623" s="1" t="n">
        <x:f>Source!C2617</x:f>
        <x:v>66</x:v>
      </x:c>
      <x:c r="D2623" s="8" t="n">
        <x:f>Source!D2617/100</x:f>
        <x:v>249.13</x:v>
      </x:c>
      <x:c r="E2623" s="8" t="n">
        <x:f>Source!E2617/100</x:f>
        <x:v>264.13</x:v>
      </x:c>
      <x:c r="F2623" s="8" t="n">
        <x:f>Source!F2617/100</x:f>
        <x:v>0</x:v>
      </x:c>
      <x:c r="G2623" s="8" t="n">
        <x:f>Source!G2617/100</x:f>
        <x:v>264.13</x:v>
      </x:c>
      <x:c r="H2623" s="8" t="n">
        <x:f>G2623-D2623</x:f>
        <x:v>15</x:v>
      </x:c>
      <x:c r="I2623" s="1" t="str">
        <x:f>IF(H2623&gt;0,"Overbilled","Shortfall")</x:f>
        <x:v>Overbilled</x:v>
      </x:c>
      <x:c r="J2623" s="7"/>
      <x:c r="K2623" s="7" t="str">
        <x:v>Open</x:v>
      </x:c>
      <x:c r="L2623" s="7"/>
    </x:row>
    <x:row r="2624" ht="21" customHeight="1">
      <x:c r="A2624" s="1" t="str">
        <x:f>Source!A2618</x:f>
        <x:v>C0016050</x:v>
      </x:c>
      <x:c r="B2624" s="1" t="str">
        <x:f>_xlfn.IFNA(VLOOKUP(Source!B2618,Advertisers!$A$5:$B$34,2,FALSE),"Missing advertiser")</x:f>
        <x:v>Synthetic advertiser 9</x:v>
      </x:c>
      <x:c r="C2624" s="1" t="n">
        <x:f>Source!C2618</x:f>
        <x:v>9</x:v>
      </x:c>
      <x:c r="D2624" s="8" t="n">
        <x:f>Source!D2618/100</x:f>
        <x:v>105.31</x:v>
      </x:c>
      <x:c r="E2624" s="8" t="n">
        <x:f>Source!E2618/100</x:f>
        <x:v>120.31</x:v>
      </x:c>
      <x:c r="F2624" s="8" t="n">
        <x:f>Source!F2618/100</x:f>
        <x:v>0</x:v>
      </x:c>
      <x:c r="G2624" s="8" t="n">
        <x:f>Source!G2618/100</x:f>
        <x:v>120.31</x:v>
      </x:c>
      <x:c r="H2624" s="8" t="n">
        <x:f>G2624-D2624</x:f>
        <x:v>15</x:v>
      </x:c>
      <x:c r="I2624" s="1" t="str">
        <x:f>IF(H2624&gt;0,"Overbilled","Shortfall")</x:f>
        <x:v>Overbilled</x:v>
      </x:c>
      <x:c r="J2624" s="7"/>
      <x:c r="K2624" s="7" t="str">
        <x:v>Open</x:v>
      </x:c>
      <x:c r="L2624" s="7"/>
    </x:row>
    <x:row r="2625" ht="21" customHeight="1">
      <x:c r="A2625" s="1" t="str">
        <x:f>Source!A2619</x:f>
        <x:v>C0016071</x:v>
      </x:c>
      <x:c r="B2625" s="1" t="str">
        <x:f>_xlfn.IFNA(VLOOKUP(Source!B2619,Advertisers!$A$5:$B$34,2,FALSE),"Missing advertiser")</x:f>
        <x:v>Synthetic advertiser 8</x:v>
      </x:c>
      <x:c r="C2625" s="1" t="n">
        <x:f>Source!C2619</x:f>
        <x:v>98</x:v>
      </x:c>
      <x:c r="D2625" s="8" t="n">
        <x:f>Source!D2619/100</x:f>
        <x:v>173.94</x:v>
      </x:c>
      <x:c r="E2625" s="8" t="n">
        <x:f>Source!E2619/100</x:f>
        <x:v>188.94</x:v>
      </x:c>
      <x:c r="F2625" s="8" t="n">
        <x:f>Source!F2619/100</x:f>
        <x:v>0</x:v>
      </x:c>
      <x:c r="G2625" s="8" t="n">
        <x:f>Source!G2619/100</x:f>
        <x:v>188.94</x:v>
      </x:c>
      <x:c r="H2625" s="8" t="n">
        <x:f>G2625-D2625</x:f>
        <x:v>15</x:v>
      </x:c>
      <x:c r="I2625" s="1" t="str">
        <x:f>IF(H2625&gt;0,"Overbilled","Shortfall")</x:f>
        <x:v>Overbilled</x:v>
      </x:c>
      <x:c r="J2625" s="7"/>
      <x:c r="K2625" s="7" t="str">
        <x:v>Open</x:v>
      </x:c>
      <x:c r="L2625" s="7"/>
    </x:row>
    <x:row r="2626" ht="21" customHeight="1">
      <x:c r="A2626" s="1" t="str">
        <x:f>Source!A2620</x:f>
        <x:v>C0016096</x:v>
      </x:c>
      <x:c r="B2626" s="1" t="str">
        <x:f>_xlfn.IFNA(VLOOKUP(Source!B2620,Advertisers!$A$5:$B$34,2,FALSE),"Missing advertiser")</x:f>
        <x:v>Synthetic advertiser 12</x:v>
      </x:c>
      <x:c r="C2626" s="1" t="n">
        <x:f>Source!C2620</x:f>
        <x:v>72</x:v>
      </x:c>
      <x:c r="D2626" s="8" t="n">
        <x:f>Source!D2620/100</x:f>
        <x:v>180.82</x:v>
      </x:c>
      <x:c r="E2626" s="8" t="n">
        <x:f>Source!E2620/100</x:f>
        <x:v>195.82</x:v>
      </x:c>
      <x:c r="F2626" s="8" t="n">
        <x:f>Source!F2620/100</x:f>
        <x:v>0</x:v>
      </x:c>
      <x:c r="G2626" s="8" t="n">
        <x:f>Source!G2620/100</x:f>
        <x:v>195.82</x:v>
      </x:c>
      <x:c r="H2626" s="8" t="n">
        <x:f>G2626-D2626</x:f>
        <x:v>15</x:v>
      </x:c>
      <x:c r="I2626" s="1" t="str">
        <x:f>IF(H2626&gt;0,"Overbilled","Shortfall")</x:f>
        <x:v>Overbilled</x:v>
      </x:c>
      <x:c r="J2626" s="7"/>
      <x:c r="K2626" s="7" t="str">
        <x:v>Open</x:v>
      </x:c>
      <x:c r="L2626" s="7"/>
    </x:row>
    <x:row r="2627" ht="21" customHeight="1">
      <x:c r="A2627" s="1" t="str">
        <x:f>Source!A2621</x:f>
        <x:v>C0016102</x:v>
      </x:c>
      <x:c r="B2627" s="1" t="str">
        <x:f>_xlfn.IFNA(VLOOKUP(Source!B2621,Advertisers!$A$5:$B$34,2,FALSE),"Missing advertiser")</x:f>
        <x:v>Synthetic advertiser 5</x:v>
      </x:c>
      <x:c r="C2627" s="1" t="n">
        <x:f>Source!C2621</x:f>
        <x:v>95</x:v>
      </x:c>
      <x:c r="D2627" s="8" t="n">
        <x:f>Source!D2621/100</x:f>
        <x:v>74.83</x:v>
      </x:c>
      <x:c r="E2627" s="8" t="n">
        <x:f>Source!E2621/100</x:f>
        <x:v>89.83</x:v>
      </x:c>
      <x:c r="F2627" s="8" t="n">
        <x:f>Source!F2621/100</x:f>
        <x:v>0</x:v>
      </x:c>
      <x:c r="G2627" s="8" t="n">
        <x:f>Source!G2621/100</x:f>
        <x:v>89.83</x:v>
      </x:c>
      <x:c r="H2627" s="8" t="n">
        <x:f>G2627-D2627</x:f>
        <x:v>15</x:v>
      </x:c>
      <x:c r="I2627" s="1" t="str">
        <x:f>IF(H2627&gt;0,"Overbilled","Shortfall")</x:f>
        <x:v>Overbilled</x:v>
      </x:c>
      <x:c r="J2627" s="7"/>
      <x:c r="K2627" s="7" t="str">
        <x:v>Open</x:v>
      </x:c>
      <x:c r="L2627" s="7"/>
    </x:row>
    <x:row r="2628" ht="21" customHeight="1">
      <x:c r="A2628" s="1" t="str">
        <x:f>Source!A2622</x:f>
        <x:v>C0016119</x:v>
      </x:c>
      <x:c r="B2628" s="1" t="str">
        <x:f>_xlfn.IFNA(VLOOKUP(Source!B2622,Advertisers!$A$5:$B$34,2,FALSE),"Missing advertiser")</x:f>
        <x:v>Synthetic advertiser 15</x:v>
      </x:c>
      <x:c r="C2628" s="1" t="n">
        <x:f>Source!C2622</x:f>
        <x:v>105</x:v>
      </x:c>
      <x:c r="D2628" s="8" t="n">
        <x:f>Source!D2622/100</x:f>
        <x:v>186.91</x:v>
      </x:c>
      <x:c r="E2628" s="8" t="n">
        <x:f>Source!E2622/100</x:f>
        <x:v>201.91</x:v>
      </x:c>
      <x:c r="F2628" s="8" t="n">
        <x:f>Source!F2622/100</x:f>
        <x:v>0</x:v>
      </x:c>
      <x:c r="G2628" s="8" t="n">
        <x:f>Source!G2622/100</x:f>
        <x:v>201.91</x:v>
      </x:c>
      <x:c r="H2628" s="8" t="n">
        <x:f>G2628-D2628</x:f>
        <x:v>15</x:v>
      </x:c>
      <x:c r="I2628" s="1" t="str">
        <x:f>IF(H2628&gt;0,"Overbilled","Shortfall")</x:f>
        <x:v>Overbilled</x:v>
      </x:c>
      <x:c r="J2628" s="7"/>
      <x:c r="K2628" s="7" t="str">
        <x:v>Open</x:v>
      </x:c>
      <x:c r="L2628" s="7"/>
    </x:row>
    <x:row r="2629" ht="21" customHeight="1">
      <x:c r="A2629" s="1" t="str">
        <x:f>Source!A2623</x:f>
        <x:v>C0016149</x:v>
      </x:c>
      <x:c r="B2629" s="1" t="str">
        <x:f>_xlfn.IFNA(VLOOKUP(Source!B2623,Advertisers!$A$5:$B$34,2,FALSE),"Missing advertiser")</x:f>
        <x:v>Synthetic advertiser 5</x:v>
      </x:c>
      <x:c r="C2629" s="1" t="n">
        <x:f>Source!C2623</x:f>
        <x:v>95</x:v>
      </x:c>
      <x:c r="D2629" s="8" t="n">
        <x:f>Source!D2623/100</x:f>
        <x:v>74.83</x:v>
      </x:c>
      <x:c r="E2629" s="8" t="n">
        <x:f>Source!E2623/100</x:f>
        <x:v>89.83</x:v>
      </x:c>
      <x:c r="F2629" s="8" t="n">
        <x:f>Source!F2623/100</x:f>
        <x:v>0</x:v>
      </x:c>
      <x:c r="G2629" s="8" t="n">
        <x:f>Source!G2623/100</x:f>
        <x:v>89.83</x:v>
      </x:c>
      <x:c r="H2629" s="8" t="n">
        <x:f>G2629-D2629</x:f>
        <x:v>15</x:v>
      </x:c>
      <x:c r="I2629" s="1" t="str">
        <x:f>IF(H2629&gt;0,"Overbilled","Shortfall")</x:f>
        <x:v>Overbilled</x:v>
      </x:c>
      <x:c r="J2629" s="7"/>
      <x:c r="K2629" s="7" t="str">
        <x:v>Open</x:v>
      </x:c>
      <x:c r="L2629" s="7"/>
    </x:row>
    <x:row r="2630" ht="21" customHeight="1">
      <x:c r="A2630" s="1" t="str">
        <x:f>Source!A2624</x:f>
        <x:v>C0001758</x:v>
      </x:c>
      <x:c r="B2630" s="1" t="str">
        <x:f>_xlfn.IFNA(VLOOKUP(Source!B2624,Advertisers!$A$5:$B$34,2,FALSE),"Missing advertiser")</x:f>
        <x:v>Synthetic advertiser 20</x:v>
      </x:c>
      <x:c r="C2630" s="1" t="n">
        <x:f>Source!C2624</x:f>
        <x:v>80</x:v>
      </x:c>
      <x:c r="D2630" s="8" t="n">
        <x:f>Source!D2624/100</x:f>
        <x:v>169.04</x:v>
      </x:c>
      <x:c r="E2630" s="8" t="n">
        <x:f>Source!E2624/100</x:f>
        <x:v>184.04</x:v>
      </x:c>
      <x:c r="F2630" s="8" t="n">
        <x:f>Source!F2624/100</x:f>
        <x:v>0</x:v>
      </x:c>
      <x:c r="G2630" s="8" t="n">
        <x:f>Source!G2624/100</x:f>
        <x:v>184.04</x:v>
      </x:c>
      <x:c r="H2630" s="8" t="n">
        <x:f>G2630-D2630</x:f>
        <x:v>15</x:v>
      </x:c>
      <x:c r="I2630" s="1" t="str">
        <x:f>IF(H2630&gt;0,"Overbilled","Shortfall")</x:f>
        <x:v>Overbilled</x:v>
      </x:c>
      <x:c r="J2630" s="7"/>
      <x:c r="K2630" s="7" t="str">
        <x:v>Open</x:v>
      </x:c>
      <x:c r="L2630" s="7"/>
    </x:row>
    <x:row r="2631" ht="21" customHeight="1">
      <x:c r="A2631" s="1" t="str">
        <x:f>Source!A2625</x:f>
        <x:v>C0001766</x:v>
      </x:c>
      <x:c r="B2631" s="1" t="str">
        <x:f>_xlfn.IFNA(VLOOKUP(Source!B2625,Advertisers!$A$5:$B$34,2,FALSE),"Missing advertiser")</x:f>
        <x:v>Synthetic advertiser 26</x:v>
      </x:c>
      <x:c r="C2631" s="1" t="n">
        <x:f>Source!C2625</x:f>
        <x:v>86</x:v>
      </x:c>
      <x:c r="D2631" s="8" t="n">
        <x:f>Source!D2625/100</x:f>
        <x:v>246.93</x:v>
      </x:c>
      <x:c r="E2631" s="8" t="n">
        <x:f>Source!E2625/100</x:f>
        <x:v>261.93</x:v>
      </x:c>
      <x:c r="F2631" s="8" t="n">
        <x:f>Source!F2625/100</x:f>
        <x:v>0</x:v>
      </x:c>
      <x:c r="G2631" s="8" t="n">
        <x:f>Source!G2625/100</x:f>
        <x:v>261.93</x:v>
      </x:c>
      <x:c r="H2631" s="8" t="n">
        <x:f>G2631-D2631</x:f>
        <x:v>15</x:v>
      </x:c>
      <x:c r="I2631" s="1" t="str">
        <x:f>IF(H2631&gt;0,"Overbilled","Shortfall")</x:f>
        <x:v>Overbilled</x:v>
      </x:c>
      <x:c r="J2631" s="7"/>
      <x:c r="K2631" s="7" t="str">
        <x:v>Open</x:v>
      </x:c>
      <x:c r="L2631" s="7"/>
    </x:row>
    <x:row r="2632" ht="21" customHeight="1">
      <x:c r="A2632" s="1" t="str">
        <x:f>Source!A2626</x:f>
        <x:v>C0001767</x:v>
      </x:c>
      <x:c r="B2632" s="1" t="str">
        <x:f>_xlfn.IFNA(VLOOKUP(Source!B2626,Advertisers!$A$5:$B$34,2,FALSE),"Missing advertiser")</x:f>
        <x:v>Synthetic advertiser 9</x:v>
      </x:c>
      <x:c r="C2632" s="1" t="n">
        <x:f>Source!C2626</x:f>
        <x:v>39</x:v>
      </x:c>
      <x:c r="D2632" s="8" t="n">
        <x:f>Source!D2626/100</x:f>
        <x:v>176.58</x:v>
      </x:c>
      <x:c r="E2632" s="8" t="n">
        <x:f>Source!E2626/100</x:f>
        <x:v>191.58</x:v>
      </x:c>
      <x:c r="F2632" s="8" t="n">
        <x:f>Source!F2626/100</x:f>
        <x:v>0</x:v>
      </x:c>
      <x:c r="G2632" s="8" t="n">
        <x:f>Source!G2626/100</x:f>
        <x:v>191.58</x:v>
      </x:c>
      <x:c r="H2632" s="8" t="n">
        <x:f>G2632-D2632</x:f>
        <x:v>15</x:v>
      </x:c>
      <x:c r="I2632" s="1" t="str">
        <x:f>IF(H2632&gt;0,"Overbilled","Shortfall")</x:f>
        <x:v>Overbilled</x:v>
      </x:c>
      <x:c r="J2632" s="7"/>
      <x:c r="K2632" s="7" t="str">
        <x:v>Open</x:v>
      </x:c>
      <x:c r="L2632" s="7"/>
    </x:row>
    <x:row r="2633" ht="21" customHeight="1">
      <x:c r="A2633" s="1" t="str">
        <x:f>Source!A2627</x:f>
        <x:v>C0001778</x:v>
      </x:c>
      <x:c r="B2633" s="1" t="str">
        <x:f>_xlfn.IFNA(VLOOKUP(Source!B2627,Advertisers!$A$5:$B$34,2,FALSE),"Missing advertiser")</x:f>
        <x:v>Synthetic advertiser 4</x:v>
      </x:c>
      <x:c r="C2633" s="1" t="n">
        <x:f>Source!C2627</x:f>
        <x:v>4</x:v>
      </x:c>
      <x:c r="D2633" s="8" t="n">
        <x:f>Source!D2627/100</x:f>
        <x:v>124.09</x:v>
      </x:c>
      <x:c r="E2633" s="8" t="n">
        <x:f>Source!E2627/100</x:f>
        <x:v>139.09</x:v>
      </x:c>
      <x:c r="F2633" s="8" t="n">
        <x:f>Source!F2627/100</x:f>
        <x:v>0</x:v>
      </x:c>
      <x:c r="G2633" s="8" t="n">
        <x:f>Source!G2627/100</x:f>
        <x:v>139.09</x:v>
      </x:c>
      <x:c r="H2633" s="8" t="n">
        <x:f>G2633-D2633</x:f>
        <x:v>15</x:v>
      </x:c>
      <x:c r="I2633" s="1" t="str">
        <x:f>IF(H2633&gt;0,"Overbilled","Shortfall")</x:f>
        <x:v>Overbilled</x:v>
      </x:c>
      <x:c r="J2633" s="7"/>
      <x:c r="K2633" s="7" t="str">
        <x:v>Open</x:v>
      </x:c>
      <x:c r="L2633" s="7"/>
    </x:row>
    <x:row r="2634" ht="21" customHeight="1">
      <x:c r="A2634" s="1" t="str">
        <x:f>Source!A2628</x:f>
        <x:v>C0001858</x:v>
      </x:c>
      <x:c r="B2634" s="1" t="str">
        <x:f>_xlfn.IFNA(VLOOKUP(Source!B2628,Advertisers!$A$5:$B$34,2,FALSE),"Missing advertiser")</x:f>
        <x:v>Synthetic advertiser 16</x:v>
      </x:c>
      <x:c r="C2634" s="1" t="n">
        <x:f>Source!C2628</x:f>
        <x:v>16</x:v>
      </x:c>
      <x:c r="D2634" s="8" t="n">
        <x:f>Source!D2628/100</x:f>
        <x:v>54.56</x:v>
      </x:c>
      <x:c r="E2634" s="8" t="n">
        <x:f>Source!E2628/100</x:f>
        <x:v>69.56</x:v>
      </x:c>
      <x:c r="F2634" s="8" t="n">
        <x:f>Source!F2628/100</x:f>
        <x:v>0</x:v>
      </x:c>
      <x:c r="G2634" s="8" t="n">
        <x:f>Source!G2628/100</x:f>
        <x:v>69.56</x:v>
      </x:c>
      <x:c r="H2634" s="8" t="n">
        <x:f>G2634-D2634</x:f>
        <x:v>15</x:v>
      </x:c>
      <x:c r="I2634" s="1" t="str">
        <x:f>IF(H2634&gt;0,"Overbilled","Shortfall")</x:f>
        <x:v>Overbilled</x:v>
      </x:c>
      <x:c r="J2634" s="7"/>
      <x:c r="K2634" s="7" t="str">
        <x:v>Open</x:v>
      </x:c>
      <x:c r="L2634" s="7"/>
    </x:row>
    <x:row r="2635" ht="21" customHeight="1">
      <x:c r="A2635" s="1" t="str">
        <x:f>Source!A2629</x:f>
        <x:v>C0008394</x:v>
      </x:c>
      <x:c r="B2635" s="1" t="str">
        <x:f>_xlfn.IFNA(VLOOKUP(Source!B2629,Advertisers!$A$5:$B$34,2,FALSE),"Missing advertiser")</x:f>
        <x:v>Synthetic advertiser 18</x:v>
      </x:c>
      <x:c r="C2635" s="1" t="n">
        <x:f>Source!C2629</x:f>
        <x:v>108</x:v>
      </x:c>
      <x:c r="D2635" s="8" t="n">
        <x:f>Source!D2629/100</x:f>
        <x:v>241.94</x:v>
      </x:c>
      <x:c r="E2635" s="8" t="n">
        <x:f>Source!E2629/100</x:f>
        <x:v>256.94</x:v>
      </x:c>
      <x:c r="F2635" s="8" t="n">
        <x:f>Source!F2629/100</x:f>
        <x:v>0</x:v>
      </x:c>
      <x:c r="G2635" s="8" t="n">
        <x:f>Source!G2629/100</x:f>
        <x:v>256.94</x:v>
      </x:c>
      <x:c r="H2635" s="8" t="n">
        <x:f>G2635-D2635</x:f>
        <x:v>15</x:v>
      </x:c>
      <x:c r="I2635" s="1" t="str">
        <x:f>IF(H2635&gt;0,"Overbilled","Shortfall")</x:f>
        <x:v>Overbilled</x:v>
      </x:c>
      <x:c r="J2635" s="7"/>
      <x:c r="K2635" s="7" t="str">
        <x:v>Open</x:v>
      </x:c>
      <x:c r="L2635" s="7"/>
    </x:row>
    <x:row r="2636" ht="21" customHeight="1">
      <x:c r="A2636" s="1" t="str">
        <x:f>Source!A2630</x:f>
        <x:v>C0001903</x:v>
      </x:c>
      <x:c r="B2636" s="1" t="str">
        <x:f>_xlfn.IFNA(VLOOKUP(Source!B2630,Advertisers!$A$5:$B$34,2,FALSE),"Missing advertiser")</x:f>
        <x:v>Synthetic advertiser 25</x:v>
      </x:c>
      <x:c r="C2636" s="1" t="n">
        <x:f>Source!C2630</x:f>
        <x:v>25</x:v>
      </x:c>
      <x:c r="D2636" s="8" t="n">
        <x:f>Source!D2630/100</x:f>
        <x:v>133.41</x:v>
      </x:c>
      <x:c r="E2636" s="8" t="n">
        <x:f>Source!E2630/100</x:f>
        <x:v>148.41</x:v>
      </x:c>
      <x:c r="F2636" s="8" t="n">
        <x:f>Source!F2630/100</x:f>
        <x:v>0</x:v>
      </x:c>
      <x:c r="G2636" s="8" t="n">
        <x:f>Source!G2630/100</x:f>
        <x:v>148.41</x:v>
      </x:c>
      <x:c r="H2636" s="8" t="n">
        <x:f>G2636-D2636</x:f>
        <x:v>15</x:v>
      </x:c>
      <x:c r="I2636" s="1" t="str">
        <x:f>IF(H2636&gt;0,"Overbilled","Shortfall")</x:f>
        <x:v>Overbilled</x:v>
      </x:c>
      <x:c r="J2636" s="7"/>
      <x:c r="K2636" s="7" t="str">
        <x:v>Open</x:v>
      </x:c>
      <x:c r="L2636" s="7"/>
    </x:row>
    <x:row r="2637" ht="21" customHeight="1">
      <x:c r="A2637" s="1" t="str">
        <x:f>Source!A2631</x:f>
        <x:v>C0001909</x:v>
      </x:c>
      <x:c r="B2637" s="1" t="str">
        <x:f>_xlfn.IFNA(VLOOKUP(Source!B2631,Advertisers!$A$5:$B$34,2,FALSE),"Missing advertiser")</x:f>
        <x:v>Synthetic advertiser 19</x:v>
      </x:c>
      <x:c r="C2637" s="1" t="n">
        <x:f>Source!C2631</x:f>
        <x:v>79</x:v>
      </x:c>
      <x:c r="D2637" s="8" t="n">
        <x:f>Source!D2631/100</x:f>
        <x:v>134.98</x:v>
      </x:c>
      <x:c r="E2637" s="8" t="n">
        <x:f>Source!E2631/100</x:f>
        <x:v>149.98</x:v>
      </x:c>
      <x:c r="F2637" s="8" t="n">
        <x:f>Source!F2631/100</x:f>
        <x:v>0</x:v>
      </x:c>
      <x:c r="G2637" s="8" t="n">
        <x:f>Source!G2631/100</x:f>
        <x:v>149.98</x:v>
      </x:c>
      <x:c r="H2637" s="8" t="n">
        <x:f>G2637-D2637</x:f>
        <x:v>15</x:v>
      </x:c>
      <x:c r="I2637" s="1" t="str">
        <x:f>IF(H2637&gt;0,"Overbilled","Shortfall")</x:f>
        <x:v>Overbilled</x:v>
      </x:c>
      <x:c r="J2637" s="7"/>
      <x:c r="K2637" s="7" t="str">
        <x:v>Open</x:v>
      </x:c>
      <x:c r="L2637" s="7"/>
    </x:row>
    <x:row r="2638" ht="21" customHeight="1">
      <x:c r="A2638" s="1" t="str">
        <x:f>Source!A2632</x:f>
        <x:v>C0001967</x:v>
      </x:c>
      <x:c r="B2638" s="1" t="str">
        <x:f>_xlfn.IFNA(VLOOKUP(Source!B2632,Advertisers!$A$5:$B$34,2,FALSE),"Missing advertiser")</x:f>
        <x:v>Synthetic advertiser 18</x:v>
      </x:c>
      <x:c r="C2638" s="1" t="n">
        <x:f>Source!C2632</x:f>
        <x:v>78</x:v>
      </x:c>
      <x:c r="D2638" s="8" t="n">
        <x:f>Source!D2632/100</x:f>
        <x:v>219.58</x:v>
      </x:c>
      <x:c r="E2638" s="8" t="n">
        <x:f>Source!E2632/100</x:f>
        <x:v>234.58</x:v>
      </x:c>
      <x:c r="F2638" s="8" t="n">
        <x:f>Source!F2632/100</x:f>
        <x:v>0</x:v>
      </x:c>
      <x:c r="G2638" s="8" t="n">
        <x:f>Source!G2632/100</x:f>
        <x:v>234.58</x:v>
      </x:c>
      <x:c r="H2638" s="8" t="n">
        <x:f>G2638-D2638</x:f>
        <x:v>15</x:v>
      </x:c>
      <x:c r="I2638" s="1" t="str">
        <x:f>IF(H2638&gt;0,"Overbilled","Shortfall")</x:f>
        <x:v>Overbilled</x:v>
      </x:c>
      <x:c r="J2638" s="7"/>
      <x:c r="K2638" s="7" t="str">
        <x:v>Open</x:v>
      </x:c>
      <x:c r="L2638" s="7"/>
    </x:row>
    <x:row r="2639" ht="21" customHeight="1">
      <x:c r="A2639" s="1" t="str">
        <x:f>Source!A2633</x:f>
        <x:v>C0016193</x:v>
      </x:c>
      <x:c r="B2639" s="1" t="str">
        <x:f>_xlfn.IFNA(VLOOKUP(Source!B2633,Advertisers!$A$5:$B$34,2,FALSE),"Missing advertiser")</x:f>
        <x:v>Synthetic advertiser 23</x:v>
      </x:c>
      <x:c r="C2639" s="1" t="n">
        <x:f>Source!C2633</x:f>
        <x:v>113</x:v>
      </x:c>
      <x:c r="D2639" s="8" t="n">
        <x:f>Source!D2633/100</x:f>
        <x:v>128.66</x:v>
      </x:c>
      <x:c r="E2639" s="8" t="n">
        <x:f>Source!E2633/100</x:f>
        <x:v>143.66</x:v>
      </x:c>
      <x:c r="F2639" s="8" t="n">
        <x:f>Source!F2633/100</x:f>
        <x:v>0</x:v>
      </x:c>
      <x:c r="G2639" s="8" t="n">
        <x:f>Source!G2633/100</x:f>
        <x:v>143.66</x:v>
      </x:c>
      <x:c r="H2639" s="8" t="n">
        <x:f>G2639-D2639</x:f>
        <x:v>15</x:v>
      </x:c>
      <x:c r="I2639" s="1" t="str">
        <x:f>IF(H2639&gt;0,"Overbilled","Shortfall")</x:f>
        <x:v>Overbilled</x:v>
      </x:c>
      <x:c r="J2639" s="7"/>
      <x:c r="K2639" s="7" t="str">
        <x:v>Open</x:v>
      </x:c>
      <x:c r="L2639" s="7"/>
    </x:row>
    <x:row r="2640" ht="21" customHeight="1">
      <x:c r="A2640" s="1" t="str">
        <x:f>Source!A2634</x:f>
        <x:v>C0016242</x:v>
      </x:c>
      <x:c r="B2640" s="1" t="str">
        <x:f>_xlfn.IFNA(VLOOKUP(Source!B2634,Advertisers!$A$5:$B$34,2,FALSE),"Missing advertiser")</x:f>
        <x:v>Synthetic advertiser 30</x:v>
      </x:c>
      <x:c r="C2640" s="1" t="n">
        <x:f>Source!C2634</x:f>
        <x:v>30</x:v>
      </x:c>
      <x:c r="D2640" s="8" t="n">
        <x:f>Source!D2634/100</x:f>
        <x:v>135.18</x:v>
      </x:c>
      <x:c r="E2640" s="8" t="n">
        <x:f>Source!E2634/100</x:f>
        <x:v>150.18</x:v>
      </x:c>
      <x:c r="F2640" s="8" t="n">
        <x:f>Source!F2634/100</x:f>
        <x:v>0</x:v>
      </x:c>
      <x:c r="G2640" s="8" t="n">
        <x:f>Source!G2634/100</x:f>
        <x:v>150.18</x:v>
      </x:c>
      <x:c r="H2640" s="8" t="n">
        <x:f>G2640-D2640</x:f>
        <x:v>15</x:v>
      </x:c>
      <x:c r="I2640" s="1" t="str">
        <x:f>IF(H2640&gt;0,"Overbilled","Shortfall")</x:f>
        <x:v>Overbilled</x:v>
      </x:c>
      <x:c r="J2640" s="7"/>
      <x:c r="K2640" s="7" t="str">
        <x:v>Open</x:v>
      </x:c>
      <x:c r="L2640" s="7"/>
    </x:row>
    <x:row r="2641" ht="21" customHeight="1">
      <x:c r="A2641" s="1" t="str">
        <x:f>Source!A2635</x:f>
        <x:v>C0016270</x:v>
      </x:c>
      <x:c r="B2641" s="1" t="str">
        <x:f>_xlfn.IFNA(VLOOKUP(Source!B2635,Advertisers!$A$5:$B$34,2,FALSE),"Missing advertiser")</x:f>
        <x:v>Synthetic advertiser 6</x:v>
      </x:c>
      <x:c r="C2641" s="1" t="n">
        <x:f>Source!C2635</x:f>
        <x:v>36</x:v>
      </x:c>
      <x:c r="D2641" s="8" t="n">
        <x:f>Source!D2635/100</x:f>
        <x:v>285.12</x:v>
      </x:c>
      <x:c r="E2641" s="8" t="n">
        <x:f>Source!E2635/100</x:f>
        <x:v>300.12</x:v>
      </x:c>
      <x:c r="F2641" s="8" t="n">
        <x:f>Source!F2635/100</x:f>
        <x:v>0</x:v>
      </x:c>
      <x:c r="G2641" s="8" t="n">
        <x:f>Source!G2635/100</x:f>
        <x:v>300.12</x:v>
      </x:c>
      <x:c r="H2641" s="8" t="n">
        <x:f>G2641-D2641</x:f>
        <x:v>15</x:v>
      </x:c>
      <x:c r="I2641" s="1" t="str">
        <x:f>IF(H2641&gt;0,"Overbilled","Shortfall")</x:f>
        <x:v>Overbilled</x:v>
      </x:c>
      <x:c r="J2641" s="7"/>
      <x:c r="K2641" s="7" t="str">
        <x:v>Open</x:v>
      </x:c>
      <x:c r="L2641" s="7"/>
    </x:row>
    <x:row r="2642" ht="21" customHeight="1">
      <x:c r="A2642" s="1" t="str">
        <x:f>Source!A2636</x:f>
        <x:v>C0016277</x:v>
      </x:c>
      <x:c r="B2642" s="1" t="str">
        <x:f>_xlfn.IFNA(VLOOKUP(Source!B2636,Advertisers!$A$5:$B$34,2,FALSE),"Missing advertiser")</x:f>
        <x:v>Synthetic advertiser 27</x:v>
      </x:c>
      <x:c r="C2642" s="1" t="n">
        <x:f>Source!C2636</x:f>
        <x:v>87</x:v>
      </x:c>
      <x:c r="D2642" s="8" t="n">
        <x:f>Source!D2636/100</x:f>
        <x:v>91.4</x:v>
      </x:c>
      <x:c r="E2642" s="8" t="n">
        <x:f>Source!E2636/100</x:f>
        <x:v>106.4</x:v>
      </x:c>
      <x:c r="F2642" s="8" t="n">
        <x:f>Source!F2636/100</x:f>
        <x:v>0</x:v>
      </x:c>
      <x:c r="G2642" s="8" t="n">
        <x:f>Source!G2636/100</x:f>
        <x:v>106.4</x:v>
      </x:c>
      <x:c r="H2642" s="8" t="n">
        <x:f>G2642-D2642</x:f>
        <x:v>15</x:v>
      </x:c>
      <x:c r="I2642" s="1" t="str">
        <x:f>IF(H2642&gt;0,"Overbilled","Shortfall")</x:f>
        <x:v>Overbilled</x:v>
      </x:c>
      <x:c r="J2642" s="7"/>
      <x:c r="K2642" s="7" t="str">
        <x:v>Open</x:v>
      </x:c>
      <x:c r="L2642" s="7"/>
    </x:row>
    <x:row r="2643" ht="21" customHeight="1">
      <x:c r="A2643" s="1" t="str">
        <x:f>Source!A2637</x:f>
        <x:v>C0016311</x:v>
      </x:c>
      <x:c r="B2643" s="1" t="str">
        <x:f>_xlfn.IFNA(VLOOKUP(Source!B2637,Advertisers!$A$5:$B$34,2,FALSE),"Missing advertiser")</x:f>
        <x:v>Synthetic advertiser 9</x:v>
      </x:c>
      <x:c r="C2643" s="1" t="n">
        <x:f>Source!C2637</x:f>
        <x:v>99</x:v>
      </x:c>
      <x:c r="D2643" s="8" t="n">
        <x:f>Source!D2637/100</x:f>
        <x:v>57.03</x:v>
      </x:c>
      <x:c r="E2643" s="8" t="n">
        <x:f>Source!E2637/100</x:f>
        <x:v>72.03</x:v>
      </x:c>
      <x:c r="F2643" s="8" t="n">
        <x:f>Source!F2637/100</x:f>
        <x:v>0</x:v>
      </x:c>
      <x:c r="G2643" s="8" t="n">
        <x:f>Source!G2637/100</x:f>
        <x:v>72.03</x:v>
      </x:c>
      <x:c r="H2643" s="8" t="n">
        <x:f>G2643-D2643</x:f>
        <x:v>15</x:v>
      </x:c>
      <x:c r="I2643" s="1" t="str">
        <x:f>IF(H2643&gt;0,"Overbilled","Shortfall")</x:f>
        <x:v>Overbilled</x:v>
      </x:c>
      <x:c r="J2643" s="7"/>
      <x:c r="K2643" s="7" t="str">
        <x:v>Open</x:v>
      </x:c>
      <x:c r="L2643" s="7"/>
    </x:row>
    <x:row r="2644" ht="21" customHeight="1">
      <x:c r="A2644" s="1" t="str">
        <x:f>Source!A2638</x:f>
        <x:v>C0016330</x:v>
      </x:c>
      <x:c r="B2644" s="1" t="str">
        <x:f>_xlfn.IFNA(VLOOKUP(Source!B2638,Advertisers!$A$5:$B$34,2,FALSE),"Missing advertiser")</x:f>
        <x:v>Synthetic advertiser 2</x:v>
      </x:c>
      <x:c r="C2644" s="1" t="n">
        <x:f>Source!C2638</x:f>
        <x:v>2</x:v>
      </x:c>
      <x:c r="D2644" s="8" t="n">
        <x:f>Source!D2638/100</x:f>
        <x:v>235.36</x:v>
      </x:c>
      <x:c r="E2644" s="8" t="n">
        <x:f>Source!E2638/100</x:f>
        <x:v>250.36</x:v>
      </x:c>
      <x:c r="F2644" s="8" t="n">
        <x:f>Source!F2638/100</x:f>
        <x:v>0</x:v>
      </x:c>
      <x:c r="G2644" s="8" t="n">
        <x:f>Source!G2638/100</x:f>
        <x:v>250.36</x:v>
      </x:c>
      <x:c r="H2644" s="8" t="n">
        <x:f>G2644-D2644</x:f>
        <x:v>15</x:v>
      </x:c>
      <x:c r="I2644" s="1" t="str">
        <x:f>IF(H2644&gt;0,"Overbilled","Shortfall")</x:f>
        <x:v>Overbilled</x:v>
      </x:c>
      <x:c r="J2644" s="7"/>
      <x:c r="K2644" s="7" t="str">
        <x:v>Open</x:v>
      </x:c>
      <x:c r="L2644" s="7"/>
    </x:row>
    <x:row r="2645" ht="21" customHeight="1">
      <x:c r="A2645" s="1" t="str">
        <x:f>Source!A2639</x:f>
        <x:v>C0009941</x:v>
      </x:c>
      <x:c r="B2645" s="1" t="str">
        <x:f>_xlfn.IFNA(VLOOKUP(Source!B2639,Advertisers!$A$5:$B$34,2,FALSE),"Missing advertiser")</x:f>
        <x:v>Synthetic advertiser 8</x:v>
      </x:c>
      <x:c r="C2645" s="1" t="n">
        <x:f>Source!C2639</x:f>
        <x:v>98</x:v>
      </x:c>
      <x:c r="D2645" s="8" t="n">
        <x:f>Source!D2639/100</x:f>
        <x:v>129.23</x:v>
      </x:c>
      <x:c r="E2645" s="8" t="n">
        <x:f>Source!E2639/100</x:f>
        <x:v>144.23</x:v>
      </x:c>
      <x:c r="F2645" s="8" t="n">
        <x:f>Source!F2639/100</x:f>
        <x:v>0</x:v>
      </x:c>
      <x:c r="G2645" s="8" t="n">
        <x:f>Source!G2639/100</x:f>
        <x:v>144.23</x:v>
      </x:c>
      <x:c r="H2645" s="8" t="n">
        <x:f>G2645-D2645</x:f>
        <x:v>15</x:v>
      </x:c>
      <x:c r="I2645" s="1" t="str">
        <x:f>IF(H2645&gt;0,"Overbilled","Shortfall")</x:f>
        <x:v>Overbilled</x:v>
      </x:c>
      <x:c r="J2645" s="7"/>
      <x:c r="K2645" s="7" t="str">
        <x:v>Open</x:v>
      </x:c>
      <x:c r="L2645" s="7"/>
    </x:row>
    <x:row r="2646" ht="21" customHeight="1">
      <x:c r="A2646" s="1" t="str">
        <x:f>Source!A2640</x:f>
        <x:v>C0009961</x:v>
      </x:c>
      <x:c r="B2646" s="1" t="str">
        <x:f>_xlfn.IFNA(VLOOKUP(Source!B2640,Advertisers!$A$5:$B$34,2,FALSE),"Missing advertiser")</x:f>
        <x:v>Synthetic advertiser 1</x:v>
      </x:c>
      <x:c r="C2646" s="1" t="n">
        <x:f>Source!C2640</x:f>
        <x:v>61</x:v>
      </x:c>
      <x:c r="D2646" s="8" t="n">
        <x:f>Source!D2640/100</x:f>
        <x:v>84.6</x:v>
      </x:c>
      <x:c r="E2646" s="8" t="n">
        <x:f>Source!E2640/100</x:f>
        <x:v>99.6</x:v>
      </x:c>
      <x:c r="F2646" s="8" t="n">
        <x:f>Source!F2640/100</x:f>
        <x:v>0</x:v>
      </x:c>
      <x:c r="G2646" s="8" t="n">
        <x:f>Source!G2640/100</x:f>
        <x:v>99.6</x:v>
      </x:c>
      <x:c r="H2646" s="8" t="n">
        <x:f>G2646-D2646</x:f>
        <x:v>15</x:v>
      </x:c>
      <x:c r="I2646" s="1" t="str">
        <x:f>IF(H2646&gt;0,"Overbilled","Shortfall")</x:f>
        <x:v>Overbilled</x:v>
      </x:c>
      <x:c r="J2646" s="7"/>
      <x:c r="K2646" s="7" t="str">
        <x:v>Open</x:v>
      </x:c>
      <x:c r="L2646" s="7"/>
    </x:row>
    <x:row r="2647" ht="21" customHeight="1">
      <x:c r="A2647" s="1" t="str">
        <x:f>Source!A2641</x:f>
        <x:v>C0009970</x:v>
      </x:c>
      <x:c r="B2647" s="1" t="str">
        <x:f>_xlfn.IFNA(VLOOKUP(Source!B2641,Advertisers!$A$5:$B$34,2,FALSE),"Missing advertiser")</x:f>
        <x:v>Synthetic advertiser 14</x:v>
      </x:c>
      <x:c r="C2647" s="1" t="n">
        <x:f>Source!C2641</x:f>
        <x:v>44</x:v>
      </x:c>
      <x:c r="D2647" s="8" t="n">
        <x:f>Source!D2641/100</x:f>
        <x:v>112.89</x:v>
      </x:c>
      <x:c r="E2647" s="8" t="n">
        <x:f>Source!E2641/100</x:f>
        <x:v>127.89</x:v>
      </x:c>
      <x:c r="F2647" s="8" t="n">
        <x:f>Source!F2641/100</x:f>
        <x:v>0</x:v>
      </x:c>
      <x:c r="G2647" s="8" t="n">
        <x:f>Source!G2641/100</x:f>
        <x:v>127.89</x:v>
      </x:c>
      <x:c r="H2647" s="8" t="n">
        <x:f>G2647-D2647</x:f>
        <x:v>15</x:v>
      </x:c>
      <x:c r="I2647" s="1" t="str">
        <x:f>IF(H2647&gt;0,"Overbilled","Shortfall")</x:f>
        <x:v>Overbilled</x:v>
      </x:c>
      <x:c r="J2647" s="7"/>
      <x:c r="K2647" s="7" t="str">
        <x:v>Open</x:v>
      </x:c>
      <x:c r="L2647" s="7"/>
    </x:row>
    <x:row r="2648" ht="21" customHeight="1">
      <x:c r="A2648" s="1" t="str">
        <x:f>Source!A2642</x:f>
        <x:v>C0008387</x:v>
      </x:c>
      <x:c r="B2648" s="1" t="str">
        <x:f>_xlfn.IFNA(VLOOKUP(Source!B2642,Advertisers!$A$5:$B$34,2,FALSE),"Missing advertiser")</x:f>
        <x:v>Synthetic advertiser 4</x:v>
      </x:c>
      <x:c r="C2648" s="1" t="n">
        <x:f>Source!C2642</x:f>
        <x:v>94</x:v>
      </x:c>
      <x:c r="D2648" s="8" t="n">
        <x:f>Source!D2642/100</x:f>
        <x:v>195.04</x:v>
      </x:c>
      <x:c r="E2648" s="8" t="n">
        <x:f>Source!E2642/100</x:f>
        <x:v>210.04</x:v>
      </x:c>
      <x:c r="F2648" s="8" t="n">
        <x:f>Source!F2642/100</x:f>
        <x:v>0</x:v>
      </x:c>
      <x:c r="G2648" s="8" t="n">
        <x:f>Source!G2642/100</x:f>
        <x:v>210.04</x:v>
      </x:c>
      <x:c r="H2648" s="8" t="n">
        <x:f>G2648-D2648</x:f>
        <x:v>15</x:v>
      </x:c>
      <x:c r="I2648" s="1" t="str">
        <x:f>IF(H2648&gt;0,"Overbilled","Shortfall")</x:f>
        <x:v>Overbilled</x:v>
      </x:c>
      <x:c r="J2648" s="7"/>
      <x:c r="K2648" s="7" t="str">
        <x:v>Open</x:v>
      </x:c>
      <x:c r="L2648" s="7"/>
    </x:row>
    <x:row r="2649" ht="21" customHeight="1">
      <x:c r="A2649" s="1" t="str">
        <x:f>Source!A2643</x:f>
        <x:v>C0001897</x:v>
      </x:c>
      <x:c r="B2649" s="1" t="str">
        <x:f>_xlfn.IFNA(VLOOKUP(Source!B2643,Advertisers!$A$5:$B$34,2,FALSE),"Missing advertiser")</x:f>
        <x:v>Synthetic advertiser 18</x:v>
      </x:c>
      <x:c r="C2649" s="1" t="n">
        <x:f>Source!C2643</x:f>
        <x:v>78</x:v>
      </x:c>
      <x:c r="D2649" s="8" t="n">
        <x:f>Source!D2643/100</x:f>
        <x:v>72.91</x:v>
      </x:c>
      <x:c r="E2649" s="8" t="n">
        <x:f>Source!E2643/100</x:f>
        <x:v>87.91</x:v>
      </x:c>
      <x:c r="F2649" s="8" t="n">
        <x:f>Source!F2643/100</x:f>
        <x:v>0</x:v>
      </x:c>
      <x:c r="G2649" s="8" t="n">
        <x:f>Source!G2643/100</x:f>
        <x:v>87.91</x:v>
      </x:c>
      <x:c r="H2649" s="8" t="n">
        <x:f>G2649-D2649</x:f>
        <x:v>15</x:v>
      </x:c>
      <x:c r="I2649" s="1" t="str">
        <x:f>IF(H2649&gt;0,"Overbilled","Shortfall")</x:f>
        <x:v>Overbilled</x:v>
      </x:c>
      <x:c r="J2649" s="7"/>
      <x:c r="K2649" s="7" t="str">
        <x:v>Open</x:v>
      </x:c>
      <x:c r="L2649" s="7"/>
    </x:row>
    <x:row r="2650" ht="21" customHeight="1">
      <x:c r="A2650" s="1" t="str">
        <x:f>Source!A2644</x:f>
        <x:v>C0016741</x:v>
      </x:c>
      <x:c r="B2650" s="1" t="str">
        <x:f>_xlfn.IFNA(VLOOKUP(Source!B2644,Advertisers!$A$5:$B$34,2,FALSE),"Missing advertiser")</x:f>
        <x:v>Synthetic advertiser 2</x:v>
      </x:c>
      <x:c r="C2650" s="1" t="n">
        <x:f>Source!C2644</x:f>
        <x:v>2</x:v>
      </x:c>
      <x:c r="D2650" s="8" t="n">
        <x:f>Source!D2644/100</x:f>
        <x:v>235.36</x:v>
      </x:c>
      <x:c r="E2650" s="8" t="n">
        <x:f>Source!E2644/100</x:f>
        <x:v>250.36</x:v>
      </x:c>
      <x:c r="F2650" s="8" t="n">
        <x:f>Source!F2644/100</x:f>
        <x:v>0</x:v>
      </x:c>
      <x:c r="G2650" s="8" t="n">
        <x:f>Source!G2644/100</x:f>
        <x:v>250.36</x:v>
      </x:c>
      <x:c r="H2650" s="8" t="n">
        <x:f>G2650-D2650</x:f>
        <x:v>15</x:v>
      </x:c>
      <x:c r="I2650" s="1" t="str">
        <x:f>IF(H2650&gt;0,"Overbilled","Shortfall")</x:f>
        <x:v>Overbilled</x:v>
      </x:c>
      <x:c r="J2650" s="7"/>
      <x:c r="K2650" s="7" t="str">
        <x:v>Open</x:v>
      </x:c>
      <x:c r="L2650" s="7"/>
    </x:row>
    <x:row r="2651" ht="21" customHeight="1">
      <x:c r="A2651" s="1" t="str">
        <x:f>Source!A2645</x:f>
        <x:v>C0016743</x:v>
      </x:c>
      <x:c r="B2651" s="1" t="str">
        <x:f>_xlfn.IFNA(VLOOKUP(Source!B2645,Advertisers!$A$5:$B$34,2,FALSE),"Missing advertiser")</x:f>
        <x:v>Synthetic advertiser 3</x:v>
      </x:c>
      <x:c r="C2651" s="1" t="n">
        <x:f>Source!C2645</x:f>
        <x:v>93</x:v>
      </x:c>
      <x:c r="D2651" s="8" t="n">
        <x:f>Source!D2645/100</x:f>
        <x:v>109.29</x:v>
      </x:c>
      <x:c r="E2651" s="8" t="n">
        <x:f>Source!E2645/100</x:f>
        <x:v>124.29</x:v>
      </x:c>
      <x:c r="F2651" s="8" t="n">
        <x:f>Source!F2645/100</x:f>
        <x:v>0</x:v>
      </x:c>
      <x:c r="G2651" s="8" t="n">
        <x:f>Source!G2645/100</x:f>
        <x:v>124.29</x:v>
      </x:c>
      <x:c r="H2651" s="8" t="n">
        <x:f>G2651-D2651</x:f>
        <x:v>15</x:v>
      </x:c>
      <x:c r="I2651" s="1" t="str">
        <x:f>IF(H2651&gt;0,"Overbilled","Shortfall")</x:f>
        <x:v>Overbilled</x:v>
      </x:c>
      <x:c r="J2651" s="7"/>
      <x:c r="K2651" s="7" t="str">
        <x:v>Open</x:v>
      </x:c>
      <x:c r="L2651" s="7"/>
    </x:row>
    <x:row r="2652" ht="21" customHeight="1">
      <x:c r="A2652" s="1" t="str">
        <x:f>Source!A2646</x:f>
        <x:v>C0016750</x:v>
      </x:c>
      <x:c r="B2652" s="1" t="str">
        <x:f>_xlfn.IFNA(VLOOKUP(Source!B2646,Advertisers!$A$5:$B$34,2,FALSE),"Missing advertiser")</x:f>
        <x:v>Synthetic advertiser 1</x:v>
      </x:c>
      <x:c r="C2652" s="1" t="n">
        <x:f>Source!C2646</x:f>
        <x:v>1</x:v>
      </x:c>
      <x:c r="D2652" s="8" t="n">
        <x:f>Source!D2646/100</x:f>
        <x:v>152.65</x:v>
      </x:c>
      <x:c r="E2652" s="8" t="n">
        <x:f>Source!E2646/100</x:f>
        <x:v>167.65</x:v>
      </x:c>
      <x:c r="F2652" s="8" t="n">
        <x:f>Source!F2646/100</x:f>
        <x:v>0</x:v>
      </x:c>
      <x:c r="G2652" s="8" t="n">
        <x:f>Source!G2646/100</x:f>
        <x:v>167.65</x:v>
      </x:c>
      <x:c r="H2652" s="8" t="n">
        <x:f>G2652-D2652</x:f>
        <x:v>15</x:v>
      </x:c>
      <x:c r="I2652" s="1" t="str">
        <x:f>IF(H2652&gt;0,"Overbilled","Shortfall")</x:f>
        <x:v>Overbilled</x:v>
      </x:c>
      <x:c r="J2652" s="7"/>
      <x:c r="K2652" s="7" t="str">
        <x:v>Open</x:v>
      </x:c>
      <x:c r="L2652" s="7"/>
    </x:row>
    <x:row r="2653" ht="21" customHeight="1">
      <x:c r="A2653" s="1" t="str">
        <x:f>Source!A2647</x:f>
        <x:v>C0016756</x:v>
      </x:c>
      <x:c r="B2653" s="1" t="str">
        <x:f>_xlfn.IFNA(VLOOKUP(Source!B2647,Advertisers!$A$5:$B$34,2,FALSE),"Missing advertiser")</x:f>
        <x:v>Synthetic advertiser 30</x:v>
      </x:c>
      <x:c r="C2653" s="1" t="n">
        <x:f>Source!C2647</x:f>
        <x:v>120</x:v>
      </x:c>
      <x:c r="D2653" s="8" t="n">
        <x:f>Source!D2647/100</x:f>
        <x:v>237.08</x:v>
      </x:c>
      <x:c r="E2653" s="8" t="n">
        <x:f>Source!E2647/100</x:f>
        <x:v>252.08</x:v>
      </x:c>
      <x:c r="F2653" s="8" t="n">
        <x:f>Source!F2647/100</x:f>
        <x:v>0</x:v>
      </x:c>
      <x:c r="G2653" s="8" t="n">
        <x:f>Source!G2647/100</x:f>
        <x:v>252.08</x:v>
      </x:c>
      <x:c r="H2653" s="8" t="n">
        <x:f>G2653-D2653</x:f>
        <x:v>15</x:v>
      </x:c>
      <x:c r="I2653" s="1" t="str">
        <x:f>IF(H2653&gt;0,"Overbilled","Shortfall")</x:f>
        <x:v>Overbilled</x:v>
      </x:c>
      <x:c r="J2653" s="7"/>
      <x:c r="K2653" s="7" t="str">
        <x:v>Open</x:v>
      </x:c>
      <x:c r="L2653" s="7"/>
    </x:row>
    <x:row r="2654" ht="21" customHeight="1">
      <x:c r="A2654" s="1" t="str">
        <x:f>Source!A2648</x:f>
        <x:v>C0016790</x:v>
      </x:c>
      <x:c r="B2654" s="1" t="str">
        <x:f>_xlfn.IFNA(VLOOKUP(Source!B2648,Advertisers!$A$5:$B$34,2,FALSE),"Missing advertiser")</x:f>
        <x:v>Synthetic advertiser 14</x:v>
      </x:c>
      <x:c r="C2654" s="1" t="n">
        <x:f>Source!C2648</x:f>
        <x:v>14</x:v>
      </x:c>
      <x:c r="D2654" s="8" t="n">
        <x:f>Source!D2648/100</x:f>
        <x:v>136.42</x:v>
      </x:c>
      <x:c r="E2654" s="8" t="n">
        <x:f>Source!E2648/100</x:f>
        <x:v>151.42</x:v>
      </x:c>
      <x:c r="F2654" s="8" t="n">
        <x:f>Source!F2648/100</x:f>
        <x:v>0</x:v>
      </x:c>
      <x:c r="G2654" s="8" t="n">
        <x:f>Source!G2648/100</x:f>
        <x:v>151.42</x:v>
      </x:c>
      <x:c r="H2654" s="8" t="n">
        <x:f>G2654-D2654</x:f>
        <x:v>15</x:v>
      </x:c>
      <x:c r="I2654" s="1" t="str">
        <x:f>IF(H2654&gt;0,"Overbilled","Shortfall")</x:f>
        <x:v>Overbilled</x:v>
      </x:c>
      <x:c r="J2654" s="7"/>
      <x:c r="K2654" s="7" t="str">
        <x:v>Open</x:v>
      </x:c>
      <x:c r="L2654" s="7"/>
    </x:row>
    <x:row r="2655" ht="21" customHeight="1">
      <x:c r="A2655" s="1" t="str">
        <x:f>Source!A2649</x:f>
        <x:v>C0016802</x:v>
      </x:c>
      <x:c r="B2655" s="1" t="str">
        <x:f>_xlfn.IFNA(VLOOKUP(Source!B2649,Advertisers!$A$5:$B$34,2,FALSE),"Missing advertiser")</x:f>
        <x:v>Synthetic advertiser 6</x:v>
      </x:c>
      <x:c r="C2655" s="1" t="n">
        <x:f>Source!C2649</x:f>
        <x:v>36</x:v>
      </x:c>
      <x:c r="D2655" s="8" t="n">
        <x:f>Source!D2649/100</x:f>
        <x:v>114.61</x:v>
      </x:c>
      <x:c r="E2655" s="8" t="n">
        <x:f>Source!E2649/100</x:f>
        <x:v>129.61</x:v>
      </x:c>
      <x:c r="F2655" s="8" t="n">
        <x:f>Source!F2649/100</x:f>
        <x:v>0</x:v>
      </x:c>
      <x:c r="G2655" s="8" t="n">
        <x:f>Source!G2649/100</x:f>
        <x:v>129.61</x:v>
      </x:c>
      <x:c r="H2655" s="8" t="n">
        <x:f>G2655-D2655</x:f>
        <x:v>15.000000000000014</x:v>
      </x:c>
      <x:c r="I2655" s="1" t="str">
        <x:f>IF(H2655&gt;0,"Overbilled","Shortfall")</x:f>
        <x:v>Overbilled</x:v>
      </x:c>
      <x:c r="J2655" s="7"/>
      <x:c r="K2655" s="7" t="str">
        <x:v>Open</x:v>
      </x:c>
      <x:c r="L2655" s="7"/>
    </x:row>
    <x:row r="2656" ht="21" customHeight="1">
      <x:c r="A2656" s="1" t="str">
        <x:f>Source!A2650</x:f>
        <x:v>C0016811</x:v>
      </x:c>
      <x:c r="B2656" s="1" t="str">
        <x:f>_xlfn.IFNA(VLOOKUP(Source!B2650,Advertisers!$A$5:$B$34,2,FALSE),"Missing advertiser")</x:f>
        <x:v>Synthetic advertiser 23</x:v>
      </x:c>
      <x:c r="C2656" s="1" t="n">
        <x:f>Source!C2650</x:f>
        <x:v>23</x:v>
      </x:c>
      <x:c r="D2656" s="8" t="n">
        <x:f>Source!D2650/100</x:f>
        <x:v>74.55</x:v>
      </x:c>
      <x:c r="E2656" s="8" t="n">
        <x:f>Source!E2650/100</x:f>
        <x:v>89.55</x:v>
      </x:c>
      <x:c r="F2656" s="8" t="n">
        <x:f>Source!F2650/100</x:f>
        <x:v>0</x:v>
      </x:c>
      <x:c r="G2656" s="8" t="n">
        <x:f>Source!G2650/100</x:f>
        <x:v>89.55</x:v>
      </x:c>
      <x:c r="H2656" s="8" t="n">
        <x:f>G2656-D2656</x:f>
        <x:v>15</x:v>
      </x:c>
      <x:c r="I2656" s="1" t="str">
        <x:f>IF(H2656&gt;0,"Overbilled","Shortfall")</x:f>
        <x:v>Overbilled</x:v>
      </x:c>
      <x:c r="J2656" s="7"/>
      <x:c r="K2656" s="7" t="str">
        <x:v>Open</x:v>
      </x:c>
      <x:c r="L2656" s="7"/>
    </x:row>
    <x:row r="2657" ht="21" customHeight="1">
      <x:c r="A2657" s="1" t="str">
        <x:f>Source!A2651</x:f>
        <x:v>C0016845</x:v>
      </x:c>
      <x:c r="B2657" s="1" t="str">
        <x:f>_xlfn.IFNA(VLOOKUP(Source!B2651,Advertisers!$A$5:$B$34,2,FALSE),"Missing advertiser")</x:f>
        <x:v>Synthetic advertiser 28</x:v>
      </x:c>
      <x:c r="C2657" s="1" t="n">
        <x:f>Source!C2651</x:f>
        <x:v>88</x:v>
      </x:c>
      <x:c r="D2657" s="8" t="n">
        <x:f>Source!D2651/100</x:f>
        <x:v>104.97</x:v>
      </x:c>
      <x:c r="E2657" s="8" t="n">
        <x:f>Source!E2651/100</x:f>
        <x:v>119.97</x:v>
      </x:c>
      <x:c r="F2657" s="8" t="n">
        <x:f>Source!F2651/100</x:f>
        <x:v>0</x:v>
      </x:c>
      <x:c r="G2657" s="8" t="n">
        <x:f>Source!G2651/100</x:f>
        <x:v>119.97</x:v>
      </x:c>
      <x:c r="H2657" s="8" t="n">
        <x:f>G2657-D2657</x:f>
        <x:v>15</x:v>
      </x:c>
      <x:c r="I2657" s="1" t="str">
        <x:f>IF(H2657&gt;0,"Overbilled","Shortfall")</x:f>
        <x:v>Overbilled</x:v>
      </x:c>
      <x:c r="J2657" s="7"/>
      <x:c r="K2657" s="7" t="str">
        <x:v>Open</x:v>
      </x:c>
      <x:c r="L2657" s="7"/>
    </x:row>
    <x:row r="2658" ht="21" customHeight="1">
      <x:c r="A2658" s="1" t="str">
        <x:f>Source!A2652</x:f>
        <x:v>C0009799</x:v>
      </x:c>
      <x:c r="B2658" s="1" t="str">
        <x:f>_xlfn.IFNA(VLOOKUP(Source!B2652,Advertisers!$A$5:$B$34,2,FALSE),"Missing advertiser")</x:f>
        <x:v>Synthetic advertiser 21</x:v>
      </x:c>
      <x:c r="C2658" s="1" t="n">
        <x:f>Source!C2652</x:f>
        <x:v>21</x:v>
      </x:c>
      <x:c r="D2658" s="8" t="n">
        <x:f>Source!D2652/100</x:f>
        <x:v>248.28</x:v>
      </x:c>
      <x:c r="E2658" s="8" t="n">
        <x:f>Source!E2652/100</x:f>
        <x:v>263.28</x:v>
      </x:c>
      <x:c r="F2658" s="8" t="n">
        <x:f>Source!F2652/100</x:f>
        <x:v>0</x:v>
      </x:c>
      <x:c r="G2658" s="8" t="n">
        <x:f>Source!G2652/100</x:f>
        <x:v>263.28</x:v>
      </x:c>
      <x:c r="H2658" s="8" t="n">
        <x:f>G2658-D2658</x:f>
        <x:v>14.999999999999972</x:v>
      </x:c>
      <x:c r="I2658" s="1" t="str">
        <x:f>IF(H2658&gt;0,"Overbilled","Shortfall")</x:f>
        <x:v>Overbilled</x:v>
      </x:c>
      <x:c r="J2658" s="7"/>
      <x:c r="K2658" s="7" t="str">
        <x:v>Open</x:v>
      </x:c>
      <x:c r="L2658" s="7"/>
    </x:row>
    <x:row r="2659" ht="21" customHeight="1">
      <x:c r="A2659" s="1" t="str">
        <x:f>Source!A2653</x:f>
        <x:v>C0008607</x:v>
      </x:c>
      <x:c r="B2659" s="1" t="str">
        <x:f>_xlfn.IFNA(VLOOKUP(Source!B2653,Advertisers!$A$5:$B$34,2,FALSE),"Missing advertiser")</x:f>
        <x:v>Synthetic advertiser 30</x:v>
      </x:c>
      <x:c r="C2659" s="1" t="n">
        <x:f>Source!C2653</x:f>
        <x:v>90</x:v>
      </x:c>
      <x:c r="D2659" s="8" t="n">
        <x:f>Source!D2653/100</x:f>
        <x:v>170.72</x:v>
      </x:c>
      <x:c r="E2659" s="8" t="n">
        <x:f>Source!E2653/100</x:f>
        <x:v>185.72</x:v>
      </x:c>
      <x:c r="F2659" s="8" t="n">
        <x:f>Source!F2653/100</x:f>
        <x:v>0</x:v>
      </x:c>
      <x:c r="G2659" s="8" t="n">
        <x:f>Source!G2653/100</x:f>
        <x:v>185.72</x:v>
      </x:c>
      <x:c r="H2659" s="8" t="n">
        <x:f>G2659-D2659</x:f>
        <x:v>15</x:v>
      </x:c>
      <x:c r="I2659" s="1" t="str">
        <x:f>IF(H2659&gt;0,"Overbilled","Shortfall")</x:f>
        <x:v>Overbilled</x:v>
      </x:c>
      <x:c r="J2659" s="7"/>
      <x:c r="K2659" s="7" t="str">
        <x:v>Open</x:v>
      </x:c>
      <x:c r="L2659" s="7"/>
    </x:row>
    <x:row r="2660" ht="21" customHeight="1">
      <x:c r="A2660" s="1" t="str">
        <x:f>Source!A2654</x:f>
        <x:v>C0008608</x:v>
      </x:c>
      <x:c r="B2660" s="1" t="str">
        <x:f>_xlfn.IFNA(VLOOKUP(Source!B2654,Advertisers!$A$5:$B$34,2,FALSE),"Missing advertiser")</x:f>
        <x:v>Synthetic advertiser 22</x:v>
      </x:c>
      <x:c r="C2660" s="1" t="n">
        <x:f>Source!C2654</x:f>
        <x:v>112</x:v>
      </x:c>
      <x:c r="D2660" s="8" t="n">
        <x:f>Source!D2654/100</x:f>
        <x:v>398.84</x:v>
      </x:c>
      <x:c r="E2660" s="8" t="n">
        <x:f>Source!E2654/100</x:f>
        <x:v>413.84</x:v>
      </x:c>
      <x:c r="F2660" s="8" t="n">
        <x:f>Source!F2654/100</x:f>
        <x:v>0</x:v>
      </x:c>
      <x:c r="G2660" s="8" t="n">
        <x:f>Source!G2654/100</x:f>
        <x:v>413.84</x:v>
      </x:c>
      <x:c r="H2660" s="8" t="n">
        <x:f>G2660-D2660</x:f>
        <x:v>15</x:v>
      </x:c>
      <x:c r="I2660" s="1" t="str">
        <x:f>IF(H2660&gt;0,"Overbilled","Shortfall")</x:f>
        <x:v>Overbilled</x:v>
      </x:c>
      <x:c r="J2660" s="7"/>
      <x:c r="K2660" s="7" t="str">
        <x:v>Open</x:v>
      </x:c>
      <x:c r="L2660" s="7"/>
    </x:row>
    <x:row r="2661" ht="21" customHeight="1">
      <x:c r="A2661" s="1" t="str">
        <x:f>Source!A2655</x:f>
        <x:v>C0008620</x:v>
      </x:c>
      <x:c r="B2661" s="1" t="str">
        <x:f>_xlfn.IFNA(VLOOKUP(Source!B2655,Advertisers!$A$5:$B$34,2,FALSE),"Missing advertiser")</x:f>
        <x:v>Synthetic advertiser 4</x:v>
      </x:c>
      <x:c r="C2661" s="1" t="n">
        <x:f>Source!C2655</x:f>
        <x:v>34</x:v>
      </x:c>
      <x:c r="D2661" s="8" t="n">
        <x:f>Source!D2655/100</x:f>
        <x:v>99.88</x:v>
      </x:c>
      <x:c r="E2661" s="8" t="n">
        <x:f>Source!E2655/100</x:f>
        <x:v>114.88</x:v>
      </x:c>
      <x:c r="F2661" s="8" t="n">
        <x:f>Source!F2655/100</x:f>
        <x:v>0</x:v>
      </x:c>
      <x:c r="G2661" s="8" t="n">
        <x:f>Source!G2655/100</x:f>
        <x:v>114.88</x:v>
      </x:c>
      <x:c r="H2661" s="8" t="n">
        <x:f>G2661-D2661</x:f>
        <x:v>15</x:v>
      </x:c>
      <x:c r="I2661" s="1" t="str">
        <x:f>IF(H2661&gt;0,"Overbilled","Shortfall")</x:f>
        <x:v>Overbilled</x:v>
      </x:c>
      <x:c r="J2661" s="7"/>
      <x:c r="K2661" s="7" t="str">
        <x:v>Open</x:v>
      </x:c>
      <x:c r="L2661" s="7"/>
    </x:row>
    <x:row r="2662" ht="21" customHeight="1">
      <x:c r="A2662" s="1" t="str">
        <x:f>Source!A2656</x:f>
        <x:v>C0001422</x:v>
      </x:c>
      <x:c r="B2662" s="1" t="str">
        <x:f>_xlfn.IFNA(VLOOKUP(Source!B2656,Advertisers!$A$5:$B$34,2,FALSE),"Missing advertiser")</x:f>
        <x:v>Synthetic advertiser 16</x:v>
      </x:c>
      <x:c r="C2662" s="1" t="n">
        <x:f>Source!C2656</x:f>
        <x:v>16</x:v>
      </x:c>
      <x:c r="D2662" s="8" t="n">
        <x:f>Source!D2656/100</x:f>
        <x:v>54.56</x:v>
      </x:c>
      <x:c r="E2662" s="8" t="n">
        <x:f>Source!E2656/100</x:f>
        <x:v>69.56</x:v>
      </x:c>
      <x:c r="F2662" s="8" t="n">
        <x:f>Source!F2656/100</x:f>
        <x:v>0</x:v>
      </x:c>
      <x:c r="G2662" s="8" t="n">
        <x:f>Source!G2656/100</x:f>
        <x:v>69.56</x:v>
      </x:c>
      <x:c r="H2662" s="8" t="n">
        <x:f>G2662-D2662</x:f>
        <x:v>15</x:v>
      </x:c>
      <x:c r="I2662" s="1" t="str">
        <x:f>IF(H2662&gt;0,"Overbilled","Shortfall")</x:f>
        <x:v>Overbilled</x:v>
      </x:c>
      <x:c r="J2662" s="7"/>
      <x:c r="K2662" s="7" t="str">
        <x:v>Open</x:v>
      </x:c>
      <x:c r="L2662" s="7"/>
    </x:row>
    <x:row r="2663" ht="21" customHeight="1">
      <x:c r="A2663" s="1" t="str">
        <x:f>Source!A2657</x:f>
        <x:v>C0008654</x:v>
      </x:c>
      <x:c r="B2663" s="1" t="str">
        <x:f>_xlfn.IFNA(VLOOKUP(Source!B2657,Advertisers!$A$5:$B$34,2,FALSE),"Missing advertiser")</x:f>
        <x:v>Synthetic advertiser 14</x:v>
      </x:c>
      <x:c r="C2663" s="1" t="n">
        <x:f>Source!C2657</x:f>
        <x:v>44</x:v>
      </x:c>
      <x:c r="D2663" s="8" t="n">
        <x:f>Source!D2657/100</x:f>
        <x:v>112.89</x:v>
      </x:c>
      <x:c r="E2663" s="8" t="n">
        <x:f>Source!E2657/100</x:f>
        <x:v>127.89</x:v>
      </x:c>
      <x:c r="F2663" s="8" t="n">
        <x:f>Source!F2657/100</x:f>
        <x:v>0</x:v>
      </x:c>
      <x:c r="G2663" s="8" t="n">
        <x:f>Source!G2657/100</x:f>
        <x:v>127.89</x:v>
      </x:c>
      <x:c r="H2663" s="8" t="n">
        <x:f>G2663-D2663</x:f>
        <x:v>15</x:v>
      </x:c>
      <x:c r="I2663" s="1" t="str">
        <x:f>IF(H2663&gt;0,"Overbilled","Shortfall")</x:f>
        <x:v>Overbilled</x:v>
      </x:c>
      <x:c r="J2663" s="7"/>
      <x:c r="K2663" s="7" t="str">
        <x:v>Open</x:v>
      </x:c>
      <x:c r="L2663" s="7"/>
    </x:row>
    <x:row r="2664" ht="21" customHeight="1">
      <x:c r="A2664" s="1" t="str">
        <x:f>Source!A2658</x:f>
        <x:v>C0008709</x:v>
      </x:c>
      <x:c r="B2664" s="1" t="str">
        <x:f>_xlfn.IFNA(VLOOKUP(Source!B2658,Advertisers!$A$5:$B$34,2,FALSE),"Missing advertiser")</x:f>
        <x:v>Synthetic advertiser 15</x:v>
      </x:c>
      <x:c r="C2664" s="1" t="n">
        <x:f>Source!C2658</x:f>
        <x:v>15</x:v>
      </x:c>
      <x:c r="D2664" s="8" t="n">
        <x:f>Source!D2658/100</x:f>
        <x:v>175.75</x:v>
      </x:c>
      <x:c r="E2664" s="8" t="n">
        <x:f>Source!E2658/100</x:f>
        <x:v>190.75</x:v>
      </x:c>
      <x:c r="F2664" s="8" t="n">
        <x:f>Source!F2658/100</x:f>
        <x:v>0</x:v>
      </x:c>
      <x:c r="G2664" s="8" t="n">
        <x:f>Source!G2658/100</x:f>
        <x:v>190.75</x:v>
      </x:c>
      <x:c r="H2664" s="8" t="n">
        <x:f>G2664-D2664</x:f>
        <x:v>15</x:v>
      </x:c>
      <x:c r="I2664" s="1" t="str">
        <x:f>IF(H2664&gt;0,"Overbilled","Shortfall")</x:f>
        <x:v>Overbilled</x:v>
      </x:c>
      <x:c r="J2664" s="7"/>
      <x:c r="K2664" s="7" t="str">
        <x:v>Open</x:v>
      </x:c>
      <x:c r="L2664" s="7"/>
    </x:row>
    <x:row r="2665" ht="21" customHeight="1">
      <x:c r="A2665" s="1" t="str">
        <x:f>Source!A2659</x:f>
        <x:v>C0008710</x:v>
      </x:c>
      <x:c r="B2665" s="1" t="str">
        <x:f>_xlfn.IFNA(VLOOKUP(Source!B2659,Advertisers!$A$5:$B$34,2,FALSE),"Missing advertiser")</x:f>
        <x:v>Synthetic advertiser 16</x:v>
      </x:c>
      <x:c r="C2665" s="1" t="n">
        <x:f>Source!C2659</x:f>
        <x:v>106</x:v>
      </x:c>
      <x:c r="D2665" s="8" t="n">
        <x:f>Source!D2659/100</x:f>
        <x:v>245.13</x:v>
      </x:c>
      <x:c r="E2665" s="8" t="n">
        <x:f>Source!E2659/100</x:f>
        <x:v>260.13</x:v>
      </x:c>
      <x:c r="F2665" s="8" t="n">
        <x:f>Source!F2659/100</x:f>
        <x:v>0</x:v>
      </x:c>
      <x:c r="G2665" s="8" t="n">
        <x:f>Source!G2659/100</x:f>
        <x:v>260.13</x:v>
      </x:c>
      <x:c r="H2665" s="8" t="n">
        <x:f>G2665-D2665</x:f>
        <x:v>15</x:v>
      </x:c>
      <x:c r="I2665" s="1" t="str">
        <x:f>IF(H2665&gt;0,"Overbilled","Shortfall")</x:f>
        <x:v>Overbilled</x:v>
      </x:c>
      <x:c r="J2665" s="7"/>
      <x:c r="K2665" s="7" t="str">
        <x:v>Open</x:v>
      </x:c>
      <x:c r="L2665" s="7"/>
    </x:row>
    <x:row r="2666" ht="21" customHeight="1">
      <x:c r="A2666" s="1" t="str">
        <x:f>Source!A2660</x:f>
        <x:v>C0008725</x:v>
      </x:c>
      <x:c r="B2666" s="1" t="str">
        <x:f>_xlfn.IFNA(VLOOKUP(Source!B2660,Advertisers!$A$5:$B$34,2,FALSE),"Missing advertiser")</x:f>
        <x:v>Synthetic advertiser 11</x:v>
      </x:c>
      <x:c r="C2666" s="1" t="n">
        <x:f>Source!C2660</x:f>
        <x:v>101</x:v>
      </x:c>
      <x:c r="D2666" s="8" t="n">
        <x:f>Source!D2660/100</x:f>
        <x:v>493.42</x:v>
      </x:c>
      <x:c r="E2666" s="8" t="n">
        <x:f>Source!E2660/100</x:f>
        <x:v>508.42</x:v>
      </x:c>
      <x:c r="F2666" s="8" t="n">
        <x:f>Source!F2660/100</x:f>
        <x:v>0</x:v>
      </x:c>
      <x:c r="G2666" s="8" t="n">
        <x:f>Source!G2660/100</x:f>
        <x:v>508.42</x:v>
      </x:c>
      <x:c r="H2666" s="8" t="n">
        <x:f>G2666-D2666</x:f>
        <x:v>15</x:v>
      </x:c>
      <x:c r="I2666" s="1" t="str">
        <x:f>IF(H2666&gt;0,"Overbilled","Shortfall")</x:f>
        <x:v>Overbilled</x:v>
      </x:c>
      <x:c r="J2666" s="7"/>
      <x:c r="K2666" s="7" t="str">
        <x:v>Open</x:v>
      </x:c>
      <x:c r="L2666" s="7"/>
    </x:row>
    <x:row r="2667" ht="21" customHeight="1">
      <x:c r="A2667" s="1" t="str">
        <x:f>Source!A2661</x:f>
        <x:v>C0008733</x:v>
      </x:c>
      <x:c r="B2667" s="1" t="str">
        <x:f>_xlfn.IFNA(VLOOKUP(Source!B2661,Advertisers!$A$5:$B$34,2,FALSE),"Missing advertiser")</x:f>
        <x:v>Synthetic advertiser 29</x:v>
      </x:c>
      <x:c r="C2667" s="1" t="n">
        <x:f>Source!C2661</x:f>
        <x:v>119</x:v>
      </x:c>
      <x:c r="D2667" s="8" t="n">
        <x:f>Source!D2661/100</x:f>
        <x:v>80.63</x:v>
      </x:c>
      <x:c r="E2667" s="8" t="n">
        <x:f>Source!E2661/100</x:f>
        <x:v>95.63</x:v>
      </x:c>
      <x:c r="F2667" s="8" t="n">
        <x:f>Source!F2661/100</x:f>
        <x:v>0</x:v>
      </x:c>
      <x:c r="G2667" s="8" t="n">
        <x:f>Source!G2661/100</x:f>
        <x:v>95.63</x:v>
      </x:c>
      <x:c r="H2667" s="8" t="n">
        <x:f>G2667-D2667</x:f>
        <x:v>15</x:v>
      </x:c>
      <x:c r="I2667" s="1" t="str">
        <x:f>IF(H2667&gt;0,"Overbilled","Shortfall")</x:f>
        <x:v>Overbilled</x:v>
      </x:c>
      <x:c r="J2667" s="7"/>
      <x:c r="K2667" s="7" t="str">
        <x:v>Open</x:v>
      </x:c>
      <x:c r="L2667" s="7"/>
    </x:row>
    <x:row r="2668" ht="21" customHeight="1">
      <x:c r="A2668" s="1" t="str">
        <x:f>Source!A2662</x:f>
        <x:v>C0008776</x:v>
      </x:c>
      <x:c r="B2668" s="1" t="str">
        <x:f>_xlfn.IFNA(VLOOKUP(Source!B2662,Advertisers!$A$5:$B$34,2,FALSE),"Missing advertiser")</x:f>
        <x:v>Synthetic advertiser 1</x:v>
      </x:c>
      <x:c r="C2668" s="1" t="n">
        <x:f>Source!C2662</x:f>
        <x:v>1</x:v>
      </x:c>
      <x:c r="D2668" s="8" t="n">
        <x:f>Source!D2662/100</x:f>
        <x:v>245.13</x:v>
      </x:c>
      <x:c r="E2668" s="8" t="n">
        <x:f>Source!E2662/100</x:f>
        <x:v>260.13</x:v>
      </x:c>
      <x:c r="F2668" s="8" t="n">
        <x:f>Source!F2662/100</x:f>
        <x:v>0</x:v>
      </x:c>
      <x:c r="G2668" s="8" t="n">
        <x:f>Source!G2662/100</x:f>
        <x:v>260.13</x:v>
      </x:c>
      <x:c r="H2668" s="8" t="n">
        <x:f>G2668-D2668</x:f>
        <x:v>15</x:v>
      </x:c>
      <x:c r="I2668" s="1" t="str">
        <x:f>IF(H2668&gt;0,"Overbilled","Shortfall")</x:f>
        <x:v>Overbilled</x:v>
      </x:c>
      <x:c r="J2668" s="7"/>
      <x:c r="K2668" s="7" t="str">
        <x:v>Open</x:v>
      </x:c>
      <x:c r="L2668" s="7"/>
    </x:row>
    <x:row r="2669" ht="21" customHeight="1">
      <x:c r="A2669" s="1" t="str">
        <x:f>Source!A2663</x:f>
        <x:v>C0008798</x:v>
      </x:c>
      <x:c r="B2669" s="1" t="str">
        <x:f>_xlfn.IFNA(VLOOKUP(Source!B2663,Advertisers!$A$5:$B$34,2,FALSE),"Missing advertiser")</x:f>
        <x:v>Synthetic advertiser 23</x:v>
      </x:c>
      <x:c r="C2669" s="1" t="n">
        <x:f>Source!C2663</x:f>
        <x:v>53</x:v>
      </x:c>
      <x:c r="D2669" s="8" t="n">
        <x:f>Source!D2663/100</x:f>
        <x:v>344.62</x:v>
      </x:c>
      <x:c r="E2669" s="8" t="n">
        <x:f>Source!E2663/100</x:f>
        <x:v>359.62</x:v>
      </x:c>
      <x:c r="F2669" s="8" t="n">
        <x:f>Source!F2663/100</x:f>
        <x:v>0</x:v>
      </x:c>
      <x:c r="G2669" s="8" t="n">
        <x:f>Source!G2663/100</x:f>
        <x:v>359.62</x:v>
      </x:c>
      <x:c r="H2669" s="8" t="n">
        <x:f>G2669-D2669</x:f>
        <x:v>15</x:v>
      </x:c>
      <x:c r="I2669" s="1" t="str">
        <x:f>IF(H2669&gt;0,"Overbilled","Shortfall")</x:f>
        <x:v>Overbilled</x:v>
      </x:c>
      <x:c r="J2669" s="7"/>
      <x:c r="K2669" s="7" t="str">
        <x:v>Open</x:v>
      </x:c>
      <x:c r="L2669" s="7"/>
    </x:row>
    <x:row r="2670" ht="21" customHeight="1">
      <x:c r="A2670" s="1" t="str">
        <x:f>Source!A2664</x:f>
        <x:v>C0009849</x:v>
      </x:c>
      <x:c r="B2670" s="1" t="str">
        <x:f>_xlfn.IFNA(VLOOKUP(Source!B2664,Advertisers!$A$5:$B$34,2,FALSE),"Missing advertiser")</x:f>
        <x:v>Synthetic advertiser 9</x:v>
      </x:c>
      <x:c r="C2670" s="1" t="n">
        <x:f>Source!C2664</x:f>
        <x:v>99</x:v>
      </x:c>
      <x:c r="D2670" s="8" t="n">
        <x:f>Source!D2664/100</x:f>
        <x:v>267.7</x:v>
      </x:c>
      <x:c r="E2670" s="8" t="n">
        <x:f>Source!E2664/100</x:f>
        <x:v>282.7</x:v>
      </x:c>
      <x:c r="F2670" s="8" t="n">
        <x:f>Source!F2664/100</x:f>
        <x:v>0</x:v>
      </x:c>
      <x:c r="G2670" s="8" t="n">
        <x:f>Source!G2664/100</x:f>
        <x:v>282.7</x:v>
      </x:c>
      <x:c r="H2670" s="8" t="n">
        <x:f>G2670-D2670</x:f>
        <x:v>15</x:v>
      </x:c>
      <x:c r="I2670" s="1" t="str">
        <x:f>IF(H2670&gt;0,"Overbilled","Shortfall")</x:f>
        <x:v>Overbilled</x:v>
      </x:c>
      <x:c r="J2670" s="7"/>
      <x:c r="K2670" s="7" t="str">
        <x:v>Open</x:v>
      </x:c>
      <x:c r="L2670" s="7"/>
    </x:row>
    <x:row r="2671" ht="21" customHeight="1">
      <x:c r="A2671" s="1" t="str">
        <x:f>Source!A2665</x:f>
        <x:v>C0009852</x:v>
      </x:c>
      <x:c r="B2671" s="1" t="str">
        <x:f>_xlfn.IFNA(VLOOKUP(Source!B2665,Advertisers!$A$5:$B$34,2,FALSE),"Missing advertiser")</x:f>
        <x:v>Synthetic advertiser 20</x:v>
      </x:c>
      <x:c r="C2671" s="1" t="n">
        <x:f>Source!C2665</x:f>
        <x:v>50</x:v>
      </x:c>
      <x:c r="D2671" s="8" t="n">
        <x:f>Source!D2665/100</x:f>
        <x:v>51.09</x:v>
      </x:c>
      <x:c r="E2671" s="8" t="n">
        <x:f>Source!E2665/100</x:f>
        <x:v>66.09</x:v>
      </x:c>
      <x:c r="F2671" s="8" t="n">
        <x:f>Source!F2665/100</x:f>
        <x:v>0</x:v>
      </x:c>
      <x:c r="G2671" s="8" t="n">
        <x:f>Source!G2665/100</x:f>
        <x:v>66.09</x:v>
      </x:c>
      <x:c r="H2671" s="8" t="n">
        <x:f>G2671-D2671</x:f>
        <x:v>15</x:v>
      </x:c>
      <x:c r="I2671" s="1" t="str">
        <x:f>IF(H2671&gt;0,"Overbilled","Shortfall")</x:f>
        <x:v>Overbilled</x:v>
      </x:c>
      <x:c r="J2671" s="7"/>
      <x:c r="K2671" s="7" t="str">
        <x:v>Open</x:v>
      </x:c>
      <x:c r="L2671" s="7"/>
    </x:row>
    <x:row r="2672" ht="21" customHeight="1">
      <x:c r="A2672" s="1" t="str">
        <x:f>Source!A2666</x:f>
        <x:v>C0009857</x:v>
      </x:c>
      <x:c r="B2672" s="1" t="str">
        <x:f>_xlfn.IFNA(VLOOKUP(Source!B2666,Advertisers!$A$5:$B$34,2,FALSE),"Missing advertiser")</x:f>
        <x:v>Synthetic advertiser 18</x:v>
      </x:c>
      <x:c r="C2672" s="1" t="n">
        <x:f>Source!C2666</x:f>
        <x:v>78</x:v>
      </x:c>
      <x:c r="D2672" s="8" t="n">
        <x:f>Source!D2666/100</x:f>
        <x:v>219.58</x:v>
      </x:c>
      <x:c r="E2672" s="8" t="n">
        <x:f>Source!E2666/100</x:f>
        <x:v>234.58</x:v>
      </x:c>
      <x:c r="F2672" s="8" t="n">
        <x:f>Source!F2666/100</x:f>
        <x:v>0</x:v>
      </x:c>
      <x:c r="G2672" s="8" t="n">
        <x:f>Source!G2666/100</x:f>
        <x:v>234.58</x:v>
      </x:c>
      <x:c r="H2672" s="8" t="n">
        <x:f>G2672-D2672</x:f>
        <x:v>15</x:v>
      </x:c>
      <x:c r="I2672" s="1" t="str">
        <x:f>IF(H2672&gt;0,"Overbilled","Shortfall")</x:f>
        <x:v>Overbilled</x:v>
      </x:c>
      <x:c r="J2672" s="7"/>
      <x:c r="K2672" s="7" t="str">
        <x:v>Open</x:v>
      </x:c>
      <x:c r="L2672" s="7"/>
    </x:row>
    <x:row r="2673" ht="21" customHeight="1">
      <x:c r="A2673" s="1" t="str">
        <x:f>Source!A2667</x:f>
        <x:v>C0009863</x:v>
      </x:c>
      <x:c r="B2673" s="1" t="str">
        <x:f>_xlfn.IFNA(VLOOKUP(Source!B2667,Advertisers!$A$5:$B$34,2,FALSE),"Missing advertiser")</x:f>
        <x:v>Synthetic advertiser 19</x:v>
      </x:c>
      <x:c r="C2673" s="1" t="n">
        <x:f>Source!C2667</x:f>
        <x:v>19</x:v>
      </x:c>
      <x:c r="D2673" s="8" t="n">
        <x:f>Source!D2667/100</x:f>
        <x:v>172.93</x:v>
      </x:c>
      <x:c r="E2673" s="8" t="n">
        <x:f>Source!E2667/100</x:f>
        <x:v>187.93</x:v>
      </x:c>
      <x:c r="F2673" s="8" t="n">
        <x:f>Source!F2667/100</x:f>
        <x:v>0</x:v>
      </x:c>
      <x:c r="G2673" s="8" t="n">
        <x:f>Source!G2667/100</x:f>
        <x:v>187.93</x:v>
      </x:c>
      <x:c r="H2673" s="8" t="n">
        <x:f>G2673-D2673</x:f>
        <x:v>15</x:v>
      </x:c>
      <x:c r="I2673" s="1" t="str">
        <x:f>IF(H2673&gt;0,"Overbilled","Shortfall")</x:f>
        <x:v>Overbilled</x:v>
      </x:c>
      <x:c r="J2673" s="7"/>
      <x:c r="K2673" s="7" t="str">
        <x:v>Open</x:v>
      </x:c>
      <x:c r="L2673" s="7"/>
    </x:row>
    <x:row r="2674" ht="21" customHeight="1">
      <x:c r="A2674" s="1" t="str">
        <x:f>Source!A2668</x:f>
        <x:v>C0009869</x:v>
      </x:c>
      <x:c r="B2674" s="1" t="str">
        <x:f>_xlfn.IFNA(VLOOKUP(Source!B2668,Advertisers!$A$5:$B$34,2,FALSE),"Missing advertiser")</x:f>
        <x:v>Synthetic advertiser 9</x:v>
      </x:c>
      <x:c r="C2674" s="1" t="n">
        <x:f>Source!C2668</x:f>
        <x:v>39</x:v>
      </x:c>
      <x:c r="D2674" s="8" t="n">
        <x:f>Source!D2668/100</x:f>
        <x:v>176.58</x:v>
      </x:c>
      <x:c r="E2674" s="8" t="n">
        <x:f>Source!E2668/100</x:f>
        <x:v>191.58</x:v>
      </x:c>
      <x:c r="F2674" s="8" t="n">
        <x:f>Source!F2668/100</x:f>
        <x:v>0</x:v>
      </x:c>
      <x:c r="G2674" s="8" t="n">
        <x:f>Source!G2668/100</x:f>
        <x:v>191.58</x:v>
      </x:c>
      <x:c r="H2674" s="8" t="n">
        <x:f>G2674-D2674</x:f>
        <x:v>15</x:v>
      </x:c>
      <x:c r="I2674" s="1" t="str">
        <x:f>IF(H2674&gt;0,"Overbilled","Shortfall")</x:f>
        <x:v>Overbilled</x:v>
      </x:c>
      <x:c r="J2674" s="7"/>
      <x:c r="K2674" s="7" t="str">
        <x:v>Open</x:v>
      </x:c>
      <x:c r="L2674" s="7"/>
    </x:row>
    <x:row r="2675" ht="21" customHeight="1">
      <x:c r="A2675" s="1" t="str">
        <x:f>Source!A2669</x:f>
        <x:v>C0009875</x:v>
      </x:c>
      <x:c r="B2675" s="1" t="str">
        <x:f>_xlfn.IFNA(VLOOKUP(Source!B2669,Advertisers!$A$5:$B$34,2,FALSE),"Missing advertiser")</x:f>
        <x:v>Synthetic advertiser 21</x:v>
      </x:c>
      <x:c r="C2675" s="1" t="n">
        <x:f>Source!C2669</x:f>
        <x:v>81</x:v>
      </x:c>
      <x:c r="D2675" s="8" t="n">
        <x:f>Source!D2669/100</x:f>
        <x:v>110.36</x:v>
      </x:c>
      <x:c r="E2675" s="8" t="n">
        <x:f>Source!E2669/100</x:f>
        <x:v>125.36</x:v>
      </x:c>
      <x:c r="F2675" s="8" t="n">
        <x:f>Source!F2669/100</x:f>
        <x:v>0</x:v>
      </x:c>
      <x:c r="G2675" s="8" t="n">
        <x:f>Source!G2669/100</x:f>
        <x:v>125.36</x:v>
      </x:c>
      <x:c r="H2675" s="8" t="n">
        <x:f>G2675-D2675</x:f>
        <x:v>15</x:v>
      </x:c>
      <x:c r="I2675" s="1" t="str">
        <x:f>IF(H2675&gt;0,"Overbilled","Shortfall")</x:f>
        <x:v>Overbilled</x:v>
      </x:c>
      <x:c r="J2675" s="7"/>
      <x:c r="K2675" s="7" t="str">
        <x:v>Open</x:v>
      </x:c>
      <x:c r="L2675" s="7"/>
    </x:row>
    <x:row r="2676" ht="21" customHeight="1">
      <x:c r="A2676" s="1" t="str">
        <x:f>Source!A2670</x:f>
        <x:v>C0008639</x:v>
      </x:c>
      <x:c r="B2676" s="1" t="str">
        <x:f>_xlfn.IFNA(VLOOKUP(Source!B2670,Advertisers!$A$5:$B$34,2,FALSE),"Missing advertiser")</x:f>
        <x:v>Synthetic advertiser 10</x:v>
      </x:c>
      <x:c r="C2676" s="1" t="n">
        <x:f>Source!C2670</x:f>
        <x:v>10</x:v>
      </x:c>
      <x:c r="D2676" s="8" t="n">
        <x:f>Source!D2670/100</x:f>
        <x:v>133.59</x:v>
      </x:c>
      <x:c r="E2676" s="8" t="n">
        <x:f>Source!E2670/100</x:f>
        <x:v>148.59</x:v>
      </x:c>
      <x:c r="F2676" s="8" t="n">
        <x:f>Source!F2670/100</x:f>
        <x:v>0</x:v>
      </x:c>
      <x:c r="G2676" s="8" t="n">
        <x:f>Source!G2670/100</x:f>
        <x:v>148.59</x:v>
      </x:c>
      <x:c r="H2676" s="8" t="n">
        <x:f>G2676-D2676</x:f>
        <x:v>15</x:v>
      </x:c>
      <x:c r="I2676" s="1" t="str">
        <x:f>IF(H2676&gt;0,"Overbilled","Shortfall")</x:f>
        <x:v>Overbilled</x:v>
      </x:c>
      <x:c r="J2676" s="7"/>
      <x:c r="K2676" s="7" t="str">
        <x:v>Open</x:v>
      </x:c>
      <x:c r="L2676" s="7"/>
    </x:row>
    <x:row r="2677" ht="21" customHeight="1">
      <x:c r="A2677" s="1" t="str">
        <x:f>Source!A2671</x:f>
        <x:v>C0001431</x:v>
      </x:c>
      <x:c r="B2677" s="1" t="str">
        <x:f>_xlfn.IFNA(VLOOKUP(Source!B2671,Advertisers!$A$5:$B$34,2,FALSE),"Missing advertiser")</x:f>
        <x:v>Synthetic advertiser 5</x:v>
      </x:c>
      <x:c r="C2677" s="1" t="n">
        <x:f>Source!C2671</x:f>
        <x:v>65</x:v>
      </x:c>
      <x:c r="D2677" s="8" t="n">
        <x:f>Source!D2671/100</x:f>
        <x:v>111.27</x:v>
      </x:c>
      <x:c r="E2677" s="8" t="n">
        <x:f>Source!E2671/100</x:f>
        <x:v>126.27</x:v>
      </x:c>
      <x:c r="F2677" s="8" t="n">
        <x:f>Source!F2671/100</x:f>
        <x:v>0</x:v>
      </x:c>
      <x:c r="G2677" s="8" t="n">
        <x:f>Source!G2671/100</x:f>
        <x:v>126.27</x:v>
      </x:c>
      <x:c r="H2677" s="8" t="n">
        <x:f>G2677-D2677</x:f>
        <x:v>15</x:v>
      </x:c>
      <x:c r="I2677" s="1" t="str">
        <x:f>IF(H2677&gt;0,"Overbilled","Shortfall")</x:f>
        <x:v>Overbilled</x:v>
      </x:c>
      <x:c r="J2677" s="7"/>
      <x:c r="K2677" s="7" t="str">
        <x:v>Open</x:v>
      </x:c>
      <x:c r="L2677" s="7"/>
    </x:row>
    <x:row r="2678" ht="21" customHeight="1">
      <x:c r="A2678" s="1" t="str">
        <x:f>Source!A2672</x:f>
        <x:v>C0001445</x:v>
      </x:c>
      <x:c r="B2678" s="1" t="str">
        <x:f>_xlfn.IFNA(VLOOKUP(Source!B2672,Advertisers!$A$5:$B$34,2,FALSE),"Missing advertiser")</x:f>
        <x:v>Synthetic advertiser 23</x:v>
      </x:c>
      <x:c r="C2678" s="1" t="n">
        <x:f>Source!C2672</x:f>
        <x:v>53</x:v>
      </x:c>
      <x:c r="D2678" s="8" t="n">
        <x:f>Source!D2672/100</x:f>
        <x:v>50.87</x:v>
      </x:c>
      <x:c r="E2678" s="8" t="n">
        <x:f>Source!E2672/100</x:f>
        <x:v>65.87</x:v>
      </x:c>
      <x:c r="F2678" s="8" t="n">
        <x:f>Source!F2672/100</x:f>
        <x:v>0</x:v>
      </x:c>
      <x:c r="G2678" s="8" t="n">
        <x:f>Source!G2672/100</x:f>
        <x:v>65.87</x:v>
      </x:c>
      <x:c r="H2678" s="8" t="n">
        <x:f>G2678-D2678</x:f>
        <x:v>15.000000000000007</x:v>
      </x:c>
      <x:c r="I2678" s="1" t="str">
        <x:f>IF(H2678&gt;0,"Overbilled","Shortfall")</x:f>
        <x:v>Overbilled</x:v>
      </x:c>
      <x:c r="J2678" s="7"/>
      <x:c r="K2678" s="7" t="str">
        <x:v>Open</x:v>
      </x:c>
      <x:c r="L2678" s="7"/>
    </x:row>
    <x:row r="2679" ht="21" customHeight="1">
      <x:c r="A2679" s="1" t="str">
        <x:f>Source!A2673</x:f>
        <x:v>C0001446</x:v>
      </x:c>
      <x:c r="B2679" s="1" t="str">
        <x:f>_xlfn.IFNA(VLOOKUP(Source!B2673,Advertisers!$A$5:$B$34,2,FALSE),"Missing advertiser")</x:f>
        <x:v>Synthetic advertiser 17</x:v>
      </x:c>
      <x:c r="C2679" s="1" t="n">
        <x:f>Source!C2673</x:f>
        <x:v>107</x:v>
      </x:c>
      <x:c r="D2679" s="8" t="n">
        <x:f>Source!D2673/100</x:f>
        <x:v>77.08</x:v>
      </x:c>
      <x:c r="E2679" s="8" t="n">
        <x:f>Source!E2673/100</x:f>
        <x:v>92.08</x:v>
      </x:c>
      <x:c r="F2679" s="8" t="n">
        <x:f>Source!F2673/100</x:f>
        <x:v>0</x:v>
      </x:c>
      <x:c r="G2679" s="8" t="n">
        <x:f>Source!G2673/100</x:f>
        <x:v>92.08</x:v>
      </x:c>
      <x:c r="H2679" s="8" t="n">
        <x:f>G2679-D2679</x:f>
        <x:v>15</x:v>
      </x:c>
      <x:c r="I2679" s="1" t="str">
        <x:f>IF(H2679&gt;0,"Overbilled","Shortfall")</x:f>
        <x:v>Overbilled</x:v>
      </x:c>
      <x:c r="J2679" s="7"/>
      <x:c r="K2679" s="7" t="str">
        <x:v>Open</x:v>
      </x:c>
      <x:c r="L2679" s="7"/>
    </x:row>
    <x:row r="2680" ht="21" customHeight="1">
      <x:c r="A2680" s="1" t="str">
        <x:f>Source!A2674</x:f>
        <x:v>C0001458</x:v>
      </x:c>
      <x:c r="B2680" s="1" t="str">
        <x:f>_xlfn.IFNA(VLOOKUP(Source!B2674,Advertisers!$A$5:$B$34,2,FALSE),"Missing advertiser")</x:f>
        <x:v>Synthetic advertiser 28</x:v>
      </x:c>
      <x:c r="C2680" s="1" t="n">
        <x:f>Source!C2674</x:f>
        <x:v>58</x:v>
      </x:c>
      <x:c r="D2680" s="8" t="n">
        <x:f>Source!D2674/100</x:f>
        <x:v>95.12</x:v>
      </x:c>
      <x:c r="E2680" s="8" t="n">
        <x:f>Source!E2674/100</x:f>
        <x:v>110.12</x:v>
      </x:c>
      <x:c r="F2680" s="8" t="n">
        <x:f>Source!F2674/100</x:f>
        <x:v>0</x:v>
      </x:c>
      <x:c r="G2680" s="8" t="n">
        <x:f>Source!G2674/100</x:f>
        <x:v>110.12</x:v>
      </x:c>
      <x:c r="H2680" s="8" t="n">
        <x:f>G2680-D2680</x:f>
        <x:v>15</x:v>
      </x:c>
      <x:c r="I2680" s="1" t="str">
        <x:f>IF(H2680&gt;0,"Overbilled","Shortfall")</x:f>
        <x:v>Overbilled</x:v>
      </x:c>
      <x:c r="J2680" s="7"/>
      <x:c r="K2680" s="7" t="str">
        <x:v>Open</x:v>
      </x:c>
      <x:c r="L2680" s="7"/>
    </x:row>
    <x:row r="2681" ht="21" customHeight="1">
      <x:c r="A2681" s="1" t="str">
        <x:f>Source!A2675</x:f>
        <x:v>C0001481</x:v>
      </x:c>
      <x:c r="B2681" s="1" t="str">
        <x:f>_xlfn.IFNA(VLOOKUP(Source!B2675,Advertisers!$A$5:$B$34,2,FALSE),"Missing advertiser")</x:f>
        <x:v>Synthetic advertiser 15</x:v>
      </x:c>
      <x:c r="C2681" s="1" t="n">
        <x:f>Source!C2675</x:f>
        <x:v>15</x:v>
      </x:c>
      <x:c r="D2681" s="8" t="n">
        <x:f>Source!D2675/100</x:f>
        <x:v>175.75</x:v>
      </x:c>
      <x:c r="E2681" s="8" t="n">
        <x:f>Source!E2675/100</x:f>
        <x:v>190.75</x:v>
      </x:c>
      <x:c r="F2681" s="8" t="n">
        <x:f>Source!F2675/100</x:f>
        <x:v>0</x:v>
      </x:c>
      <x:c r="G2681" s="8" t="n">
        <x:f>Source!G2675/100</x:f>
        <x:v>190.75</x:v>
      </x:c>
      <x:c r="H2681" s="8" t="n">
        <x:f>G2681-D2681</x:f>
        <x:v>15</x:v>
      </x:c>
      <x:c r="I2681" s="1" t="str">
        <x:f>IF(H2681&gt;0,"Overbilled","Shortfall")</x:f>
        <x:v>Overbilled</x:v>
      </x:c>
      <x:c r="J2681" s="7"/>
      <x:c r="K2681" s="7" t="str">
        <x:v>Open</x:v>
      </x:c>
      <x:c r="L2681" s="7"/>
    </x:row>
    <x:row r="2682" ht="21" customHeight="1">
      <x:c r="A2682" s="1" t="str">
        <x:f>Source!A2676</x:f>
        <x:v>C0001500</x:v>
      </x:c>
      <x:c r="B2682" s="1" t="str">
        <x:f>_xlfn.IFNA(VLOOKUP(Source!B2676,Advertisers!$A$5:$B$34,2,FALSE),"Missing advertiser")</x:f>
        <x:v>Synthetic advertiser 21</x:v>
      </x:c>
      <x:c r="C2682" s="1" t="n">
        <x:f>Source!C2676</x:f>
        <x:v>21</x:v>
      </x:c>
      <x:c r="D2682" s="8" t="n">
        <x:f>Source!D2676/100</x:f>
        <x:v>58.98</x:v>
      </x:c>
      <x:c r="E2682" s="8" t="n">
        <x:f>Source!E2676/100</x:f>
        <x:v>73.98</x:v>
      </x:c>
      <x:c r="F2682" s="8" t="n">
        <x:f>Source!F2676/100</x:f>
        <x:v>0</x:v>
      </x:c>
      <x:c r="G2682" s="8" t="n">
        <x:f>Source!G2676/100</x:f>
        <x:v>73.98</x:v>
      </x:c>
      <x:c r="H2682" s="8" t="n">
        <x:f>G2682-D2682</x:f>
        <x:v>15.000000000000007</x:v>
      </x:c>
      <x:c r="I2682" s="1" t="str">
        <x:f>IF(H2682&gt;0,"Overbilled","Shortfall")</x:f>
        <x:v>Overbilled</x:v>
      </x:c>
      <x:c r="J2682" s="7"/>
      <x:c r="K2682" s="7" t="str">
        <x:v>Open</x:v>
      </x:c>
      <x:c r="L2682" s="7"/>
    </x:row>
    <x:row r="2683" ht="21" customHeight="1">
      <x:c r="A2683" s="1" t="str">
        <x:f>Source!A2677</x:f>
        <x:v>C0001538</x:v>
      </x:c>
      <x:c r="B2683" s="1" t="str">
        <x:f>_xlfn.IFNA(VLOOKUP(Source!B2677,Advertisers!$A$5:$B$34,2,FALSE),"Missing advertiser")</x:f>
        <x:v>Synthetic advertiser 22</x:v>
      </x:c>
      <x:c r="C2683" s="1" t="n">
        <x:f>Source!C2677</x:f>
        <x:v>52</x:v>
      </x:c>
      <x:c r="D2683" s="8" t="n">
        <x:f>Source!D2677/100</x:f>
        <x:v>159.65</x:v>
      </x:c>
      <x:c r="E2683" s="8" t="n">
        <x:f>Source!E2677/100</x:f>
        <x:v>174.65</x:v>
      </x:c>
      <x:c r="F2683" s="8" t="n">
        <x:f>Source!F2677/100</x:f>
        <x:v>0</x:v>
      </x:c>
      <x:c r="G2683" s="8" t="n">
        <x:f>Source!G2677/100</x:f>
        <x:v>174.65</x:v>
      </x:c>
      <x:c r="H2683" s="8" t="n">
        <x:f>G2683-D2683</x:f>
        <x:v>15</x:v>
      </x:c>
      <x:c r="I2683" s="1" t="str">
        <x:f>IF(H2683&gt;0,"Overbilled","Shortfall")</x:f>
        <x:v>Overbilled</x:v>
      </x:c>
      <x:c r="J2683" s="7"/>
      <x:c r="K2683" s="7" t="str">
        <x:v>Open</x:v>
      </x:c>
      <x:c r="L2683" s="7"/>
    </x:row>
    <x:row r="2684" ht="21" customHeight="1">
      <x:c r="A2684" s="1" t="str">
        <x:f>Source!A2678</x:f>
        <x:v>C0001554</x:v>
      </x:c>
      <x:c r="B2684" s="1" t="str">
        <x:f>_xlfn.IFNA(VLOOKUP(Source!B2678,Advertisers!$A$5:$B$34,2,FALSE),"Missing advertiser")</x:f>
        <x:v>Synthetic advertiser 1</x:v>
      </x:c>
      <x:c r="C2684" s="1" t="n">
        <x:f>Source!C2678</x:f>
        <x:v>1</x:v>
      </x:c>
      <x:c r="D2684" s="8" t="n">
        <x:f>Source!D2678/100</x:f>
        <x:v>245.13</x:v>
      </x:c>
      <x:c r="E2684" s="8" t="n">
        <x:f>Source!E2678/100</x:f>
        <x:v>260.13</x:v>
      </x:c>
      <x:c r="F2684" s="8" t="n">
        <x:f>Source!F2678/100</x:f>
        <x:v>0</x:v>
      </x:c>
      <x:c r="G2684" s="8" t="n">
        <x:f>Source!G2678/100</x:f>
        <x:v>260.13</x:v>
      </x:c>
      <x:c r="H2684" s="8" t="n">
        <x:f>G2684-D2684</x:f>
        <x:v>15</x:v>
      </x:c>
      <x:c r="I2684" s="1" t="str">
        <x:f>IF(H2684&gt;0,"Overbilled","Shortfall")</x:f>
        <x:v>Overbilled</x:v>
      </x:c>
      <x:c r="J2684" s="7"/>
      <x:c r="K2684" s="7" t="str">
        <x:v>Open</x:v>
      </x:c>
      <x:c r="L2684" s="7"/>
    </x:row>
    <x:row r="2685" ht="21" customHeight="1">
      <x:c r="A2685" s="1" t="str">
        <x:f>Source!A2679</x:f>
        <x:v>C0001559</x:v>
      </x:c>
      <x:c r="B2685" s="1" t="str">
        <x:f>_xlfn.IFNA(VLOOKUP(Source!B2679,Advertisers!$A$5:$B$34,2,FALSE),"Missing advertiser")</x:f>
        <x:v>Synthetic advertiser 16</x:v>
      </x:c>
      <x:c r="C2685" s="1" t="n">
        <x:f>Source!C2679</x:f>
        <x:v>106</x:v>
      </x:c>
      <x:c r="D2685" s="8" t="n">
        <x:f>Source!D2679/100</x:f>
        <x:v>143.68</x:v>
      </x:c>
      <x:c r="E2685" s="8" t="n">
        <x:f>Source!E2679/100</x:f>
        <x:v>158.68</x:v>
      </x:c>
      <x:c r="F2685" s="8" t="n">
        <x:f>Source!F2679/100</x:f>
        <x:v>0</x:v>
      </x:c>
      <x:c r="G2685" s="8" t="n">
        <x:f>Source!G2679/100</x:f>
        <x:v>158.68</x:v>
      </x:c>
      <x:c r="H2685" s="8" t="n">
        <x:f>G2685-D2685</x:f>
        <x:v>15</x:v>
      </x:c>
      <x:c r="I2685" s="1" t="str">
        <x:f>IF(H2685&gt;0,"Overbilled","Shortfall")</x:f>
        <x:v>Overbilled</x:v>
      </x:c>
      <x:c r="J2685" s="7"/>
      <x:c r="K2685" s="7" t="str">
        <x:v>Open</x:v>
      </x:c>
      <x:c r="L2685" s="7"/>
    </x:row>
    <x:row r="2686" ht="21" customHeight="1">
      <x:c r="A2686" s="1" t="str">
        <x:f>Source!A2680</x:f>
        <x:v>C0001560</x:v>
      </x:c>
      <x:c r="B2686" s="1" t="str">
        <x:f>_xlfn.IFNA(VLOOKUP(Source!B2680,Advertisers!$A$5:$B$34,2,FALSE),"Missing advertiser")</x:f>
        <x:v>Synthetic advertiser 5</x:v>
      </x:c>
      <x:c r="C2686" s="1" t="n">
        <x:f>Source!C2680</x:f>
        <x:v>5</x:v>
      </x:c>
      <x:c r="D2686" s="8" t="n">
        <x:f>Source!D2680/100</x:f>
        <x:v>183.96</x:v>
      </x:c>
      <x:c r="E2686" s="8" t="n">
        <x:f>Source!E2680/100</x:f>
        <x:v>198.96</x:v>
      </x:c>
      <x:c r="F2686" s="8" t="n">
        <x:f>Source!F2680/100</x:f>
        <x:v>0</x:v>
      </x:c>
      <x:c r="G2686" s="8" t="n">
        <x:f>Source!G2680/100</x:f>
        <x:v>198.96</x:v>
      </x:c>
      <x:c r="H2686" s="8" t="n">
        <x:f>G2686-D2686</x:f>
        <x:v>15</x:v>
      </x:c>
      <x:c r="I2686" s="1" t="str">
        <x:f>IF(H2686&gt;0,"Overbilled","Shortfall")</x:f>
        <x:v>Overbilled</x:v>
      </x:c>
      <x:c r="J2686" s="7"/>
      <x:c r="K2686" s="7" t="str">
        <x:v>Open</x:v>
      </x:c>
      <x:c r="L2686" s="7"/>
    </x:row>
    <x:row r="2687" ht="21" customHeight="1">
      <x:c r="A2687" s="1" t="str">
        <x:f>Source!A2681</x:f>
        <x:v>C0001570</x:v>
      </x:c>
      <x:c r="B2687" s="1" t="str">
        <x:f>_xlfn.IFNA(VLOOKUP(Source!B2681,Advertisers!$A$5:$B$34,2,FALSE),"Missing advertiser")</x:f>
        <x:v>Synthetic advertiser 18</x:v>
      </x:c>
      <x:c r="C2687" s="1" t="n">
        <x:f>Source!C2681</x:f>
        <x:v>48</x:v>
      </x:c>
      <x:c r="D2687" s="8" t="n">
        <x:f>Source!D2681/100</x:f>
        <x:v>117.66</x:v>
      </x:c>
      <x:c r="E2687" s="8" t="n">
        <x:f>Source!E2681/100</x:f>
        <x:v>132.66</x:v>
      </x:c>
      <x:c r="F2687" s="8" t="n">
        <x:f>Source!F2681/100</x:f>
        <x:v>0</x:v>
      </x:c>
      <x:c r="G2687" s="8" t="n">
        <x:f>Source!G2681/100</x:f>
        <x:v>132.66</x:v>
      </x:c>
      <x:c r="H2687" s="8" t="n">
        <x:f>G2687-D2687</x:f>
        <x:v>15</x:v>
      </x:c>
      <x:c r="I2687" s="1" t="str">
        <x:f>IF(H2687&gt;0,"Overbilled","Shortfall")</x:f>
        <x:v>Overbilled</x:v>
      </x:c>
      <x:c r="J2687" s="7"/>
      <x:c r="K2687" s="7" t="str">
        <x:v>Open</x:v>
      </x:c>
      <x:c r="L2687" s="7"/>
    </x:row>
    <x:row r="2688" ht="21" customHeight="1">
      <x:c r="A2688" s="1" t="str">
        <x:f>Source!A2682</x:f>
        <x:v>C0016525</x:v>
      </x:c>
      <x:c r="B2688" s="1" t="str">
        <x:f>_xlfn.IFNA(VLOOKUP(Source!B2682,Advertisers!$A$5:$B$34,2,FALSE),"Missing advertiser")</x:f>
        <x:v>Synthetic advertiser 21</x:v>
      </x:c>
      <x:c r="C2688" s="1" t="n">
        <x:f>Source!C2682</x:f>
        <x:v>21</x:v>
      </x:c>
      <x:c r="D2688" s="8" t="n">
        <x:f>Source!D2682/100</x:f>
        <x:v>58.98</x:v>
      </x:c>
      <x:c r="E2688" s="8" t="n">
        <x:f>Source!E2682/100</x:f>
        <x:v>73.98</x:v>
      </x:c>
      <x:c r="F2688" s="8" t="n">
        <x:f>Source!F2682/100</x:f>
        <x:v>0</x:v>
      </x:c>
      <x:c r="G2688" s="8" t="n">
        <x:f>Source!G2682/100</x:f>
        <x:v>73.98</x:v>
      </x:c>
      <x:c r="H2688" s="8" t="n">
        <x:f>G2688-D2688</x:f>
        <x:v>15.000000000000007</x:v>
      </x:c>
      <x:c r="I2688" s="1" t="str">
        <x:f>IF(H2688&gt;0,"Overbilled","Shortfall")</x:f>
        <x:v>Overbilled</x:v>
      </x:c>
      <x:c r="J2688" s="7"/>
      <x:c r="K2688" s="7" t="str">
        <x:v>Open</x:v>
      </x:c>
      <x:c r="L2688" s="7"/>
    </x:row>
    <x:row r="2689" ht="21" customHeight="1">
      <x:c r="A2689" s="1" t="str">
        <x:f>Source!A2683</x:f>
        <x:v>C0016560</x:v>
      </x:c>
      <x:c r="B2689" s="1" t="str">
        <x:f>_xlfn.IFNA(VLOOKUP(Source!B2683,Advertisers!$A$5:$B$34,2,FALSE),"Missing advertiser")</x:f>
        <x:v>Synthetic advertiser 13</x:v>
      </x:c>
      <x:c r="C2689" s="1" t="n">
        <x:f>Source!C2683</x:f>
        <x:v>103</x:v>
      </x:c>
      <x:c r="D2689" s="8" t="n">
        <x:f>Source!D2683/100</x:f>
        <x:v>136.2</x:v>
      </x:c>
      <x:c r="E2689" s="8" t="n">
        <x:f>Source!E2683/100</x:f>
        <x:v>151.2</x:v>
      </x:c>
      <x:c r="F2689" s="8" t="n">
        <x:f>Source!F2683/100</x:f>
        <x:v>0</x:v>
      </x:c>
      <x:c r="G2689" s="8" t="n">
        <x:f>Source!G2683/100</x:f>
        <x:v>151.2</x:v>
      </x:c>
      <x:c r="H2689" s="8" t="n">
        <x:f>G2689-D2689</x:f>
        <x:v>15</x:v>
      </x:c>
      <x:c r="I2689" s="1" t="str">
        <x:f>IF(H2689&gt;0,"Overbilled","Shortfall")</x:f>
        <x:v>Overbilled</x:v>
      </x:c>
      <x:c r="J2689" s="7"/>
      <x:c r="K2689" s="7" t="str">
        <x:v>Open</x:v>
      </x:c>
      <x:c r="L2689" s="7"/>
    </x:row>
    <x:row r="2690" ht="21" customHeight="1">
      <x:c r="A2690" s="1" t="str">
        <x:f>Source!A2684</x:f>
        <x:v>C0001392</x:v>
      </x:c>
      <x:c r="B2690" s="1" t="str">
        <x:f>_xlfn.IFNA(VLOOKUP(Source!B2684,Advertisers!$A$5:$B$34,2,FALSE),"Missing advertiser")</x:f>
        <x:v>Synthetic advertiser 28</x:v>
      </x:c>
      <x:c r="C2690" s="1" t="n">
        <x:f>Source!C2684</x:f>
        <x:v>58</x:v>
      </x:c>
      <x:c r="D2690" s="8" t="n">
        <x:f>Source!D2684/100</x:f>
        <x:v>180.49</x:v>
      </x:c>
      <x:c r="E2690" s="8" t="n">
        <x:f>Source!E2684/100</x:f>
        <x:v>195.49</x:v>
      </x:c>
      <x:c r="F2690" s="8" t="n">
        <x:f>Source!F2684/100</x:f>
        <x:v>0</x:v>
      </x:c>
      <x:c r="G2690" s="8" t="n">
        <x:f>Source!G2684/100</x:f>
        <x:v>195.49</x:v>
      </x:c>
      <x:c r="H2690" s="8" t="n">
        <x:f>G2690-D2690</x:f>
        <x:v>15</x:v>
      </x:c>
      <x:c r="I2690" s="1" t="str">
        <x:f>IF(H2690&gt;0,"Overbilled","Shortfall")</x:f>
        <x:v>Overbilled</x:v>
      </x:c>
      <x:c r="J2690" s="7"/>
      <x:c r="K2690" s="7" t="str">
        <x:v>Open</x:v>
      </x:c>
      <x:c r="L2690" s="7"/>
    </x:row>
    <x:row r="2691" ht="21" customHeight="1">
      <x:c r="A2691" s="1" t="str">
        <x:f>Source!A2685</x:f>
        <x:v>C0016622</x:v>
      </x:c>
      <x:c r="B2691" s="1" t="str">
        <x:f>_xlfn.IFNA(VLOOKUP(Source!B2685,Advertisers!$A$5:$B$34,2,FALSE),"Missing advertiser")</x:f>
        <x:v>Synthetic advertiser 12</x:v>
      </x:c>
      <x:c r="C2691" s="1" t="n">
        <x:f>Source!C2685</x:f>
        <x:v>42</x:v>
      </x:c>
      <x:c r="D2691" s="8" t="n">
        <x:f>Source!D2685/100</x:f>
        <x:v>145.19</x:v>
      </x:c>
      <x:c r="E2691" s="8" t="n">
        <x:f>Source!E2685/100</x:f>
        <x:v>160.19</x:v>
      </x:c>
      <x:c r="F2691" s="8" t="n">
        <x:f>Source!F2685/100</x:f>
        <x:v>0</x:v>
      </x:c>
      <x:c r="G2691" s="8" t="n">
        <x:f>Source!G2685/100</x:f>
        <x:v>160.19</x:v>
      </x:c>
      <x:c r="H2691" s="8" t="n">
        <x:f>G2691-D2691</x:f>
        <x:v>15</x:v>
      </x:c>
      <x:c r="I2691" s="1" t="str">
        <x:f>IF(H2691&gt;0,"Overbilled","Shortfall")</x:f>
        <x:v>Overbilled</x:v>
      </x:c>
      <x:c r="J2691" s="7"/>
      <x:c r="K2691" s="7" t="str">
        <x:v>Open</x:v>
      </x:c>
      <x:c r="L2691" s="7"/>
    </x:row>
    <x:row r="2692" ht="21" customHeight="1">
      <x:c r="A2692" s="1" t="str">
        <x:f>Source!A2686</x:f>
        <x:v>C0016655</x:v>
      </x:c>
      <x:c r="B2692" s="1" t="str">
        <x:f>_xlfn.IFNA(VLOOKUP(Source!B2686,Advertisers!$A$5:$B$34,2,FALSE),"Missing advertiser")</x:f>
        <x:v>Synthetic advertiser 22</x:v>
      </x:c>
      <x:c r="C2692" s="1" t="n">
        <x:f>Source!C2686</x:f>
        <x:v>52</x:v>
      </x:c>
      <x:c r="D2692" s="8" t="n">
        <x:f>Source!D2686/100</x:f>
        <x:v>162.08</x:v>
      </x:c>
      <x:c r="E2692" s="8" t="n">
        <x:f>Source!E2686/100</x:f>
        <x:v>177.08</x:v>
      </x:c>
      <x:c r="F2692" s="8" t="n">
        <x:f>Source!F2686/100</x:f>
        <x:v>0</x:v>
      </x:c>
      <x:c r="G2692" s="8" t="n">
        <x:f>Source!G2686/100</x:f>
        <x:v>177.08</x:v>
      </x:c>
      <x:c r="H2692" s="8" t="n">
        <x:f>G2692-D2692</x:f>
        <x:v>15</x:v>
      </x:c>
      <x:c r="I2692" s="1" t="str">
        <x:f>IF(H2692&gt;0,"Overbilled","Shortfall")</x:f>
        <x:v>Overbilled</x:v>
      </x:c>
      <x:c r="J2692" s="7"/>
      <x:c r="K2692" s="7" t="str">
        <x:v>Open</x:v>
      </x:c>
      <x:c r="L2692" s="7"/>
    </x:row>
    <x:row r="2693" ht="21" customHeight="1">
      <x:c r="A2693" s="1" t="str">
        <x:f>Source!A2687</x:f>
        <x:v>C0016658</x:v>
      </x:c>
      <x:c r="B2693" s="1" t="str">
        <x:f>_xlfn.IFNA(VLOOKUP(Source!B2687,Advertisers!$A$5:$B$34,2,FALSE),"Missing advertiser")</x:f>
        <x:v>Synthetic advertiser 20</x:v>
      </x:c>
      <x:c r="C2693" s="1" t="n">
        <x:f>Source!C2687</x:f>
        <x:v>20</x:v>
      </x:c>
      <x:c r="D2693" s="8" t="n">
        <x:f>Source!D2687/100</x:f>
        <x:v>284.02</x:v>
      </x:c>
      <x:c r="E2693" s="8" t="n">
        <x:f>Source!E2687/100</x:f>
        <x:v>299.02</x:v>
      </x:c>
      <x:c r="F2693" s="8" t="n">
        <x:f>Source!F2687/100</x:f>
        <x:v>0</x:v>
      </x:c>
      <x:c r="G2693" s="8" t="n">
        <x:f>Source!G2687/100</x:f>
        <x:v>299.02</x:v>
      </x:c>
      <x:c r="H2693" s="8" t="n">
        <x:f>G2693-D2693</x:f>
        <x:v>15</x:v>
      </x:c>
      <x:c r="I2693" s="1" t="str">
        <x:f>IF(H2693&gt;0,"Overbilled","Shortfall")</x:f>
        <x:v>Overbilled</x:v>
      </x:c>
      <x:c r="J2693" s="7"/>
      <x:c r="K2693" s="7" t="str">
        <x:v>Open</x:v>
      </x:c>
      <x:c r="L2693" s="7"/>
    </x:row>
    <x:row r="2694" ht="21" customHeight="1">
      <x:c r="A2694" s="1" t="str">
        <x:f>Source!A2688</x:f>
        <x:v>C0016668</x:v>
      </x:c>
      <x:c r="B2694" s="1" t="str">
        <x:f>_xlfn.IFNA(VLOOKUP(Source!B2688,Advertisers!$A$5:$B$34,2,FALSE),"Missing advertiser")</x:f>
        <x:v>Synthetic advertiser 20</x:v>
      </x:c>
      <x:c r="C2694" s="1" t="n">
        <x:f>Source!C2688</x:f>
        <x:v>20</x:v>
      </x:c>
      <x:c r="D2694" s="8" t="n">
        <x:f>Source!D2688/100</x:f>
        <x:v>160.97</x:v>
      </x:c>
      <x:c r="E2694" s="8" t="n">
        <x:f>Source!E2688/100</x:f>
        <x:v>175.97</x:v>
      </x:c>
      <x:c r="F2694" s="8" t="n">
        <x:f>Source!F2688/100</x:f>
        <x:v>0</x:v>
      </x:c>
      <x:c r="G2694" s="8" t="n">
        <x:f>Source!G2688/100</x:f>
        <x:v>175.97</x:v>
      </x:c>
      <x:c r="H2694" s="8" t="n">
        <x:f>G2694-D2694</x:f>
        <x:v>15</x:v>
      </x:c>
      <x:c r="I2694" s="1" t="str">
        <x:f>IF(H2694&gt;0,"Overbilled","Shortfall")</x:f>
        <x:v>Overbilled</x:v>
      </x:c>
      <x:c r="J2694" s="7"/>
      <x:c r="K2694" s="7" t="str">
        <x:v>Open</x:v>
      </x:c>
      <x:c r="L2694" s="7"/>
    </x:row>
    <x:row r="2695" ht="21" customHeight="1">
      <x:c r="A2695" s="1" t="str">
        <x:f>Source!A2689</x:f>
        <x:v>C0016670</x:v>
      </x:c>
      <x:c r="B2695" s="1" t="str">
        <x:f>_xlfn.IFNA(VLOOKUP(Source!B2689,Advertisers!$A$5:$B$34,2,FALSE),"Missing advertiser")</x:f>
        <x:v>Synthetic advertiser 19</x:v>
      </x:c>
      <x:c r="C2695" s="1" t="n">
        <x:f>Source!C2689</x:f>
        <x:v>109</x:v>
      </x:c>
      <x:c r="D2695" s="8" t="n">
        <x:f>Source!D2689/100</x:f>
        <x:v>213.3</x:v>
      </x:c>
      <x:c r="E2695" s="8" t="n">
        <x:f>Source!E2689/100</x:f>
        <x:v>228.3</x:v>
      </x:c>
      <x:c r="F2695" s="8" t="n">
        <x:f>Source!F2689/100</x:f>
        <x:v>0</x:v>
      </x:c>
      <x:c r="G2695" s="8" t="n">
        <x:f>Source!G2689/100</x:f>
        <x:v>228.3</x:v>
      </x:c>
      <x:c r="H2695" s="8" t="n">
        <x:f>G2695-D2695</x:f>
        <x:v>15</x:v>
      </x:c>
      <x:c r="I2695" s="1" t="str">
        <x:f>IF(H2695&gt;0,"Overbilled","Shortfall")</x:f>
        <x:v>Overbilled</x:v>
      </x:c>
      <x:c r="J2695" s="7"/>
      <x:c r="K2695" s="7" t="str">
        <x:v>Open</x:v>
      </x:c>
      <x:c r="L2695" s="7"/>
    </x:row>
    <x:row r="2696" ht="21" customHeight="1">
      <x:c r="A2696" s="1" t="str">
        <x:f>Source!A2690</x:f>
        <x:v>C0016693</x:v>
      </x:c>
      <x:c r="B2696" s="1" t="str">
        <x:f>_xlfn.IFNA(VLOOKUP(Source!B2690,Advertisers!$A$5:$B$34,2,FALSE),"Missing advertiser")</x:f>
        <x:v>Synthetic advertiser 28</x:v>
      </x:c>
      <x:c r="C2696" s="1" t="n">
        <x:f>Source!C2690</x:f>
        <x:v>58</x:v>
      </x:c>
      <x:c r="D2696" s="8" t="n">
        <x:f>Source!D2690/100</x:f>
        <x:v>180.49</x:v>
      </x:c>
      <x:c r="E2696" s="8" t="n">
        <x:f>Source!E2690/100</x:f>
        <x:v>195.49</x:v>
      </x:c>
      <x:c r="F2696" s="8" t="n">
        <x:f>Source!F2690/100</x:f>
        <x:v>0</x:v>
      </x:c>
      <x:c r="G2696" s="8" t="n">
        <x:f>Source!G2690/100</x:f>
        <x:v>195.49</x:v>
      </x:c>
      <x:c r="H2696" s="8" t="n">
        <x:f>G2696-D2696</x:f>
        <x:v>15</x:v>
      </x:c>
      <x:c r="I2696" s="1" t="str">
        <x:f>IF(H2696&gt;0,"Overbilled","Shortfall")</x:f>
        <x:v>Overbilled</x:v>
      </x:c>
      <x:c r="J2696" s="7"/>
      <x:c r="K2696" s="7" t="str">
        <x:v>Open</x:v>
      </x:c>
      <x:c r="L2696" s="7"/>
    </x:row>
    <x:row r="2697" ht="21" customHeight="1">
      <x:c r="A2697" s="1" t="str">
        <x:f>Source!A2691</x:f>
        <x:v>C0016695</x:v>
      </x:c>
      <x:c r="B2697" s="1" t="str">
        <x:f>_xlfn.IFNA(VLOOKUP(Source!B2691,Advertisers!$A$5:$B$34,2,FALSE),"Missing advertiser")</x:f>
        <x:v>Synthetic advertiser 4</x:v>
      </x:c>
      <x:c r="C2697" s="1" t="n">
        <x:f>Source!C2691</x:f>
        <x:v>94</x:v>
      </x:c>
      <x:c r="D2697" s="8" t="n">
        <x:f>Source!D2691/100</x:f>
        <x:v>65.62</x:v>
      </x:c>
      <x:c r="E2697" s="8" t="n">
        <x:f>Source!E2691/100</x:f>
        <x:v>80.62</x:v>
      </x:c>
      <x:c r="F2697" s="8" t="n">
        <x:f>Source!F2691/100</x:f>
        <x:v>0</x:v>
      </x:c>
      <x:c r="G2697" s="8" t="n">
        <x:f>Source!G2691/100</x:f>
        <x:v>80.62</x:v>
      </x:c>
      <x:c r="H2697" s="8" t="n">
        <x:f>G2697-D2697</x:f>
        <x:v>15</x:v>
      </x:c>
      <x:c r="I2697" s="1" t="str">
        <x:f>IF(H2697&gt;0,"Overbilled","Shortfall")</x:f>
        <x:v>Overbilled</x:v>
      </x:c>
      <x:c r="J2697" s="7"/>
      <x:c r="K2697" s="7" t="str">
        <x:v>Open</x:v>
      </x:c>
      <x:c r="L2697" s="7"/>
    </x:row>
    <x:row r="2698" ht="21" customHeight="1">
      <x:c r="A2698" s="1" t="str">
        <x:f>Source!A2692</x:f>
        <x:v>C0001242</x:v>
      </x:c>
      <x:c r="B2698" s="1" t="str">
        <x:f>_xlfn.IFNA(VLOOKUP(Source!B2692,Advertisers!$A$5:$B$34,2,FALSE),"Missing advertiser")</x:f>
        <x:v>Synthetic advertiser 3</x:v>
      </x:c>
      <x:c r="C2698" s="1" t="n">
        <x:f>Source!C2692</x:f>
        <x:v>93</x:v>
      </x:c>
      <x:c r="D2698" s="8" t="n">
        <x:f>Source!D2692/100</x:f>
        <x:v>227.36</x:v>
      </x:c>
      <x:c r="E2698" s="8" t="n">
        <x:f>Source!E2692/100</x:f>
        <x:v>242.36</x:v>
      </x:c>
      <x:c r="F2698" s="8" t="n">
        <x:f>Source!F2692/100</x:f>
        <x:v>0</x:v>
      </x:c>
      <x:c r="G2698" s="8" t="n">
        <x:f>Source!G2692/100</x:f>
        <x:v>242.36</x:v>
      </x:c>
      <x:c r="H2698" s="8" t="n">
        <x:f>G2698-D2698</x:f>
        <x:v>15</x:v>
      </x:c>
      <x:c r="I2698" s="1" t="str">
        <x:f>IF(H2698&gt;0,"Overbilled","Shortfall")</x:f>
        <x:v>Overbilled</x:v>
      </x:c>
      <x:c r="J2698" s="7"/>
      <x:c r="K2698" s="7" t="str">
        <x:v>Open</x:v>
      </x:c>
      <x:c r="L2698" s="7"/>
    </x:row>
    <x:row r="2699" ht="21" customHeight="1">
      <x:c r="A2699" s="1" t="str">
        <x:f>Source!A2693</x:f>
        <x:v>C0001266</x:v>
      </x:c>
      <x:c r="B2699" s="1" t="str">
        <x:f>_xlfn.IFNA(VLOOKUP(Source!B2693,Advertisers!$A$5:$B$34,2,FALSE),"Missing advertiser")</x:f>
        <x:v>Synthetic advertiser 13</x:v>
      </x:c>
      <x:c r="C2699" s="1" t="n">
        <x:f>Source!C2693</x:f>
        <x:v>13</x:v>
      </x:c>
      <x:c r="D2699" s="8" t="n">
        <x:f>Source!D2693/100</x:f>
        <x:v>151.02</x:v>
      </x:c>
      <x:c r="E2699" s="8" t="n">
        <x:f>Source!E2693/100</x:f>
        <x:v>166.02</x:v>
      </x:c>
      <x:c r="F2699" s="8" t="n">
        <x:f>Source!F2693/100</x:f>
        <x:v>0</x:v>
      </x:c>
      <x:c r="G2699" s="8" t="n">
        <x:f>Source!G2693/100</x:f>
        <x:v>166.02</x:v>
      </x:c>
      <x:c r="H2699" s="8" t="n">
        <x:f>G2699-D2699</x:f>
        <x:v>15</x:v>
      </x:c>
      <x:c r="I2699" s="1" t="str">
        <x:f>IF(H2699&gt;0,"Overbilled","Shortfall")</x:f>
        <x:v>Overbilled</x:v>
      </x:c>
      <x:c r="J2699" s="7"/>
      <x:c r="K2699" s="7" t="str">
        <x:v>Open</x:v>
      </x:c>
      <x:c r="L2699" s="7"/>
    </x:row>
    <x:row r="2700" ht="21" customHeight="1">
      <x:c r="A2700" s="1" t="str">
        <x:f>Source!A2694</x:f>
        <x:v>C0001305</x:v>
      </x:c>
      <x:c r="B2700" s="1" t="str">
        <x:f>_xlfn.IFNA(VLOOKUP(Source!B2694,Advertisers!$A$5:$B$34,2,FALSE),"Missing advertiser")</x:f>
        <x:v>Synthetic advertiser 27</x:v>
      </x:c>
      <x:c r="C2700" s="1" t="n">
        <x:f>Source!C2694</x:f>
        <x:v>87</x:v>
      </x:c>
      <x:c r="D2700" s="8" t="n">
        <x:f>Source!D2694/100</x:f>
        <x:v>91.4</x:v>
      </x:c>
      <x:c r="E2700" s="8" t="n">
        <x:f>Source!E2694/100</x:f>
        <x:v>106.4</x:v>
      </x:c>
      <x:c r="F2700" s="8" t="n">
        <x:f>Source!F2694/100</x:f>
        <x:v>0</x:v>
      </x:c>
      <x:c r="G2700" s="8" t="n">
        <x:f>Source!G2694/100</x:f>
        <x:v>106.4</x:v>
      </x:c>
      <x:c r="H2700" s="8" t="n">
        <x:f>G2700-D2700</x:f>
        <x:v>15</x:v>
      </x:c>
      <x:c r="I2700" s="1" t="str">
        <x:f>IF(H2700&gt;0,"Overbilled","Shortfall")</x:f>
        <x:v>Overbilled</x:v>
      </x:c>
      <x:c r="J2700" s="7"/>
      <x:c r="K2700" s="7" t="str">
        <x:v>Open</x:v>
      </x:c>
      <x:c r="L2700" s="7"/>
    </x:row>
    <x:row r="2701" ht="21" customHeight="1">
      <x:c r="A2701" s="1" t="str">
        <x:f>Source!A2695</x:f>
        <x:v>C0001330</x:v>
      </x:c>
      <x:c r="B2701" s="1" t="str">
        <x:f>_xlfn.IFNA(VLOOKUP(Source!B2695,Advertisers!$A$5:$B$34,2,FALSE),"Missing advertiser")</x:f>
        <x:v>Synthetic advertiser 8</x:v>
      </x:c>
      <x:c r="C2701" s="1" t="n">
        <x:f>Source!C2695</x:f>
        <x:v>98</x:v>
      </x:c>
      <x:c r="D2701" s="8" t="n">
        <x:f>Source!D2695/100</x:f>
        <x:v>173.94</x:v>
      </x:c>
      <x:c r="E2701" s="8" t="n">
        <x:f>Source!E2695/100</x:f>
        <x:v>188.94</x:v>
      </x:c>
      <x:c r="F2701" s="8" t="n">
        <x:f>Source!F2695/100</x:f>
        <x:v>0</x:v>
      </x:c>
      <x:c r="G2701" s="8" t="n">
        <x:f>Source!G2695/100</x:f>
        <x:v>188.94</x:v>
      </x:c>
      <x:c r="H2701" s="8" t="n">
        <x:f>G2701-D2701</x:f>
        <x:v>15</x:v>
      </x:c>
      <x:c r="I2701" s="1" t="str">
        <x:f>IF(H2701&gt;0,"Overbilled","Shortfall")</x:f>
        <x:v>Overbilled</x:v>
      </x:c>
      <x:c r="J2701" s="7"/>
      <x:c r="K2701" s="7" t="str">
        <x:v>Open</x:v>
      </x:c>
      <x:c r="L2701" s="7"/>
    </x:row>
    <x:row r="2702" ht="21" customHeight="1">
      <x:c r="A2702" s="1" t="str">
        <x:f>Source!A2696</x:f>
        <x:v>C0001333</x:v>
      </x:c>
      <x:c r="B2702" s="1" t="str">
        <x:f>_xlfn.IFNA(VLOOKUP(Source!B2696,Advertisers!$A$5:$B$34,2,FALSE),"Missing advertiser")</x:f>
        <x:v>Synthetic advertiser 6</x:v>
      </x:c>
      <x:c r="C2702" s="1" t="n">
        <x:f>Source!C2696</x:f>
        <x:v>6</x:v>
      </x:c>
      <x:c r="D2702" s="8" t="n">
        <x:f>Source!D2696/100</x:f>
        <x:v>97.91</x:v>
      </x:c>
      <x:c r="E2702" s="8" t="n">
        <x:f>Source!E2696/100</x:f>
        <x:v>112.91</x:v>
      </x:c>
      <x:c r="F2702" s="8" t="n">
        <x:f>Source!F2696/100</x:f>
        <x:v>0</x:v>
      </x:c>
      <x:c r="G2702" s="8" t="n">
        <x:f>Source!G2696/100</x:f>
        <x:v>112.91</x:v>
      </x:c>
      <x:c r="H2702" s="8" t="n">
        <x:f>G2702-D2702</x:f>
        <x:v>15</x:v>
      </x:c>
      <x:c r="I2702" s="1" t="str">
        <x:f>IF(H2702&gt;0,"Overbilled","Shortfall")</x:f>
        <x:v>Overbilled</x:v>
      </x:c>
      <x:c r="J2702" s="7"/>
      <x:c r="K2702" s="7" t="str">
        <x:v>Open</x:v>
      </x:c>
      <x:c r="L2702" s="7"/>
    </x:row>
    <x:row r="2703" ht="21" customHeight="1">
      <x:c r="A2703" s="1" t="str">
        <x:f>Source!A2697</x:f>
        <x:v>C0001365</x:v>
      </x:c>
      <x:c r="B2703" s="1" t="str">
        <x:f>_xlfn.IFNA(VLOOKUP(Source!B2697,Advertisers!$A$5:$B$34,2,FALSE),"Missing advertiser")</x:f>
        <x:v>Synthetic advertiser 23</x:v>
      </x:c>
      <x:c r="C2703" s="1" t="n">
        <x:f>Source!C2697</x:f>
        <x:v>23</x:v>
      </x:c>
      <x:c r="D2703" s="8" t="n">
        <x:f>Source!D2697/100</x:f>
        <x:v>199.35</x:v>
      </x:c>
      <x:c r="E2703" s="8" t="n">
        <x:f>Source!E2697/100</x:f>
        <x:v>214.35</x:v>
      </x:c>
      <x:c r="F2703" s="8" t="n">
        <x:f>Source!F2697/100</x:f>
        <x:v>0</x:v>
      </x:c>
      <x:c r="G2703" s="8" t="n">
        <x:f>Source!G2697/100</x:f>
        <x:v>214.35</x:v>
      </x:c>
      <x:c r="H2703" s="8" t="n">
        <x:f>G2703-D2703</x:f>
        <x:v>15</x:v>
      </x:c>
      <x:c r="I2703" s="1" t="str">
        <x:f>IF(H2703&gt;0,"Overbilled","Shortfall")</x:f>
        <x:v>Overbilled</x:v>
      </x:c>
      <x:c r="J2703" s="7"/>
      <x:c r="K2703" s="7" t="str">
        <x:v>Open</x:v>
      </x:c>
      <x:c r="L2703" s="7"/>
    </x:row>
    <x:row r="2704" ht="21" customHeight="1">
      <x:c r="A2704" s="1" t="str">
        <x:f>Source!A2698</x:f>
        <x:v>C0016572</x:v>
      </x:c>
      <x:c r="B2704" s="1" t="str">
        <x:f>_xlfn.IFNA(VLOOKUP(Source!B2698,Advertisers!$A$5:$B$34,2,FALSE),"Missing advertiser")</x:f>
        <x:v>Synthetic advertiser 26</x:v>
      </x:c>
      <x:c r="C2704" s="1" t="n">
        <x:f>Source!C2698</x:f>
        <x:v>116</x:v>
      </x:c>
      <x:c r="D2704" s="8" t="n">
        <x:f>Source!D2698/100</x:f>
        <x:v>247.73</x:v>
      </x:c>
      <x:c r="E2704" s="8" t="n">
        <x:f>Source!E2698/100</x:f>
        <x:v>262.73</x:v>
      </x:c>
      <x:c r="F2704" s="8" t="n">
        <x:f>Source!F2698/100</x:f>
        <x:v>0</x:v>
      </x:c>
      <x:c r="G2704" s="8" t="n">
        <x:f>Source!G2698/100</x:f>
        <x:v>262.73</x:v>
      </x:c>
      <x:c r="H2704" s="8" t="n">
        <x:f>G2704-D2704</x:f>
        <x:v>15.000000000000028</x:v>
      </x:c>
      <x:c r="I2704" s="1" t="str">
        <x:f>IF(H2704&gt;0,"Overbilled","Shortfall")</x:f>
        <x:v>Overbilled</x:v>
      </x:c>
      <x:c r="J2704" s="7"/>
      <x:c r="K2704" s="7" t="str">
        <x:v>Open</x:v>
      </x:c>
      <x:c r="L2704" s="7"/>
    </x:row>
    <x:row r="2705" ht="21" customHeight="1">
      <x:c r="A2705" s="1" t="str">
        <x:f>Source!A2699</x:f>
        <x:v>C0013031</x:v>
      </x:c>
      <x:c r="B2705" s="1" t="str">
        <x:f>_xlfn.IFNA(VLOOKUP(Source!B2699,Advertisers!$A$5:$B$34,2,FALSE),"Missing advertiser")</x:f>
        <x:v>Synthetic advertiser 17</x:v>
      </x:c>
      <x:c r="C2705" s="1" t="n">
        <x:f>Source!C2699</x:f>
        <x:v>107</x:v>
      </x:c>
      <x:c r="D2705" s="8" t="n">
        <x:f>Source!D2699/100</x:f>
        <x:v>77.08</x:v>
      </x:c>
      <x:c r="E2705" s="8" t="n">
        <x:f>Source!E2699/100</x:f>
        <x:v>92.08</x:v>
      </x:c>
      <x:c r="F2705" s="8" t="n">
        <x:f>Source!F2699/100</x:f>
        <x:v>0</x:v>
      </x:c>
      <x:c r="G2705" s="8" t="n">
        <x:f>Source!G2699/100</x:f>
        <x:v>92.08</x:v>
      </x:c>
      <x:c r="H2705" s="8" t="n">
        <x:f>G2705-D2705</x:f>
        <x:v>15</x:v>
      </x:c>
      <x:c r="I2705" s="1" t="str">
        <x:f>IF(H2705&gt;0,"Overbilled","Shortfall")</x:f>
        <x:v>Overbilled</x:v>
      </x:c>
      <x:c r="J2705" s="7"/>
      <x:c r="K2705" s="7" t="str">
        <x:v>Open</x:v>
      </x:c>
      <x:c r="L2705" s="7"/>
    </x:row>
    <x:row r="2706" ht="21" customHeight="1">
      <x:c r="A2706" s="1" t="str">
        <x:f>Source!A2700</x:f>
        <x:v>C0011541</x:v>
      </x:c>
      <x:c r="B2706" s="1" t="str">
        <x:f>_xlfn.IFNA(VLOOKUP(Source!B2700,Advertisers!$A$5:$B$34,2,FALSE),"Missing advertiser")</x:f>
        <x:v>Synthetic advertiser 30</x:v>
      </x:c>
      <x:c r="C2706" s="1" t="n">
        <x:f>Source!C2700</x:f>
        <x:v>60</x:v>
      </x:c>
      <x:c r="D2706" s="8" t="n">
        <x:f>Source!D2700/100</x:f>
        <x:v>73.17</x:v>
      </x:c>
      <x:c r="E2706" s="8" t="n">
        <x:f>Source!E2700/100</x:f>
        <x:v>88.17</x:v>
      </x:c>
      <x:c r="F2706" s="8" t="n">
        <x:f>Source!F2700/100</x:f>
        <x:v>0</x:v>
      </x:c>
      <x:c r="G2706" s="8" t="n">
        <x:f>Source!G2700/100</x:f>
        <x:v>88.17</x:v>
      </x:c>
      <x:c r="H2706" s="8" t="n">
        <x:f>G2706-D2706</x:f>
        <x:v>15</x:v>
      </x:c>
      <x:c r="I2706" s="1" t="str">
        <x:f>IF(H2706&gt;0,"Overbilled","Shortfall")</x:f>
        <x:v>Overbilled</x:v>
      </x:c>
      <x:c r="J2706" s="7"/>
      <x:c r="K2706" s="7" t="str">
        <x:v>Open</x:v>
      </x:c>
      <x:c r="L2706" s="7"/>
    </x:row>
    <x:row r="2707" ht="21" customHeight="1">
      <x:c r="A2707" s="1" t="str">
        <x:f>Source!A2701</x:f>
        <x:v>C0011572</x:v>
      </x:c>
      <x:c r="B2707" s="1" t="str">
        <x:f>_xlfn.IFNA(VLOOKUP(Source!B2701,Advertisers!$A$5:$B$34,2,FALSE),"Missing advertiser")</x:f>
        <x:v>Synthetic advertiser 20</x:v>
      </x:c>
      <x:c r="C2707" s="1" t="n">
        <x:f>Source!C2701</x:f>
        <x:v>110</x:v>
      </x:c>
      <x:c r="D2707" s="8" t="n">
        <x:f>Source!D2701/100</x:f>
        <x:v>197.03</x:v>
      </x:c>
      <x:c r="E2707" s="8" t="n">
        <x:f>Source!E2701/100</x:f>
        <x:v>212.03</x:v>
      </x:c>
      <x:c r="F2707" s="8" t="n">
        <x:f>Source!F2701/100</x:f>
        <x:v>0</x:v>
      </x:c>
      <x:c r="G2707" s="8" t="n">
        <x:f>Source!G2701/100</x:f>
        <x:v>212.03</x:v>
      </x:c>
      <x:c r="H2707" s="8" t="n">
        <x:f>G2707-D2707</x:f>
        <x:v>15</x:v>
      </x:c>
      <x:c r="I2707" s="1" t="str">
        <x:f>IF(H2707&gt;0,"Overbilled","Shortfall")</x:f>
        <x:v>Overbilled</x:v>
      </x:c>
      <x:c r="J2707" s="7"/>
      <x:c r="K2707" s="7" t="str">
        <x:v>Open</x:v>
      </x:c>
      <x:c r="L2707" s="7"/>
    </x:row>
    <x:row r="2708" ht="21" customHeight="1">
      <x:c r="A2708" s="1" t="str">
        <x:f>Source!A2702</x:f>
        <x:v>C0011598</x:v>
      </x:c>
      <x:c r="B2708" s="1" t="str">
        <x:f>_xlfn.IFNA(VLOOKUP(Source!B2702,Advertisers!$A$5:$B$34,2,FALSE),"Missing advertiser")</x:f>
        <x:v>Synthetic advertiser 6</x:v>
      </x:c>
      <x:c r="C2708" s="1" t="n">
        <x:f>Source!C2702</x:f>
        <x:v>96</x:v>
      </x:c>
      <x:c r="D2708" s="8" t="n">
        <x:f>Source!D2702/100</x:f>
        <x:v>101.6</x:v>
      </x:c>
      <x:c r="E2708" s="8" t="n">
        <x:f>Source!E2702/100</x:f>
        <x:v>116.6</x:v>
      </x:c>
      <x:c r="F2708" s="8" t="n">
        <x:f>Source!F2702/100</x:f>
        <x:v>0</x:v>
      </x:c>
      <x:c r="G2708" s="8" t="n">
        <x:f>Source!G2702/100</x:f>
        <x:v>116.6</x:v>
      </x:c>
      <x:c r="H2708" s="8" t="n">
        <x:f>G2708-D2708</x:f>
        <x:v>15</x:v>
      </x:c>
      <x:c r="I2708" s="1" t="str">
        <x:f>IF(H2708&gt;0,"Overbilled","Shortfall")</x:f>
        <x:v>Overbilled</x:v>
      </x:c>
      <x:c r="J2708" s="7"/>
      <x:c r="K2708" s="7" t="str">
        <x:v>Open</x:v>
      </x:c>
      <x:c r="L2708" s="7"/>
    </x:row>
    <x:row r="2709" ht="21" customHeight="1">
      <x:c r="A2709" s="1" t="str">
        <x:f>Source!A2703</x:f>
        <x:v>C0006611</x:v>
      </x:c>
      <x:c r="B2709" s="1" t="str">
        <x:f>_xlfn.IFNA(VLOOKUP(Source!B2703,Advertisers!$A$5:$B$34,2,FALSE),"Missing advertiser")</x:f>
        <x:v>Synthetic advertiser 22</x:v>
      </x:c>
      <x:c r="C2709" s="1" t="n">
        <x:f>Source!C2703</x:f>
        <x:v>52</x:v>
      </x:c>
      <x:c r="D2709" s="8" t="n">
        <x:f>Source!D2703/100</x:f>
        <x:v>74.98</x:v>
      </x:c>
      <x:c r="E2709" s="8" t="n">
        <x:f>Source!E2703/100</x:f>
        <x:v>89.98</x:v>
      </x:c>
      <x:c r="F2709" s="8" t="n">
        <x:f>Source!F2703/100</x:f>
        <x:v>0</x:v>
      </x:c>
      <x:c r="G2709" s="8" t="n">
        <x:f>Source!G2703/100</x:f>
        <x:v>89.98</x:v>
      </x:c>
      <x:c r="H2709" s="8" t="n">
        <x:f>G2709-D2709</x:f>
        <x:v>15</x:v>
      </x:c>
      <x:c r="I2709" s="1" t="str">
        <x:f>IF(H2709&gt;0,"Overbilled","Shortfall")</x:f>
        <x:v>Overbilled</x:v>
      </x:c>
      <x:c r="J2709" s="7"/>
      <x:c r="K2709" s="7" t="str">
        <x:v>Open</x:v>
      </x:c>
      <x:c r="L2709" s="7"/>
    </x:row>
    <x:row r="2710" ht="21" customHeight="1">
      <x:c r="A2710" s="1" t="str">
        <x:f>Source!A2704</x:f>
        <x:v>C0006620</x:v>
      </x:c>
      <x:c r="B2710" s="1" t="str">
        <x:f>_xlfn.IFNA(VLOOKUP(Source!B2704,Advertisers!$A$5:$B$34,2,FALSE),"Missing advertiser")</x:f>
        <x:v>Synthetic advertiser 20</x:v>
      </x:c>
      <x:c r="C2710" s="1" t="n">
        <x:f>Source!C2704</x:f>
        <x:v>50</x:v>
      </x:c>
      <x:c r="D2710" s="8" t="n">
        <x:f>Source!D2704/100</x:f>
        <x:v>171.19</x:v>
      </x:c>
      <x:c r="E2710" s="8" t="n">
        <x:f>Source!E2704/100</x:f>
        <x:v>186.19</x:v>
      </x:c>
      <x:c r="F2710" s="8" t="n">
        <x:f>Source!F2704/100</x:f>
        <x:v>0</x:v>
      </x:c>
      <x:c r="G2710" s="8" t="n">
        <x:f>Source!G2704/100</x:f>
        <x:v>186.19</x:v>
      </x:c>
      <x:c r="H2710" s="8" t="n">
        <x:f>G2710-D2710</x:f>
        <x:v>15</x:v>
      </x:c>
      <x:c r="I2710" s="1" t="str">
        <x:f>IF(H2710&gt;0,"Overbilled","Shortfall")</x:f>
        <x:v>Overbilled</x:v>
      </x:c>
      <x:c r="J2710" s="7"/>
      <x:c r="K2710" s="7" t="str">
        <x:v>Open</x:v>
      </x:c>
      <x:c r="L2710" s="7"/>
    </x:row>
    <x:row r="2711" ht="21" customHeight="1">
      <x:c r="A2711" s="1" t="str">
        <x:f>Source!A2705</x:f>
        <x:v>C0006623</x:v>
      </x:c>
      <x:c r="B2711" s="1" t="str">
        <x:f>_xlfn.IFNA(VLOOKUP(Source!B2705,Advertisers!$A$5:$B$34,2,FALSE),"Missing advertiser")</x:f>
        <x:v>Synthetic advertiser 29</x:v>
      </x:c>
      <x:c r="C2711" s="1" t="n">
        <x:f>Source!C2705</x:f>
        <x:v>59</x:v>
      </x:c>
      <x:c r="D2711" s="8" t="n">
        <x:f>Source!D2705/100</x:f>
        <x:v>161.66</x:v>
      </x:c>
      <x:c r="E2711" s="8" t="n">
        <x:f>Source!E2705/100</x:f>
        <x:v>176.66</x:v>
      </x:c>
      <x:c r="F2711" s="8" t="n">
        <x:f>Source!F2705/100</x:f>
        <x:v>0</x:v>
      </x:c>
      <x:c r="G2711" s="8" t="n">
        <x:f>Source!G2705/100</x:f>
        <x:v>176.66</x:v>
      </x:c>
      <x:c r="H2711" s="8" t="n">
        <x:f>G2711-D2711</x:f>
        <x:v>15</x:v>
      </x:c>
      <x:c r="I2711" s="1" t="str">
        <x:f>IF(H2711&gt;0,"Overbilled","Shortfall")</x:f>
        <x:v>Overbilled</x:v>
      </x:c>
      <x:c r="J2711" s="7"/>
      <x:c r="K2711" s="7" t="str">
        <x:v>Open</x:v>
      </x:c>
      <x:c r="L2711" s="7"/>
    </x:row>
    <x:row r="2712" ht="21" customHeight="1">
      <x:c r="A2712" s="1" t="str">
        <x:f>Source!A2706</x:f>
        <x:v>C0006648</x:v>
      </x:c>
      <x:c r="B2712" s="1" t="str">
        <x:f>_xlfn.IFNA(VLOOKUP(Source!B2706,Advertisers!$A$5:$B$34,2,FALSE),"Missing advertiser")</x:f>
        <x:v>Synthetic advertiser 18</x:v>
      </x:c>
      <x:c r="C2712" s="1" t="n">
        <x:f>Source!C2706</x:f>
        <x:v>48</x:v>
      </x:c>
      <x:c r="D2712" s="8" t="n">
        <x:f>Source!D2706/100</x:f>
        <x:v>117.66</x:v>
      </x:c>
      <x:c r="E2712" s="8" t="n">
        <x:f>Source!E2706/100</x:f>
        <x:v>132.66</x:v>
      </x:c>
      <x:c r="F2712" s="8" t="n">
        <x:f>Source!F2706/100</x:f>
        <x:v>0</x:v>
      </x:c>
      <x:c r="G2712" s="8" t="n">
        <x:f>Source!G2706/100</x:f>
        <x:v>132.66</x:v>
      </x:c>
      <x:c r="H2712" s="8" t="n">
        <x:f>G2712-D2712</x:f>
        <x:v>15</x:v>
      </x:c>
      <x:c r="I2712" s="1" t="str">
        <x:f>IF(H2712&gt;0,"Overbilled","Shortfall")</x:f>
        <x:v>Overbilled</x:v>
      </x:c>
      <x:c r="J2712" s="7"/>
      <x:c r="K2712" s="7" t="str">
        <x:v>Open</x:v>
      </x:c>
      <x:c r="L2712" s="7"/>
    </x:row>
    <x:row r="2713" ht="21" customHeight="1">
      <x:c r="A2713" s="1" t="str">
        <x:f>Source!A2707</x:f>
        <x:v>C0006673</x:v>
      </x:c>
      <x:c r="B2713" s="1" t="str">
        <x:f>_xlfn.IFNA(VLOOKUP(Source!B2707,Advertisers!$A$5:$B$34,2,FALSE),"Missing advertiser")</x:f>
        <x:v>Synthetic advertiser 12</x:v>
      </x:c>
      <x:c r="C2713" s="1" t="n">
        <x:f>Source!C2707</x:f>
        <x:v>42</x:v>
      </x:c>
      <x:c r="D2713" s="8" t="n">
        <x:f>Source!D2707/100</x:f>
        <x:v>145.19</x:v>
      </x:c>
      <x:c r="E2713" s="8" t="n">
        <x:f>Source!E2707/100</x:f>
        <x:v>160.19</x:v>
      </x:c>
      <x:c r="F2713" s="8" t="n">
        <x:f>Source!F2707/100</x:f>
        <x:v>0</x:v>
      </x:c>
      <x:c r="G2713" s="8" t="n">
        <x:f>Source!G2707/100</x:f>
        <x:v>160.19</x:v>
      </x:c>
      <x:c r="H2713" s="8" t="n">
        <x:f>G2713-D2713</x:f>
        <x:v>15</x:v>
      </x:c>
      <x:c r="I2713" s="1" t="str">
        <x:f>IF(H2713&gt;0,"Overbilled","Shortfall")</x:f>
        <x:v>Overbilled</x:v>
      </x:c>
      <x:c r="J2713" s="7"/>
      <x:c r="K2713" s="7" t="str">
        <x:v>Open</x:v>
      </x:c>
      <x:c r="L2713" s="7"/>
    </x:row>
    <x:row r="2714" ht="21" customHeight="1">
      <x:c r="A2714" s="1" t="str">
        <x:f>Source!A2708</x:f>
        <x:v>C0006699</x:v>
      </x:c>
      <x:c r="B2714" s="1" t="str">
        <x:f>_xlfn.IFNA(VLOOKUP(Source!B2708,Advertisers!$A$5:$B$34,2,FALSE),"Missing advertiser")</x:f>
        <x:v>Synthetic advertiser 24</x:v>
      </x:c>
      <x:c r="C2714" s="1" t="n">
        <x:f>Source!C2708</x:f>
        <x:v>114</x:v>
      </x:c>
      <x:c r="D2714" s="8" t="n">
        <x:f>Source!D2708/100</x:f>
        <x:v>160.88</x:v>
      </x:c>
      <x:c r="E2714" s="8" t="n">
        <x:f>Source!E2708/100</x:f>
        <x:v>175.88</x:v>
      </x:c>
      <x:c r="F2714" s="8" t="n">
        <x:f>Source!F2708/100</x:f>
        <x:v>0</x:v>
      </x:c>
      <x:c r="G2714" s="8" t="n">
        <x:f>Source!G2708/100</x:f>
        <x:v>175.88</x:v>
      </x:c>
      <x:c r="H2714" s="8" t="n">
        <x:f>G2714-D2714</x:f>
        <x:v>15</x:v>
      </x:c>
      <x:c r="I2714" s="1" t="str">
        <x:f>IF(H2714&gt;0,"Overbilled","Shortfall")</x:f>
        <x:v>Overbilled</x:v>
      </x:c>
      <x:c r="J2714" s="7"/>
      <x:c r="K2714" s="7" t="str">
        <x:v>Open</x:v>
      </x:c>
      <x:c r="L2714" s="7"/>
    </x:row>
    <x:row r="2715" ht="21" customHeight="1">
      <x:c r="A2715" s="1" t="str">
        <x:f>Source!A2709</x:f>
        <x:v>C0006721</x:v>
      </x:c>
      <x:c r="B2715" s="1" t="str">
        <x:f>_xlfn.IFNA(VLOOKUP(Source!B2709,Advertisers!$A$5:$B$34,2,FALSE),"Missing advertiser")</x:f>
        <x:v>Synthetic advertiser 22</x:v>
      </x:c>
      <x:c r="C2715" s="1" t="n">
        <x:f>Source!C2709</x:f>
        <x:v>82</x:v>
      </x:c>
      <x:c r="D2715" s="8" t="n">
        <x:f>Source!D2709/100</x:f>
        <x:v>198.47</x:v>
      </x:c>
      <x:c r="E2715" s="8" t="n">
        <x:f>Source!E2709/100</x:f>
        <x:v>213.47</x:v>
      </x:c>
      <x:c r="F2715" s="8" t="n">
        <x:f>Source!F2709/100</x:f>
        <x:v>0</x:v>
      </x:c>
      <x:c r="G2715" s="8" t="n">
        <x:f>Source!G2709/100</x:f>
        <x:v>213.47</x:v>
      </x:c>
      <x:c r="H2715" s="8" t="n">
        <x:f>G2715-D2715</x:f>
        <x:v>15</x:v>
      </x:c>
      <x:c r="I2715" s="1" t="str">
        <x:f>IF(H2715&gt;0,"Overbilled","Shortfall")</x:f>
        <x:v>Overbilled</x:v>
      </x:c>
      <x:c r="J2715" s="7"/>
      <x:c r="K2715" s="7" t="str">
        <x:v>Open</x:v>
      </x:c>
      <x:c r="L2715" s="7"/>
    </x:row>
    <x:row r="2716" ht="21" customHeight="1">
      <x:c r="A2716" s="1" t="str">
        <x:f>Source!A2710</x:f>
        <x:v>C0011646</x:v>
      </x:c>
      <x:c r="B2716" s="1" t="str">
        <x:f>_xlfn.IFNA(VLOOKUP(Source!B2710,Advertisers!$A$5:$B$34,2,FALSE),"Missing advertiser")</x:f>
        <x:v>Synthetic advertiser 17</x:v>
      </x:c>
      <x:c r="C2716" s="1" t="n">
        <x:f>Source!C2710</x:f>
        <x:v>17</x:v>
      </x:c>
      <x:c r="D2716" s="8" t="n">
        <x:f>Source!D2710/100</x:f>
        <x:v>62.99</x:v>
      </x:c>
      <x:c r="E2716" s="8" t="n">
        <x:f>Source!E2710/100</x:f>
        <x:v>77.99</x:v>
      </x:c>
      <x:c r="F2716" s="8" t="n">
        <x:f>Source!F2710/100</x:f>
        <x:v>0</x:v>
      </x:c>
      <x:c r="G2716" s="8" t="n">
        <x:f>Source!G2710/100</x:f>
        <x:v>77.99</x:v>
      </x:c>
      <x:c r="H2716" s="8" t="n">
        <x:f>G2716-D2716</x:f>
        <x:v>14.999999999999993</x:v>
      </x:c>
      <x:c r="I2716" s="1" t="str">
        <x:f>IF(H2716&gt;0,"Overbilled","Shortfall")</x:f>
        <x:v>Overbilled</x:v>
      </x:c>
      <x:c r="J2716" s="7"/>
      <x:c r="K2716" s="7" t="str">
        <x:v>Open</x:v>
      </x:c>
      <x:c r="L2716" s="7"/>
    </x:row>
    <x:row r="2717" ht="21" customHeight="1">
      <x:c r="A2717" s="1" t="str">
        <x:f>Source!A2711</x:f>
        <x:v>C0011656</x:v>
      </x:c>
      <x:c r="B2717" s="1" t="str">
        <x:f>_xlfn.IFNA(VLOOKUP(Source!B2711,Advertisers!$A$5:$B$34,2,FALSE),"Missing advertiser")</x:f>
        <x:v>Synthetic advertiser 28</x:v>
      </x:c>
      <x:c r="C2717" s="1" t="n">
        <x:f>Source!C2711</x:f>
        <x:v>58</x:v>
      </x:c>
      <x:c r="D2717" s="8" t="n">
        <x:f>Source!D2711/100</x:f>
        <x:v>95.12</x:v>
      </x:c>
      <x:c r="E2717" s="8" t="n">
        <x:f>Source!E2711/100</x:f>
        <x:v>110.12</x:v>
      </x:c>
      <x:c r="F2717" s="8" t="n">
        <x:f>Source!F2711/100</x:f>
        <x:v>0</x:v>
      </x:c>
      <x:c r="G2717" s="8" t="n">
        <x:f>Source!G2711/100</x:f>
        <x:v>110.12</x:v>
      </x:c>
      <x:c r="H2717" s="8" t="n">
        <x:f>G2717-D2717</x:f>
        <x:v>15</x:v>
      </x:c>
      <x:c r="I2717" s="1" t="str">
        <x:f>IF(H2717&gt;0,"Overbilled","Shortfall")</x:f>
        <x:v>Overbilled</x:v>
      </x:c>
      <x:c r="J2717" s="7"/>
      <x:c r="K2717" s="7" t="str">
        <x:v>Open</x:v>
      </x:c>
      <x:c r="L2717" s="7"/>
    </x:row>
    <x:row r="2718" ht="21" customHeight="1">
      <x:c r="A2718" s="1" t="str">
        <x:f>Source!A2712</x:f>
        <x:v>C0014808</x:v>
      </x:c>
      <x:c r="B2718" s="1" t="str">
        <x:f>_xlfn.IFNA(VLOOKUP(Source!B2712,Advertisers!$A$5:$B$34,2,FALSE),"Missing advertiser")</x:f>
        <x:v>Synthetic advertiser 14</x:v>
      </x:c>
      <x:c r="C2718" s="1" t="n">
        <x:f>Source!C2712</x:f>
        <x:v>44</x:v>
      </x:c>
      <x:c r="D2718" s="8" t="n">
        <x:f>Source!D2712/100</x:f>
        <x:v>112.89</x:v>
      </x:c>
      <x:c r="E2718" s="8" t="n">
        <x:f>Source!E2712/100</x:f>
        <x:v>127.89</x:v>
      </x:c>
      <x:c r="F2718" s="8" t="n">
        <x:f>Source!F2712/100</x:f>
        <x:v>0</x:v>
      </x:c>
      <x:c r="G2718" s="8" t="n">
        <x:f>Source!G2712/100</x:f>
        <x:v>127.89</x:v>
      </x:c>
      <x:c r="H2718" s="8" t="n">
        <x:f>G2718-D2718</x:f>
        <x:v>15</x:v>
      </x:c>
      <x:c r="I2718" s="1" t="str">
        <x:f>IF(H2718&gt;0,"Overbilled","Shortfall")</x:f>
        <x:v>Overbilled</x:v>
      </x:c>
      <x:c r="J2718" s="7"/>
      <x:c r="K2718" s="7" t="str">
        <x:v>Open</x:v>
      </x:c>
      <x:c r="L2718" s="7"/>
    </x:row>
    <x:row r="2719" ht="21" customHeight="1">
      <x:c r="A2719" s="1" t="str">
        <x:f>Source!A2713</x:f>
        <x:v>C0011762</x:v>
      </x:c>
      <x:c r="B2719" s="1" t="str">
        <x:f>_xlfn.IFNA(VLOOKUP(Source!B2713,Advertisers!$A$5:$B$34,2,FALSE),"Missing advertiser")</x:f>
        <x:v>Synthetic advertiser 18</x:v>
      </x:c>
      <x:c r="C2719" s="1" t="n">
        <x:f>Source!C2713</x:f>
        <x:v>48</x:v>
      </x:c>
      <x:c r="D2719" s="8" t="n">
        <x:f>Source!D2713/100</x:f>
        <x:v>412.52</x:v>
      </x:c>
      <x:c r="E2719" s="8" t="n">
        <x:f>Source!E2713/100</x:f>
        <x:v>427.52</x:v>
      </x:c>
      <x:c r="F2719" s="8" t="n">
        <x:f>Source!F2713/100</x:f>
        <x:v>0</x:v>
      </x:c>
      <x:c r="G2719" s="8" t="n">
        <x:f>Source!G2713/100</x:f>
        <x:v>427.52</x:v>
      </x:c>
      <x:c r="H2719" s="8" t="n">
        <x:f>G2719-D2719</x:f>
        <x:v>15</x:v>
      </x:c>
      <x:c r="I2719" s="1" t="str">
        <x:f>IF(H2719&gt;0,"Overbilled","Shortfall")</x:f>
        <x:v>Overbilled</x:v>
      </x:c>
      <x:c r="J2719" s="7"/>
      <x:c r="K2719" s="7" t="str">
        <x:v>Open</x:v>
      </x:c>
      <x:c r="L2719" s="7"/>
    </x:row>
    <x:row r="2720" ht="21" customHeight="1">
      <x:c r="A2720" s="1" t="str">
        <x:f>Source!A2714</x:f>
        <x:v>C0013036</x:v>
      </x:c>
      <x:c r="B2720" s="1" t="str">
        <x:f>_xlfn.IFNA(VLOOKUP(Source!B2714,Advertisers!$A$5:$B$34,2,FALSE),"Missing advertiser")</x:f>
        <x:v>Synthetic advertiser 17</x:v>
      </x:c>
      <x:c r="C2720" s="1" t="n">
        <x:f>Source!C2714</x:f>
        <x:v>17</x:v>
      </x:c>
      <x:c r="D2720" s="8" t="n">
        <x:f>Source!D2714/100</x:f>
        <x:v>158.45</x:v>
      </x:c>
      <x:c r="E2720" s="8" t="n">
        <x:f>Source!E2714/100</x:f>
        <x:v>173.45</x:v>
      </x:c>
      <x:c r="F2720" s="8" t="n">
        <x:f>Source!F2714/100</x:f>
        <x:v>0</x:v>
      </x:c>
      <x:c r="G2720" s="8" t="n">
        <x:f>Source!G2714/100</x:f>
        <x:v>173.45</x:v>
      </x:c>
      <x:c r="H2720" s="8" t="n">
        <x:f>G2720-D2720</x:f>
        <x:v>15</x:v>
      </x:c>
      <x:c r="I2720" s="1" t="str">
        <x:f>IF(H2720&gt;0,"Overbilled","Shortfall")</x:f>
        <x:v>Overbilled</x:v>
      </x:c>
      <x:c r="J2720" s="7"/>
      <x:c r="K2720" s="7" t="str">
        <x:v>Open</x:v>
      </x:c>
      <x:c r="L2720" s="7"/>
    </x:row>
    <x:row r="2721" ht="21" customHeight="1">
      <x:c r="A2721" s="1" t="str">
        <x:f>Source!A2715</x:f>
        <x:v>C0013038</x:v>
      </x:c>
      <x:c r="B2721" s="1" t="str">
        <x:f>_xlfn.IFNA(VLOOKUP(Source!B2715,Advertisers!$A$5:$B$34,2,FALSE),"Missing advertiser")</x:f>
        <x:v>Synthetic advertiser 4</x:v>
      </x:c>
      <x:c r="C2721" s="1" t="n">
        <x:f>Source!C2715</x:f>
        <x:v>34</x:v>
      </x:c>
      <x:c r="D2721" s="8" t="n">
        <x:f>Source!D2715/100</x:f>
        <x:v>99.88</x:v>
      </x:c>
      <x:c r="E2721" s="8" t="n">
        <x:f>Source!E2715/100</x:f>
        <x:v>114.88</x:v>
      </x:c>
      <x:c r="F2721" s="8" t="n">
        <x:f>Source!F2715/100</x:f>
        <x:v>0</x:v>
      </x:c>
      <x:c r="G2721" s="8" t="n">
        <x:f>Source!G2715/100</x:f>
        <x:v>114.88</x:v>
      </x:c>
      <x:c r="H2721" s="8" t="n">
        <x:f>G2721-D2721</x:f>
        <x:v>15</x:v>
      </x:c>
      <x:c r="I2721" s="1" t="str">
        <x:f>IF(H2721&gt;0,"Overbilled","Shortfall")</x:f>
        <x:v>Overbilled</x:v>
      </x:c>
      <x:c r="J2721" s="7"/>
      <x:c r="K2721" s="7" t="str">
        <x:v>Open</x:v>
      </x:c>
      <x:c r="L2721" s="7"/>
    </x:row>
    <x:row r="2722" ht="21" customHeight="1">
      <x:c r="A2722" s="1" t="str">
        <x:f>Source!A2716</x:f>
        <x:v>C0004974</x:v>
      </x:c>
      <x:c r="B2722" s="1" t="str">
        <x:f>_xlfn.IFNA(VLOOKUP(Source!B2716,Advertisers!$A$5:$B$34,2,FALSE),"Missing advertiser")</x:f>
        <x:v>Synthetic advertiser 19</x:v>
      </x:c>
      <x:c r="C2722" s="1" t="n">
        <x:f>Source!C2716</x:f>
        <x:v>49</x:v>
      </x:c>
      <x:c r="D2722" s="8" t="n">
        <x:f>Source!D2716/100</x:f>
        <x:v>140.66</x:v>
      </x:c>
      <x:c r="E2722" s="8" t="n">
        <x:f>Source!E2716/100</x:f>
        <x:v>155.66</x:v>
      </x:c>
      <x:c r="F2722" s="8" t="n">
        <x:f>Source!F2716/100</x:f>
        <x:v>0</x:v>
      </x:c>
      <x:c r="G2722" s="8" t="n">
        <x:f>Source!G2716/100</x:f>
        <x:v>155.66</x:v>
      </x:c>
      <x:c r="H2722" s="8" t="n">
        <x:f>G2722-D2722</x:f>
        <x:v>15</x:v>
      </x:c>
      <x:c r="I2722" s="1" t="str">
        <x:f>IF(H2722&gt;0,"Overbilled","Shortfall")</x:f>
        <x:v>Overbilled</x:v>
      </x:c>
      <x:c r="J2722" s="7"/>
      <x:c r="K2722" s="7" t="str">
        <x:v>Open</x:v>
      </x:c>
      <x:c r="L2722" s="7"/>
    </x:row>
    <x:row r="2723" ht="21" customHeight="1">
      <x:c r="A2723" s="1" t="str">
        <x:f>Source!A2717</x:f>
        <x:v>C0004993</x:v>
      </x:c>
      <x:c r="B2723" s="1" t="str">
        <x:f>_xlfn.IFNA(VLOOKUP(Source!B2717,Advertisers!$A$5:$B$34,2,FALSE),"Missing advertiser")</x:f>
        <x:v>Synthetic advertiser 11</x:v>
      </x:c>
      <x:c r="C2723" s="1" t="n">
        <x:f>Source!C2717</x:f>
        <x:v>41</x:v>
      </x:c>
      <x:c r="D2723" s="8" t="n">
        <x:f>Source!D2717/100</x:f>
        <x:v>262.68</x:v>
      </x:c>
      <x:c r="E2723" s="8" t="n">
        <x:f>Source!E2717/100</x:f>
        <x:v>277.68</x:v>
      </x:c>
      <x:c r="F2723" s="8" t="n">
        <x:f>Source!F2717/100</x:f>
        <x:v>0</x:v>
      </x:c>
      <x:c r="G2723" s="8" t="n">
        <x:f>Source!G2717/100</x:f>
        <x:v>277.68</x:v>
      </x:c>
      <x:c r="H2723" s="8" t="n">
        <x:f>G2723-D2723</x:f>
        <x:v>15</x:v>
      </x:c>
      <x:c r="I2723" s="1" t="str">
        <x:f>IF(H2723&gt;0,"Overbilled","Shortfall")</x:f>
        <x:v>Overbilled</x:v>
      </x:c>
      <x:c r="J2723" s="7"/>
      <x:c r="K2723" s="7" t="str">
        <x:v>Open</x:v>
      </x:c>
      <x:c r="L2723" s="7"/>
    </x:row>
    <x:row r="2724" ht="21" customHeight="1">
      <x:c r="A2724" s="1" t="str">
        <x:f>Source!A2718</x:f>
        <x:v>C0005027</x:v>
      </x:c>
      <x:c r="B2724" s="1" t="str">
        <x:f>_xlfn.IFNA(VLOOKUP(Source!B2718,Advertisers!$A$5:$B$34,2,FALSE),"Missing advertiser")</x:f>
        <x:v>Synthetic advertiser 3</x:v>
      </x:c>
      <x:c r="C2724" s="1" t="n">
        <x:f>Source!C2718</x:f>
        <x:v>3</x:v>
      </x:c>
      <x:c r="D2724" s="8" t="n">
        <x:f>Source!D2718/100</x:f>
        <x:v>201.98</x:v>
      </x:c>
      <x:c r="E2724" s="8" t="n">
        <x:f>Source!E2718/100</x:f>
        <x:v>216.98</x:v>
      </x:c>
      <x:c r="F2724" s="8" t="n">
        <x:f>Source!F2718/100</x:f>
        <x:v>0</x:v>
      </x:c>
      <x:c r="G2724" s="8" t="n">
        <x:f>Source!G2718/100</x:f>
        <x:v>216.98</x:v>
      </x:c>
      <x:c r="H2724" s="8" t="n">
        <x:f>G2724-D2724</x:f>
        <x:v>15</x:v>
      </x:c>
      <x:c r="I2724" s="1" t="str">
        <x:f>IF(H2724&gt;0,"Overbilled","Shortfall")</x:f>
        <x:v>Overbilled</x:v>
      </x:c>
      <x:c r="J2724" s="7"/>
      <x:c r="K2724" s="7" t="str">
        <x:v>Open</x:v>
      </x:c>
      <x:c r="L2724" s="7"/>
    </x:row>
    <x:row r="2725" ht="21" customHeight="1">
      <x:c r="A2725" s="1" t="str">
        <x:f>Source!A2719</x:f>
        <x:v>C0005168</x:v>
      </x:c>
      <x:c r="B2725" s="1" t="str">
        <x:f>_xlfn.IFNA(VLOOKUP(Source!B2719,Advertisers!$A$5:$B$34,2,FALSE),"Missing advertiser")</x:f>
        <x:v>Synthetic advertiser 19</x:v>
      </x:c>
      <x:c r="C2725" s="1" t="n">
        <x:f>Source!C2719</x:f>
        <x:v>49</x:v>
      </x:c>
      <x:c r="D2725" s="8" t="n">
        <x:f>Source!D2719/100</x:f>
        <x:v>77.3</x:v>
      </x:c>
      <x:c r="E2725" s="8" t="n">
        <x:f>Source!E2719/100</x:f>
        <x:v>92.3</x:v>
      </x:c>
      <x:c r="F2725" s="8" t="n">
        <x:f>Source!F2719/100</x:f>
        <x:v>0</x:v>
      </x:c>
      <x:c r="G2725" s="8" t="n">
        <x:f>Source!G2719/100</x:f>
        <x:v>92.3</x:v>
      </x:c>
      <x:c r="H2725" s="8" t="n">
        <x:f>G2725-D2725</x:f>
        <x:v>15</x:v>
      </x:c>
      <x:c r="I2725" s="1" t="str">
        <x:f>IF(H2725&gt;0,"Overbilled","Shortfall")</x:f>
        <x:v>Overbilled</x:v>
      </x:c>
      <x:c r="J2725" s="7"/>
      <x:c r="K2725" s="7" t="str">
        <x:v>Open</x:v>
      </x:c>
      <x:c r="L2725" s="7"/>
    </x:row>
    <x:row r="2726" ht="21" customHeight="1">
      <x:c r="A2726" s="1" t="str">
        <x:f>Source!A2720</x:f>
        <x:v>C0005169</x:v>
      </x:c>
      <x:c r="B2726" s="1" t="str">
        <x:f>_xlfn.IFNA(VLOOKUP(Source!B2720,Advertisers!$A$5:$B$34,2,FALSE),"Missing advertiser")</x:f>
        <x:v>Synthetic advertiser 12</x:v>
      </x:c>
      <x:c r="C2726" s="1" t="n">
        <x:f>Source!C2720</x:f>
        <x:v>42</x:v>
      </x:c>
      <x:c r="D2726" s="8" t="n">
        <x:f>Source!D2720/100</x:f>
        <x:v>145.19</x:v>
      </x:c>
      <x:c r="E2726" s="8" t="n">
        <x:f>Source!E2720/100</x:f>
        <x:v>160.19</x:v>
      </x:c>
      <x:c r="F2726" s="8" t="n">
        <x:f>Source!F2720/100</x:f>
        <x:v>0</x:v>
      </x:c>
      <x:c r="G2726" s="8" t="n">
        <x:f>Source!G2720/100</x:f>
        <x:v>160.19</x:v>
      </x:c>
      <x:c r="H2726" s="8" t="n">
        <x:f>G2726-D2726</x:f>
        <x:v>15</x:v>
      </x:c>
      <x:c r="I2726" s="1" t="str">
        <x:f>IF(H2726&gt;0,"Overbilled","Shortfall")</x:f>
        <x:v>Overbilled</x:v>
      </x:c>
      <x:c r="J2726" s="7"/>
      <x:c r="K2726" s="7" t="str">
        <x:v>Open</x:v>
      </x:c>
      <x:c r="L2726" s="7"/>
    </x:row>
    <x:row r="2727" ht="21" customHeight="1">
      <x:c r="A2727" s="1" t="str">
        <x:f>Source!A2721</x:f>
        <x:v>C0005175</x:v>
      </x:c>
      <x:c r="B2727" s="1" t="str">
        <x:f>_xlfn.IFNA(VLOOKUP(Source!B2721,Advertisers!$A$5:$B$34,2,FALSE),"Missing advertiser")</x:f>
        <x:v>Synthetic advertiser 15</x:v>
      </x:c>
      <x:c r="C2727" s="1" t="n">
        <x:f>Source!C2721</x:f>
        <x:v>105</x:v>
      </x:c>
      <x:c r="D2727" s="8" t="n">
        <x:f>Source!D2721/100</x:f>
        <x:v>390.9</x:v>
      </x:c>
      <x:c r="E2727" s="8" t="n">
        <x:f>Source!E2721/100</x:f>
        <x:v>405.9</x:v>
      </x:c>
      <x:c r="F2727" s="8" t="n">
        <x:f>Source!F2721/100</x:f>
        <x:v>0</x:v>
      </x:c>
      <x:c r="G2727" s="8" t="n">
        <x:f>Source!G2721/100</x:f>
        <x:v>405.9</x:v>
      </x:c>
      <x:c r="H2727" s="8" t="n">
        <x:f>G2727-D2727</x:f>
        <x:v>15</x:v>
      </x:c>
      <x:c r="I2727" s="1" t="str">
        <x:f>IF(H2727&gt;0,"Overbilled","Shortfall")</x:f>
        <x:v>Overbilled</x:v>
      </x:c>
      <x:c r="J2727" s="7"/>
      <x:c r="K2727" s="7" t="str">
        <x:v>Open</x:v>
      </x:c>
      <x:c r="L2727" s="7"/>
    </x:row>
    <x:row r="2728" ht="21" customHeight="1">
      <x:c r="A2728" s="1" t="str">
        <x:f>Source!A2722</x:f>
        <x:v>C0013068</x:v>
      </x:c>
      <x:c r="B2728" s="1" t="str">
        <x:f>_xlfn.IFNA(VLOOKUP(Source!B2722,Advertisers!$A$5:$B$34,2,FALSE),"Missing advertiser")</x:f>
        <x:v>Synthetic advertiser 9</x:v>
      </x:c>
      <x:c r="C2728" s="1" t="n">
        <x:f>Source!C2722</x:f>
        <x:v>99</x:v>
      </x:c>
      <x:c r="D2728" s="8" t="n">
        <x:f>Source!D2722/100</x:f>
        <x:v>57.03</x:v>
      </x:c>
      <x:c r="E2728" s="8" t="n">
        <x:f>Source!E2722/100</x:f>
        <x:v>72.03</x:v>
      </x:c>
      <x:c r="F2728" s="8" t="n">
        <x:f>Source!F2722/100</x:f>
        <x:v>0</x:v>
      </x:c>
      <x:c r="G2728" s="8" t="n">
        <x:f>Source!G2722/100</x:f>
        <x:v>72.03</x:v>
      </x:c>
      <x:c r="H2728" s="8" t="n">
        <x:f>G2728-D2728</x:f>
        <x:v>15</x:v>
      </x:c>
      <x:c r="I2728" s="1" t="str">
        <x:f>IF(H2728&gt;0,"Overbilled","Shortfall")</x:f>
        <x:v>Overbilled</x:v>
      </x:c>
      <x:c r="J2728" s="7"/>
      <x:c r="K2728" s="7" t="str">
        <x:v>Open</x:v>
      </x:c>
      <x:c r="L2728" s="7"/>
    </x:row>
    <x:row r="2729" ht="21" customHeight="1">
      <x:c r="A2729" s="1" t="str">
        <x:f>Source!A2723</x:f>
        <x:v>C0013073</x:v>
      </x:c>
      <x:c r="B2729" s="1" t="str">
        <x:f>_xlfn.IFNA(VLOOKUP(Source!B2723,Advertisers!$A$5:$B$34,2,FALSE),"Missing advertiser")</x:f>
        <x:v>Synthetic advertiser 8</x:v>
      </x:c>
      <x:c r="C2729" s="1" t="n">
        <x:f>Source!C2723</x:f>
        <x:v>8</x:v>
      </x:c>
      <x:c r="D2729" s="8" t="n">
        <x:f>Source!D2723/100</x:f>
        <x:v>163.08</x:v>
      </x:c>
      <x:c r="E2729" s="8" t="n">
        <x:f>Source!E2723/100</x:f>
        <x:v>178.08</x:v>
      </x:c>
      <x:c r="F2729" s="8" t="n">
        <x:f>Source!F2723/100</x:f>
        <x:v>0</x:v>
      </x:c>
      <x:c r="G2729" s="8" t="n">
        <x:f>Source!G2723/100</x:f>
        <x:v>178.08</x:v>
      </x:c>
      <x:c r="H2729" s="8" t="n">
        <x:f>G2729-D2729</x:f>
        <x:v>15</x:v>
      </x:c>
      <x:c r="I2729" s="1" t="str">
        <x:f>IF(H2729&gt;0,"Overbilled","Shortfall")</x:f>
        <x:v>Overbilled</x:v>
      </x:c>
      <x:c r="J2729" s="7"/>
      <x:c r="K2729" s="7" t="str">
        <x:v>Open</x:v>
      </x:c>
      <x:c r="L2729" s="7"/>
    </x:row>
    <x:row r="2730" ht="21" customHeight="1">
      <x:c r="A2730" s="1" t="str">
        <x:f>Source!A2724</x:f>
        <x:v>C0013131</x:v>
      </x:c>
      <x:c r="B2730" s="1" t="str">
        <x:f>_xlfn.IFNA(VLOOKUP(Source!B2724,Advertisers!$A$5:$B$34,2,FALSE),"Missing advertiser")</x:f>
        <x:v>Synthetic advertiser 8</x:v>
      </x:c>
      <x:c r="C2730" s="1" t="n">
        <x:f>Source!C2724</x:f>
        <x:v>98</x:v>
      </x:c>
      <x:c r="D2730" s="8" t="n">
        <x:f>Source!D2724/100</x:f>
        <x:v>96.25</x:v>
      </x:c>
      <x:c r="E2730" s="8" t="n">
        <x:f>Source!E2724/100</x:f>
        <x:v>111.25</x:v>
      </x:c>
      <x:c r="F2730" s="8" t="n">
        <x:f>Source!F2724/100</x:f>
        <x:v>0</x:v>
      </x:c>
      <x:c r="G2730" s="8" t="n">
        <x:f>Source!G2724/100</x:f>
        <x:v>111.25</x:v>
      </x:c>
      <x:c r="H2730" s="8" t="n">
        <x:f>G2730-D2730</x:f>
        <x:v>15</x:v>
      </x:c>
      <x:c r="I2730" s="1" t="str">
        <x:f>IF(H2730&gt;0,"Overbilled","Shortfall")</x:f>
        <x:v>Overbilled</x:v>
      </x:c>
      <x:c r="J2730" s="7"/>
      <x:c r="K2730" s="7" t="str">
        <x:v>Open</x:v>
      </x:c>
      <x:c r="L2730" s="7"/>
    </x:row>
    <x:row r="2731" ht="21" customHeight="1">
      <x:c r="A2731" s="1" t="str">
        <x:f>Source!A2725</x:f>
        <x:v>C0013200</x:v>
      </x:c>
      <x:c r="B2731" s="1" t="str">
        <x:f>_xlfn.IFNA(VLOOKUP(Source!B2725,Advertisers!$A$5:$B$34,2,FALSE),"Missing advertiser")</x:f>
        <x:v>Synthetic advertiser 20</x:v>
      </x:c>
      <x:c r="C2731" s="1" t="n">
        <x:f>Source!C2725</x:f>
        <x:v>110</x:v>
      </x:c>
      <x:c r="D2731" s="8" t="n">
        <x:f>Source!D2725/100</x:f>
        <x:v>204.47</x:v>
      </x:c>
      <x:c r="E2731" s="8" t="n">
        <x:f>Source!E2725/100</x:f>
        <x:v>219.47</x:v>
      </x:c>
      <x:c r="F2731" s="8" t="n">
        <x:f>Source!F2725/100</x:f>
        <x:v>0</x:v>
      </x:c>
      <x:c r="G2731" s="8" t="n">
        <x:f>Source!G2725/100</x:f>
        <x:v>219.47</x:v>
      </x:c>
      <x:c r="H2731" s="8" t="n">
        <x:f>G2731-D2731</x:f>
        <x:v>15</x:v>
      </x:c>
      <x:c r="I2731" s="1" t="str">
        <x:f>IF(H2731&gt;0,"Overbilled","Shortfall")</x:f>
        <x:v>Overbilled</x:v>
      </x:c>
      <x:c r="J2731" s="7"/>
      <x:c r="K2731" s="7" t="str">
        <x:v>Open</x:v>
      </x:c>
      <x:c r="L2731" s="7"/>
    </x:row>
    <x:row r="2732" ht="21" customHeight="1">
      <x:c r="A2732" s="1" t="str">
        <x:f>Source!A2726</x:f>
        <x:v>C0011737</x:v>
      </x:c>
      <x:c r="B2732" s="1" t="str">
        <x:f>_xlfn.IFNA(VLOOKUP(Source!B2726,Advertisers!$A$5:$B$34,2,FALSE),"Missing advertiser")</x:f>
        <x:v>Synthetic advertiser 11</x:v>
      </x:c>
      <x:c r="C2732" s="1" t="n">
        <x:f>Source!C2726</x:f>
        <x:v>71</x:v>
      </x:c>
      <x:c r="D2732" s="8" t="n">
        <x:f>Source!D2726/100</x:f>
        <x:v>192.7</x:v>
      </x:c>
      <x:c r="E2732" s="8" t="n">
        <x:f>Source!E2726/100</x:f>
        <x:v>207.7</x:v>
      </x:c>
      <x:c r="F2732" s="8" t="n">
        <x:f>Source!F2726/100</x:f>
        <x:v>0</x:v>
      </x:c>
      <x:c r="G2732" s="8" t="n">
        <x:f>Source!G2726/100</x:f>
        <x:v>207.7</x:v>
      </x:c>
      <x:c r="H2732" s="8" t="n">
        <x:f>G2732-D2732</x:f>
        <x:v>15</x:v>
      </x:c>
      <x:c r="I2732" s="1" t="str">
        <x:f>IF(H2732&gt;0,"Overbilled","Shortfall")</x:f>
        <x:v>Overbilled</x:v>
      </x:c>
      <x:c r="J2732" s="7"/>
      <x:c r="K2732" s="7" t="str">
        <x:v>Open</x:v>
      </x:c>
      <x:c r="L2732" s="7"/>
    </x:row>
    <x:row r="2733" ht="21" customHeight="1">
      <x:c r="A2733" s="1" t="str">
        <x:f>Source!A2727</x:f>
        <x:v>C0012761</x:v>
      </x:c>
      <x:c r="B2733" s="1" t="str">
        <x:f>_xlfn.IFNA(VLOOKUP(Source!B2727,Advertisers!$A$5:$B$34,2,FALSE),"Missing advertiser")</x:f>
        <x:v>Synthetic advertiser 1</x:v>
      </x:c>
      <x:c r="C2733" s="1" t="n">
        <x:f>Source!C2727</x:f>
        <x:v>31</x:v>
      </x:c>
      <x:c r="D2733" s="8" t="n">
        <x:f>Source!D2727/100</x:f>
        <x:v>226.33</x:v>
      </x:c>
      <x:c r="E2733" s="8" t="n">
        <x:f>Source!E2727/100</x:f>
        <x:v>241.33</x:v>
      </x:c>
      <x:c r="F2733" s="8" t="n">
        <x:f>Source!F2727/100</x:f>
        <x:v>0</x:v>
      </x:c>
      <x:c r="G2733" s="8" t="n">
        <x:f>Source!G2727/100</x:f>
        <x:v>241.33</x:v>
      </x:c>
      <x:c r="H2733" s="8" t="n">
        <x:f>G2733-D2733</x:f>
        <x:v>15</x:v>
      </x:c>
      <x:c r="I2733" s="1" t="str">
        <x:f>IF(H2733&gt;0,"Overbilled","Shortfall")</x:f>
        <x:v>Overbilled</x:v>
      </x:c>
      <x:c r="J2733" s="7"/>
      <x:c r="K2733" s="7" t="str">
        <x:v>Open</x:v>
      </x:c>
      <x:c r="L2733" s="7"/>
    </x:row>
    <x:row r="2734" ht="21" customHeight="1">
      <x:c r="A2734" s="1" t="str">
        <x:f>Source!A2728</x:f>
        <x:v>C0012777</x:v>
      </x:c>
      <x:c r="B2734" s="1" t="str">
        <x:f>_xlfn.IFNA(VLOOKUP(Source!B2728,Advertisers!$A$5:$B$34,2,FALSE),"Missing advertiser")</x:f>
        <x:v>Synthetic advertiser 13</x:v>
      </x:c>
      <x:c r="C2734" s="1" t="n">
        <x:f>Source!C2728</x:f>
        <x:v>103</x:v>
      </x:c>
      <x:c r="D2734" s="8" t="n">
        <x:f>Source!D2728/100</x:f>
        <x:v>245.85</x:v>
      </x:c>
      <x:c r="E2734" s="8" t="n">
        <x:f>Source!E2728/100</x:f>
        <x:v>260.85</x:v>
      </x:c>
      <x:c r="F2734" s="8" t="n">
        <x:f>Source!F2728/100</x:f>
        <x:v>0</x:v>
      </x:c>
      <x:c r="G2734" s="8" t="n">
        <x:f>Source!G2728/100</x:f>
        <x:v>260.85</x:v>
      </x:c>
      <x:c r="H2734" s="8" t="n">
        <x:f>G2734-D2734</x:f>
        <x:v>15.000000000000028</x:v>
      </x:c>
      <x:c r="I2734" s="1" t="str">
        <x:f>IF(H2734&gt;0,"Overbilled","Shortfall")</x:f>
        <x:v>Overbilled</x:v>
      </x:c>
      <x:c r="J2734" s="7"/>
      <x:c r="K2734" s="7" t="str">
        <x:v>Open</x:v>
      </x:c>
      <x:c r="L2734" s="7"/>
    </x:row>
    <x:row r="2735" ht="21" customHeight="1">
      <x:c r="A2735" s="1" t="str">
        <x:f>Source!A2729</x:f>
        <x:v>C0012782</x:v>
      </x:c>
      <x:c r="B2735" s="1" t="str">
        <x:f>_xlfn.IFNA(VLOOKUP(Source!B2729,Advertisers!$A$5:$B$34,2,FALSE),"Missing advertiser")</x:f>
        <x:v>Synthetic advertiser 7</x:v>
      </x:c>
      <x:c r="C2735" s="1" t="n">
        <x:f>Source!C2729</x:f>
        <x:v>37</x:v>
      </x:c>
      <x:c r="D2735" s="8" t="n">
        <x:f>Source!D2729/100</x:f>
        <x:v>133.38</x:v>
      </x:c>
      <x:c r="E2735" s="8" t="n">
        <x:f>Source!E2729/100</x:f>
        <x:v>148.38</x:v>
      </x:c>
      <x:c r="F2735" s="8" t="n">
        <x:f>Source!F2729/100</x:f>
        <x:v>0</x:v>
      </x:c>
      <x:c r="G2735" s="8" t="n">
        <x:f>Source!G2729/100</x:f>
        <x:v>148.38</x:v>
      </x:c>
      <x:c r="H2735" s="8" t="n">
        <x:f>G2735-D2735</x:f>
        <x:v>15</x:v>
      </x:c>
      <x:c r="I2735" s="1" t="str">
        <x:f>IF(H2735&gt;0,"Overbilled","Shortfall")</x:f>
        <x:v>Overbilled</x:v>
      </x:c>
      <x:c r="J2735" s="7"/>
      <x:c r="K2735" s="7" t="str">
        <x:v>Open</x:v>
      </x:c>
      <x:c r="L2735" s="7"/>
    </x:row>
    <x:row r="2736" ht="21" customHeight="1">
      <x:c r="A2736" s="1" t="str">
        <x:f>Source!A2730</x:f>
        <x:v>C0012790</x:v>
      </x:c>
      <x:c r="B2736" s="1" t="str">
        <x:f>_xlfn.IFNA(VLOOKUP(Source!B2730,Advertisers!$A$5:$B$34,2,FALSE),"Missing advertiser")</x:f>
        <x:v>Synthetic advertiser 13</x:v>
      </x:c>
      <x:c r="C2736" s="1" t="n">
        <x:f>Source!C2730</x:f>
        <x:v>73</x:v>
      </x:c>
      <x:c r="D2736" s="8" t="n">
        <x:f>Source!D2730/100</x:f>
        <x:v>151.64</x:v>
      </x:c>
      <x:c r="E2736" s="8" t="n">
        <x:f>Source!E2730/100</x:f>
        <x:v>166.64</x:v>
      </x:c>
      <x:c r="F2736" s="8" t="n">
        <x:f>Source!F2730/100</x:f>
        <x:v>0</x:v>
      </x:c>
      <x:c r="G2736" s="8" t="n">
        <x:f>Source!G2730/100</x:f>
        <x:v>166.64</x:v>
      </x:c>
      <x:c r="H2736" s="8" t="n">
        <x:f>G2736-D2736</x:f>
        <x:v>15</x:v>
      </x:c>
      <x:c r="I2736" s="1" t="str">
        <x:f>IF(H2736&gt;0,"Overbilled","Shortfall")</x:f>
        <x:v>Overbilled</x:v>
      </x:c>
      <x:c r="J2736" s="7"/>
      <x:c r="K2736" s="7" t="str">
        <x:v>Open</x:v>
      </x:c>
      <x:c r="L2736" s="7"/>
    </x:row>
    <x:row r="2737" ht="21" customHeight="1">
      <x:c r="A2737" s="1" t="str">
        <x:f>Source!A2731</x:f>
        <x:v>C0012792</x:v>
      </x:c>
      <x:c r="B2737" s="1" t="str">
        <x:f>_xlfn.IFNA(VLOOKUP(Source!B2731,Advertisers!$A$5:$B$34,2,FALSE),"Missing advertiser")</x:f>
        <x:v>Synthetic advertiser 4</x:v>
      </x:c>
      <x:c r="C2737" s="1" t="n">
        <x:f>Source!C2731</x:f>
        <x:v>94</x:v>
      </x:c>
      <x:c r="D2737" s="8" t="n">
        <x:f>Source!D2731/100</x:f>
        <x:v>195.04</x:v>
      </x:c>
      <x:c r="E2737" s="8" t="n">
        <x:f>Source!E2731/100</x:f>
        <x:v>210.04</x:v>
      </x:c>
      <x:c r="F2737" s="8" t="n">
        <x:f>Source!F2731/100</x:f>
        <x:v>0</x:v>
      </x:c>
      <x:c r="G2737" s="8" t="n">
        <x:f>Source!G2731/100</x:f>
        <x:v>210.04</x:v>
      </x:c>
      <x:c r="H2737" s="8" t="n">
        <x:f>G2737-D2737</x:f>
        <x:v>15</x:v>
      </x:c>
      <x:c r="I2737" s="1" t="str">
        <x:f>IF(H2737&gt;0,"Overbilled","Shortfall")</x:f>
        <x:v>Overbilled</x:v>
      </x:c>
      <x:c r="J2737" s="7"/>
      <x:c r="K2737" s="7" t="str">
        <x:v>Open</x:v>
      </x:c>
      <x:c r="L2737" s="7"/>
    </x:row>
    <x:row r="2738" ht="21" customHeight="1">
      <x:c r="A2738" s="1" t="str">
        <x:f>Source!A2732</x:f>
        <x:v>C0012806</x:v>
      </x:c>
      <x:c r="B2738" s="1" t="str">
        <x:f>_xlfn.IFNA(VLOOKUP(Source!B2732,Advertisers!$A$5:$B$34,2,FALSE),"Missing advertiser")</x:f>
        <x:v>Synthetic advertiser 25</x:v>
      </x:c>
      <x:c r="C2738" s="1" t="n">
        <x:f>Source!C2732</x:f>
        <x:v>85</x:v>
      </x:c>
      <x:c r="D2738" s="8" t="n">
        <x:f>Source!D2732/100</x:f>
        <x:v>241.07</x:v>
      </x:c>
      <x:c r="E2738" s="8" t="n">
        <x:f>Source!E2732/100</x:f>
        <x:v>256.07</x:v>
      </x:c>
      <x:c r="F2738" s="8" t="n">
        <x:f>Source!F2732/100</x:f>
        <x:v>0</x:v>
      </x:c>
      <x:c r="G2738" s="8" t="n">
        <x:f>Source!G2732/100</x:f>
        <x:v>256.07</x:v>
      </x:c>
      <x:c r="H2738" s="8" t="n">
        <x:f>G2738-D2738</x:f>
        <x:v>15</x:v>
      </x:c>
      <x:c r="I2738" s="1" t="str">
        <x:f>IF(H2738&gt;0,"Overbilled","Shortfall")</x:f>
        <x:v>Overbilled</x:v>
      </x:c>
      <x:c r="J2738" s="7"/>
      <x:c r="K2738" s="7" t="str">
        <x:v>Open</x:v>
      </x:c>
      <x:c r="L2738" s="7"/>
    </x:row>
    <x:row r="2739" ht="21" customHeight="1">
      <x:c r="A2739" s="1" t="str">
        <x:f>Source!A2733</x:f>
        <x:v>C0012813</x:v>
      </x:c>
      <x:c r="B2739" s="1" t="str">
        <x:f>_xlfn.IFNA(VLOOKUP(Source!B2733,Advertisers!$A$5:$B$34,2,FALSE),"Missing advertiser")</x:f>
        <x:v>Synthetic advertiser 18</x:v>
      </x:c>
      <x:c r="C2739" s="1" t="n">
        <x:f>Source!C2733</x:f>
        <x:v>18</x:v>
      </x:c>
      <x:c r="D2739" s="8" t="n">
        <x:f>Source!D2733/100</x:f>
        <x:v>154.13</x:v>
      </x:c>
      <x:c r="E2739" s="8" t="n">
        <x:f>Source!E2733/100</x:f>
        <x:v>169.13</x:v>
      </x:c>
      <x:c r="F2739" s="8" t="n">
        <x:f>Source!F2733/100</x:f>
        <x:v>0</x:v>
      </x:c>
      <x:c r="G2739" s="8" t="n">
        <x:f>Source!G2733/100</x:f>
        <x:v>169.13</x:v>
      </x:c>
      <x:c r="H2739" s="8" t="n">
        <x:f>G2739-D2739</x:f>
        <x:v>15</x:v>
      </x:c>
      <x:c r="I2739" s="1" t="str">
        <x:f>IF(H2739&gt;0,"Overbilled","Shortfall")</x:f>
        <x:v>Overbilled</x:v>
      </x:c>
      <x:c r="J2739" s="7"/>
      <x:c r="K2739" s="7" t="str">
        <x:v>Open</x:v>
      </x:c>
      <x:c r="L2739" s="7"/>
    </x:row>
    <x:row r="2740" ht="21" customHeight="1">
      <x:c r="A2740" s="1" t="str">
        <x:f>Source!A2734</x:f>
        <x:v>C0012818</x:v>
      </x:c>
      <x:c r="B2740" s="1" t="str">
        <x:f>_xlfn.IFNA(VLOOKUP(Source!B2734,Advertisers!$A$5:$B$34,2,FALSE),"Missing advertiser")</x:f>
        <x:v>Synthetic advertiser 5</x:v>
      </x:c>
      <x:c r="C2740" s="1" t="n">
        <x:f>Source!C2734</x:f>
        <x:v>95</x:v>
      </x:c>
      <x:c r="D2740" s="8" t="n">
        <x:f>Source!D2734/100</x:f>
        <x:v>75.2</x:v>
      </x:c>
      <x:c r="E2740" s="8" t="n">
        <x:f>Source!E2734/100</x:f>
        <x:v>90.2</x:v>
      </x:c>
      <x:c r="F2740" s="8" t="n">
        <x:f>Source!F2734/100</x:f>
        <x:v>0</x:v>
      </x:c>
      <x:c r="G2740" s="8" t="n">
        <x:f>Source!G2734/100</x:f>
        <x:v>90.2</x:v>
      </x:c>
      <x:c r="H2740" s="8" t="n">
        <x:f>G2740-D2740</x:f>
        <x:v>15</x:v>
      </x:c>
      <x:c r="I2740" s="1" t="str">
        <x:f>IF(H2740&gt;0,"Overbilled","Shortfall")</x:f>
        <x:v>Overbilled</x:v>
      </x:c>
      <x:c r="J2740" s="7"/>
      <x:c r="K2740" s="7" t="str">
        <x:v>Open</x:v>
      </x:c>
      <x:c r="L2740" s="7"/>
    </x:row>
    <x:row r="2741" ht="21" customHeight="1">
      <x:c r="A2741" s="1" t="str">
        <x:f>Source!A2735</x:f>
        <x:v>C0012823</x:v>
      </x:c>
      <x:c r="B2741" s="1" t="str">
        <x:f>_xlfn.IFNA(VLOOKUP(Source!B2735,Advertisers!$A$5:$B$34,2,FALSE),"Missing advertiser")</x:f>
        <x:v>Synthetic advertiser 2</x:v>
      </x:c>
      <x:c r="C2741" s="1" t="n">
        <x:f>Source!C2735</x:f>
        <x:v>62</x:v>
      </x:c>
      <x:c r="D2741" s="8" t="n">
        <x:f>Source!D2735/100</x:f>
        <x:v>183.69</x:v>
      </x:c>
      <x:c r="E2741" s="8" t="n">
        <x:f>Source!E2735/100</x:f>
        <x:v>198.69</x:v>
      </x:c>
      <x:c r="F2741" s="8" t="n">
        <x:f>Source!F2735/100</x:f>
        <x:v>0</x:v>
      </x:c>
      <x:c r="G2741" s="8" t="n">
        <x:f>Source!G2735/100</x:f>
        <x:v>198.69</x:v>
      </x:c>
      <x:c r="H2741" s="8" t="n">
        <x:f>G2741-D2741</x:f>
        <x:v>15</x:v>
      </x:c>
      <x:c r="I2741" s="1" t="str">
        <x:f>IF(H2741&gt;0,"Overbilled","Shortfall")</x:f>
        <x:v>Overbilled</x:v>
      </x:c>
      <x:c r="J2741" s="7"/>
      <x:c r="K2741" s="7" t="str">
        <x:v>Open</x:v>
      </x:c>
      <x:c r="L2741" s="7"/>
    </x:row>
    <x:row r="2742" ht="21" customHeight="1">
      <x:c r="A2742" s="1" t="str">
        <x:f>Source!A2736</x:f>
        <x:v>C0012883</x:v>
      </x:c>
      <x:c r="B2742" s="1" t="str">
        <x:f>_xlfn.IFNA(VLOOKUP(Source!B2736,Advertisers!$A$5:$B$34,2,FALSE),"Missing advertiser")</x:f>
        <x:v>Synthetic advertiser 7</x:v>
      </x:c>
      <x:c r="C2742" s="1" t="n">
        <x:f>Source!C2736</x:f>
        <x:v>7</x:v>
      </x:c>
      <x:c r="D2742" s="8" t="n">
        <x:f>Source!D2736/100</x:f>
        <x:v>144.31</x:v>
      </x:c>
      <x:c r="E2742" s="8" t="n">
        <x:f>Source!E2736/100</x:f>
        <x:v>159.31</x:v>
      </x:c>
      <x:c r="F2742" s="8" t="n">
        <x:f>Source!F2736/100</x:f>
        <x:v>0</x:v>
      </x:c>
      <x:c r="G2742" s="8" t="n">
        <x:f>Source!G2736/100</x:f>
        <x:v>159.31</x:v>
      </x:c>
      <x:c r="H2742" s="8" t="n">
        <x:f>G2742-D2742</x:f>
        <x:v>15</x:v>
      </x:c>
      <x:c r="I2742" s="1" t="str">
        <x:f>IF(H2742&gt;0,"Overbilled","Shortfall")</x:f>
        <x:v>Overbilled</x:v>
      </x:c>
      <x:c r="J2742" s="7"/>
      <x:c r="K2742" s="7" t="str">
        <x:v>Open</x:v>
      </x:c>
      <x:c r="L2742" s="7"/>
    </x:row>
    <x:row r="2743" ht="21" customHeight="1">
      <x:c r="A2743" s="1" t="str">
        <x:f>Source!A2737</x:f>
        <x:v>C0012897</x:v>
      </x:c>
      <x:c r="B2743" s="1" t="str">
        <x:f>_xlfn.IFNA(VLOOKUP(Source!B2737,Advertisers!$A$5:$B$34,2,FALSE),"Missing advertiser")</x:f>
        <x:v>Synthetic advertiser 10</x:v>
      </x:c>
      <x:c r="C2743" s="1" t="n">
        <x:f>Source!C2737</x:f>
        <x:v>40</x:v>
      </x:c>
      <x:c r="D2743" s="8" t="n">
        <x:f>Source!D2737/100</x:f>
        <x:v>174.38</x:v>
      </x:c>
      <x:c r="E2743" s="8" t="n">
        <x:f>Source!E2737/100</x:f>
        <x:v>189.38</x:v>
      </x:c>
      <x:c r="F2743" s="8" t="n">
        <x:f>Source!F2737/100</x:f>
        <x:v>0</x:v>
      </x:c>
      <x:c r="G2743" s="8" t="n">
        <x:f>Source!G2737/100</x:f>
        <x:v>189.38</x:v>
      </x:c>
      <x:c r="H2743" s="8" t="n">
        <x:f>G2743-D2743</x:f>
        <x:v>15</x:v>
      </x:c>
      <x:c r="I2743" s="1" t="str">
        <x:f>IF(H2743&gt;0,"Overbilled","Shortfall")</x:f>
        <x:v>Overbilled</x:v>
      </x:c>
      <x:c r="J2743" s="7"/>
      <x:c r="K2743" s="7" t="str">
        <x:v>Open</x:v>
      </x:c>
      <x:c r="L2743" s="7"/>
    </x:row>
    <x:row r="2744" ht="21" customHeight="1">
      <x:c r="A2744" s="1" t="str">
        <x:f>Source!A2738</x:f>
        <x:v>C0012900</x:v>
      </x:c>
      <x:c r="B2744" s="1" t="str">
        <x:f>_xlfn.IFNA(VLOOKUP(Source!B2738,Advertisers!$A$5:$B$34,2,FALSE),"Missing advertiser")</x:f>
        <x:v>Synthetic advertiser 23</x:v>
      </x:c>
      <x:c r="C2744" s="1" t="n">
        <x:f>Source!C2738</x:f>
        <x:v>23</x:v>
      </x:c>
      <x:c r="D2744" s="8" t="n">
        <x:f>Source!D2738/100</x:f>
        <x:v>74.55</x:v>
      </x:c>
      <x:c r="E2744" s="8" t="n">
        <x:f>Source!E2738/100</x:f>
        <x:v>89.55</x:v>
      </x:c>
      <x:c r="F2744" s="8" t="n">
        <x:f>Source!F2738/100</x:f>
        <x:v>0</x:v>
      </x:c>
      <x:c r="G2744" s="8" t="n">
        <x:f>Source!G2738/100</x:f>
        <x:v>89.55</x:v>
      </x:c>
      <x:c r="H2744" s="8" t="n">
        <x:f>G2744-D2744</x:f>
        <x:v>15</x:v>
      </x:c>
      <x:c r="I2744" s="1" t="str">
        <x:f>IF(H2744&gt;0,"Overbilled","Shortfall")</x:f>
        <x:v>Overbilled</x:v>
      </x:c>
      <x:c r="J2744" s="7"/>
      <x:c r="K2744" s="7" t="str">
        <x:v>Open</x:v>
      </x:c>
      <x:c r="L2744" s="7"/>
    </x:row>
    <x:row r="2745" ht="21" customHeight="1">
      <x:c r="A2745" s="1" t="str">
        <x:f>Source!A2739</x:f>
        <x:v>C0005191</x:v>
      </x:c>
      <x:c r="B2745" s="1" t="str">
        <x:f>_xlfn.IFNA(VLOOKUP(Source!B2739,Advertisers!$A$5:$B$34,2,FALSE),"Missing advertiser")</x:f>
        <x:v>Synthetic advertiser 19</x:v>
      </x:c>
      <x:c r="C2745" s="1" t="n">
        <x:f>Source!C2739</x:f>
        <x:v>19</x:v>
      </x:c>
      <x:c r="D2745" s="8" t="n">
        <x:f>Source!D2739/100</x:f>
        <x:v>73.77</x:v>
      </x:c>
      <x:c r="E2745" s="8" t="n">
        <x:f>Source!E2739/100</x:f>
        <x:v>88.77</x:v>
      </x:c>
      <x:c r="F2745" s="8" t="n">
        <x:f>Source!F2739/100</x:f>
        <x:v>0</x:v>
      </x:c>
      <x:c r="G2745" s="8" t="n">
        <x:f>Source!G2739/100</x:f>
        <x:v>88.77</x:v>
      </x:c>
      <x:c r="H2745" s="8" t="n">
        <x:f>G2745-D2745</x:f>
        <x:v>15</x:v>
      </x:c>
      <x:c r="I2745" s="1" t="str">
        <x:f>IF(H2745&gt;0,"Overbilled","Shortfall")</x:f>
        <x:v>Overbilled</x:v>
      </x:c>
      <x:c r="J2745" s="7"/>
      <x:c r="K2745" s="7" t="str">
        <x:v>Open</x:v>
      </x:c>
      <x:c r="L2745" s="7"/>
    </x:row>
    <x:row r="2746" ht="21" customHeight="1">
      <x:c r="A2746" s="1" t="str">
        <x:f>Source!A2740</x:f>
        <x:v>C0013028</x:v>
      </x:c>
      <x:c r="B2746" s="1" t="str">
        <x:f>_xlfn.IFNA(VLOOKUP(Source!B2740,Advertisers!$A$5:$B$34,2,FALSE),"Missing advertiser")</x:f>
        <x:v>Synthetic advertiser 10</x:v>
      </x:c>
      <x:c r="C2746" s="1" t="n">
        <x:f>Source!C2740</x:f>
        <x:v>70</x:v>
      </x:c>
      <x:c r="D2746" s="8" t="n">
        <x:f>Source!D2740/100</x:f>
        <x:v>54.96</x:v>
      </x:c>
      <x:c r="E2746" s="8" t="n">
        <x:f>Source!E2740/100</x:f>
        <x:v>69.96</x:v>
      </x:c>
      <x:c r="F2746" s="8" t="n">
        <x:f>Source!F2740/100</x:f>
        <x:v>0</x:v>
      </x:c>
      <x:c r="G2746" s="8" t="n">
        <x:f>Source!G2740/100</x:f>
        <x:v>69.96</x:v>
      </x:c>
      <x:c r="H2746" s="8" t="n">
        <x:f>G2746-D2746</x:f>
        <x:v>14.999999999999993</x:v>
      </x:c>
      <x:c r="I2746" s="1" t="str">
        <x:f>IF(H2746&gt;0,"Overbilled","Shortfall")</x:f>
        <x:v>Overbilled</x:v>
      </x:c>
      <x:c r="J2746" s="7"/>
      <x:c r="K2746" s="7" t="str">
        <x:v>Open</x:v>
      </x:c>
      <x:c r="L2746" s="7"/>
    </x:row>
    <x:row r="2747" ht="21" customHeight="1">
      <x:c r="A2747" s="1" t="str">
        <x:f>Source!A2741</x:f>
        <x:v>C0005215</x:v>
      </x:c>
      <x:c r="B2747" s="1" t="str">
        <x:f>_xlfn.IFNA(VLOOKUP(Source!B2741,Advertisers!$A$5:$B$34,2,FALSE),"Missing advertiser")</x:f>
        <x:v>Synthetic advertiser 24</x:v>
      </x:c>
      <x:c r="C2747" s="1" t="n">
        <x:f>Source!C2741</x:f>
        <x:v>84</x:v>
      </x:c>
      <x:c r="D2747" s="8" t="n">
        <x:f>Source!D2741/100</x:f>
        <x:v>461.02</x:v>
      </x:c>
      <x:c r="E2747" s="8" t="n">
        <x:f>Source!E2741/100</x:f>
        <x:v>476.02</x:v>
      </x:c>
      <x:c r="F2747" s="8" t="n">
        <x:f>Source!F2741/100</x:f>
        <x:v>0</x:v>
      </x:c>
      <x:c r="G2747" s="8" t="n">
        <x:f>Source!G2741/100</x:f>
        <x:v>476.02</x:v>
      </x:c>
      <x:c r="H2747" s="8" t="n">
        <x:f>G2747-D2747</x:f>
        <x:v>15</x:v>
      </x:c>
      <x:c r="I2747" s="1" t="str">
        <x:f>IF(H2747&gt;0,"Overbilled","Shortfall")</x:f>
        <x:v>Overbilled</x:v>
      </x:c>
      <x:c r="J2747" s="7"/>
      <x:c r="K2747" s="7" t="str">
        <x:v>Open</x:v>
      </x:c>
      <x:c r="L2747" s="7"/>
    </x:row>
    <x:row r="2748" ht="21" customHeight="1">
      <x:c r="A2748" s="1" t="str">
        <x:f>Source!A2742</x:f>
        <x:v>C0005219</x:v>
      </x:c>
      <x:c r="B2748" s="1" t="str">
        <x:f>_xlfn.IFNA(VLOOKUP(Source!B2742,Advertisers!$A$5:$B$34,2,FALSE),"Missing advertiser")</x:f>
        <x:v>Synthetic advertiser 23</x:v>
      </x:c>
      <x:c r="C2748" s="1" t="n">
        <x:f>Source!C2742</x:f>
        <x:v>113</x:v>
      </x:c>
      <x:c r="D2748" s="8" t="n">
        <x:f>Source!D2742/100</x:f>
        <x:v>153.53</x:v>
      </x:c>
      <x:c r="E2748" s="8" t="n">
        <x:f>Source!E2742/100</x:f>
        <x:v>168.53</x:v>
      </x:c>
      <x:c r="F2748" s="8" t="n">
        <x:f>Source!F2742/100</x:f>
        <x:v>0</x:v>
      </x:c>
      <x:c r="G2748" s="8" t="n">
        <x:f>Source!G2742/100</x:f>
        <x:v>168.53</x:v>
      </x:c>
      <x:c r="H2748" s="8" t="n">
        <x:f>G2748-D2748</x:f>
        <x:v>15</x:v>
      </x:c>
      <x:c r="I2748" s="1" t="str">
        <x:f>IF(H2748&gt;0,"Overbilled","Shortfall")</x:f>
        <x:v>Overbilled</x:v>
      </x:c>
      <x:c r="J2748" s="7"/>
      <x:c r="K2748" s="7" t="str">
        <x:v>Open</x:v>
      </x:c>
      <x:c r="L2748" s="7"/>
    </x:row>
    <x:row r="2749" ht="21" customHeight="1">
      <x:c r="A2749" s="1" t="str">
        <x:f>Source!A2743</x:f>
        <x:v>C0005236</x:v>
      </x:c>
      <x:c r="B2749" s="1" t="str">
        <x:f>_xlfn.IFNA(VLOOKUP(Source!B2743,Advertisers!$A$5:$B$34,2,FALSE),"Missing advertiser")</x:f>
        <x:v>Synthetic advertiser 19</x:v>
      </x:c>
      <x:c r="C2749" s="1" t="n">
        <x:f>Source!C2743</x:f>
        <x:v>109</x:v>
      </x:c>
      <x:c r="D2749" s="8" t="n">
        <x:f>Source!D2743/100</x:f>
        <x:v>213.3</x:v>
      </x:c>
      <x:c r="E2749" s="8" t="n">
        <x:f>Source!E2743/100</x:f>
        <x:v>228.3</x:v>
      </x:c>
      <x:c r="F2749" s="8" t="n">
        <x:f>Source!F2743/100</x:f>
        <x:v>0</x:v>
      </x:c>
      <x:c r="G2749" s="8" t="n">
        <x:f>Source!G2743/100</x:f>
        <x:v>228.3</x:v>
      </x:c>
      <x:c r="H2749" s="8" t="n">
        <x:f>G2749-D2749</x:f>
        <x:v>15</x:v>
      </x:c>
      <x:c r="I2749" s="1" t="str">
        <x:f>IF(H2749&gt;0,"Overbilled","Shortfall")</x:f>
        <x:v>Overbilled</x:v>
      </x:c>
      <x:c r="J2749" s="7"/>
      <x:c r="K2749" s="7" t="str">
        <x:v>Open</x:v>
      </x:c>
      <x:c r="L2749" s="7"/>
    </x:row>
    <x:row r="2750" ht="21" customHeight="1">
      <x:c r="A2750" s="1" t="str">
        <x:f>Source!A2744</x:f>
        <x:v>C0005282</x:v>
      </x:c>
      <x:c r="B2750" s="1" t="str">
        <x:f>_xlfn.IFNA(VLOOKUP(Source!B2744,Advertisers!$A$5:$B$34,2,FALSE),"Missing advertiser")</x:f>
        <x:v>Synthetic advertiser 24</x:v>
      </x:c>
      <x:c r="C2750" s="1" t="n">
        <x:f>Source!C2744</x:f>
        <x:v>54</x:v>
      </x:c>
      <x:c r="D2750" s="8" t="n">
        <x:f>Source!D2744/100</x:f>
        <x:v>84.62</x:v>
      </x:c>
      <x:c r="E2750" s="8" t="n">
        <x:f>Source!E2744/100</x:f>
        <x:v>99.62</x:v>
      </x:c>
      <x:c r="F2750" s="8" t="n">
        <x:f>Source!F2744/100</x:f>
        <x:v>0</x:v>
      </x:c>
      <x:c r="G2750" s="8" t="n">
        <x:f>Source!G2744/100</x:f>
        <x:v>99.62</x:v>
      </x:c>
      <x:c r="H2750" s="8" t="n">
        <x:f>G2750-D2750</x:f>
        <x:v>15</x:v>
      </x:c>
      <x:c r="I2750" s="1" t="str">
        <x:f>IF(H2750&gt;0,"Overbilled","Shortfall")</x:f>
        <x:v>Overbilled</x:v>
      </x:c>
      <x:c r="J2750" s="7"/>
      <x:c r="K2750" s="7" t="str">
        <x:v>Open</x:v>
      </x:c>
      <x:c r="L2750" s="7"/>
    </x:row>
    <x:row r="2751" ht="21" customHeight="1">
      <x:c r="A2751" s="1" t="str">
        <x:f>Source!A2745</x:f>
        <x:v>C0005295</x:v>
      </x:c>
      <x:c r="B2751" s="1" t="str">
        <x:f>_xlfn.IFNA(VLOOKUP(Source!B2745,Advertisers!$A$5:$B$34,2,FALSE),"Missing advertiser")</x:f>
        <x:v>Synthetic advertiser 7</x:v>
      </x:c>
      <x:c r="C2751" s="1" t="n">
        <x:f>Source!C2745</x:f>
        <x:v>37</x:v>
      </x:c>
      <x:c r="D2751" s="8" t="n">
        <x:f>Source!D2745/100</x:f>
        <x:v>151.01</x:v>
      </x:c>
      <x:c r="E2751" s="8" t="n">
        <x:f>Source!E2745/100</x:f>
        <x:v>166.01</x:v>
      </x:c>
      <x:c r="F2751" s="8" t="n">
        <x:f>Source!F2745/100</x:f>
        <x:v>0</x:v>
      </x:c>
      <x:c r="G2751" s="8" t="n">
        <x:f>Source!G2745/100</x:f>
        <x:v>166.01</x:v>
      </x:c>
      <x:c r="H2751" s="8" t="n">
        <x:f>G2751-D2751</x:f>
        <x:v>15</x:v>
      </x:c>
      <x:c r="I2751" s="1" t="str">
        <x:f>IF(H2751&gt;0,"Overbilled","Shortfall")</x:f>
        <x:v>Overbilled</x:v>
      </x:c>
      <x:c r="J2751" s="7"/>
      <x:c r="K2751" s="7" t="str">
        <x:v>Open</x:v>
      </x:c>
      <x:c r="L2751" s="7"/>
    </x:row>
    <x:row r="2752" ht="21" customHeight="1">
      <x:c r="A2752" s="1" t="str">
        <x:f>Source!A2746</x:f>
        <x:v>C0005319</x:v>
      </x:c>
      <x:c r="B2752" s="1" t="str">
        <x:f>_xlfn.IFNA(VLOOKUP(Source!B2746,Advertisers!$A$5:$B$34,2,FALSE),"Missing advertiser")</x:f>
        <x:v>Synthetic advertiser 20</x:v>
      </x:c>
      <x:c r="C2752" s="1" t="n">
        <x:f>Source!C2746</x:f>
        <x:v>50</x:v>
      </x:c>
      <x:c r="D2752" s="8" t="n">
        <x:f>Source!D2746/100</x:f>
        <x:v>171.19</x:v>
      </x:c>
      <x:c r="E2752" s="8" t="n">
        <x:f>Source!E2746/100</x:f>
        <x:v>186.19</x:v>
      </x:c>
      <x:c r="F2752" s="8" t="n">
        <x:f>Source!F2746/100</x:f>
        <x:v>0</x:v>
      </x:c>
      <x:c r="G2752" s="8" t="n">
        <x:f>Source!G2746/100</x:f>
        <x:v>186.19</x:v>
      </x:c>
      <x:c r="H2752" s="8" t="n">
        <x:f>G2752-D2752</x:f>
        <x:v>15</x:v>
      </x:c>
      <x:c r="I2752" s="1" t="str">
        <x:f>IF(H2752&gt;0,"Overbilled","Shortfall")</x:f>
        <x:v>Overbilled</x:v>
      </x:c>
      <x:c r="J2752" s="7"/>
      <x:c r="K2752" s="7" t="str">
        <x:v>Open</x:v>
      </x:c>
      <x:c r="L2752" s="7"/>
    </x:row>
    <x:row r="2753" ht="21" customHeight="1">
      <x:c r="A2753" s="1" t="str">
        <x:f>Source!A2747</x:f>
        <x:v>C0012920</x:v>
      </x:c>
      <x:c r="B2753" s="1" t="str">
        <x:f>_xlfn.IFNA(VLOOKUP(Source!B2747,Advertisers!$A$5:$B$34,2,FALSE),"Missing advertiser")</x:f>
        <x:v>Synthetic advertiser 18</x:v>
      </x:c>
      <x:c r="C2753" s="1" t="n">
        <x:f>Source!C2747</x:f>
        <x:v>78</x:v>
      </x:c>
      <x:c r="D2753" s="8" t="n">
        <x:f>Source!D2747/100</x:f>
        <x:v>219.58</x:v>
      </x:c>
      <x:c r="E2753" s="8" t="n">
        <x:f>Source!E2747/100</x:f>
        <x:v>234.58</x:v>
      </x:c>
      <x:c r="F2753" s="8" t="n">
        <x:f>Source!F2747/100</x:f>
        <x:v>0</x:v>
      </x:c>
      <x:c r="G2753" s="8" t="n">
        <x:f>Source!G2747/100</x:f>
        <x:v>234.58</x:v>
      </x:c>
      <x:c r="H2753" s="8" t="n">
        <x:f>G2753-D2753</x:f>
        <x:v>15</x:v>
      </x:c>
      <x:c r="I2753" s="1" t="str">
        <x:f>IF(H2753&gt;0,"Overbilled","Shortfall")</x:f>
        <x:v>Overbilled</x:v>
      </x:c>
      <x:c r="J2753" s="7"/>
      <x:c r="K2753" s="7" t="str">
        <x:v>Open</x:v>
      </x:c>
      <x:c r="L2753" s="7"/>
    </x:row>
    <x:row r="2754" ht="21" customHeight="1">
      <x:c r="A2754" s="1" t="str">
        <x:f>Source!A2748</x:f>
        <x:v>C0012930</x:v>
      </x:c>
      <x:c r="B2754" s="1" t="str">
        <x:f>_xlfn.IFNA(VLOOKUP(Source!B2748,Advertisers!$A$5:$B$34,2,FALSE),"Missing advertiser")</x:f>
        <x:v>Synthetic advertiser 4</x:v>
      </x:c>
      <x:c r="C2754" s="1" t="n">
        <x:f>Source!C2748</x:f>
        <x:v>64</x:v>
      </x:c>
      <x:c r="D2754" s="8" t="n">
        <x:f>Source!D2748/100</x:f>
        <x:v>496.14</x:v>
      </x:c>
      <x:c r="E2754" s="8" t="n">
        <x:f>Source!E2748/100</x:f>
        <x:v>511.14</x:v>
      </x:c>
      <x:c r="F2754" s="8" t="n">
        <x:f>Source!F2748/100</x:f>
        <x:v>0</x:v>
      </x:c>
      <x:c r="G2754" s="8" t="n">
        <x:f>Source!G2748/100</x:f>
        <x:v>511.14</x:v>
      </x:c>
      <x:c r="H2754" s="8" t="n">
        <x:f>G2754-D2754</x:f>
        <x:v>15</x:v>
      </x:c>
      <x:c r="I2754" s="1" t="str">
        <x:f>IF(H2754&gt;0,"Overbilled","Shortfall")</x:f>
        <x:v>Overbilled</x:v>
      </x:c>
      <x:c r="J2754" s="7"/>
      <x:c r="K2754" s="7" t="str">
        <x:v>Open</x:v>
      </x:c>
      <x:c r="L2754" s="7"/>
    </x:row>
    <x:row r="2755" ht="21" customHeight="1">
      <x:c r="A2755" s="1" t="str">
        <x:f>Source!A2749</x:f>
        <x:v>C0012938</x:v>
      </x:c>
      <x:c r="B2755" s="1" t="str">
        <x:f>_xlfn.IFNA(VLOOKUP(Source!B2749,Advertisers!$A$5:$B$34,2,FALSE),"Missing advertiser")</x:f>
        <x:v>Synthetic advertiser 16</x:v>
      </x:c>
      <x:c r="C2755" s="1" t="n">
        <x:f>Source!C2749</x:f>
        <x:v>16</x:v>
      </x:c>
      <x:c r="D2755" s="8" t="n">
        <x:f>Source!D2749/100</x:f>
        <x:v>84.12</x:v>
      </x:c>
      <x:c r="E2755" s="8" t="n">
        <x:f>Source!E2749/100</x:f>
        <x:v>99.12</x:v>
      </x:c>
      <x:c r="F2755" s="8" t="n">
        <x:f>Source!F2749/100</x:f>
        <x:v>0</x:v>
      </x:c>
      <x:c r="G2755" s="8" t="n">
        <x:f>Source!G2749/100</x:f>
        <x:v>99.12</x:v>
      </x:c>
      <x:c r="H2755" s="8" t="n">
        <x:f>G2755-D2755</x:f>
        <x:v>15</x:v>
      </x:c>
      <x:c r="I2755" s="1" t="str">
        <x:f>IF(H2755&gt;0,"Overbilled","Shortfall")</x:f>
        <x:v>Overbilled</x:v>
      </x:c>
      <x:c r="J2755" s="7"/>
      <x:c r="K2755" s="7" t="str">
        <x:v>Open</x:v>
      </x:c>
      <x:c r="L2755" s="7"/>
    </x:row>
    <x:row r="2756" ht="21" customHeight="1">
      <x:c r="A2756" s="1" t="str">
        <x:f>Source!A2750</x:f>
        <x:v>C0012970</x:v>
      </x:c>
      <x:c r="B2756" s="1" t="str">
        <x:f>_xlfn.IFNA(VLOOKUP(Source!B2750,Advertisers!$A$5:$B$34,2,FALSE),"Missing advertiser")</x:f>
        <x:v>Synthetic advertiser 28</x:v>
      </x:c>
      <x:c r="C2756" s="1" t="n">
        <x:f>Source!C2750</x:f>
        <x:v>88</x:v>
      </x:c>
      <x:c r="D2756" s="8" t="n">
        <x:f>Source!D2750/100</x:f>
        <x:v>136.26</x:v>
      </x:c>
      <x:c r="E2756" s="8" t="n">
        <x:f>Source!E2750/100</x:f>
        <x:v>151.26</x:v>
      </x:c>
      <x:c r="F2756" s="8" t="n">
        <x:f>Source!F2750/100</x:f>
        <x:v>0</x:v>
      </x:c>
      <x:c r="G2756" s="8" t="n">
        <x:f>Source!G2750/100</x:f>
        <x:v>151.26</x:v>
      </x:c>
      <x:c r="H2756" s="8" t="n">
        <x:f>G2756-D2756</x:f>
        <x:v>15</x:v>
      </x:c>
      <x:c r="I2756" s="1" t="str">
        <x:f>IF(H2756&gt;0,"Overbilled","Shortfall")</x:f>
        <x:v>Overbilled</x:v>
      </x:c>
      <x:c r="J2756" s="7"/>
      <x:c r="K2756" s="7" t="str">
        <x:v>Open</x:v>
      </x:c>
      <x:c r="L2756" s="7"/>
    </x:row>
    <x:row r="2757" ht="21" customHeight="1">
      <x:c r="A2757" s="1" t="str">
        <x:f>Source!A2751</x:f>
        <x:v>C0012985</x:v>
      </x:c>
      <x:c r="B2757" s="1" t="str">
        <x:f>_xlfn.IFNA(VLOOKUP(Source!B2751,Advertisers!$A$5:$B$34,2,FALSE),"Missing advertiser")</x:f>
        <x:v>Synthetic advertiser 22</x:v>
      </x:c>
      <x:c r="C2757" s="1" t="n">
        <x:f>Source!C2751</x:f>
        <x:v>52</x:v>
      </x:c>
      <x:c r="D2757" s="8" t="n">
        <x:f>Source!D2751/100</x:f>
        <x:v>162.08</x:v>
      </x:c>
      <x:c r="E2757" s="8" t="n">
        <x:f>Source!E2751/100</x:f>
        <x:v>177.08</x:v>
      </x:c>
      <x:c r="F2757" s="8" t="n">
        <x:f>Source!F2751/100</x:f>
        <x:v>0</x:v>
      </x:c>
      <x:c r="G2757" s="8" t="n">
        <x:f>Source!G2751/100</x:f>
        <x:v>177.08</x:v>
      </x:c>
      <x:c r="H2757" s="8" t="n">
        <x:f>G2757-D2757</x:f>
        <x:v>15</x:v>
      </x:c>
      <x:c r="I2757" s="1" t="str">
        <x:f>IF(H2757&gt;0,"Overbilled","Shortfall")</x:f>
        <x:v>Overbilled</x:v>
      </x:c>
      <x:c r="J2757" s="7"/>
      <x:c r="K2757" s="7" t="str">
        <x:v>Open</x:v>
      </x:c>
      <x:c r="L2757" s="7"/>
    </x:row>
    <x:row r="2758" ht="21" customHeight="1">
      <x:c r="A2758" s="1" t="str">
        <x:f>Source!A2752</x:f>
        <x:v>C0013019</x:v>
      </x:c>
      <x:c r="B2758" s="1" t="str">
        <x:f>_xlfn.IFNA(VLOOKUP(Source!B2752,Advertisers!$A$5:$B$34,2,FALSE),"Missing advertiser")</x:f>
        <x:v>Synthetic advertiser 9</x:v>
      </x:c>
      <x:c r="C2758" s="1" t="n">
        <x:f>Source!C2752</x:f>
        <x:v>39</x:v>
      </x:c>
      <x:c r="D2758" s="8" t="n">
        <x:f>Source!D2752/100</x:f>
        <x:v>90.47</x:v>
      </x:c>
      <x:c r="E2758" s="8" t="n">
        <x:f>Source!E2752/100</x:f>
        <x:v>105.47</x:v>
      </x:c>
      <x:c r="F2758" s="8" t="n">
        <x:f>Source!F2752/100</x:f>
        <x:v>0</x:v>
      </x:c>
      <x:c r="G2758" s="8" t="n">
        <x:f>Source!G2752/100</x:f>
        <x:v>105.47</x:v>
      </x:c>
      <x:c r="H2758" s="8" t="n">
        <x:f>G2758-D2758</x:f>
        <x:v>15</x:v>
      </x:c>
      <x:c r="I2758" s="1" t="str">
        <x:f>IF(H2758&gt;0,"Overbilled","Shortfall")</x:f>
        <x:v>Overbilled</x:v>
      </x:c>
      <x:c r="J2758" s="7"/>
      <x:c r="K2758" s="7" t="str">
        <x:v>Open</x:v>
      </x:c>
      <x:c r="L2758" s="7"/>
    </x:row>
    <x:row r="2759" ht="21" customHeight="1">
      <x:c r="A2759" s="1" t="str">
        <x:f>Source!A2753</x:f>
        <x:v>C0013026</x:v>
      </x:c>
      <x:c r="B2759" s="1" t="str">
        <x:f>_xlfn.IFNA(VLOOKUP(Source!B2753,Advertisers!$A$5:$B$34,2,FALSE),"Missing advertiser")</x:f>
        <x:v>Synthetic advertiser 25</x:v>
      </x:c>
      <x:c r="C2759" s="1" t="n">
        <x:f>Source!C2753</x:f>
        <x:v>115</x:v>
      </x:c>
      <x:c r="D2759" s="8" t="n">
        <x:f>Source!D2753/100</x:f>
        <x:v>228.6</x:v>
      </x:c>
      <x:c r="E2759" s="8" t="n">
        <x:f>Source!E2753/100</x:f>
        <x:v>243.6</x:v>
      </x:c>
      <x:c r="F2759" s="8" t="n">
        <x:f>Source!F2753/100</x:f>
        <x:v>0</x:v>
      </x:c>
      <x:c r="G2759" s="8" t="n">
        <x:f>Source!G2753/100</x:f>
        <x:v>243.6</x:v>
      </x:c>
      <x:c r="H2759" s="8" t="n">
        <x:f>G2759-D2759</x:f>
        <x:v>15</x:v>
      </x:c>
      <x:c r="I2759" s="1" t="str">
        <x:f>IF(H2759&gt;0,"Overbilled","Shortfall")</x:f>
        <x:v>Overbilled</x:v>
      </x:c>
      <x:c r="J2759" s="7"/>
      <x:c r="K2759" s="7" t="str">
        <x:v>Open</x:v>
      </x:c>
      <x:c r="L2759" s="7"/>
    </x:row>
    <x:row r="2760" ht="21" customHeight="1">
      <x:c r="A2760" s="1" t="str">
        <x:f>Source!A2754</x:f>
        <x:v>C0005207</x:v>
      </x:c>
      <x:c r="B2760" s="1" t="str">
        <x:f>_xlfn.IFNA(VLOOKUP(Source!B2754,Advertisers!$A$5:$B$34,2,FALSE),"Missing advertiser")</x:f>
        <x:v>Synthetic advertiser 16</x:v>
      </x:c>
      <x:c r="C2760" s="1" t="n">
        <x:f>Source!C2754</x:f>
        <x:v>106</x:v>
      </x:c>
      <x:c r="D2760" s="8" t="n">
        <x:f>Source!D2754/100</x:f>
        <x:v>143.68</x:v>
      </x:c>
      <x:c r="E2760" s="8" t="n">
        <x:f>Source!E2754/100</x:f>
        <x:v>158.68</x:v>
      </x:c>
      <x:c r="F2760" s="8" t="n">
        <x:f>Source!F2754/100</x:f>
        <x:v>0</x:v>
      </x:c>
      <x:c r="G2760" s="8" t="n">
        <x:f>Source!G2754/100</x:f>
        <x:v>158.68</x:v>
      </x:c>
      <x:c r="H2760" s="8" t="n">
        <x:f>G2760-D2760</x:f>
        <x:v>15</x:v>
      </x:c>
      <x:c r="I2760" s="1" t="str">
        <x:f>IF(H2760&gt;0,"Overbilled","Shortfall")</x:f>
        <x:v>Overbilled</x:v>
      </x:c>
      <x:c r="J2760" s="7"/>
      <x:c r="K2760" s="7" t="str">
        <x:v>Open</x:v>
      </x:c>
      <x:c r="L2760" s="7"/>
    </x:row>
    <x:row r="2761" ht="21" customHeight="1">
      <x:c r="A2761" s="1" t="str">
        <x:f>Source!A2755</x:f>
        <x:v>C0006916</x:v>
      </x:c>
      <x:c r="B2761" s="1" t="str">
        <x:f>_xlfn.IFNA(VLOOKUP(Source!B2755,Advertisers!$A$5:$B$34,2,FALSE),"Missing advertiser")</x:f>
        <x:v>Synthetic advertiser 11</x:v>
      </x:c>
      <x:c r="C2761" s="1" t="n">
        <x:f>Source!C2755</x:f>
        <x:v>71</x:v>
      </x:c>
      <x:c r="D2761" s="8" t="n">
        <x:f>Source!D2755/100</x:f>
        <x:v>306.04</x:v>
      </x:c>
      <x:c r="E2761" s="8" t="n">
        <x:f>Source!E2755/100</x:f>
        <x:v>321.04</x:v>
      </x:c>
      <x:c r="F2761" s="8" t="n">
        <x:f>Source!F2755/100</x:f>
        <x:v>0</x:v>
      </x:c>
      <x:c r="G2761" s="8" t="n">
        <x:f>Source!G2755/100</x:f>
        <x:v>321.04</x:v>
      </x:c>
      <x:c r="H2761" s="8" t="n">
        <x:f>G2761-D2761</x:f>
        <x:v>15</x:v>
      </x:c>
      <x:c r="I2761" s="1" t="str">
        <x:f>IF(H2761&gt;0,"Overbilled","Shortfall")</x:f>
        <x:v>Overbilled</x:v>
      </x:c>
      <x:c r="J2761" s="7"/>
      <x:c r="K2761" s="7" t="str">
        <x:v>Open</x:v>
      </x:c>
      <x:c r="L2761" s="7"/>
    </x:row>
    <x:row r="2762" ht="21" customHeight="1">
      <x:c r="A2762" s="1" t="str">
        <x:f>Source!A2756</x:f>
        <x:v>C0006938</x:v>
      </x:c>
      <x:c r="B2762" s="1" t="str">
        <x:f>_xlfn.IFNA(VLOOKUP(Source!B2756,Advertisers!$A$5:$B$34,2,FALSE),"Missing advertiser")</x:f>
        <x:v>Synthetic advertiser 23</x:v>
      </x:c>
      <x:c r="C2762" s="1" t="n">
        <x:f>Source!C2756</x:f>
        <x:v>113</x:v>
      </x:c>
      <x:c r="D2762" s="8" t="n">
        <x:f>Source!D2756/100</x:f>
        <x:v>128.66</x:v>
      </x:c>
      <x:c r="E2762" s="8" t="n">
        <x:f>Source!E2756/100</x:f>
        <x:v>143.66</x:v>
      </x:c>
      <x:c r="F2762" s="8" t="n">
        <x:f>Source!F2756/100</x:f>
        <x:v>0</x:v>
      </x:c>
      <x:c r="G2762" s="8" t="n">
        <x:f>Source!G2756/100</x:f>
        <x:v>143.66</x:v>
      </x:c>
      <x:c r="H2762" s="8" t="n">
        <x:f>G2762-D2762</x:f>
        <x:v>15</x:v>
      </x:c>
      <x:c r="I2762" s="1" t="str">
        <x:f>IF(H2762&gt;0,"Overbilled","Shortfall")</x:f>
        <x:v>Overbilled</x:v>
      </x:c>
      <x:c r="J2762" s="7"/>
      <x:c r="K2762" s="7" t="str">
        <x:v>Open</x:v>
      </x:c>
      <x:c r="L2762" s="7"/>
    </x:row>
    <x:row r="2763" ht="21" customHeight="1">
      <x:c r="A2763" s="1" t="str">
        <x:f>Source!A2757</x:f>
        <x:v>C0006947</x:v>
      </x:c>
      <x:c r="B2763" s="1" t="str">
        <x:f>_xlfn.IFNA(VLOOKUP(Source!B2757,Advertisers!$A$5:$B$34,2,FALSE),"Missing advertiser")</x:f>
        <x:v>Synthetic advertiser 5</x:v>
      </x:c>
      <x:c r="C2763" s="1" t="n">
        <x:f>Source!C2757</x:f>
        <x:v>95</x:v>
      </x:c>
      <x:c r="D2763" s="8" t="n">
        <x:f>Source!D2757/100</x:f>
        <x:v>74.83</x:v>
      </x:c>
      <x:c r="E2763" s="8" t="n">
        <x:f>Source!E2757/100</x:f>
        <x:v>89.83</x:v>
      </x:c>
      <x:c r="F2763" s="8" t="n">
        <x:f>Source!F2757/100</x:f>
        <x:v>0</x:v>
      </x:c>
      <x:c r="G2763" s="8" t="n">
        <x:f>Source!G2757/100</x:f>
        <x:v>89.83</x:v>
      </x:c>
      <x:c r="H2763" s="8" t="n">
        <x:f>G2763-D2763</x:f>
        <x:v>15</x:v>
      </x:c>
      <x:c r="I2763" s="1" t="str">
        <x:f>IF(H2763&gt;0,"Overbilled","Shortfall")</x:f>
        <x:v>Overbilled</x:v>
      </x:c>
      <x:c r="J2763" s="7"/>
      <x:c r="K2763" s="7" t="str">
        <x:v>Open</x:v>
      </x:c>
      <x:c r="L2763" s="7"/>
    </x:row>
    <x:row r="2764" ht="21" customHeight="1">
      <x:c r="A2764" s="1" t="str">
        <x:f>Source!A2758</x:f>
        <x:v>C0011455</x:v>
      </x:c>
      <x:c r="B2764" s="1" t="str">
        <x:f>_xlfn.IFNA(VLOOKUP(Source!B2758,Advertisers!$A$5:$B$34,2,FALSE),"Missing advertiser")</x:f>
        <x:v>Synthetic advertiser 2</x:v>
      </x:c>
      <x:c r="C2764" s="1" t="n">
        <x:f>Source!C2758</x:f>
        <x:v>92</x:v>
      </x:c>
      <x:c r="D2764" s="8" t="n">
        <x:f>Source!D2758/100</x:f>
        <x:v>249.04</x:v>
      </x:c>
      <x:c r="E2764" s="8" t="n">
        <x:f>Source!E2758/100</x:f>
        <x:v>264.04</x:v>
      </x:c>
      <x:c r="F2764" s="8" t="n">
        <x:f>Source!F2758/100</x:f>
        <x:v>0</x:v>
      </x:c>
      <x:c r="G2764" s="8" t="n">
        <x:f>Source!G2758/100</x:f>
        <x:v>264.04</x:v>
      </x:c>
      <x:c r="H2764" s="8" t="n">
        <x:f>G2764-D2764</x:f>
        <x:v>15.000000000000028</x:v>
      </x:c>
      <x:c r="I2764" s="1" t="str">
        <x:f>IF(H2764&gt;0,"Overbilled","Shortfall")</x:f>
        <x:v>Overbilled</x:v>
      </x:c>
      <x:c r="J2764" s="7"/>
      <x:c r="K2764" s="7" t="str">
        <x:v>Open</x:v>
      </x:c>
      <x:c r="L2764" s="7"/>
    </x:row>
    <x:row r="2765" ht="21" customHeight="1">
      <x:c r="A2765" s="1" t="str">
        <x:f>Source!A2759</x:f>
        <x:v>C0013336</x:v>
      </x:c>
      <x:c r="B2765" s="1" t="str">
        <x:f>_xlfn.IFNA(VLOOKUP(Source!B2759,Advertisers!$A$5:$B$34,2,FALSE),"Missing advertiser")</x:f>
        <x:v>Synthetic advertiser 12</x:v>
      </x:c>
      <x:c r="C2765" s="1" t="n">
        <x:f>Source!C2759</x:f>
        <x:v>102</x:v>
      </x:c>
      <x:c r="D2765" s="8" t="n">
        <x:f>Source!D2759/100</x:f>
        <x:v>446.24</x:v>
      </x:c>
      <x:c r="E2765" s="8" t="n">
        <x:f>Source!E2759/100</x:f>
        <x:v>461.24</x:v>
      </x:c>
      <x:c r="F2765" s="8" t="n">
        <x:f>Source!F2759/100</x:f>
        <x:v>0</x:v>
      </x:c>
      <x:c r="G2765" s="8" t="n">
        <x:f>Source!G2759/100</x:f>
        <x:v>461.24</x:v>
      </x:c>
      <x:c r="H2765" s="8" t="n">
        <x:f>G2765-D2765</x:f>
        <x:v>15</x:v>
      </x:c>
      <x:c r="I2765" s="1" t="str">
        <x:f>IF(H2765&gt;0,"Overbilled","Shortfall")</x:f>
        <x:v>Overbilled</x:v>
      </x:c>
      <x:c r="J2765" s="7"/>
      <x:c r="K2765" s="7" t="str">
        <x:v>Open</x:v>
      </x:c>
      <x:c r="L2765" s="7"/>
    </x:row>
    <x:row r="2766" ht="21" customHeight="1">
      <x:c r="A2766" s="1" t="str">
        <x:f>Source!A2760</x:f>
        <x:v>C0013369</x:v>
      </x:c>
      <x:c r="B2766" s="1" t="str">
        <x:f>_xlfn.IFNA(VLOOKUP(Source!B2760,Advertisers!$A$5:$B$34,2,FALSE),"Missing advertiser")</x:f>
        <x:v>Synthetic advertiser 6</x:v>
      </x:c>
      <x:c r="C2766" s="1" t="n">
        <x:f>Source!C2760</x:f>
        <x:v>36</x:v>
      </x:c>
      <x:c r="D2766" s="8" t="n">
        <x:f>Source!D2760/100</x:f>
        <x:v>205.8</x:v>
      </x:c>
      <x:c r="E2766" s="8" t="n">
        <x:f>Source!E2760/100</x:f>
        <x:v>220.8</x:v>
      </x:c>
      <x:c r="F2766" s="8" t="n">
        <x:f>Source!F2760/100</x:f>
        <x:v>0</x:v>
      </x:c>
      <x:c r="G2766" s="8" t="n">
        <x:f>Source!G2760/100</x:f>
        <x:v>220.8</x:v>
      </x:c>
      <x:c r="H2766" s="8" t="n">
        <x:f>G2766-D2766</x:f>
        <x:v>15</x:v>
      </x:c>
      <x:c r="I2766" s="1" t="str">
        <x:f>IF(H2766&gt;0,"Overbilled","Shortfall")</x:f>
        <x:v>Overbilled</x:v>
      </x:c>
      <x:c r="J2766" s="7"/>
      <x:c r="K2766" s="7" t="str">
        <x:v>Open</x:v>
      </x:c>
      <x:c r="L2766" s="7"/>
    </x:row>
    <x:row r="2767" ht="21" customHeight="1">
      <x:c r="A2767" s="1" t="str">
        <x:f>Source!A2761</x:f>
        <x:v>C0013377</x:v>
      </x:c>
      <x:c r="B2767" s="1" t="str">
        <x:f>_xlfn.IFNA(VLOOKUP(Source!B2761,Advertisers!$A$5:$B$34,2,FALSE),"Missing advertiser")</x:f>
        <x:v>Synthetic advertiser 26</x:v>
      </x:c>
      <x:c r="C2767" s="1" t="n">
        <x:f>Source!C2761</x:f>
        <x:v>86</x:v>
      </x:c>
      <x:c r="D2767" s="8" t="n">
        <x:f>Source!D2761/100</x:f>
        <x:v>112.51</x:v>
      </x:c>
      <x:c r="E2767" s="8" t="n">
        <x:f>Source!E2761/100</x:f>
        <x:v>127.51</x:v>
      </x:c>
      <x:c r="F2767" s="8" t="n">
        <x:f>Source!F2761/100</x:f>
        <x:v>0</x:v>
      </x:c>
      <x:c r="G2767" s="8" t="n">
        <x:f>Source!G2761/100</x:f>
        <x:v>127.51</x:v>
      </x:c>
      <x:c r="H2767" s="8" t="n">
        <x:f>G2767-D2767</x:f>
        <x:v>15</x:v>
      </x:c>
      <x:c r="I2767" s="1" t="str">
        <x:f>IF(H2767&gt;0,"Overbilled","Shortfall")</x:f>
        <x:v>Overbilled</x:v>
      </x:c>
      <x:c r="J2767" s="7"/>
      <x:c r="K2767" s="7" t="str">
        <x:v>Open</x:v>
      </x:c>
      <x:c r="L2767" s="7"/>
    </x:row>
    <x:row r="2768" ht="21" customHeight="1">
      <x:c r="A2768" s="1" t="str">
        <x:f>Source!A2762</x:f>
        <x:v>C0004441</x:v>
      </x:c>
      <x:c r="B2768" s="1" t="str">
        <x:f>_xlfn.IFNA(VLOOKUP(Source!B2762,Advertisers!$A$5:$B$34,2,FALSE),"Missing advertiser")</x:f>
        <x:v>Synthetic advertiser 28</x:v>
      </x:c>
      <x:c r="C2768" s="1" t="n">
        <x:f>Source!C2762</x:f>
        <x:v>28</x:v>
      </x:c>
      <x:c r="D2768" s="8" t="n">
        <x:f>Source!D2762/100</x:f>
        <x:v>395.34</x:v>
      </x:c>
      <x:c r="E2768" s="8" t="n">
        <x:f>Source!E2762/100</x:f>
        <x:v>410.34</x:v>
      </x:c>
      <x:c r="F2768" s="8" t="n">
        <x:f>Source!F2762/100</x:f>
        <x:v>0</x:v>
      </x:c>
      <x:c r="G2768" s="8" t="n">
        <x:f>Source!G2762/100</x:f>
        <x:v>410.34</x:v>
      </x:c>
      <x:c r="H2768" s="8" t="n">
        <x:f>G2768-D2768</x:f>
        <x:v>15</x:v>
      </x:c>
      <x:c r="I2768" s="1" t="str">
        <x:f>IF(H2768&gt;0,"Overbilled","Shortfall")</x:f>
        <x:v>Overbilled</x:v>
      </x:c>
      <x:c r="J2768" s="7"/>
      <x:c r="K2768" s="7" t="str">
        <x:v>Open</x:v>
      </x:c>
      <x:c r="L2768" s="7"/>
    </x:row>
    <x:row r="2769" ht="21" customHeight="1">
      <x:c r="A2769" s="1" t="str">
        <x:f>Source!A2763</x:f>
        <x:v>C0004447</x:v>
      </x:c>
      <x:c r="B2769" s="1" t="str">
        <x:f>_xlfn.IFNA(VLOOKUP(Source!B2763,Advertisers!$A$5:$B$34,2,FALSE),"Missing advertiser")</x:f>
        <x:v>Synthetic advertiser 20</x:v>
      </x:c>
      <x:c r="C2769" s="1" t="n">
        <x:f>Source!C2763</x:f>
        <x:v>20</x:v>
      </x:c>
      <x:c r="D2769" s="8" t="n">
        <x:f>Source!D2763/100</x:f>
        <x:v>240.58</x:v>
      </x:c>
      <x:c r="E2769" s="8" t="n">
        <x:f>Source!E2763/100</x:f>
        <x:v>255.58</x:v>
      </x:c>
      <x:c r="F2769" s="8" t="n">
        <x:f>Source!F2763/100</x:f>
        <x:v>0</x:v>
      </x:c>
      <x:c r="G2769" s="8" t="n">
        <x:f>Source!G2763/100</x:f>
        <x:v>255.58</x:v>
      </x:c>
      <x:c r="H2769" s="8" t="n">
        <x:f>G2769-D2769</x:f>
        <x:v>15</x:v>
      </x:c>
      <x:c r="I2769" s="1" t="str">
        <x:f>IF(H2769&gt;0,"Overbilled","Shortfall")</x:f>
        <x:v>Overbilled</x:v>
      </x:c>
      <x:c r="J2769" s="7"/>
      <x:c r="K2769" s="7" t="str">
        <x:v>Open</x:v>
      </x:c>
      <x:c r="L2769" s="7"/>
    </x:row>
    <x:row r="2770" ht="21" customHeight="1">
      <x:c r="A2770" s="1" t="str">
        <x:f>Source!A2764</x:f>
        <x:v>C0004467</x:v>
      </x:c>
      <x:c r="B2770" s="1" t="str">
        <x:f>_xlfn.IFNA(VLOOKUP(Source!B2764,Advertisers!$A$5:$B$34,2,FALSE),"Missing advertiser")</x:f>
        <x:v>Synthetic advertiser 5</x:v>
      </x:c>
      <x:c r="C2770" s="1" t="n">
        <x:f>Source!C2764</x:f>
        <x:v>65</x:v>
      </x:c>
      <x:c r="D2770" s="8" t="n">
        <x:f>Source!D2764/100</x:f>
        <x:v>111.27</x:v>
      </x:c>
      <x:c r="E2770" s="8" t="n">
        <x:f>Source!E2764/100</x:f>
        <x:v>126.27</x:v>
      </x:c>
      <x:c r="F2770" s="8" t="n">
        <x:f>Source!F2764/100</x:f>
        <x:v>0</x:v>
      </x:c>
      <x:c r="G2770" s="8" t="n">
        <x:f>Source!G2764/100</x:f>
        <x:v>126.27</x:v>
      </x:c>
      <x:c r="H2770" s="8" t="n">
        <x:f>G2770-D2770</x:f>
        <x:v>15</x:v>
      </x:c>
      <x:c r="I2770" s="1" t="str">
        <x:f>IF(H2770&gt;0,"Overbilled","Shortfall")</x:f>
        <x:v>Overbilled</x:v>
      </x:c>
      <x:c r="J2770" s="7"/>
      <x:c r="K2770" s="7" t="str">
        <x:v>Open</x:v>
      </x:c>
      <x:c r="L2770" s="7"/>
    </x:row>
    <x:row r="2771" ht="21" customHeight="1">
      <x:c r="A2771" s="1" t="str">
        <x:f>Source!A2765</x:f>
        <x:v>C0004490</x:v>
      </x:c>
      <x:c r="B2771" s="1" t="str">
        <x:f>_xlfn.IFNA(VLOOKUP(Source!B2765,Advertisers!$A$5:$B$34,2,FALSE),"Missing advertiser")</x:f>
        <x:v>Synthetic advertiser 2</x:v>
      </x:c>
      <x:c r="C2771" s="1" t="n">
        <x:f>Source!C2765</x:f>
        <x:v>92</x:v>
      </x:c>
      <x:c r="D2771" s="8" t="n">
        <x:f>Source!D2765/100</x:f>
        <x:v>347.66</x:v>
      </x:c>
      <x:c r="E2771" s="8" t="n">
        <x:f>Source!E2765/100</x:f>
        <x:v>362.66</x:v>
      </x:c>
      <x:c r="F2771" s="8" t="n">
        <x:f>Source!F2765/100</x:f>
        <x:v>0</x:v>
      </x:c>
      <x:c r="G2771" s="8" t="n">
        <x:f>Source!G2765/100</x:f>
        <x:v>362.66</x:v>
      </x:c>
      <x:c r="H2771" s="8" t="n">
        <x:f>G2771-D2771</x:f>
        <x:v>15</x:v>
      </x:c>
      <x:c r="I2771" s="1" t="str">
        <x:f>IF(H2771&gt;0,"Overbilled","Shortfall")</x:f>
        <x:v>Overbilled</x:v>
      </x:c>
      <x:c r="J2771" s="7"/>
      <x:c r="K2771" s="7" t="str">
        <x:v>Open</x:v>
      </x:c>
      <x:c r="L2771" s="7"/>
    </x:row>
    <x:row r="2772" ht="21" customHeight="1">
      <x:c r="A2772" s="1" t="str">
        <x:f>Source!A2766</x:f>
        <x:v>C0004499</x:v>
      </x:c>
      <x:c r="B2772" s="1" t="str">
        <x:f>_xlfn.IFNA(VLOOKUP(Source!B2766,Advertisers!$A$5:$B$34,2,FALSE),"Missing advertiser")</x:f>
        <x:v>Synthetic advertiser 6</x:v>
      </x:c>
      <x:c r="C2772" s="1" t="n">
        <x:f>Source!C2766</x:f>
        <x:v>96</x:v>
      </x:c>
      <x:c r="D2772" s="8" t="n">
        <x:f>Source!D2766/100</x:f>
        <x:v>229.46</x:v>
      </x:c>
      <x:c r="E2772" s="8" t="n">
        <x:f>Source!E2766/100</x:f>
        <x:v>244.46</x:v>
      </x:c>
      <x:c r="F2772" s="8" t="n">
        <x:f>Source!F2766/100</x:f>
        <x:v>0</x:v>
      </x:c>
      <x:c r="G2772" s="8" t="n">
        <x:f>Source!G2766/100</x:f>
        <x:v>244.46</x:v>
      </x:c>
      <x:c r="H2772" s="8" t="n">
        <x:f>G2772-D2772</x:f>
        <x:v>15</x:v>
      </x:c>
      <x:c r="I2772" s="1" t="str">
        <x:f>IF(H2772&gt;0,"Overbilled","Shortfall")</x:f>
        <x:v>Overbilled</x:v>
      </x:c>
      <x:c r="J2772" s="7"/>
      <x:c r="K2772" s="7" t="str">
        <x:v>Open</x:v>
      </x:c>
      <x:c r="L2772" s="7"/>
    </x:row>
    <x:row r="2773" ht="21" customHeight="1">
      <x:c r="A2773" s="1" t="str">
        <x:f>Source!A2767</x:f>
        <x:v>C0004520</x:v>
      </x:c>
      <x:c r="B2773" s="1" t="str">
        <x:f>_xlfn.IFNA(VLOOKUP(Source!B2767,Advertisers!$A$5:$B$34,2,FALSE),"Missing advertiser")</x:f>
        <x:v>Synthetic advertiser 21</x:v>
      </x:c>
      <x:c r="C2773" s="1" t="n">
        <x:f>Source!C2767</x:f>
        <x:v>21</x:v>
      </x:c>
      <x:c r="D2773" s="8" t="n">
        <x:f>Source!D2767/100</x:f>
        <x:v>58.98</x:v>
      </x:c>
      <x:c r="E2773" s="8" t="n">
        <x:f>Source!E2767/100</x:f>
        <x:v>73.98</x:v>
      </x:c>
      <x:c r="F2773" s="8" t="n">
        <x:f>Source!F2767/100</x:f>
        <x:v>0</x:v>
      </x:c>
      <x:c r="G2773" s="8" t="n">
        <x:f>Source!G2767/100</x:f>
        <x:v>73.98</x:v>
      </x:c>
      <x:c r="H2773" s="8" t="n">
        <x:f>G2773-D2773</x:f>
        <x:v>15.000000000000007</x:v>
      </x:c>
      <x:c r="I2773" s="1" t="str">
        <x:f>IF(H2773&gt;0,"Overbilled","Shortfall")</x:f>
        <x:v>Overbilled</x:v>
      </x:c>
      <x:c r="J2773" s="7"/>
      <x:c r="K2773" s="7" t="str">
        <x:v>Open</x:v>
      </x:c>
      <x:c r="L2773" s="7"/>
    </x:row>
    <x:row r="2774" ht="21" customHeight="1">
      <x:c r="A2774" s="1" t="str">
        <x:f>Source!A2768</x:f>
        <x:v>C0013244</x:v>
      </x:c>
      <x:c r="B2774" s="1" t="str">
        <x:f>_xlfn.IFNA(VLOOKUP(Source!B2768,Advertisers!$A$5:$B$34,2,FALSE),"Missing advertiser")</x:f>
        <x:v>Synthetic advertiser 9</x:v>
      </x:c>
      <x:c r="C2774" s="1" t="n">
        <x:f>Source!C2768</x:f>
        <x:v>69</x:v>
      </x:c>
      <x:c r="D2774" s="8" t="n">
        <x:f>Source!D2768/100</x:f>
        <x:v>128.3</x:v>
      </x:c>
      <x:c r="E2774" s="8" t="n">
        <x:f>Source!E2768/100</x:f>
        <x:v>143.3</x:v>
      </x:c>
      <x:c r="F2774" s="8" t="n">
        <x:f>Source!F2768/100</x:f>
        <x:v>0</x:v>
      </x:c>
      <x:c r="G2774" s="8" t="n">
        <x:f>Source!G2768/100</x:f>
        <x:v>143.3</x:v>
      </x:c>
      <x:c r="H2774" s="8" t="n">
        <x:f>G2774-D2774</x:f>
        <x:v>15</x:v>
      </x:c>
      <x:c r="I2774" s="1" t="str">
        <x:f>IF(H2774&gt;0,"Overbilled","Shortfall")</x:f>
        <x:v>Overbilled</x:v>
      </x:c>
      <x:c r="J2774" s="7"/>
      <x:c r="K2774" s="7" t="str">
        <x:v>Open</x:v>
      </x:c>
      <x:c r="L2774" s="7"/>
    </x:row>
    <x:row r="2775" ht="21" customHeight="1">
      <x:c r="A2775" s="1" t="str">
        <x:f>Source!A2769</x:f>
        <x:v>C0004528</x:v>
      </x:c>
      <x:c r="B2775" s="1" t="str">
        <x:f>_xlfn.IFNA(VLOOKUP(Source!B2769,Advertisers!$A$5:$B$34,2,FALSE),"Missing advertiser")</x:f>
        <x:v>Synthetic advertiser 2</x:v>
      </x:c>
      <x:c r="C2775" s="1" t="n">
        <x:f>Source!C2769</x:f>
        <x:v>92</x:v>
      </x:c>
      <x:c r="D2775" s="8" t="n">
        <x:f>Source!D2769/100</x:f>
        <x:v>347.66</x:v>
      </x:c>
      <x:c r="E2775" s="8" t="n">
        <x:f>Source!E2769/100</x:f>
        <x:v>362.66</x:v>
      </x:c>
      <x:c r="F2775" s="8" t="n">
        <x:f>Source!F2769/100</x:f>
        <x:v>0</x:v>
      </x:c>
      <x:c r="G2775" s="8" t="n">
        <x:f>Source!G2769/100</x:f>
        <x:v>362.66</x:v>
      </x:c>
      <x:c r="H2775" s="8" t="n">
        <x:f>G2775-D2775</x:f>
        <x:v>15</x:v>
      </x:c>
      <x:c r="I2775" s="1" t="str">
        <x:f>IF(H2775&gt;0,"Overbilled","Shortfall")</x:f>
        <x:v>Overbilled</x:v>
      </x:c>
      <x:c r="J2775" s="7"/>
      <x:c r="K2775" s="7" t="str">
        <x:v>Open</x:v>
      </x:c>
      <x:c r="L2775" s="7"/>
    </x:row>
    <x:row r="2776" ht="21" customHeight="1">
      <x:c r="A2776" s="1" t="str">
        <x:f>Source!A2770</x:f>
        <x:v>C0013417</x:v>
      </x:c>
      <x:c r="B2776" s="1" t="str">
        <x:f>_xlfn.IFNA(VLOOKUP(Source!B2770,Advertisers!$A$5:$B$34,2,FALSE),"Missing advertiser")</x:f>
        <x:v>Synthetic advertiser 5</x:v>
      </x:c>
      <x:c r="C2776" s="1" t="n">
        <x:f>Source!C2770</x:f>
        <x:v>35</x:v>
      </x:c>
      <x:c r="D2776" s="8" t="n">
        <x:f>Source!D2770/100</x:f>
        <x:v>130.82</x:v>
      </x:c>
      <x:c r="E2776" s="8" t="n">
        <x:f>Source!E2770/100</x:f>
        <x:v>145.82</x:v>
      </x:c>
      <x:c r="F2776" s="8" t="n">
        <x:f>Source!F2770/100</x:f>
        <x:v>0</x:v>
      </x:c>
      <x:c r="G2776" s="8" t="n">
        <x:f>Source!G2770/100</x:f>
        <x:v>145.82</x:v>
      </x:c>
      <x:c r="H2776" s="8" t="n">
        <x:f>G2776-D2776</x:f>
        <x:v>15</x:v>
      </x:c>
      <x:c r="I2776" s="1" t="str">
        <x:f>IF(H2776&gt;0,"Overbilled","Shortfall")</x:f>
        <x:v>Overbilled</x:v>
      </x:c>
      <x:c r="J2776" s="7"/>
      <x:c r="K2776" s="7" t="str">
        <x:v>Open</x:v>
      </x:c>
      <x:c r="L2776" s="7"/>
    </x:row>
    <x:row r="2777" ht="21" customHeight="1">
      <x:c r="A2777" s="1" t="str">
        <x:f>Source!A2771</x:f>
        <x:v>C0013424</x:v>
      </x:c>
      <x:c r="B2777" s="1" t="str">
        <x:f>_xlfn.IFNA(VLOOKUP(Source!B2771,Advertisers!$A$5:$B$34,2,FALSE),"Missing advertiser")</x:f>
        <x:v>Synthetic advertiser 21</x:v>
      </x:c>
      <x:c r="C2777" s="1" t="n">
        <x:f>Source!C2771</x:f>
        <x:v>81</x:v>
      </x:c>
      <x:c r="D2777" s="8" t="n">
        <x:f>Source!D2771/100</x:f>
        <x:v>118.66</x:v>
      </x:c>
      <x:c r="E2777" s="8" t="n">
        <x:f>Source!E2771/100</x:f>
        <x:v>133.66</x:v>
      </x:c>
      <x:c r="F2777" s="8" t="n">
        <x:f>Source!F2771/100</x:f>
        <x:v>0</x:v>
      </x:c>
      <x:c r="G2777" s="8" t="n">
        <x:f>Source!G2771/100</x:f>
        <x:v>133.66</x:v>
      </x:c>
      <x:c r="H2777" s="8" t="n">
        <x:f>G2777-D2777</x:f>
        <x:v>15</x:v>
      </x:c>
      <x:c r="I2777" s="1" t="str">
        <x:f>IF(H2777&gt;0,"Overbilled","Shortfall")</x:f>
        <x:v>Overbilled</x:v>
      </x:c>
      <x:c r="J2777" s="7"/>
      <x:c r="K2777" s="7" t="str">
        <x:v>Open</x:v>
      </x:c>
      <x:c r="L2777" s="7"/>
    </x:row>
    <x:row r="2778" ht="21" customHeight="1">
      <x:c r="A2778" s="1" t="str">
        <x:f>Source!A2772</x:f>
        <x:v>C0013458</x:v>
      </x:c>
      <x:c r="B2778" s="1" t="str">
        <x:f>_xlfn.IFNA(VLOOKUP(Source!B2772,Advertisers!$A$5:$B$34,2,FALSE),"Missing advertiser")</x:f>
        <x:v>Synthetic advertiser 19</x:v>
      </x:c>
      <x:c r="C2778" s="1" t="n">
        <x:f>Source!C2772</x:f>
        <x:v>109</x:v>
      </x:c>
      <x:c r="D2778" s="8" t="n">
        <x:f>Source!D2772/100</x:f>
        <x:v>140.87</x:v>
      </x:c>
      <x:c r="E2778" s="8" t="n">
        <x:f>Source!E2772/100</x:f>
        <x:v>155.87</x:v>
      </x:c>
      <x:c r="F2778" s="8" t="n">
        <x:f>Source!F2772/100</x:f>
        <x:v>0</x:v>
      </x:c>
      <x:c r="G2778" s="8" t="n">
        <x:f>Source!G2772/100</x:f>
        <x:v>155.87</x:v>
      </x:c>
      <x:c r="H2778" s="8" t="n">
        <x:f>G2778-D2778</x:f>
        <x:v>15</x:v>
      </x:c>
      <x:c r="I2778" s="1" t="str">
        <x:f>IF(H2778&gt;0,"Overbilled","Shortfall")</x:f>
        <x:v>Overbilled</x:v>
      </x:c>
      <x:c r="J2778" s="7"/>
      <x:c r="K2778" s="7" t="str">
        <x:v>Open</x:v>
      </x:c>
      <x:c r="L2778" s="7"/>
    </x:row>
    <x:row r="2779" ht="21" customHeight="1">
      <x:c r="A2779" s="1" t="str">
        <x:f>Source!A2773</x:f>
        <x:v>C0013504</x:v>
      </x:c>
      <x:c r="B2779" s="1" t="str">
        <x:f>_xlfn.IFNA(VLOOKUP(Source!B2773,Advertisers!$A$5:$B$34,2,FALSE),"Missing advertiser")</x:f>
        <x:v>Synthetic advertiser 19</x:v>
      </x:c>
      <x:c r="C2779" s="1" t="n">
        <x:f>Source!C2773</x:f>
        <x:v>109</x:v>
      </x:c>
      <x:c r="D2779" s="8" t="n">
        <x:f>Source!D2773/100</x:f>
        <x:v>140.87</x:v>
      </x:c>
      <x:c r="E2779" s="8" t="n">
        <x:f>Source!E2773/100</x:f>
        <x:v>155.87</x:v>
      </x:c>
      <x:c r="F2779" s="8" t="n">
        <x:f>Source!F2773/100</x:f>
        <x:v>0</x:v>
      </x:c>
      <x:c r="G2779" s="8" t="n">
        <x:f>Source!G2773/100</x:f>
        <x:v>155.87</x:v>
      </x:c>
      <x:c r="H2779" s="8" t="n">
        <x:f>G2779-D2779</x:f>
        <x:v>15</x:v>
      </x:c>
      <x:c r="I2779" s="1" t="str">
        <x:f>IF(H2779&gt;0,"Overbilled","Shortfall")</x:f>
        <x:v>Overbilled</x:v>
      </x:c>
      <x:c r="J2779" s="7"/>
      <x:c r="K2779" s="7" t="str">
        <x:v>Open</x:v>
      </x:c>
      <x:c r="L2779" s="7"/>
    </x:row>
    <x:row r="2780" ht="21" customHeight="1">
      <x:c r="A2780" s="1" t="str">
        <x:f>Source!A2774</x:f>
        <x:v>C0013525</x:v>
      </x:c>
      <x:c r="B2780" s="1" t="str">
        <x:f>_xlfn.IFNA(VLOOKUP(Source!B2774,Advertisers!$A$5:$B$34,2,FALSE),"Missing advertiser")</x:f>
        <x:v>Synthetic advertiser 5</x:v>
      </x:c>
      <x:c r="C2780" s="1" t="n">
        <x:f>Source!C2774</x:f>
        <x:v>5</x:v>
      </x:c>
      <x:c r="D2780" s="8" t="n">
        <x:f>Source!D2774/100</x:f>
        <x:v>187.3</x:v>
      </x:c>
      <x:c r="E2780" s="8" t="n">
        <x:f>Source!E2774/100</x:f>
        <x:v>202.3</x:v>
      </x:c>
      <x:c r="F2780" s="8" t="n">
        <x:f>Source!F2774/100</x:f>
        <x:v>0</x:v>
      </x:c>
      <x:c r="G2780" s="8" t="n">
        <x:f>Source!G2774/100</x:f>
        <x:v>202.3</x:v>
      </x:c>
      <x:c r="H2780" s="8" t="n">
        <x:f>G2780-D2780</x:f>
        <x:v>15</x:v>
      </x:c>
      <x:c r="I2780" s="1" t="str">
        <x:f>IF(H2780&gt;0,"Overbilled","Shortfall")</x:f>
        <x:v>Overbilled</x:v>
      </x:c>
      <x:c r="J2780" s="7"/>
      <x:c r="K2780" s="7" t="str">
        <x:v>Open</x:v>
      </x:c>
      <x:c r="L2780" s="7"/>
    </x:row>
    <x:row r="2781" ht="21" customHeight="1">
      <x:c r="A2781" s="1" t="str">
        <x:f>Source!A2775</x:f>
        <x:v>C0013529</x:v>
      </x:c>
      <x:c r="B2781" s="1" t="str">
        <x:f>_xlfn.IFNA(VLOOKUP(Source!B2775,Advertisers!$A$5:$B$34,2,FALSE),"Missing advertiser")</x:f>
        <x:v>Synthetic advertiser 23</x:v>
      </x:c>
      <x:c r="C2781" s="1" t="n">
        <x:f>Source!C2775</x:f>
        <x:v>53</x:v>
      </x:c>
      <x:c r="D2781" s="8" t="n">
        <x:f>Source!D2775/100</x:f>
        <x:v>69.99</x:v>
      </x:c>
      <x:c r="E2781" s="8" t="n">
        <x:f>Source!E2775/100</x:f>
        <x:v>84.99</x:v>
      </x:c>
      <x:c r="F2781" s="8" t="n">
        <x:f>Source!F2775/100</x:f>
        <x:v>0</x:v>
      </x:c>
      <x:c r="G2781" s="8" t="n">
        <x:f>Source!G2775/100</x:f>
        <x:v>84.99</x:v>
      </x:c>
      <x:c r="H2781" s="8" t="n">
        <x:f>G2781-D2781</x:f>
        <x:v>15</x:v>
      </x:c>
      <x:c r="I2781" s="1" t="str">
        <x:f>IF(H2781&gt;0,"Overbilled","Shortfall")</x:f>
        <x:v>Overbilled</x:v>
      </x:c>
      <x:c r="J2781" s="7"/>
      <x:c r="K2781" s="7" t="str">
        <x:v>Open</x:v>
      </x:c>
      <x:c r="L2781" s="7"/>
    </x:row>
    <x:row r="2782" ht="21" customHeight="1">
      <x:c r="A2782" s="1" t="str">
        <x:f>Source!A2776</x:f>
        <x:v>C0013554</x:v>
      </x:c>
      <x:c r="B2782" s="1" t="str">
        <x:f>_xlfn.IFNA(VLOOKUP(Source!B2776,Advertisers!$A$5:$B$34,2,FALSE),"Missing advertiser")</x:f>
        <x:v>Synthetic advertiser 6</x:v>
      </x:c>
      <x:c r="C2782" s="1" t="n">
        <x:f>Source!C2776</x:f>
        <x:v>36</x:v>
      </x:c>
      <x:c r="D2782" s="8" t="n">
        <x:f>Source!D2776/100</x:f>
        <x:v>205.8</x:v>
      </x:c>
      <x:c r="E2782" s="8" t="n">
        <x:f>Source!E2776/100</x:f>
        <x:v>220.8</x:v>
      </x:c>
      <x:c r="F2782" s="8" t="n">
        <x:f>Source!F2776/100</x:f>
        <x:v>0</x:v>
      </x:c>
      <x:c r="G2782" s="8" t="n">
        <x:f>Source!G2776/100</x:f>
        <x:v>220.8</x:v>
      </x:c>
      <x:c r="H2782" s="8" t="n">
        <x:f>G2782-D2782</x:f>
        <x:v>15</x:v>
      </x:c>
      <x:c r="I2782" s="1" t="str">
        <x:f>IF(H2782&gt;0,"Overbilled","Shortfall")</x:f>
        <x:v>Overbilled</x:v>
      </x:c>
      <x:c r="J2782" s="7"/>
      <x:c r="K2782" s="7" t="str">
        <x:v>Open</x:v>
      </x:c>
      <x:c r="L2782" s="7"/>
    </x:row>
    <x:row r="2783" ht="21" customHeight="1">
      <x:c r="A2783" s="1" t="str">
        <x:f>Source!A2777</x:f>
        <x:v>C0013564</x:v>
      </x:c>
      <x:c r="B2783" s="1" t="str">
        <x:f>_xlfn.IFNA(VLOOKUP(Source!B2777,Advertisers!$A$5:$B$34,2,FALSE),"Missing advertiser")</x:f>
        <x:v>Synthetic advertiser 30</x:v>
      </x:c>
      <x:c r="C2783" s="1" t="n">
        <x:f>Source!C2777</x:f>
        <x:v>90</x:v>
      </x:c>
      <x:c r="D2783" s="8" t="n">
        <x:f>Source!D2777/100</x:f>
        <x:v>142.15</x:v>
      </x:c>
      <x:c r="E2783" s="8" t="n">
        <x:f>Source!E2777/100</x:f>
        <x:v>157.15</x:v>
      </x:c>
      <x:c r="F2783" s="8" t="n">
        <x:f>Source!F2777/100</x:f>
        <x:v>0</x:v>
      </x:c>
      <x:c r="G2783" s="8" t="n">
        <x:f>Source!G2777/100</x:f>
        <x:v>157.15</x:v>
      </x:c>
      <x:c r="H2783" s="8" t="n">
        <x:f>G2783-D2783</x:f>
        <x:v>15</x:v>
      </x:c>
      <x:c r="I2783" s="1" t="str">
        <x:f>IF(H2783&gt;0,"Overbilled","Shortfall")</x:f>
        <x:v>Overbilled</x:v>
      </x:c>
      <x:c r="J2783" s="7"/>
      <x:c r="K2783" s="7" t="str">
        <x:v>Open</x:v>
      </x:c>
      <x:c r="L2783" s="7"/>
    </x:row>
    <x:row r="2784" ht="21" customHeight="1">
      <x:c r="A2784" s="1" t="str">
        <x:f>Source!A2778</x:f>
        <x:v>C0013576</x:v>
      </x:c>
      <x:c r="B2784" s="1" t="str">
        <x:f>_xlfn.IFNA(VLOOKUP(Source!B2778,Advertisers!$A$5:$B$34,2,FALSE),"Missing advertiser")</x:f>
        <x:v>Synthetic advertiser 19</x:v>
      </x:c>
      <x:c r="C2784" s="1" t="n">
        <x:f>Source!C2778</x:f>
        <x:v>109</x:v>
      </x:c>
      <x:c r="D2784" s="8" t="n">
        <x:f>Source!D2778/100</x:f>
        <x:v>213.3</x:v>
      </x:c>
      <x:c r="E2784" s="8" t="n">
        <x:f>Source!E2778/100</x:f>
        <x:v>228.3</x:v>
      </x:c>
      <x:c r="F2784" s="8" t="n">
        <x:f>Source!F2778/100</x:f>
        <x:v>0</x:v>
      </x:c>
      <x:c r="G2784" s="8" t="n">
        <x:f>Source!G2778/100</x:f>
        <x:v>228.3</x:v>
      </x:c>
      <x:c r="H2784" s="8" t="n">
        <x:f>G2784-D2784</x:f>
        <x:v>15</x:v>
      </x:c>
      <x:c r="I2784" s="1" t="str">
        <x:f>IF(H2784&gt;0,"Overbilled","Shortfall")</x:f>
        <x:v>Overbilled</x:v>
      </x:c>
      <x:c r="J2784" s="7"/>
      <x:c r="K2784" s="7" t="str">
        <x:v>Open</x:v>
      </x:c>
      <x:c r="L2784" s="7"/>
    </x:row>
    <x:row r="2785" ht="21" customHeight="1">
      <x:c r="A2785" s="1" t="str">
        <x:f>Source!A2779</x:f>
        <x:v>C0004294</x:v>
      </x:c>
      <x:c r="B2785" s="1" t="str">
        <x:f>_xlfn.IFNA(VLOOKUP(Source!B2779,Advertisers!$A$5:$B$34,2,FALSE),"Missing advertiser")</x:f>
        <x:v>Synthetic advertiser 8</x:v>
      </x:c>
      <x:c r="C2785" s="1" t="n">
        <x:f>Source!C2779</x:f>
        <x:v>8</x:v>
      </x:c>
      <x:c r="D2785" s="8" t="n">
        <x:f>Source!D2779/100</x:f>
        <x:v>163.05</x:v>
      </x:c>
      <x:c r="E2785" s="8" t="n">
        <x:f>Source!E2779/100</x:f>
        <x:v>178.05</x:v>
      </x:c>
      <x:c r="F2785" s="8" t="n">
        <x:f>Source!F2779/100</x:f>
        <x:v>0</x:v>
      </x:c>
      <x:c r="G2785" s="8" t="n">
        <x:f>Source!G2779/100</x:f>
        <x:v>178.05</x:v>
      </x:c>
      <x:c r="H2785" s="8" t="n">
        <x:f>G2785-D2785</x:f>
        <x:v>15</x:v>
      </x:c>
      <x:c r="I2785" s="1" t="str">
        <x:f>IF(H2785&gt;0,"Overbilled","Shortfall")</x:f>
        <x:v>Overbilled</x:v>
      </x:c>
      <x:c r="J2785" s="7"/>
      <x:c r="K2785" s="7" t="str">
        <x:v>Open</x:v>
      </x:c>
      <x:c r="L2785" s="7"/>
    </x:row>
    <x:row r="2786" ht="21" customHeight="1">
      <x:c r="A2786" s="1" t="str">
        <x:f>Source!A2780</x:f>
        <x:v>C0004298</x:v>
      </x:c>
      <x:c r="B2786" s="1" t="str">
        <x:f>_xlfn.IFNA(VLOOKUP(Source!B2780,Advertisers!$A$5:$B$34,2,FALSE),"Missing advertiser")</x:f>
        <x:v>Synthetic advertiser 20</x:v>
      </x:c>
      <x:c r="C2786" s="1" t="n">
        <x:f>Source!C2780</x:f>
        <x:v>20</x:v>
      </x:c>
      <x:c r="D2786" s="8" t="n">
        <x:f>Source!D2780/100</x:f>
        <x:v>160.97</x:v>
      </x:c>
      <x:c r="E2786" s="8" t="n">
        <x:f>Source!E2780/100</x:f>
        <x:v>175.97</x:v>
      </x:c>
      <x:c r="F2786" s="8" t="n">
        <x:f>Source!F2780/100</x:f>
        <x:v>0</x:v>
      </x:c>
      <x:c r="G2786" s="8" t="n">
        <x:f>Source!G2780/100</x:f>
        <x:v>175.97</x:v>
      </x:c>
      <x:c r="H2786" s="8" t="n">
        <x:f>G2786-D2786</x:f>
        <x:v>15</x:v>
      </x:c>
      <x:c r="I2786" s="1" t="str">
        <x:f>IF(H2786&gt;0,"Overbilled","Shortfall")</x:f>
        <x:v>Overbilled</x:v>
      </x:c>
      <x:c r="J2786" s="7"/>
      <x:c r="K2786" s="7" t="str">
        <x:v>Open</x:v>
      </x:c>
      <x:c r="L2786" s="7"/>
    </x:row>
    <x:row r="2787" ht="21" customHeight="1">
      <x:c r="A2787" s="1" t="str">
        <x:f>Source!A2781</x:f>
        <x:v>C0004310</x:v>
      </x:c>
      <x:c r="B2787" s="1" t="str">
        <x:f>_xlfn.IFNA(VLOOKUP(Source!B2781,Advertisers!$A$5:$B$34,2,FALSE),"Missing advertiser")</x:f>
        <x:v>Synthetic advertiser 8</x:v>
      </x:c>
      <x:c r="C2787" s="1" t="n">
        <x:f>Source!C2781</x:f>
        <x:v>68</x:v>
      </x:c>
      <x:c r="D2787" s="8" t="n">
        <x:f>Source!D2781/100</x:f>
        <x:v>247.94</x:v>
      </x:c>
      <x:c r="E2787" s="8" t="n">
        <x:f>Source!E2781/100</x:f>
        <x:v>262.94</x:v>
      </x:c>
      <x:c r="F2787" s="8" t="n">
        <x:f>Source!F2781/100</x:f>
        <x:v>0</x:v>
      </x:c>
      <x:c r="G2787" s="8" t="n">
        <x:f>Source!G2781/100</x:f>
        <x:v>262.94</x:v>
      </x:c>
      <x:c r="H2787" s="8" t="n">
        <x:f>G2787-D2787</x:f>
        <x:v>15</x:v>
      </x:c>
      <x:c r="I2787" s="1" t="str">
        <x:f>IF(H2787&gt;0,"Overbilled","Shortfall")</x:f>
        <x:v>Overbilled</x:v>
      </x:c>
      <x:c r="J2787" s="7"/>
      <x:c r="K2787" s="7" t="str">
        <x:v>Open</x:v>
      </x:c>
      <x:c r="L2787" s="7"/>
    </x:row>
    <x:row r="2788" ht="21" customHeight="1">
      <x:c r="A2788" s="1" t="str">
        <x:f>Source!A2782</x:f>
        <x:v>C0004527</x:v>
      </x:c>
      <x:c r="B2788" s="1" t="str">
        <x:f>_xlfn.IFNA(VLOOKUP(Source!B2782,Advertisers!$A$5:$B$34,2,FALSE),"Missing advertiser")</x:f>
        <x:v>Synthetic advertiser 25</x:v>
      </x:c>
      <x:c r="C2788" s="1" t="n">
        <x:f>Source!C2782</x:f>
        <x:v>85</x:v>
      </x:c>
      <x:c r="D2788" s="8" t="n">
        <x:f>Source!D2782/100</x:f>
        <x:v>77.93</x:v>
      </x:c>
      <x:c r="E2788" s="8" t="n">
        <x:f>Source!E2782/100</x:f>
        <x:v>92.93</x:v>
      </x:c>
      <x:c r="F2788" s="8" t="n">
        <x:f>Source!F2782/100</x:f>
        <x:v>0</x:v>
      </x:c>
      <x:c r="G2788" s="8" t="n">
        <x:f>Source!G2782/100</x:f>
        <x:v>92.93</x:v>
      </x:c>
      <x:c r="H2788" s="8" t="n">
        <x:f>G2788-D2788</x:f>
        <x:v>15</x:v>
      </x:c>
      <x:c r="I2788" s="1" t="str">
        <x:f>IF(H2788&gt;0,"Overbilled","Shortfall")</x:f>
        <x:v>Overbilled</x:v>
      </x:c>
      <x:c r="J2788" s="7"/>
      <x:c r="K2788" s="7" t="str">
        <x:v>Open</x:v>
      </x:c>
      <x:c r="L2788" s="7"/>
    </x:row>
    <x:row r="2789" ht="21" customHeight="1">
      <x:c r="A2789" s="1" t="str">
        <x:f>Source!A2783</x:f>
        <x:v>C0004776</x:v>
      </x:c>
      <x:c r="B2789" s="1" t="str">
        <x:f>_xlfn.IFNA(VLOOKUP(Source!B2783,Advertisers!$A$5:$B$34,2,FALSE),"Missing advertiser")</x:f>
        <x:v>Synthetic advertiser 24</x:v>
      </x:c>
      <x:c r="C2789" s="1" t="n">
        <x:f>Source!C2783</x:f>
        <x:v>24</x:v>
      </x:c>
      <x:c r="D2789" s="8" t="n">
        <x:f>Source!D2783/100</x:f>
        <x:v>114.08</x:v>
      </x:c>
      <x:c r="E2789" s="8" t="n">
        <x:f>Source!E2783/100</x:f>
        <x:v>129.08</x:v>
      </x:c>
      <x:c r="F2789" s="8" t="n">
        <x:f>Source!F2783/100</x:f>
        <x:v>0</x:v>
      </x:c>
      <x:c r="G2789" s="8" t="n">
        <x:f>Source!G2783/100</x:f>
        <x:v>129.08</x:v>
      </x:c>
      <x:c r="H2789" s="8" t="n">
        <x:f>G2789-D2789</x:f>
        <x:v>15.000000000000014</x:v>
      </x:c>
      <x:c r="I2789" s="1" t="str">
        <x:f>IF(H2789&gt;0,"Overbilled","Shortfall")</x:f>
        <x:v>Overbilled</x:v>
      </x:c>
      <x:c r="J2789" s="7"/>
      <x:c r="K2789" s="7" t="str">
        <x:v>Open</x:v>
      </x:c>
      <x:c r="L2789" s="7"/>
    </x:row>
    <x:row r="2790" ht="21" customHeight="1">
      <x:c r="A2790" s="1" t="str">
        <x:f>Source!A2784</x:f>
        <x:v>C0004810</x:v>
      </x:c>
      <x:c r="B2790" s="1" t="str">
        <x:f>_xlfn.IFNA(VLOOKUP(Source!B2784,Advertisers!$A$5:$B$34,2,FALSE),"Missing advertiser")</x:f>
        <x:v>Synthetic advertiser 14</x:v>
      </x:c>
      <x:c r="C2790" s="1" t="n">
        <x:f>Source!C2784</x:f>
        <x:v>14</x:v>
      </x:c>
      <x:c r="D2790" s="8" t="n">
        <x:f>Source!D2784/100</x:f>
        <x:v>136.42</x:v>
      </x:c>
      <x:c r="E2790" s="8" t="n">
        <x:f>Source!E2784/100</x:f>
        <x:v>151.42</x:v>
      </x:c>
      <x:c r="F2790" s="8" t="n">
        <x:f>Source!F2784/100</x:f>
        <x:v>0</x:v>
      </x:c>
      <x:c r="G2790" s="8" t="n">
        <x:f>Source!G2784/100</x:f>
        <x:v>151.42</x:v>
      </x:c>
      <x:c r="H2790" s="8" t="n">
        <x:f>G2790-D2790</x:f>
        <x:v>15</x:v>
      </x:c>
      <x:c r="I2790" s="1" t="str">
        <x:f>IF(H2790&gt;0,"Overbilled","Shortfall")</x:f>
        <x:v>Overbilled</x:v>
      </x:c>
      <x:c r="J2790" s="7"/>
      <x:c r="K2790" s="7" t="str">
        <x:v>Open</x:v>
      </x:c>
      <x:c r="L2790" s="7"/>
    </x:row>
    <x:row r="2791" ht="21" customHeight="1">
      <x:c r="A2791" s="1" t="str">
        <x:f>Source!A2785</x:f>
        <x:v>C0004852</x:v>
      </x:c>
      <x:c r="B2791" s="1" t="str">
        <x:f>_xlfn.IFNA(VLOOKUP(Source!B2785,Advertisers!$A$5:$B$34,2,FALSE),"Missing advertiser")</x:f>
        <x:v>Synthetic advertiser 28</x:v>
      </x:c>
      <x:c r="C2791" s="1" t="n">
        <x:f>Source!C2785</x:f>
        <x:v>28</x:v>
      </x:c>
      <x:c r="D2791" s="8" t="n">
        <x:f>Source!D2785/100</x:f>
        <x:v>395.34</x:v>
      </x:c>
      <x:c r="E2791" s="8" t="n">
        <x:f>Source!E2785/100</x:f>
        <x:v>410.34</x:v>
      </x:c>
      <x:c r="F2791" s="8" t="n">
        <x:f>Source!F2785/100</x:f>
        <x:v>0</x:v>
      </x:c>
      <x:c r="G2791" s="8" t="n">
        <x:f>Source!G2785/100</x:f>
        <x:v>410.34</x:v>
      </x:c>
      <x:c r="H2791" s="8" t="n">
        <x:f>G2791-D2791</x:f>
        <x:v>15</x:v>
      </x:c>
      <x:c r="I2791" s="1" t="str">
        <x:f>IF(H2791&gt;0,"Overbilled","Shortfall")</x:f>
        <x:v>Overbilled</x:v>
      </x:c>
      <x:c r="J2791" s="7"/>
      <x:c r="K2791" s="7" t="str">
        <x:v>Open</x:v>
      </x:c>
      <x:c r="L2791" s="7"/>
    </x:row>
    <x:row r="2792" ht="21" customHeight="1">
      <x:c r="A2792" s="1" t="str">
        <x:f>Source!A2786</x:f>
        <x:v>C0004929</x:v>
      </x:c>
      <x:c r="B2792" s="1" t="str">
        <x:f>_xlfn.IFNA(VLOOKUP(Source!B2786,Advertisers!$A$5:$B$34,2,FALSE),"Missing advertiser")</x:f>
        <x:v>Synthetic advertiser 11</x:v>
      </x:c>
      <x:c r="C2792" s="1" t="n">
        <x:f>Source!C2786</x:f>
        <x:v>11</x:v>
      </x:c>
      <x:c r="D2792" s="8" t="n">
        <x:f>Source!D2786/100</x:f>
        <x:v>193.41</x:v>
      </x:c>
      <x:c r="E2792" s="8" t="n">
        <x:f>Source!E2786/100</x:f>
        <x:v>208.41</x:v>
      </x:c>
      <x:c r="F2792" s="8" t="n">
        <x:f>Source!F2786/100</x:f>
        <x:v>0</x:v>
      </x:c>
      <x:c r="G2792" s="8" t="n">
        <x:f>Source!G2786/100</x:f>
        <x:v>208.41</x:v>
      </x:c>
      <x:c r="H2792" s="8" t="n">
        <x:f>G2792-D2792</x:f>
        <x:v>15</x:v>
      </x:c>
      <x:c r="I2792" s="1" t="str">
        <x:f>IF(H2792&gt;0,"Overbilled","Shortfall")</x:f>
        <x:v>Overbilled</x:v>
      </x:c>
      <x:c r="J2792" s="7"/>
      <x:c r="K2792" s="7" t="str">
        <x:v>Open</x:v>
      </x:c>
      <x:c r="L2792" s="7"/>
    </x:row>
    <x:row r="2793" ht="21" customHeight="1">
      <x:c r="A2793" s="1" t="str">
        <x:f>Source!A2787</x:f>
        <x:v>C0004623</x:v>
      </x:c>
      <x:c r="B2793" s="1" t="str">
        <x:f>_xlfn.IFNA(VLOOKUP(Source!B2787,Advertisers!$A$5:$B$34,2,FALSE),"Missing advertiser")</x:f>
        <x:v>Synthetic advertiser 20</x:v>
      </x:c>
      <x:c r="C2793" s="1" t="n">
        <x:f>Source!C2787</x:f>
        <x:v>20</x:v>
      </x:c>
      <x:c r="D2793" s="8" t="n">
        <x:f>Source!D2787/100</x:f>
        <x:v>240.58</x:v>
      </x:c>
      <x:c r="E2793" s="8" t="n">
        <x:f>Source!E2787/100</x:f>
        <x:v>255.58</x:v>
      </x:c>
      <x:c r="F2793" s="8" t="n">
        <x:f>Source!F2787/100</x:f>
        <x:v>0</x:v>
      </x:c>
      <x:c r="G2793" s="8" t="n">
        <x:f>Source!G2787/100</x:f>
        <x:v>255.58</x:v>
      </x:c>
      <x:c r="H2793" s="8" t="n">
        <x:f>G2793-D2793</x:f>
        <x:v>15</x:v>
      </x:c>
      <x:c r="I2793" s="1" t="str">
        <x:f>IF(H2793&gt;0,"Overbilled","Shortfall")</x:f>
        <x:v>Overbilled</x:v>
      </x:c>
      <x:c r="J2793" s="7"/>
      <x:c r="K2793" s="7" t="str">
        <x:v>Open</x:v>
      </x:c>
      <x:c r="L2793" s="7"/>
    </x:row>
    <x:row r="2794" ht="21" customHeight="1">
      <x:c r="A2794" s="1" t="str">
        <x:f>Source!A2788</x:f>
        <x:v>C0004624</x:v>
      </x:c>
      <x:c r="B2794" s="1" t="str">
        <x:f>_xlfn.IFNA(VLOOKUP(Source!B2788,Advertisers!$A$5:$B$34,2,FALSE),"Missing advertiser")</x:f>
        <x:v>Synthetic advertiser 12</x:v>
      </x:c>
      <x:c r="C2794" s="1" t="n">
        <x:f>Source!C2788</x:f>
        <x:v>72</x:v>
      </x:c>
      <x:c r="D2794" s="8" t="n">
        <x:f>Source!D2788/100</x:f>
        <x:v>180.82</x:v>
      </x:c>
      <x:c r="E2794" s="8" t="n">
        <x:f>Source!E2788/100</x:f>
        <x:v>195.82</x:v>
      </x:c>
      <x:c r="F2794" s="8" t="n">
        <x:f>Source!F2788/100</x:f>
        <x:v>0</x:v>
      </x:c>
      <x:c r="G2794" s="8" t="n">
        <x:f>Source!G2788/100</x:f>
        <x:v>195.82</x:v>
      </x:c>
      <x:c r="H2794" s="8" t="n">
        <x:f>G2794-D2794</x:f>
        <x:v>15</x:v>
      </x:c>
      <x:c r="I2794" s="1" t="str">
        <x:f>IF(H2794&gt;0,"Overbilled","Shortfall")</x:f>
        <x:v>Overbilled</x:v>
      </x:c>
      <x:c r="J2794" s="7"/>
      <x:c r="K2794" s="7" t="str">
        <x:v>Open</x:v>
      </x:c>
      <x:c r="L2794" s="7"/>
    </x:row>
    <x:row r="2795" ht="21" customHeight="1">
      <x:c r="A2795" s="1" t="str">
        <x:f>Source!A2789</x:f>
        <x:v>C0004654</x:v>
      </x:c>
      <x:c r="B2795" s="1" t="str">
        <x:f>_xlfn.IFNA(VLOOKUP(Source!B2789,Advertisers!$A$5:$B$34,2,FALSE),"Missing advertiser")</x:f>
        <x:v>Synthetic advertiser 12</x:v>
      </x:c>
      <x:c r="C2795" s="1" t="n">
        <x:f>Source!C2789</x:f>
        <x:v>12</x:v>
      </x:c>
      <x:c r="D2795" s="8" t="n">
        <x:f>Source!D2789/100</x:f>
        <x:v>117.79</x:v>
      </x:c>
      <x:c r="E2795" s="8" t="n">
        <x:f>Source!E2789/100</x:f>
        <x:v>132.79</x:v>
      </x:c>
      <x:c r="F2795" s="8" t="n">
        <x:f>Source!F2789/100</x:f>
        <x:v>0</x:v>
      </x:c>
      <x:c r="G2795" s="8" t="n">
        <x:f>Source!G2789/100</x:f>
        <x:v>132.79</x:v>
      </x:c>
      <x:c r="H2795" s="8" t="n">
        <x:f>G2795-D2795</x:f>
        <x:v>14.999999999999986</x:v>
      </x:c>
      <x:c r="I2795" s="1" t="str">
        <x:f>IF(H2795&gt;0,"Overbilled","Shortfall")</x:f>
        <x:v>Overbilled</x:v>
      </x:c>
      <x:c r="J2795" s="7"/>
      <x:c r="K2795" s="7" t="str">
        <x:v>Open</x:v>
      </x:c>
      <x:c r="L2795" s="7"/>
    </x:row>
    <x:row r="2796" ht="21" customHeight="1">
      <x:c r="A2796" s="1" t="str">
        <x:f>Source!A2790</x:f>
        <x:v>C0004659</x:v>
      </x:c>
      <x:c r="B2796" s="1" t="str">
        <x:f>_xlfn.IFNA(VLOOKUP(Source!B2790,Advertisers!$A$5:$B$34,2,FALSE),"Missing advertiser")</x:f>
        <x:v>Synthetic advertiser 7</x:v>
      </x:c>
      <x:c r="C2796" s="1" t="n">
        <x:f>Source!C2790</x:f>
        <x:v>97</x:v>
      </x:c>
      <x:c r="D2796" s="8" t="n">
        <x:f>Source!D2790/100</x:f>
        <x:v>86.47</x:v>
      </x:c>
      <x:c r="E2796" s="8" t="n">
        <x:f>Source!E2790/100</x:f>
        <x:v>101.47</x:v>
      </x:c>
      <x:c r="F2796" s="8" t="n">
        <x:f>Source!F2790/100</x:f>
        <x:v>0</x:v>
      </x:c>
      <x:c r="G2796" s="8" t="n">
        <x:f>Source!G2790/100</x:f>
        <x:v>101.47</x:v>
      </x:c>
      <x:c r="H2796" s="8" t="n">
        <x:f>G2796-D2796</x:f>
        <x:v>15</x:v>
      </x:c>
      <x:c r="I2796" s="1" t="str">
        <x:f>IF(H2796&gt;0,"Overbilled","Shortfall")</x:f>
        <x:v>Overbilled</x:v>
      </x:c>
      <x:c r="J2796" s="7"/>
      <x:c r="K2796" s="7" t="str">
        <x:v>Open</x:v>
      </x:c>
      <x:c r="L2796" s="7"/>
    </x:row>
    <x:row r="2797" ht="21" customHeight="1">
      <x:c r="A2797" s="1" t="str">
        <x:f>Source!A2791</x:f>
        <x:v>C0004663</x:v>
      </x:c>
      <x:c r="B2797" s="1" t="str">
        <x:f>_xlfn.IFNA(VLOOKUP(Source!B2791,Advertisers!$A$5:$B$34,2,FALSE),"Missing advertiser")</x:f>
        <x:v>Synthetic advertiser 20</x:v>
      </x:c>
      <x:c r="C2797" s="1" t="n">
        <x:f>Source!C2791</x:f>
        <x:v>80</x:v>
      </x:c>
      <x:c r="D2797" s="8" t="n">
        <x:f>Source!D2791/100</x:f>
        <x:v>169.04</x:v>
      </x:c>
      <x:c r="E2797" s="8" t="n">
        <x:f>Source!E2791/100</x:f>
        <x:v>184.04</x:v>
      </x:c>
      <x:c r="F2797" s="8" t="n">
        <x:f>Source!F2791/100</x:f>
        <x:v>0</x:v>
      </x:c>
      <x:c r="G2797" s="8" t="n">
        <x:f>Source!G2791/100</x:f>
        <x:v>184.04</x:v>
      </x:c>
      <x:c r="H2797" s="8" t="n">
        <x:f>G2797-D2797</x:f>
        <x:v>15</x:v>
      </x:c>
      <x:c r="I2797" s="1" t="str">
        <x:f>IF(H2797&gt;0,"Overbilled","Shortfall")</x:f>
        <x:v>Overbilled</x:v>
      </x:c>
      <x:c r="J2797" s="7"/>
      <x:c r="K2797" s="7" t="str">
        <x:v>Open</x:v>
      </x:c>
      <x:c r="L2797" s="7"/>
    </x:row>
    <x:row r="2798" ht="21" customHeight="1">
      <x:c r="A2798" s="1" t="str">
        <x:f>Source!A2792</x:f>
        <x:v>C0004681</x:v>
      </x:c>
      <x:c r="B2798" s="1" t="str">
        <x:f>_xlfn.IFNA(VLOOKUP(Source!B2792,Advertisers!$A$5:$B$34,2,FALSE),"Missing advertiser")</x:f>
        <x:v>Synthetic advertiser 15</x:v>
      </x:c>
      <x:c r="C2798" s="1" t="n">
        <x:f>Source!C2792</x:f>
        <x:v>75</x:v>
      </x:c>
      <x:c r="D2798" s="8" t="n">
        <x:f>Source!D2792/100</x:f>
        <x:v>202.54</x:v>
      </x:c>
      <x:c r="E2798" s="8" t="n">
        <x:f>Source!E2792/100</x:f>
        <x:v>217.54</x:v>
      </x:c>
      <x:c r="F2798" s="8" t="n">
        <x:f>Source!F2792/100</x:f>
        <x:v>0</x:v>
      </x:c>
      <x:c r="G2798" s="8" t="n">
        <x:f>Source!G2792/100</x:f>
        <x:v>217.54</x:v>
      </x:c>
      <x:c r="H2798" s="8" t="n">
        <x:f>G2798-D2798</x:f>
        <x:v>15</x:v>
      </x:c>
      <x:c r="I2798" s="1" t="str">
        <x:f>IF(H2798&gt;0,"Overbilled","Shortfall")</x:f>
        <x:v>Overbilled</x:v>
      </x:c>
      <x:c r="J2798" s="7"/>
      <x:c r="K2798" s="7" t="str">
        <x:v>Open</x:v>
      </x:c>
      <x:c r="L2798" s="7"/>
    </x:row>
    <x:row r="2799" ht="21" customHeight="1">
      <x:c r="A2799" s="1" t="str">
        <x:f>Source!A2793</x:f>
        <x:v>C0004682</x:v>
      </x:c>
      <x:c r="B2799" s="1" t="str">
        <x:f>_xlfn.IFNA(VLOOKUP(Source!B2793,Advertisers!$A$5:$B$34,2,FALSE),"Missing advertiser")</x:f>
        <x:v>Synthetic advertiser 23</x:v>
      </x:c>
      <x:c r="C2799" s="1" t="n">
        <x:f>Source!C2793</x:f>
        <x:v>113</x:v>
      </x:c>
      <x:c r="D2799" s="8" t="n">
        <x:f>Source!D2793/100</x:f>
        <x:v>153.53</x:v>
      </x:c>
      <x:c r="E2799" s="8" t="n">
        <x:f>Source!E2793/100</x:f>
        <x:v>168.53</x:v>
      </x:c>
      <x:c r="F2799" s="8" t="n">
        <x:f>Source!F2793/100</x:f>
        <x:v>0</x:v>
      </x:c>
      <x:c r="G2799" s="8" t="n">
        <x:f>Source!G2793/100</x:f>
        <x:v>168.53</x:v>
      </x:c>
      <x:c r="H2799" s="8" t="n">
        <x:f>G2799-D2799</x:f>
        <x:v>15</x:v>
      </x:c>
      <x:c r="I2799" s="1" t="str">
        <x:f>IF(H2799&gt;0,"Overbilled","Shortfall")</x:f>
        <x:v>Overbilled</x:v>
      </x:c>
      <x:c r="J2799" s="7"/>
      <x:c r="K2799" s="7" t="str">
        <x:v>Open</x:v>
      </x:c>
      <x:c r="L2799" s="7"/>
    </x:row>
    <x:row r="2800" ht="21" customHeight="1">
      <x:c r="A2800" s="1" t="str">
        <x:f>Source!A2794</x:f>
        <x:v>C0004702</x:v>
      </x:c>
      <x:c r="B2800" s="1" t="str">
        <x:f>_xlfn.IFNA(VLOOKUP(Source!B2794,Advertisers!$A$5:$B$34,2,FALSE),"Missing advertiser")</x:f>
        <x:v>Synthetic advertiser 24</x:v>
      </x:c>
      <x:c r="C2800" s="1" t="n">
        <x:f>Source!C2794</x:f>
        <x:v>24</x:v>
      </x:c>
      <x:c r="D2800" s="8" t="n">
        <x:f>Source!D2794/100</x:f>
        <x:v>114.08</x:v>
      </x:c>
      <x:c r="E2800" s="8" t="n">
        <x:f>Source!E2794/100</x:f>
        <x:v>129.08</x:v>
      </x:c>
      <x:c r="F2800" s="8" t="n">
        <x:f>Source!F2794/100</x:f>
        <x:v>0</x:v>
      </x:c>
      <x:c r="G2800" s="8" t="n">
        <x:f>Source!G2794/100</x:f>
        <x:v>129.08</x:v>
      </x:c>
      <x:c r="H2800" s="8" t="n">
        <x:f>G2800-D2800</x:f>
        <x:v>15.000000000000014</x:v>
      </x:c>
      <x:c r="I2800" s="1" t="str">
        <x:f>IF(H2800&gt;0,"Overbilled","Shortfall")</x:f>
        <x:v>Overbilled</x:v>
      </x:c>
      <x:c r="J2800" s="7"/>
      <x:c r="K2800" s="7" t="str">
        <x:v>Open</x:v>
      </x:c>
      <x:c r="L2800" s="7"/>
    </x:row>
    <x:row r="2801" ht="21" customHeight="1">
      <x:c r="A2801" s="1" t="str">
        <x:f>Source!A2795</x:f>
        <x:v>C0004711</x:v>
      </x:c>
      <x:c r="B2801" s="1" t="str">
        <x:f>_xlfn.IFNA(VLOOKUP(Source!B2795,Advertisers!$A$5:$B$34,2,FALSE),"Missing advertiser")</x:f>
        <x:v>Synthetic advertiser 2</x:v>
      </x:c>
      <x:c r="C2801" s="1" t="n">
        <x:f>Source!C2795</x:f>
        <x:v>92</x:v>
      </x:c>
      <x:c r="D2801" s="8" t="n">
        <x:f>Source!D2795/100</x:f>
        <x:v>347.66</x:v>
      </x:c>
      <x:c r="E2801" s="8" t="n">
        <x:f>Source!E2795/100</x:f>
        <x:v>362.66</x:v>
      </x:c>
      <x:c r="F2801" s="8" t="n">
        <x:f>Source!F2795/100</x:f>
        <x:v>0</x:v>
      </x:c>
      <x:c r="G2801" s="8" t="n">
        <x:f>Source!G2795/100</x:f>
        <x:v>362.66</x:v>
      </x:c>
      <x:c r="H2801" s="8" t="n">
        <x:f>G2801-D2801</x:f>
        <x:v>15</x:v>
      </x:c>
      <x:c r="I2801" s="1" t="str">
        <x:f>IF(H2801&gt;0,"Overbilled","Shortfall")</x:f>
        <x:v>Overbilled</x:v>
      </x:c>
      <x:c r="J2801" s="7"/>
      <x:c r="K2801" s="7" t="str">
        <x:v>Open</x:v>
      </x:c>
      <x:c r="L2801" s="7"/>
    </x:row>
    <x:row r="2802" ht="21" customHeight="1">
      <x:c r="A2802" s="1" t="str">
        <x:f>Source!A2796</x:f>
        <x:v>C0006911</x:v>
      </x:c>
      <x:c r="B2802" s="1" t="str">
        <x:f>_xlfn.IFNA(VLOOKUP(Source!B2796,Advertisers!$A$5:$B$34,2,FALSE),"Missing advertiser")</x:f>
        <x:v>Synthetic advertiser 20</x:v>
      </x:c>
      <x:c r="C2802" s="1" t="n">
        <x:f>Source!C2796</x:f>
        <x:v>50</x:v>
      </x:c>
      <x:c r="D2802" s="8" t="n">
        <x:f>Source!D2796/100</x:f>
        <x:v>232.13</x:v>
      </x:c>
      <x:c r="E2802" s="8" t="n">
        <x:f>Source!E2796/100</x:f>
        <x:v>247.13</x:v>
      </x:c>
      <x:c r="F2802" s="8" t="n">
        <x:f>Source!F2796/100</x:f>
        <x:v>0</x:v>
      </x:c>
      <x:c r="G2802" s="8" t="n">
        <x:f>Source!G2796/100</x:f>
        <x:v>247.13</x:v>
      </x:c>
      <x:c r="H2802" s="8" t="n">
        <x:f>G2802-D2802</x:f>
        <x:v>15</x:v>
      </x:c>
      <x:c r="I2802" s="1" t="str">
        <x:f>IF(H2802&gt;0,"Overbilled","Shortfall")</x:f>
        <x:v>Overbilled</x:v>
      </x:c>
      <x:c r="J2802" s="7"/>
      <x:c r="K2802" s="7" t="str">
        <x:v>Open</x:v>
      </x:c>
      <x:c r="L2802" s="7"/>
    </x:row>
    <x:row r="2803" ht="21" customHeight="1">
      <x:c r="A2803" s="1" t="str">
        <x:f>Source!A2797</x:f>
        <x:v>C0013271</x:v>
      </x:c>
      <x:c r="B2803" s="1" t="str">
        <x:f>_xlfn.IFNA(VLOOKUP(Source!B2797,Advertisers!$A$5:$B$34,2,FALSE),"Missing advertiser")</x:f>
        <x:v>Synthetic advertiser 24</x:v>
      </x:c>
      <x:c r="C2803" s="1" t="n">
        <x:f>Source!C2797</x:f>
        <x:v>54</x:v>
      </x:c>
      <x:c r="D2803" s="8" t="n">
        <x:f>Source!D2797/100</x:f>
        <x:v>125.27</x:v>
      </x:c>
      <x:c r="E2803" s="8" t="n">
        <x:f>Source!E2797/100</x:f>
        <x:v>140.27</x:v>
      </x:c>
      <x:c r="F2803" s="8" t="n">
        <x:f>Source!F2797/100</x:f>
        <x:v>0</x:v>
      </x:c>
      <x:c r="G2803" s="8" t="n">
        <x:f>Source!G2797/100</x:f>
        <x:v>140.27</x:v>
      </x:c>
      <x:c r="H2803" s="8" t="n">
        <x:f>G2803-D2803</x:f>
        <x:v>15.000000000000014</x:v>
      </x:c>
      <x:c r="I2803" s="1" t="str">
        <x:f>IF(H2803&gt;0,"Overbilled","Shortfall")</x:f>
        <x:v>Overbilled</x:v>
      </x:c>
      <x:c r="J2803" s="7"/>
      <x:c r="K2803" s="7" t="str">
        <x:v>Open</x:v>
      </x:c>
      <x:c r="L2803" s="7"/>
    </x:row>
    <x:row r="2804" ht="21" customHeight="1">
      <x:c r="A2804" s="1" t="str">
        <x:f>Source!A2798</x:f>
        <x:v>C0013273</x:v>
      </x:c>
      <x:c r="B2804" s="1" t="str">
        <x:f>_xlfn.IFNA(VLOOKUP(Source!B2798,Advertisers!$A$5:$B$34,2,FALSE),"Missing advertiser")</x:f>
        <x:v>Synthetic advertiser 5</x:v>
      </x:c>
      <x:c r="C2804" s="1" t="n">
        <x:f>Source!C2798</x:f>
        <x:v>5</x:v>
      </x:c>
      <x:c r="D2804" s="8" t="n">
        <x:f>Source!D2798/100</x:f>
        <x:v>351.9</x:v>
      </x:c>
      <x:c r="E2804" s="8" t="n">
        <x:f>Source!E2798/100</x:f>
        <x:v>366.9</x:v>
      </x:c>
      <x:c r="F2804" s="8" t="n">
        <x:f>Source!F2798/100</x:f>
        <x:v>0</x:v>
      </x:c>
      <x:c r="G2804" s="8" t="n">
        <x:f>Source!G2798/100</x:f>
        <x:v>366.9</x:v>
      </x:c>
      <x:c r="H2804" s="8" t="n">
        <x:f>G2804-D2804</x:f>
        <x:v>15</x:v>
      </x:c>
      <x:c r="I2804" s="1" t="str">
        <x:f>IF(H2804&gt;0,"Overbilled","Shortfall")</x:f>
        <x:v>Overbilled</x:v>
      </x:c>
      <x:c r="J2804" s="7"/>
      <x:c r="K2804" s="7" t="str">
        <x:v>Open</x:v>
      </x:c>
      <x:c r="L2804" s="7"/>
    </x:row>
    <x:row r="2805" ht="21" customHeight="1">
      <x:c r="A2805" s="1" t="str">
        <x:f>Source!A2799</x:f>
        <x:v>C0006990</x:v>
      </x:c>
      <x:c r="B2805" s="1" t="str">
        <x:f>_xlfn.IFNA(VLOOKUP(Source!B2799,Advertisers!$A$5:$B$34,2,FALSE),"Missing advertiser")</x:f>
        <x:v>Synthetic advertiser 11</x:v>
      </x:c>
      <x:c r="C2805" s="1" t="n">
        <x:f>Source!C2799</x:f>
        <x:v>101</x:v>
      </x:c>
      <x:c r="D2805" s="8" t="n">
        <x:f>Source!D2799/100</x:f>
        <x:v>358.36</x:v>
      </x:c>
      <x:c r="E2805" s="8" t="n">
        <x:f>Source!E2799/100</x:f>
        <x:v>373.36</x:v>
      </x:c>
      <x:c r="F2805" s="8" t="n">
        <x:f>Source!F2799/100</x:f>
        <x:v>0</x:v>
      </x:c>
      <x:c r="G2805" s="8" t="n">
        <x:f>Source!G2799/100</x:f>
        <x:v>373.36</x:v>
      </x:c>
      <x:c r="H2805" s="8" t="n">
        <x:f>G2805-D2805</x:f>
        <x:v>15</x:v>
      </x:c>
      <x:c r="I2805" s="1" t="str">
        <x:f>IF(H2805&gt;0,"Overbilled","Shortfall")</x:f>
        <x:v>Overbilled</x:v>
      </x:c>
      <x:c r="J2805" s="7"/>
      <x:c r="K2805" s="7" t="str">
        <x:v>Open</x:v>
      </x:c>
      <x:c r="L2805" s="7"/>
    </x:row>
    <x:row r="2806" ht="21" customHeight="1">
      <x:c r="A2806" s="1" t="str">
        <x:f>Source!A2800</x:f>
        <x:v>C0007000</x:v>
      </x:c>
      <x:c r="B2806" s="1" t="str">
        <x:f>_xlfn.IFNA(VLOOKUP(Source!B2800,Advertisers!$A$5:$B$34,2,FALSE),"Missing advertiser")</x:f>
        <x:v>Synthetic advertiser 8</x:v>
      </x:c>
      <x:c r="C2806" s="1" t="n">
        <x:f>Source!C2800</x:f>
        <x:v>98</x:v>
      </x:c>
      <x:c r="D2806" s="8" t="n">
        <x:f>Source!D2800/100</x:f>
        <x:v>173.94</x:v>
      </x:c>
      <x:c r="E2806" s="8" t="n">
        <x:f>Source!E2800/100</x:f>
        <x:v>188.94</x:v>
      </x:c>
      <x:c r="F2806" s="8" t="n">
        <x:f>Source!F2800/100</x:f>
        <x:v>0</x:v>
      </x:c>
      <x:c r="G2806" s="8" t="n">
        <x:f>Source!G2800/100</x:f>
        <x:v>188.94</x:v>
      </x:c>
      <x:c r="H2806" s="8" t="n">
        <x:f>G2806-D2806</x:f>
        <x:v>15</x:v>
      </x:c>
      <x:c r="I2806" s="1" t="str">
        <x:f>IF(H2806&gt;0,"Overbilled","Shortfall")</x:f>
        <x:v>Overbilled</x:v>
      </x:c>
      <x:c r="J2806" s="7"/>
      <x:c r="K2806" s="7" t="str">
        <x:v>Open</x:v>
      </x:c>
      <x:c r="L2806" s="7"/>
    </x:row>
    <x:row r="2807" ht="21" customHeight="1">
      <x:c r="A2807" s="1" t="str">
        <x:f>Source!A2801</x:f>
        <x:v>C0007003</x:v>
      </x:c>
      <x:c r="B2807" s="1" t="str">
        <x:f>_xlfn.IFNA(VLOOKUP(Source!B2801,Advertisers!$A$5:$B$34,2,FALSE),"Missing advertiser")</x:f>
        <x:v>Synthetic advertiser 3</x:v>
      </x:c>
      <x:c r="C2807" s="1" t="n">
        <x:f>Source!C2801</x:f>
        <x:v>3</x:v>
      </x:c>
      <x:c r="D2807" s="8" t="n">
        <x:f>Source!D2801/100</x:f>
        <x:v>83.04</x:v>
      </x:c>
      <x:c r="E2807" s="8" t="n">
        <x:f>Source!E2801/100</x:f>
        <x:v>98.04</x:v>
      </x:c>
      <x:c r="F2807" s="8" t="n">
        <x:f>Source!F2801/100</x:f>
        <x:v>0</x:v>
      </x:c>
      <x:c r="G2807" s="8" t="n">
        <x:f>Source!G2801/100</x:f>
        <x:v>98.04</x:v>
      </x:c>
      <x:c r="H2807" s="8" t="n">
        <x:f>G2807-D2807</x:f>
        <x:v>15</x:v>
      </x:c>
      <x:c r="I2807" s="1" t="str">
        <x:f>IF(H2807&gt;0,"Overbilled","Shortfall")</x:f>
        <x:v>Overbilled</x:v>
      </x:c>
      <x:c r="J2807" s="7"/>
      <x:c r="K2807" s="7" t="str">
        <x:v>Open</x:v>
      </x:c>
      <x:c r="L2807" s="7"/>
    </x:row>
    <x:row r="2808" ht="21" customHeight="1">
      <x:c r="A2808" s="1" t="str">
        <x:f>Source!A2802</x:f>
        <x:v>C0007071</x:v>
      </x:c>
      <x:c r="B2808" s="1" t="str">
        <x:f>_xlfn.IFNA(VLOOKUP(Source!B2802,Advertisers!$A$5:$B$34,2,FALSE),"Missing advertiser")</x:f>
        <x:v>Synthetic advertiser 26</x:v>
      </x:c>
      <x:c r="C2808" s="1" t="n">
        <x:f>Source!C2802</x:f>
        <x:v>26</x:v>
      </x:c>
      <x:c r="D2808" s="8" t="n">
        <x:f>Source!D2802/100</x:f>
        <x:v>197.8</x:v>
      </x:c>
      <x:c r="E2808" s="8" t="n">
        <x:f>Source!E2802/100</x:f>
        <x:v>212.8</x:v>
      </x:c>
      <x:c r="F2808" s="8" t="n">
        <x:f>Source!F2802/100</x:f>
        <x:v>0</x:v>
      </x:c>
      <x:c r="G2808" s="8" t="n">
        <x:f>Source!G2802/100</x:f>
        <x:v>212.8</x:v>
      </x:c>
      <x:c r="H2808" s="8" t="n">
        <x:f>G2808-D2808</x:f>
        <x:v>15</x:v>
      </x:c>
      <x:c r="I2808" s="1" t="str">
        <x:f>IF(H2808&gt;0,"Overbilled","Shortfall")</x:f>
        <x:v>Overbilled</x:v>
      </x:c>
      <x:c r="J2808" s="7"/>
      <x:c r="K2808" s="7" t="str">
        <x:v>Open</x:v>
      </x:c>
      <x:c r="L2808" s="7"/>
    </x:row>
    <x:row r="2809" ht="21" customHeight="1">
      <x:c r="A2809" s="1" t="str">
        <x:f>Source!A2803</x:f>
        <x:v>C0007087</x:v>
      </x:c>
      <x:c r="B2809" s="1" t="str">
        <x:f>_xlfn.IFNA(VLOOKUP(Source!B2803,Advertisers!$A$5:$B$34,2,FALSE),"Missing advertiser")</x:f>
        <x:v>Synthetic advertiser 27</x:v>
      </x:c>
      <x:c r="C2809" s="1" t="n">
        <x:f>Source!C2803</x:f>
        <x:v>27</x:v>
      </x:c>
      <x:c r="D2809" s="8" t="n">
        <x:f>Source!D2803/100</x:f>
        <x:v>308.4</x:v>
      </x:c>
      <x:c r="E2809" s="8" t="n">
        <x:f>Source!E2803/100</x:f>
        <x:v>323.4</x:v>
      </x:c>
      <x:c r="F2809" s="8" t="n">
        <x:f>Source!F2803/100</x:f>
        <x:v>0</x:v>
      </x:c>
      <x:c r="G2809" s="8" t="n">
        <x:f>Source!G2803/100</x:f>
        <x:v>323.4</x:v>
      </x:c>
      <x:c r="H2809" s="8" t="n">
        <x:f>G2809-D2809</x:f>
        <x:v>15</x:v>
      </x:c>
      <x:c r="I2809" s="1" t="str">
        <x:f>IF(H2809&gt;0,"Overbilled","Shortfall")</x:f>
        <x:v>Overbilled</x:v>
      </x:c>
      <x:c r="J2809" s="7"/>
      <x:c r="K2809" s="7" t="str">
        <x:v>Open</x:v>
      </x:c>
      <x:c r="L2809" s="7"/>
    </x:row>
    <x:row r="2810" ht="21" customHeight="1">
      <x:c r="A2810" s="1" t="str">
        <x:f>Source!A2804</x:f>
        <x:v>C0007098</x:v>
      </x:c>
      <x:c r="B2810" s="1" t="str">
        <x:f>_xlfn.IFNA(VLOOKUP(Source!B2804,Advertisers!$A$5:$B$34,2,FALSE),"Missing advertiser")</x:f>
        <x:v>Synthetic advertiser 27</x:v>
      </x:c>
      <x:c r="C2810" s="1" t="n">
        <x:f>Source!C2804</x:f>
        <x:v>87</x:v>
      </x:c>
      <x:c r="D2810" s="8" t="n">
        <x:f>Source!D2804/100</x:f>
        <x:v>91.4</x:v>
      </x:c>
      <x:c r="E2810" s="8" t="n">
        <x:f>Source!E2804/100</x:f>
        <x:v>106.4</x:v>
      </x:c>
      <x:c r="F2810" s="8" t="n">
        <x:f>Source!F2804/100</x:f>
        <x:v>0</x:v>
      </x:c>
      <x:c r="G2810" s="8" t="n">
        <x:f>Source!G2804/100</x:f>
        <x:v>106.4</x:v>
      </x:c>
      <x:c r="H2810" s="8" t="n">
        <x:f>G2810-D2810</x:f>
        <x:v>15</x:v>
      </x:c>
      <x:c r="I2810" s="1" t="str">
        <x:f>IF(H2810&gt;0,"Overbilled","Shortfall")</x:f>
        <x:v>Overbilled</x:v>
      </x:c>
      <x:c r="J2810" s="7"/>
      <x:c r="K2810" s="7" t="str">
        <x:v>Open</x:v>
      </x:c>
      <x:c r="L2810" s="7"/>
    </x:row>
    <x:row r="2811" ht="21" customHeight="1">
      <x:c r="A2811" s="1" t="str">
        <x:f>Source!A2805</x:f>
        <x:v>C0006781</x:v>
      </x:c>
      <x:c r="B2811" s="1" t="str">
        <x:f>_xlfn.IFNA(VLOOKUP(Source!B2805,Advertisers!$A$5:$B$34,2,FALSE),"Missing advertiser")</x:f>
        <x:v>Synthetic advertiser 30</x:v>
      </x:c>
      <x:c r="C2811" s="1" t="n">
        <x:f>Source!C2805</x:f>
        <x:v>90</x:v>
      </x:c>
      <x:c r="D2811" s="8" t="n">
        <x:f>Source!D2805/100</x:f>
        <x:v>170.72</x:v>
      </x:c>
      <x:c r="E2811" s="8" t="n">
        <x:f>Source!E2805/100</x:f>
        <x:v>185.72</x:v>
      </x:c>
      <x:c r="F2811" s="8" t="n">
        <x:f>Source!F2805/100</x:f>
        <x:v>0</x:v>
      </x:c>
      <x:c r="G2811" s="8" t="n">
        <x:f>Source!G2805/100</x:f>
        <x:v>185.72</x:v>
      </x:c>
      <x:c r="H2811" s="8" t="n">
        <x:f>G2811-D2811</x:f>
        <x:v>15</x:v>
      </x:c>
      <x:c r="I2811" s="1" t="str">
        <x:f>IF(H2811&gt;0,"Overbilled","Shortfall")</x:f>
        <x:v>Overbilled</x:v>
      </x:c>
      <x:c r="J2811" s="7"/>
      <x:c r="K2811" s="7" t="str">
        <x:v>Open</x:v>
      </x:c>
      <x:c r="L2811" s="7"/>
    </x:row>
    <x:row r="2812" ht="21" customHeight="1">
      <x:c r="A2812" s="1" t="str">
        <x:f>Source!A2806</x:f>
        <x:v>C0006797</x:v>
      </x:c>
      <x:c r="B2812" s="1" t="str">
        <x:f>_xlfn.IFNA(VLOOKUP(Source!B2806,Advertisers!$A$5:$B$34,2,FALSE),"Missing advertiser")</x:f>
        <x:v>Synthetic advertiser 26</x:v>
      </x:c>
      <x:c r="C2812" s="1" t="n">
        <x:f>Source!C2806</x:f>
        <x:v>56</x:v>
      </x:c>
      <x:c r="D2812" s="8" t="n">
        <x:f>Source!D2806/100</x:f>
        <x:v>244.69</x:v>
      </x:c>
      <x:c r="E2812" s="8" t="n">
        <x:f>Source!E2806/100</x:f>
        <x:v>259.69</x:v>
      </x:c>
      <x:c r="F2812" s="8" t="n">
        <x:f>Source!F2806/100</x:f>
        <x:v>0</x:v>
      </x:c>
      <x:c r="G2812" s="8" t="n">
        <x:f>Source!G2806/100</x:f>
        <x:v>259.69</x:v>
      </x:c>
      <x:c r="H2812" s="8" t="n">
        <x:f>G2812-D2812</x:f>
        <x:v>15</x:v>
      </x:c>
      <x:c r="I2812" s="1" t="str">
        <x:f>IF(H2812&gt;0,"Overbilled","Shortfall")</x:f>
        <x:v>Overbilled</x:v>
      </x:c>
      <x:c r="J2812" s="7"/>
      <x:c r="K2812" s="7" t="str">
        <x:v>Open</x:v>
      </x:c>
      <x:c r="L2812" s="7"/>
    </x:row>
    <x:row r="2813" ht="21" customHeight="1">
      <x:c r="A2813" s="1" t="str">
        <x:f>Source!A2807</x:f>
        <x:v>C0006826</x:v>
      </x:c>
      <x:c r="B2813" s="1" t="str">
        <x:f>_xlfn.IFNA(VLOOKUP(Source!B2807,Advertisers!$A$5:$B$34,2,FALSE),"Missing advertiser")</x:f>
        <x:v>Synthetic advertiser 23</x:v>
      </x:c>
      <x:c r="C2813" s="1" t="n">
        <x:f>Source!C2807</x:f>
        <x:v>23</x:v>
      </x:c>
      <x:c r="D2813" s="8" t="n">
        <x:f>Source!D2807/100</x:f>
        <x:v>74.55</x:v>
      </x:c>
      <x:c r="E2813" s="8" t="n">
        <x:f>Source!E2807/100</x:f>
        <x:v>89.55</x:v>
      </x:c>
      <x:c r="F2813" s="8" t="n">
        <x:f>Source!F2807/100</x:f>
        <x:v>0</x:v>
      </x:c>
      <x:c r="G2813" s="8" t="n">
        <x:f>Source!G2807/100</x:f>
        <x:v>89.55</x:v>
      </x:c>
      <x:c r="H2813" s="8" t="n">
        <x:f>G2813-D2813</x:f>
        <x:v>15</x:v>
      </x:c>
      <x:c r="I2813" s="1" t="str">
        <x:f>IF(H2813&gt;0,"Overbilled","Shortfall")</x:f>
        <x:v>Overbilled</x:v>
      </x:c>
      <x:c r="J2813" s="7"/>
      <x:c r="K2813" s="7" t="str">
        <x:v>Open</x:v>
      </x:c>
      <x:c r="L2813" s="7"/>
    </x:row>
    <x:row r="2814" ht="21" customHeight="1">
      <x:c r="A2814" s="1" t="str">
        <x:f>Source!A2808</x:f>
        <x:v>C0006831</x:v>
      </x:c>
      <x:c r="B2814" s="1" t="str">
        <x:f>_xlfn.IFNA(VLOOKUP(Source!B2808,Advertisers!$A$5:$B$34,2,FALSE),"Missing advertiser")</x:f>
        <x:v>Synthetic advertiser 22</x:v>
      </x:c>
      <x:c r="C2814" s="1" t="n">
        <x:f>Source!C2808</x:f>
        <x:v>82</x:v>
      </x:c>
      <x:c r="D2814" s="8" t="n">
        <x:f>Source!D2808/100</x:f>
        <x:v>229.4</x:v>
      </x:c>
      <x:c r="E2814" s="8" t="n">
        <x:f>Source!E2808/100</x:f>
        <x:v>244.4</x:v>
      </x:c>
      <x:c r="F2814" s="8" t="n">
        <x:f>Source!F2808/100</x:f>
        <x:v>0</x:v>
      </x:c>
      <x:c r="G2814" s="8" t="n">
        <x:f>Source!G2808/100</x:f>
        <x:v>244.4</x:v>
      </x:c>
      <x:c r="H2814" s="8" t="n">
        <x:f>G2814-D2814</x:f>
        <x:v>15</x:v>
      </x:c>
      <x:c r="I2814" s="1" t="str">
        <x:f>IF(H2814&gt;0,"Overbilled","Shortfall")</x:f>
        <x:v>Overbilled</x:v>
      </x:c>
      <x:c r="J2814" s="7"/>
      <x:c r="K2814" s="7" t="str">
        <x:v>Open</x:v>
      </x:c>
      <x:c r="L2814" s="7"/>
    </x:row>
    <x:row r="2815" ht="21" customHeight="1">
      <x:c r="A2815" s="1" t="str">
        <x:f>Source!A2809</x:f>
        <x:v>C0006844</x:v>
      </x:c>
      <x:c r="B2815" s="1" t="str">
        <x:f>_xlfn.IFNA(VLOOKUP(Source!B2809,Advertisers!$A$5:$B$34,2,FALSE),"Missing advertiser")</x:f>
        <x:v>Synthetic advertiser 17</x:v>
      </x:c>
      <x:c r="C2815" s="1" t="n">
        <x:f>Source!C2809</x:f>
        <x:v>107</x:v>
      </x:c>
      <x:c r="D2815" s="8" t="n">
        <x:f>Source!D2809/100</x:f>
        <x:v>149.1</x:v>
      </x:c>
      <x:c r="E2815" s="8" t="n">
        <x:f>Source!E2809/100</x:f>
        <x:v>164.1</x:v>
      </x:c>
      <x:c r="F2815" s="8" t="n">
        <x:f>Source!F2809/100</x:f>
        <x:v>0</x:v>
      </x:c>
      <x:c r="G2815" s="8" t="n">
        <x:f>Source!G2809/100</x:f>
        <x:v>164.1</x:v>
      </x:c>
      <x:c r="H2815" s="8" t="n">
        <x:f>G2815-D2815</x:f>
        <x:v>15</x:v>
      </x:c>
      <x:c r="I2815" s="1" t="str">
        <x:f>IF(H2815&gt;0,"Overbilled","Shortfall")</x:f>
        <x:v>Overbilled</x:v>
      </x:c>
      <x:c r="J2815" s="7"/>
      <x:c r="K2815" s="7" t="str">
        <x:v>Open</x:v>
      </x:c>
      <x:c r="L2815" s="7"/>
    </x:row>
    <x:row r="2816" ht="21" customHeight="1">
      <x:c r="A2816" s="1" t="str">
        <x:f>Source!A2810</x:f>
        <x:v>C0006879</x:v>
      </x:c>
      <x:c r="B2816" s="1" t="str">
        <x:f>_xlfn.IFNA(VLOOKUP(Source!B2810,Advertisers!$A$5:$B$34,2,FALSE),"Missing advertiser")</x:f>
        <x:v>Synthetic advertiser 11</x:v>
      </x:c>
      <x:c r="C2816" s="1" t="n">
        <x:f>Source!C2810</x:f>
        <x:v>71</x:v>
      </x:c>
      <x:c r="D2816" s="8" t="n">
        <x:f>Source!D2810/100</x:f>
        <x:v>145.5</x:v>
      </x:c>
      <x:c r="E2816" s="8" t="n">
        <x:f>Source!E2810/100</x:f>
        <x:v>160.5</x:v>
      </x:c>
      <x:c r="F2816" s="8" t="n">
        <x:f>Source!F2810/100</x:f>
        <x:v>0</x:v>
      </x:c>
      <x:c r="G2816" s="8" t="n">
        <x:f>Source!G2810/100</x:f>
        <x:v>160.5</x:v>
      </x:c>
      <x:c r="H2816" s="8" t="n">
        <x:f>G2816-D2816</x:f>
        <x:v>15</x:v>
      </x:c>
      <x:c r="I2816" s="1" t="str">
        <x:f>IF(H2816&gt;0,"Overbilled","Shortfall")</x:f>
        <x:v>Overbilled</x:v>
      </x:c>
      <x:c r="J2816" s="7"/>
      <x:c r="K2816" s="7" t="str">
        <x:v>Open</x:v>
      </x:c>
      <x:c r="L2816" s="7"/>
    </x:row>
    <x:row r="2817" ht="21" customHeight="1">
      <x:c r="A2817" s="1" t="str">
        <x:f>Source!A2811</x:f>
        <x:v>C0004750</x:v>
      </x:c>
      <x:c r="B2817" s="1" t="str">
        <x:f>_xlfn.IFNA(VLOOKUP(Source!B2811,Advertisers!$A$5:$B$34,2,FALSE),"Missing advertiser")</x:f>
        <x:v>Synthetic advertiser 18</x:v>
      </x:c>
      <x:c r="C2817" s="1" t="n">
        <x:f>Source!C2811</x:f>
        <x:v>18</x:v>
      </x:c>
      <x:c r="D2817" s="8" t="n">
        <x:f>Source!D2811/100</x:f>
        <x:v>122.73</x:v>
      </x:c>
      <x:c r="E2817" s="8" t="n">
        <x:f>Source!E2811/100</x:f>
        <x:v>137.73</x:v>
      </x:c>
      <x:c r="F2817" s="8" t="n">
        <x:f>Source!F2811/100</x:f>
        <x:v>0</x:v>
      </x:c>
      <x:c r="G2817" s="8" t="n">
        <x:f>Source!G2811/100</x:f>
        <x:v>137.73</x:v>
      </x:c>
      <x:c r="H2817" s="8" t="n">
        <x:f>G2817-D2817</x:f>
        <x:v>14.999999999999986</x:v>
      </x:c>
      <x:c r="I2817" s="1" t="str">
        <x:f>IF(H2817&gt;0,"Overbilled","Shortfall")</x:f>
        <x:v>Overbilled</x:v>
      </x:c>
      <x:c r="J2817" s="7"/>
      <x:c r="K2817" s="7" t="str">
        <x:v>Open</x:v>
      </x:c>
      <x:c r="L2817" s="7"/>
    </x:row>
    <x:row r="2818" ht="21" customHeight="1">
      <x:c r="A2818" s="1" t="str">
        <x:f>Source!A2812</x:f>
        <x:v>C0017582</x:v>
      </x:c>
      <x:c r="B2818" s="1" t="str">
        <x:f>_xlfn.IFNA(VLOOKUP(Source!B2812,Advertisers!$A$5:$B$34,2,FALSE),"Missing advertiser")</x:f>
        <x:v>Synthetic advertiser 5</x:v>
      </x:c>
      <x:c r="C2818" s="1" t="n">
        <x:f>Source!C2812</x:f>
        <x:v>95</x:v>
      </x:c>
      <x:c r="D2818" s="8" t="n">
        <x:f>Source!D2812/100</x:f>
        <x:v>62.04</x:v>
      </x:c>
      <x:c r="E2818" s="8" t="n">
        <x:f>Source!E2812/100</x:f>
        <x:v>77.04</x:v>
      </x:c>
      <x:c r="F2818" s="8" t="n">
        <x:f>Source!F2812/100</x:f>
        <x:v>0</x:v>
      </x:c>
      <x:c r="G2818" s="8" t="n">
        <x:f>Source!G2812/100</x:f>
        <x:v>77.04</x:v>
      </x:c>
      <x:c r="H2818" s="8" t="n">
        <x:f>G2818-D2818</x:f>
        <x:v>15.000000000000007</x:v>
      </x:c>
      <x:c r="I2818" s="1" t="str">
        <x:f>IF(H2818&gt;0,"Overbilled","Shortfall")</x:f>
        <x:v>Overbilled</x:v>
      </x:c>
      <x:c r="J2818" s="7"/>
      <x:c r="K2818" s="7" t="str">
        <x:v>Open</x:v>
      </x:c>
      <x:c r="L2818" s="7"/>
    </x:row>
    <x:row r="2819" ht="21" customHeight="1">
      <x:c r="A2819" s="1" t="str">
        <x:f>Source!A2813</x:f>
        <x:v>C0017600</x:v>
      </x:c>
      <x:c r="B2819" s="1" t="str">
        <x:f>_xlfn.IFNA(VLOOKUP(Source!B2813,Advertisers!$A$5:$B$34,2,FALSE),"Missing advertiser")</x:f>
        <x:v>Synthetic advertiser 6</x:v>
      </x:c>
      <x:c r="C2819" s="1" t="n">
        <x:f>Source!C2813</x:f>
        <x:v>36</x:v>
      </x:c>
      <x:c r="D2819" s="8" t="n">
        <x:f>Source!D2813/100</x:f>
        <x:v>114.61</x:v>
      </x:c>
      <x:c r="E2819" s="8" t="n">
        <x:f>Source!E2813/100</x:f>
        <x:v>129.61</x:v>
      </x:c>
      <x:c r="F2819" s="8" t="n">
        <x:f>Source!F2813/100</x:f>
        <x:v>0</x:v>
      </x:c>
      <x:c r="G2819" s="8" t="n">
        <x:f>Source!G2813/100</x:f>
        <x:v>129.61</x:v>
      </x:c>
      <x:c r="H2819" s="8" t="n">
        <x:f>G2819-D2819</x:f>
        <x:v>15.000000000000014</x:v>
      </x:c>
      <x:c r="I2819" s="1" t="str">
        <x:f>IF(H2819&gt;0,"Overbilled","Shortfall")</x:f>
        <x:v>Overbilled</x:v>
      </x:c>
      <x:c r="J2819" s="7"/>
      <x:c r="K2819" s="7" t="str">
        <x:v>Open</x:v>
      </x:c>
      <x:c r="L2819" s="7"/>
    </x:row>
    <x:row r="2820" ht="21" customHeight="1">
      <x:c r="A2820" s="1" t="str">
        <x:f>Source!A2814</x:f>
        <x:v>C0000190</x:v>
      </x:c>
      <x:c r="B2820" s="1" t="str">
        <x:f>_xlfn.IFNA(VLOOKUP(Source!B2814,Advertisers!$A$5:$B$34,2,FALSE),"Missing advertiser")</x:f>
        <x:v>Synthetic advertiser 4</x:v>
      </x:c>
      <x:c r="C2820" s="1" t="n">
        <x:f>Source!C2814</x:f>
        <x:v>64</x:v>
      </x:c>
      <x:c r="D2820" s="8" t="n">
        <x:f>Source!D2814/100</x:f>
        <x:v>83.18</x:v>
      </x:c>
      <x:c r="E2820" s="8" t="n">
        <x:f>Source!E2814/100</x:f>
        <x:v>98.18</x:v>
      </x:c>
      <x:c r="F2820" s="8" t="n">
        <x:f>Source!F2814/100</x:f>
        <x:v>0</x:v>
      </x:c>
      <x:c r="G2820" s="8" t="n">
        <x:f>Source!G2814/100</x:f>
        <x:v>98.18</x:v>
      </x:c>
      <x:c r="H2820" s="8" t="n">
        <x:f>G2820-D2820</x:f>
        <x:v>15</x:v>
      </x:c>
      <x:c r="I2820" s="1" t="str">
        <x:f>IF(H2820&gt;0,"Overbilled","Shortfall")</x:f>
        <x:v>Overbilled</x:v>
      </x:c>
      <x:c r="J2820" s="7"/>
      <x:c r="K2820" s="7" t="str">
        <x:v>Open</x:v>
      </x:c>
      <x:c r="L2820" s="7"/>
    </x:row>
    <x:row r="2821" ht="21" customHeight="1">
      <x:c r="A2821" s="1" t="str">
        <x:f>Source!A2815</x:f>
        <x:v>C0012111</x:v>
      </x:c>
      <x:c r="B2821" s="1" t="str">
        <x:f>_xlfn.IFNA(VLOOKUP(Source!B2815,Advertisers!$A$5:$B$34,2,FALSE),"Missing advertiser")</x:f>
        <x:v>Synthetic advertiser 13</x:v>
      </x:c>
      <x:c r="C2821" s="1" t="n">
        <x:f>Source!C2815</x:f>
        <x:v>13</x:v>
      </x:c>
      <x:c r="D2821" s="8" t="n">
        <x:f>Source!D2815/100</x:f>
        <x:v>102.23</x:v>
      </x:c>
      <x:c r="E2821" s="8" t="n">
        <x:f>Source!E2815/100</x:f>
        <x:v>117.23</x:v>
      </x:c>
      <x:c r="F2821" s="8" t="n">
        <x:f>Source!F2815/100</x:f>
        <x:v>0</x:v>
      </x:c>
      <x:c r="G2821" s="8" t="n">
        <x:f>Source!G2815/100</x:f>
        <x:v>117.23</x:v>
      </x:c>
      <x:c r="H2821" s="8" t="n">
        <x:f>G2821-D2821</x:f>
        <x:v>15</x:v>
      </x:c>
      <x:c r="I2821" s="1" t="str">
        <x:f>IF(H2821&gt;0,"Overbilled","Shortfall")</x:f>
        <x:v>Overbilled</x:v>
      </x:c>
      <x:c r="J2821" s="7"/>
      <x:c r="K2821" s="7" t="str">
        <x:v>Open</x:v>
      </x:c>
      <x:c r="L2821" s="7"/>
    </x:row>
    <x:row r="2822" ht="21" customHeight="1">
      <x:c r="A2822" s="1" t="str">
        <x:f>Source!A2816</x:f>
        <x:v>C0012138</x:v>
      </x:c>
      <x:c r="B2822" s="1" t="str">
        <x:f>_xlfn.IFNA(VLOOKUP(Source!B2816,Advertisers!$A$5:$B$34,2,FALSE),"Missing advertiser")</x:f>
        <x:v>Synthetic advertiser 29</x:v>
      </x:c>
      <x:c r="C2822" s="1" t="n">
        <x:f>Source!C2816</x:f>
        <x:v>119</x:v>
      </x:c>
      <x:c r="D2822" s="8" t="n">
        <x:f>Source!D2816/100</x:f>
        <x:v>195.24</x:v>
      </x:c>
      <x:c r="E2822" s="8" t="n">
        <x:f>Source!E2816/100</x:f>
        <x:v>210.24</x:v>
      </x:c>
      <x:c r="F2822" s="8" t="n">
        <x:f>Source!F2816/100</x:f>
        <x:v>0</x:v>
      </x:c>
      <x:c r="G2822" s="8" t="n">
        <x:f>Source!G2816/100</x:f>
        <x:v>210.24</x:v>
      </x:c>
      <x:c r="H2822" s="8" t="n">
        <x:f>G2822-D2822</x:f>
        <x:v>15</x:v>
      </x:c>
      <x:c r="I2822" s="1" t="str">
        <x:f>IF(H2822&gt;0,"Overbilled","Shortfall")</x:f>
        <x:v>Overbilled</x:v>
      </x:c>
      <x:c r="J2822" s="7"/>
      <x:c r="K2822" s="7" t="str">
        <x:v>Open</x:v>
      </x:c>
      <x:c r="L2822" s="7"/>
    </x:row>
    <x:row r="2823" ht="21" customHeight="1">
      <x:c r="A2823" s="1" t="str">
        <x:f>Source!A2817</x:f>
        <x:v>C0012193</x:v>
      </x:c>
      <x:c r="B2823" s="1" t="str">
        <x:f>_xlfn.IFNA(VLOOKUP(Source!B2817,Advertisers!$A$5:$B$34,2,FALSE),"Missing advertiser")</x:f>
        <x:v>Synthetic advertiser 3</x:v>
      </x:c>
      <x:c r="C2823" s="1" t="n">
        <x:f>Source!C2817</x:f>
        <x:v>3</x:v>
      </x:c>
      <x:c r="D2823" s="8" t="n">
        <x:f>Source!D2817/100</x:f>
        <x:v>244.14</x:v>
      </x:c>
      <x:c r="E2823" s="8" t="n">
        <x:f>Source!E2817/100</x:f>
        <x:v>259.14</x:v>
      </x:c>
      <x:c r="F2823" s="8" t="n">
        <x:f>Source!F2817/100</x:f>
        <x:v>0</x:v>
      </x:c>
      <x:c r="G2823" s="8" t="n">
        <x:f>Source!G2817/100</x:f>
        <x:v>259.14</x:v>
      </x:c>
      <x:c r="H2823" s="8" t="n">
        <x:f>G2823-D2823</x:f>
        <x:v>15</x:v>
      </x:c>
      <x:c r="I2823" s="1" t="str">
        <x:f>IF(H2823&gt;0,"Overbilled","Shortfall")</x:f>
        <x:v>Overbilled</x:v>
      </x:c>
      <x:c r="J2823" s="7"/>
      <x:c r="K2823" s="7" t="str">
        <x:v>Open</x:v>
      </x:c>
      <x:c r="L2823" s="7"/>
    </x:row>
    <x:row r="2824" ht="21" customHeight="1">
      <x:c r="A2824" s="1" t="str">
        <x:f>Source!A2818</x:f>
        <x:v>C0012205</x:v>
      </x:c>
      <x:c r="B2824" s="1" t="str">
        <x:f>_xlfn.IFNA(VLOOKUP(Source!B2818,Advertisers!$A$5:$B$34,2,FALSE),"Missing advertiser")</x:f>
        <x:v>Synthetic advertiser 1</x:v>
      </x:c>
      <x:c r="C2824" s="1" t="n">
        <x:f>Source!C2818</x:f>
        <x:v>61</x:v>
      </x:c>
      <x:c r="D2824" s="8" t="n">
        <x:f>Source!D2818/100</x:f>
        <x:v>230.56</x:v>
      </x:c>
      <x:c r="E2824" s="8" t="n">
        <x:f>Source!E2818/100</x:f>
        <x:v>245.56</x:v>
      </x:c>
      <x:c r="F2824" s="8" t="n">
        <x:f>Source!F2818/100</x:f>
        <x:v>0</x:v>
      </x:c>
      <x:c r="G2824" s="8" t="n">
        <x:f>Source!G2818/100</x:f>
        <x:v>245.56</x:v>
      </x:c>
      <x:c r="H2824" s="8" t="n">
        <x:f>G2824-D2824</x:f>
        <x:v>15</x:v>
      </x:c>
      <x:c r="I2824" s="1" t="str">
        <x:f>IF(H2824&gt;0,"Overbilled","Shortfall")</x:f>
        <x:v>Overbilled</x:v>
      </x:c>
      <x:c r="J2824" s="7"/>
      <x:c r="K2824" s="7" t="str">
        <x:v>Open</x:v>
      </x:c>
      <x:c r="L2824" s="7"/>
    </x:row>
    <x:row r="2825" ht="21" customHeight="1">
      <x:c r="A2825" s="1" t="str">
        <x:f>Source!A2819</x:f>
        <x:v>C0012208</x:v>
      </x:c>
      <x:c r="B2825" s="1" t="str">
        <x:f>_xlfn.IFNA(VLOOKUP(Source!B2819,Advertisers!$A$5:$B$34,2,FALSE),"Missing advertiser")</x:f>
        <x:v>Synthetic advertiser 12</x:v>
      </x:c>
      <x:c r="C2825" s="1" t="n">
        <x:f>Source!C2819</x:f>
        <x:v>72</x:v>
      </x:c>
      <x:c r="D2825" s="8" t="n">
        <x:f>Source!D2819/100</x:f>
        <x:v>211.85</x:v>
      </x:c>
      <x:c r="E2825" s="8" t="n">
        <x:f>Source!E2819/100</x:f>
        <x:v>226.85</x:v>
      </x:c>
      <x:c r="F2825" s="8" t="n">
        <x:f>Source!F2819/100</x:f>
        <x:v>0</x:v>
      </x:c>
      <x:c r="G2825" s="8" t="n">
        <x:f>Source!G2819/100</x:f>
        <x:v>226.85</x:v>
      </x:c>
      <x:c r="H2825" s="8" t="n">
        <x:f>G2825-D2825</x:f>
        <x:v>15</x:v>
      </x:c>
      <x:c r="I2825" s="1" t="str">
        <x:f>IF(H2825&gt;0,"Overbilled","Shortfall")</x:f>
        <x:v>Overbilled</x:v>
      </x:c>
      <x:c r="J2825" s="7"/>
      <x:c r="K2825" s="7" t="str">
        <x:v>Open</x:v>
      </x:c>
      <x:c r="L2825" s="7"/>
    </x:row>
    <x:row r="2826" ht="21" customHeight="1">
      <x:c r="A2826" s="1" t="str">
        <x:f>Source!A2820</x:f>
        <x:v>C0012213</x:v>
      </x:c>
      <x:c r="B2826" s="1" t="str">
        <x:f>_xlfn.IFNA(VLOOKUP(Source!B2820,Advertisers!$A$5:$B$34,2,FALSE),"Missing advertiser")</x:f>
        <x:v>Synthetic advertiser 13</x:v>
      </x:c>
      <x:c r="C2826" s="1" t="n">
        <x:f>Source!C2820</x:f>
        <x:v>103</x:v>
      </x:c>
      <x:c r="D2826" s="8" t="n">
        <x:f>Source!D2820/100</x:f>
        <x:v>136.2</x:v>
      </x:c>
      <x:c r="E2826" s="8" t="n">
        <x:f>Source!E2820/100</x:f>
        <x:v>151.2</x:v>
      </x:c>
      <x:c r="F2826" s="8" t="n">
        <x:f>Source!F2820/100</x:f>
        <x:v>0</x:v>
      </x:c>
      <x:c r="G2826" s="8" t="n">
        <x:f>Source!G2820/100</x:f>
        <x:v>151.2</x:v>
      </x:c>
      <x:c r="H2826" s="8" t="n">
        <x:f>G2826-D2826</x:f>
        <x:v>15</x:v>
      </x:c>
      <x:c r="I2826" s="1" t="str">
        <x:f>IF(H2826&gt;0,"Overbilled","Shortfall")</x:f>
        <x:v>Overbilled</x:v>
      </x:c>
      <x:c r="J2826" s="7"/>
      <x:c r="K2826" s="7" t="str">
        <x:v>Open</x:v>
      </x:c>
      <x:c r="L2826" s="7"/>
    </x:row>
    <x:row r="2827" ht="21" customHeight="1">
      <x:c r="A2827" s="1" t="str">
        <x:f>Source!A2821</x:f>
        <x:v>C0012215</x:v>
      </x:c>
      <x:c r="B2827" s="1" t="str">
        <x:f>_xlfn.IFNA(VLOOKUP(Source!B2821,Advertisers!$A$5:$B$34,2,FALSE),"Missing advertiser")</x:f>
        <x:v>Synthetic advertiser 21</x:v>
      </x:c>
      <x:c r="C2827" s="1" t="n">
        <x:f>Source!C2821</x:f>
        <x:v>111</x:v>
      </x:c>
      <x:c r="D2827" s="8" t="n">
        <x:f>Source!D2821/100</x:f>
        <x:v>102.91</x:v>
      </x:c>
      <x:c r="E2827" s="8" t="n">
        <x:f>Source!E2821/100</x:f>
        <x:v>117.91</x:v>
      </x:c>
      <x:c r="F2827" s="8" t="n">
        <x:f>Source!F2821/100</x:f>
        <x:v>0</x:v>
      </x:c>
      <x:c r="G2827" s="8" t="n">
        <x:f>Source!G2821/100</x:f>
        <x:v>117.91</x:v>
      </x:c>
      <x:c r="H2827" s="8" t="n">
        <x:f>G2827-D2827</x:f>
        <x:v>15</x:v>
      </x:c>
      <x:c r="I2827" s="1" t="str">
        <x:f>IF(H2827&gt;0,"Overbilled","Shortfall")</x:f>
        <x:v>Overbilled</x:v>
      </x:c>
      <x:c r="J2827" s="7"/>
      <x:c r="K2827" s="7" t="str">
        <x:v>Open</x:v>
      </x:c>
      <x:c r="L2827" s="7"/>
    </x:row>
    <x:row r="2828" ht="21" customHeight="1">
      <x:c r="A2828" s="1" t="str">
        <x:f>Source!A2822</x:f>
        <x:v>C0012224</x:v>
      </x:c>
      <x:c r="B2828" s="1" t="str">
        <x:f>_xlfn.IFNA(VLOOKUP(Source!B2822,Advertisers!$A$5:$B$34,2,FALSE),"Missing advertiser")</x:f>
        <x:v>Synthetic advertiser 27</x:v>
      </x:c>
      <x:c r="C2828" s="1" t="n">
        <x:f>Source!C2822</x:f>
        <x:v>117</x:v>
      </x:c>
      <x:c r="D2828" s="8" t="n">
        <x:f>Source!D2822/100</x:f>
        <x:v>61.42</x:v>
      </x:c>
      <x:c r="E2828" s="8" t="n">
        <x:f>Source!E2822/100</x:f>
        <x:v>76.42</x:v>
      </x:c>
      <x:c r="F2828" s="8" t="n">
        <x:f>Source!F2822/100</x:f>
        <x:v>0</x:v>
      </x:c>
      <x:c r="G2828" s="8" t="n">
        <x:f>Source!G2822/100</x:f>
        <x:v>76.42</x:v>
      </x:c>
      <x:c r="H2828" s="8" t="n">
        <x:f>G2828-D2828</x:f>
        <x:v>15</x:v>
      </x:c>
      <x:c r="I2828" s="1" t="str">
        <x:f>IF(H2828&gt;0,"Overbilled","Shortfall")</x:f>
        <x:v>Overbilled</x:v>
      </x:c>
      <x:c r="J2828" s="7"/>
      <x:c r="K2828" s="7" t="str">
        <x:v>Open</x:v>
      </x:c>
      <x:c r="L2828" s="7"/>
    </x:row>
    <x:row r="2829" ht="21" customHeight="1">
      <x:c r="A2829" s="1" t="str">
        <x:f>Source!A2823</x:f>
        <x:v>C0012258</x:v>
      </x:c>
      <x:c r="B2829" s="1" t="str">
        <x:f>_xlfn.IFNA(VLOOKUP(Source!B2823,Advertisers!$A$5:$B$34,2,FALSE),"Missing advertiser")</x:f>
        <x:v>Synthetic advertiser 12</x:v>
      </x:c>
      <x:c r="C2829" s="1" t="n">
        <x:f>Source!C2823</x:f>
        <x:v>72</x:v>
      </x:c>
      <x:c r="D2829" s="8" t="n">
        <x:f>Source!D2823/100</x:f>
        <x:v>180.82</x:v>
      </x:c>
      <x:c r="E2829" s="8" t="n">
        <x:f>Source!E2823/100</x:f>
        <x:v>195.82</x:v>
      </x:c>
      <x:c r="F2829" s="8" t="n">
        <x:f>Source!F2823/100</x:f>
        <x:v>0</x:v>
      </x:c>
      <x:c r="G2829" s="8" t="n">
        <x:f>Source!G2823/100</x:f>
        <x:v>195.82</x:v>
      </x:c>
      <x:c r="H2829" s="8" t="n">
        <x:f>G2829-D2829</x:f>
        <x:v>15</x:v>
      </x:c>
      <x:c r="I2829" s="1" t="str">
        <x:f>IF(H2829&gt;0,"Overbilled","Shortfall")</x:f>
        <x:v>Overbilled</x:v>
      </x:c>
      <x:c r="J2829" s="7"/>
      <x:c r="K2829" s="7" t="str">
        <x:v>Open</x:v>
      </x:c>
      <x:c r="L2829" s="7"/>
    </x:row>
    <x:row r="2830" ht="21" customHeight="1">
      <x:c r="A2830" s="1" t="str">
        <x:f>Source!A2824</x:f>
        <x:v>C0012301</x:v>
      </x:c>
      <x:c r="B2830" s="1" t="str">
        <x:f>_xlfn.IFNA(VLOOKUP(Source!B2824,Advertisers!$A$5:$B$34,2,FALSE),"Missing advertiser")</x:f>
        <x:v>Synthetic advertiser 22</x:v>
      </x:c>
      <x:c r="C2830" s="1" t="n">
        <x:f>Source!C2824</x:f>
        <x:v>112</x:v>
      </x:c>
      <x:c r="D2830" s="8" t="n">
        <x:f>Source!D2824/100</x:f>
        <x:v>99.68</x:v>
      </x:c>
      <x:c r="E2830" s="8" t="n">
        <x:f>Source!E2824/100</x:f>
        <x:v>114.68</x:v>
      </x:c>
      <x:c r="F2830" s="8" t="n">
        <x:f>Source!F2824/100</x:f>
        <x:v>0</x:v>
      </x:c>
      <x:c r="G2830" s="8" t="n">
        <x:f>Source!G2824/100</x:f>
        <x:v>114.68</x:v>
      </x:c>
      <x:c r="H2830" s="8" t="n">
        <x:f>G2830-D2830</x:f>
        <x:v>15</x:v>
      </x:c>
      <x:c r="I2830" s="1" t="str">
        <x:f>IF(H2830&gt;0,"Overbilled","Shortfall")</x:f>
        <x:v>Overbilled</x:v>
      </x:c>
      <x:c r="J2830" s="7"/>
      <x:c r="K2830" s="7" t="str">
        <x:v>Open</x:v>
      </x:c>
      <x:c r="L2830" s="7"/>
    </x:row>
    <x:row r="2831" ht="21" customHeight="1">
      <x:c r="A2831" s="1" t="str">
        <x:f>Source!A2825</x:f>
        <x:v>C0012755</x:v>
      </x:c>
      <x:c r="B2831" s="1" t="str">
        <x:f>_xlfn.IFNA(VLOOKUP(Source!B2825,Advertisers!$A$5:$B$34,2,FALSE),"Missing advertiser")</x:f>
        <x:v>Synthetic advertiser 18</x:v>
      </x:c>
      <x:c r="C2831" s="1" t="n">
        <x:f>Source!C2825</x:f>
        <x:v>108</x:v>
      </x:c>
      <x:c r="D2831" s="8" t="n">
        <x:f>Source!D2825/100</x:f>
        <x:v>77.56</x:v>
      </x:c>
      <x:c r="E2831" s="8" t="n">
        <x:f>Source!E2825/100</x:f>
        <x:v>92.56</x:v>
      </x:c>
      <x:c r="F2831" s="8" t="n">
        <x:f>Source!F2825/100</x:f>
        <x:v>0</x:v>
      </x:c>
      <x:c r="G2831" s="8" t="n">
        <x:f>Source!G2825/100</x:f>
        <x:v>92.56</x:v>
      </x:c>
      <x:c r="H2831" s="8" t="n">
        <x:f>G2831-D2831</x:f>
        <x:v>15</x:v>
      </x:c>
      <x:c r="I2831" s="1" t="str">
        <x:f>IF(H2831&gt;0,"Overbilled","Shortfall")</x:f>
        <x:v>Overbilled</x:v>
      </x:c>
      <x:c r="J2831" s="7"/>
      <x:c r="K2831" s="7" t="str">
        <x:v>Open</x:v>
      </x:c>
      <x:c r="L2831" s="7"/>
    </x:row>
    <x:row r="2832" ht="21" customHeight="1">
      <x:c r="A2832" s="1" t="str">
        <x:f>Source!A2826</x:f>
        <x:v>C0005776</x:v>
      </x:c>
      <x:c r="B2832" s="1" t="str">
        <x:f>_xlfn.IFNA(VLOOKUP(Source!B2826,Advertisers!$A$5:$B$34,2,FALSE),"Missing advertiser")</x:f>
        <x:v>Synthetic advertiser 30</x:v>
      </x:c>
      <x:c r="C2832" s="1" t="n">
        <x:f>Source!C2826</x:f>
        <x:v>30</x:v>
      </x:c>
      <x:c r="D2832" s="8" t="n">
        <x:f>Source!D2826/100</x:f>
        <x:v>97.33</x:v>
      </x:c>
      <x:c r="E2832" s="8" t="n">
        <x:f>Source!E2826/100</x:f>
        <x:v>112.33</x:v>
      </x:c>
      <x:c r="F2832" s="8" t="n">
        <x:f>Source!F2826/100</x:f>
        <x:v>0</x:v>
      </x:c>
      <x:c r="G2832" s="8" t="n">
        <x:f>Source!G2826/100</x:f>
        <x:v>112.33</x:v>
      </x:c>
      <x:c r="H2832" s="8" t="n">
        <x:f>G2832-D2832</x:f>
        <x:v>15</x:v>
      </x:c>
      <x:c r="I2832" s="1" t="str">
        <x:f>IF(H2832&gt;0,"Overbilled","Shortfall")</x:f>
        <x:v>Overbilled</x:v>
      </x:c>
      <x:c r="J2832" s="7"/>
      <x:c r="K2832" s="7" t="str">
        <x:v>Open</x:v>
      </x:c>
      <x:c r="L2832" s="7"/>
    </x:row>
    <x:row r="2833" ht="21" customHeight="1">
      <x:c r="A2833" s="1" t="str">
        <x:f>Source!A2827</x:f>
        <x:v>C0005793</x:v>
      </x:c>
      <x:c r="B2833" s="1" t="str">
        <x:f>_xlfn.IFNA(VLOOKUP(Source!B2827,Advertisers!$A$5:$B$34,2,FALSE),"Missing advertiser")</x:f>
        <x:v>Synthetic advertiser 27</x:v>
      </x:c>
      <x:c r="C2833" s="1" t="n">
        <x:f>Source!C2827</x:f>
        <x:v>27</x:v>
      </x:c>
      <x:c r="D2833" s="8" t="n">
        <x:f>Source!D2827/100</x:f>
        <x:v>109.94</x:v>
      </x:c>
      <x:c r="E2833" s="8" t="n">
        <x:f>Source!E2827/100</x:f>
        <x:v>124.94</x:v>
      </x:c>
      <x:c r="F2833" s="8" t="n">
        <x:f>Source!F2827/100</x:f>
        <x:v>0</x:v>
      </x:c>
      <x:c r="G2833" s="8" t="n">
        <x:f>Source!G2827/100</x:f>
        <x:v>124.94</x:v>
      </x:c>
      <x:c r="H2833" s="8" t="n">
        <x:f>G2833-D2833</x:f>
        <x:v>15</x:v>
      </x:c>
      <x:c r="I2833" s="1" t="str">
        <x:f>IF(H2833&gt;0,"Overbilled","Shortfall")</x:f>
        <x:v>Overbilled</x:v>
      </x:c>
      <x:c r="J2833" s="7"/>
      <x:c r="K2833" s="7" t="str">
        <x:v>Open</x:v>
      </x:c>
      <x:c r="L2833" s="7"/>
    </x:row>
    <x:row r="2834" ht="21" customHeight="1">
      <x:c r="A2834" s="1" t="str">
        <x:f>Source!A2828</x:f>
        <x:v>C0005799</x:v>
      </x:c>
      <x:c r="B2834" s="1" t="str">
        <x:f>_xlfn.IFNA(VLOOKUP(Source!B2828,Advertisers!$A$5:$B$34,2,FALSE),"Missing advertiser")</x:f>
        <x:v>Synthetic advertiser 6</x:v>
      </x:c>
      <x:c r="C2834" s="1" t="n">
        <x:f>Source!C2828</x:f>
        <x:v>96</x:v>
      </x:c>
      <x:c r="D2834" s="8" t="n">
        <x:f>Source!D2828/100</x:f>
        <x:v>101.6</x:v>
      </x:c>
      <x:c r="E2834" s="8" t="n">
        <x:f>Source!E2828/100</x:f>
        <x:v>116.6</x:v>
      </x:c>
      <x:c r="F2834" s="8" t="n">
        <x:f>Source!F2828/100</x:f>
        <x:v>0</x:v>
      </x:c>
      <x:c r="G2834" s="8" t="n">
        <x:f>Source!G2828/100</x:f>
        <x:v>116.6</x:v>
      </x:c>
      <x:c r="H2834" s="8" t="n">
        <x:f>G2834-D2834</x:f>
        <x:v>15</x:v>
      </x:c>
      <x:c r="I2834" s="1" t="str">
        <x:f>IF(H2834&gt;0,"Overbilled","Shortfall")</x:f>
        <x:v>Overbilled</x:v>
      </x:c>
      <x:c r="J2834" s="7"/>
      <x:c r="K2834" s="7" t="str">
        <x:v>Open</x:v>
      </x:c>
      <x:c r="L2834" s="7"/>
    </x:row>
    <x:row r="2835" ht="21" customHeight="1">
      <x:c r="A2835" s="1" t="str">
        <x:f>Source!A2829</x:f>
        <x:v>C0005806</x:v>
      </x:c>
      <x:c r="B2835" s="1" t="str">
        <x:f>_xlfn.IFNA(VLOOKUP(Source!B2829,Advertisers!$A$5:$B$34,2,FALSE),"Missing advertiser")</x:f>
        <x:v>Synthetic advertiser 13</x:v>
      </x:c>
      <x:c r="C2835" s="1" t="n">
        <x:f>Source!C2829</x:f>
        <x:v>103</x:v>
      </x:c>
      <x:c r="D2835" s="8" t="n">
        <x:f>Source!D2829/100</x:f>
        <x:v>236.26</x:v>
      </x:c>
      <x:c r="E2835" s="8" t="n">
        <x:f>Source!E2829/100</x:f>
        <x:v>251.26</x:v>
      </x:c>
      <x:c r="F2835" s="8" t="n">
        <x:f>Source!F2829/100</x:f>
        <x:v>0</x:v>
      </x:c>
      <x:c r="G2835" s="8" t="n">
        <x:f>Source!G2829/100</x:f>
        <x:v>251.26</x:v>
      </x:c>
      <x:c r="H2835" s="8" t="n">
        <x:f>G2835-D2835</x:f>
        <x:v>15</x:v>
      </x:c>
      <x:c r="I2835" s="1" t="str">
        <x:f>IF(H2835&gt;0,"Overbilled","Shortfall")</x:f>
        <x:v>Overbilled</x:v>
      </x:c>
      <x:c r="J2835" s="7"/>
      <x:c r="K2835" s="7" t="str">
        <x:v>Open</x:v>
      </x:c>
      <x:c r="L2835" s="7"/>
    </x:row>
    <x:row r="2836" ht="21" customHeight="1">
      <x:c r="A2836" s="1" t="str">
        <x:f>Source!A2830</x:f>
        <x:v>C0005864</x:v>
      </x:c>
      <x:c r="B2836" s="1" t="str">
        <x:f>_xlfn.IFNA(VLOOKUP(Source!B2830,Advertisers!$A$5:$B$34,2,FALSE),"Missing advertiser")</x:f>
        <x:v>Synthetic advertiser 26</x:v>
      </x:c>
      <x:c r="C2836" s="1" t="n">
        <x:f>Source!C2830</x:f>
        <x:v>116</x:v>
      </x:c>
      <x:c r="D2836" s="8" t="n">
        <x:f>Source!D2830/100</x:f>
        <x:v>124.17</x:v>
      </x:c>
      <x:c r="E2836" s="8" t="n">
        <x:f>Source!E2830/100</x:f>
        <x:v>139.17</x:v>
      </x:c>
      <x:c r="F2836" s="8" t="n">
        <x:f>Source!F2830/100</x:f>
        <x:v>0</x:v>
      </x:c>
      <x:c r="G2836" s="8" t="n">
        <x:f>Source!G2830/100</x:f>
        <x:v>139.17</x:v>
      </x:c>
      <x:c r="H2836" s="8" t="n">
        <x:f>G2836-D2836</x:f>
        <x:v>14.999999999999986</x:v>
      </x:c>
      <x:c r="I2836" s="1" t="str">
        <x:f>IF(H2836&gt;0,"Overbilled","Shortfall")</x:f>
        <x:v>Overbilled</x:v>
      </x:c>
      <x:c r="J2836" s="7"/>
      <x:c r="K2836" s="7" t="str">
        <x:v>Open</x:v>
      </x:c>
      <x:c r="L2836" s="7"/>
    </x:row>
    <x:row r="2837" ht="21" customHeight="1">
      <x:c r="A2837" s="1" t="str">
        <x:f>Source!A2831</x:f>
        <x:v>C0011844</x:v>
      </x:c>
      <x:c r="B2837" s="1" t="str">
        <x:f>_xlfn.IFNA(VLOOKUP(Source!B2831,Advertisers!$A$5:$B$34,2,FALSE),"Missing advertiser")</x:f>
        <x:v>Synthetic advertiser 11</x:v>
      </x:c>
      <x:c r="C2837" s="1" t="n">
        <x:f>Source!C2831</x:f>
        <x:v>71</x:v>
      </x:c>
      <x:c r="D2837" s="8" t="n">
        <x:f>Source!D2831/100</x:f>
        <x:v>306.04</x:v>
      </x:c>
      <x:c r="E2837" s="8" t="n">
        <x:f>Source!E2831/100</x:f>
        <x:v>321.04</x:v>
      </x:c>
      <x:c r="F2837" s="8" t="n">
        <x:f>Source!F2831/100</x:f>
        <x:v>0</x:v>
      </x:c>
      <x:c r="G2837" s="8" t="n">
        <x:f>Source!G2831/100</x:f>
        <x:v>321.04</x:v>
      </x:c>
      <x:c r="H2837" s="8" t="n">
        <x:f>G2837-D2837</x:f>
        <x:v>15</x:v>
      </x:c>
      <x:c r="I2837" s="1" t="str">
        <x:f>IF(H2837&gt;0,"Overbilled","Shortfall")</x:f>
        <x:v>Overbilled</x:v>
      </x:c>
      <x:c r="J2837" s="7"/>
      <x:c r="K2837" s="7" t="str">
        <x:v>Open</x:v>
      </x:c>
      <x:c r="L2837" s="7"/>
    </x:row>
    <x:row r="2838" ht="21" customHeight="1">
      <x:c r="A2838" s="1" t="str">
        <x:f>Source!A2832</x:f>
        <x:v>C0011860</x:v>
      </x:c>
      <x:c r="B2838" s="1" t="str">
        <x:f>_xlfn.IFNA(VLOOKUP(Source!B2832,Advertisers!$A$5:$B$34,2,FALSE),"Missing advertiser")</x:f>
        <x:v>Synthetic advertiser 18</x:v>
      </x:c>
      <x:c r="C2838" s="1" t="n">
        <x:f>Source!C2832</x:f>
        <x:v>48</x:v>
      </x:c>
      <x:c r="D2838" s="8" t="n">
        <x:f>Source!D2832/100</x:f>
        <x:v>412.52</x:v>
      </x:c>
      <x:c r="E2838" s="8" t="n">
        <x:f>Source!E2832/100</x:f>
        <x:v>427.52</x:v>
      </x:c>
      <x:c r="F2838" s="8" t="n">
        <x:f>Source!F2832/100</x:f>
        <x:v>0</x:v>
      </x:c>
      <x:c r="G2838" s="8" t="n">
        <x:f>Source!G2832/100</x:f>
        <x:v>427.52</x:v>
      </x:c>
      <x:c r="H2838" s="8" t="n">
        <x:f>G2838-D2838</x:f>
        <x:v>15</x:v>
      </x:c>
      <x:c r="I2838" s="1" t="str">
        <x:f>IF(H2838&gt;0,"Overbilled","Shortfall")</x:f>
        <x:v>Overbilled</x:v>
      </x:c>
      <x:c r="J2838" s="7"/>
      <x:c r="K2838" s="7" t="str">
        <x:v>Open</x:v>
      </x:c>
      <x:c r="L2838" s="7"/>
    </x:row>
    <x:row r="2839" ht="21" customHeight="1">
      <x:c r="A2839" s="1" t="str">
        <x:f>Source!A2833</x:f>
        <x:v>C0011883</x:v>
      </x:c>
      <x:c r="B2839" s="1" t="str">
        <x:f>_xlfn.IFNA(VLOOKUP(Source!B2833,Advertisers!$A$5:$B$34,2,FALSE),"Missing advertiser")</x:f>
        <x:v>Synthetic advertiser 9</x:v>
      </x:c>
      <x:c r="C2839" s="1" t="n">
        <x:f>Source!C2833</x:f>
        <x:v>9</x:v>
      </x:c>
      <x:c r="D2839" s="8" t="n">
        <x:f>Source!D2833/100</x:f>
        <x:v>105.31</x:v>
      </x:c>
      <x:c r="E2839" s="8" t="n">
        <x:f>Source!E2833/100</x:f>
        <x:v>120.31</x:v>
      </x:c>
      <x:c r="F2839" s="8" t="n">
        <x:f>Source!F2833/100</x:f>
        <x:v>0</x:v>
      </x:c>
      <x:c r="G2839" s="8" t="n">
        <x:f>Source!G2833/100</x:f>
        <x:v>120.31</x:v>
      </x:c>
      <x:c r="H2839" s="8" t="n">
        <x:f>G2839-D2839</x:f>
        <x:v>15</x:v>
      </x:c>
      <x:c r="I2839" s="1" t="str">
        <x:f>IF(H2839&gt;0,"Overbilled","Shortfall")</x:f>
        <x:v>Overbilled</x:v>
      </x:c>
      <x:c r="J2839" s="7"/>
      <x:c r="K2839" s="7" t="str">
        <x:v>Open</x:v>
      </x:c>
      <x:c r="L2839" s="7"/>
    </x:row>
    <x:row r="2840" ht="21" customHeight="1">
      <x:c r="A2840" s="1" t="str">
        <x:f>Source!A2834</x:f>
        <x:v>C0006061</x:v>
      </x:c>
      <x:c r="B2840" s="1" t="str">
        <x:f>_xlfn.IFNA(VLOOKUP(Source!B2834,Advertisers!$A$5:$B$34,2,FALSE),"Missing advertiser")</x:f>
        <x:v>Synthetic advertiser 17</x:v>
      </x:c>
      <x:c r="C2840" s="1" t="n">
        <x:f>Source!C2834</x:f>
        <x:v>17</x:v>
      </x:c>
      <x:c r="D2840" s="8" t="n">
        <x:f>Source!D2834/100</x:f>
        <x:v>158.45</x:v>
      </x:c>
      <x:c r="E2840" s="8" t="n">
        <x:f>Source!E2834/100</x:f>
        <x:v>173.45</x:v>
      </x:c>
      <x:c r="F2840" s="8" t="n">
        <x:f>Source!F2834/100</x:f>
        <x:v>0</x:v>
      </x:c>
      <x:c r="G2840" s="8" t="n">
        <x:f>Source!G2834/100</x:f>
        <x:v>173.45</x:v>
      </x:c>
      <x:c r="H2840" s="8" t="n">
        <x:f>G2840-D2840</x:f>
        <x:v>15</x:v>
      </x:c>
      <x:c r="I2840" s="1" t="str">
        <x:f>IF(H2840&gt;0,"Overbilled","Shortfall")</x:f>
        <x:v>Overbilled</x:v>
      </x:c>
      <x:c r="J2840" s="7"/>
      <x:c r="K2840" s="7" t="str">
        <x:v>Open</x:v>
      </x:c>
      <x:c r="L2840" s="7"/>
    </x:row>
    <x:row r="2841" ht="21" customHeight="1">
      <x:c r="A2841" s="1" t="str">
        <x:f>Source!A2835</x:f>
        <x:v>C0006093</x:v>
      </x:c>
      <x:c r="B2841" s="1" t="str">
        <x:f>_xlfn.IFNA(VLOOKUP(Source!B2835,Advertisers!$A$5:$B$34,2,FALSE),"Missing advertiser")</x:f>
        <x:v>Synthetic advertiser 10</x:v>
      </x:c>
      <x:c r="C2841" s="1" t="n">
        <x:f>Source!C2835</x:f>
        <x:v>70</x:v>
      </x:c>
      <x:c r="D2841" s="8" t="n">
        <x:f>Source!D2835/100</x:f>
        <x:v>134.05</x:v>
      </x:c>
      <x:c r="E2841" s="8" t="n">
        <x:f>Source!E2835/100</x:f>
        <x:v>149.05</x:v>
      </x:c>
      <x:c r="F2841" s="8" t="n">
        <x:f>Source!F2835/100</x:f>
        <x:v>0</x:v>
      </x:c>
      <x:c r="G2841" s="8" t="n">
        <x:f>Source!G2835/100</x:f>
        <x:v>149.05</x:v>
      </x:c>
      <x:c r="H2841" s="8" t="n">
        <x:f>G2841-D2841</x:f>
        <x:v>15</x:v>
      </x:c>
      <x:c r="I2841" s="1" t="str">
        <x:f>IF(H2841&gt;0,"Overbilled","Shortfall")</x:f>
        <x:v>Overbilled</x:v>
      </x:c>
      <x:c r="J2841" s="7"/>
      <x:c r="K2841" s="7" t="str">
        <x:v>Open</x:v>
      </x:c>
      <x:c r="L2841" s="7"/>
    </x:row>
    <x:row r="2842" ht="21" customHeight="1">
      <x:c r="A2842" s="1" t="str">
        <x:f>Source!A2836</x:f>
        <x:v>C0006094</x:v>
      </x:c>
      <x:c r="B2842" s="1" t="str">
        <x:f>_xlfn.IFNA(VLOOKUP(Source!B2836,Advertisers!$A$5:$B$34,2,FALSE),"Missing advertiser")</x:f>
        <x:v>Synthetic advertiser 29</x:v>
      </x:c>
      <x:c r="C2842" s="1" t="n">
        <x:f>Source!C2836</x:f>
        <x:v>119</x:v>
      </x:c>
      <x:c r="D2842" s="8" t="n">
        <x:f>Source!D2836/100</x:f>
        <x:v>195.24</x:v>
      </x:c>
      <x:c r="E2842" s="8" t="n">
        <x:f>Source!E2836/100</x:f>
        <x:v>210.24</x:v>
      </x:c>
      <x:c r="F2842" s="8" t="n">
        <x:f>Source!F2836/100</x:f>
        <x:v>0</x:v>
      </x:c>
      <x:c r="G2842" s="8" t="n">
        <x:f>Source!G2836/100</x:f>
        <x:v>210.24</x:v>
      </x:c>
      <x:c r="H2842" s="8" t="n">
        <x:f>G2842-D2842</x:f>
        <x:v>15</x:v>
      </x:c>
      <x:c r="I2842" s="1" t="str">
        <x:f>IF(H2842&gt;0,"Overbilled","Shortfall")</x:f>
        <x:v>Overbilled</x:v>
      </x:c>
      <x:c r="J2842" s="7"/>
      <x:c r="K2842" s="7" t="str">
        <x:v>Open</x:v>
      </x:c>
      <x:c r="L2842" s="7"/>
    </x:row>
    <x:row r="2843" ht="21" customHeight="1">
      <x:c r="A2843" s="1" t="str">
        <x:f>Source!A2837</x:f>
        <x:v>C0006129</x:v>
      </x:c>
      <x:c r="B2843" s="1" t="str">
        <x:f>_xlfn.IFNA(VLOOKUP(Source!B2837,Advertisers!$A$5:$B$34,2,FALSE),"Missing advertiser")</x:f>
        <x:v>Synthetic advertiser 13</x:v>
      </x:c>
      <x:c r="C2843" s="1" t="n">
        <x:f>Source!C2837</x:f>
        <x:v>13</x:v>
      </x:c>
      <x:c r="D2843" s="8" t="n">
        <x:f>Source!D2837/100</x:f>
        <x:v>104.45</x:v>
      </x:c>
      <x:c r="E2843" s="8" t="n">
        <x:f>Source!E2837/100</x:f>
        <x:v>119.45</x:v>
      </x:c>
      <x:c r="F2843" s="8" t="n">
        <x:f>Source!F2837/100</x:f>
        <x:v>0</x:v>
      </x:c>
      <x:c r="G2843" s="8" t="n">
        <x:f>Source!G2837/100</x:f>
        <x:v>119.45</x:v>
      </x:c>
      <x:c r="H2843" s="8" t="n">
        <x:f>G2843-D2843</x:f>
        <x:v>15</x:v>
      </x:c>
      <x:c r="I2843" s="1" t="str">
        <x:f>IF(H2843&gt;0,"Overbilled","Shortfall")</x:f>
        <x:v>Overbilled</x:v>
      </x:c>
      <x:c r="J2843" s="7"/>
      <x:c r="K2843" s="7" t="str">
        <x:v>Open</x:v>
      </x:c>
      <x:c r="L2843" s="7"/>
    </x:row>
    <x:row r="2844" ht="21" customHeight="1">
      <x:c r="A2844" s="1" t="str">
        <x:f>Source!A2838</x:f>
        <x:v>C0006137</x:v>
      </x:c>
      <x:c r="B2844" s="1" t="str">
        <x:f>_xlfn.IFNA(VLOOKUP(Source!B2838,Advertisers!$A$5:$B$34,2,FALSE),"Missing advertiser")</x:f>
        <x:v>Synthetic advertiser 4</x:v>
      </x:c>
      <x:c r="C2844" s="1" t="n">
        <x:f>Source!C2838</x:f>
        <x:v>64</x:v>
      </x:c>
      <x:c r="D2844" s="8" t="n">
        <x:f>Source!D2838/100</x:f>
        <x:v>83.18</x:v>
      </x:c>
      <x:c r="E2844" s="8" t="n">
        <x:f>Source!E2838/100</x:f>
        <x:v>98.18</x:v>
      </x:c>
      <x:c r="F2844" s="8" t="n">
        <x:f>Source!F2838/100</x:f>
        <x:v>0</x:v>
      </x:c>
      <x:c r="G2844" s="8" t="n">
        <x:f>Source!G2838/100</x:f>
        <x:v>98.18</x:v>
      </x:c>
      <x:c r="H2844" s="8" t="n">
        <x:f>G2844-D2844</x:f>
        <x:v>15</x:v>
      </x:c>
      <x:c r="I2844" s="1" t="str">
        <x:f>IF(H2844&gt;0,"Overbilled","Shortfall")</x:f>
        <x:v>Overbilled</x:v>
      </x:c>
      <x:c r="J2844" s="7"/>
      <x:c r="K2844" s="7" t="str">
        <x:v>Open</x:v>
      </x:c>
      <x:c r="L2844" s="7"/>
    </x:row>
    <x:row r="2845" ht="21" customHeight="1">
      <x:c r="A2845" s="1" t="str">
        <x:f>Source!A2839</x:f>
        <x:v>C0012364</x:v>
      </x:c>
      <x:c r="B2845" s="1" t="str">
        <x:f>_xlfn.IFNA(VLOOKUP(Source!B2839,Advertisers!$A$5:$B$34,2,FALSE),"Missing advertiser")</x:f>
        <x:v>Synthetic advertiser 28</x:v>
      </x:c>
      <x:c r="C2845" s="1" t="n">
        <x:f>Source!C2839</x:f>
        <x:v>118</x:v>
      </x:c>
      <x:c r="D2845" s="8" t="n">
        <x:f>Source!D2839/100</x:f>
        <x:v>225.63</x:v>
      </x:c>
      <x:c r="E2845" s="8" t="n">
        <x:f>Source!E2839/100</x:f>
        <x:v>240.63</x:v>
      </x:c>
      <x:c r="F2845" s="8" t="n">
        <x:f>Source!F2839/100</x:f>
        <x:v>0</x:v>
      </x:c>
      <x:c r="G2845" s="8" t="n">
        <x:f>Source!G2839/100</x:f>
        <x:v>240.63</x:v>
      </x:c>
      <x:c r="H2845" s="8" t="n">
        <x:f>G2845-D2845</x:f>
        <x:v>15</x:v>
      </x:c>
      <x:c r="I2845" s="1" t="str">
        <x:f>IF(H2845&gt;0,"Overbilled","Shortfall")</x:f>
        <x:v>Overbilled</x:v>
      </x:c>
      <x:c r="J2845" s="7"/>
      <x:c r="K2845" s="7" t="str">
        <x:v>Open</x:v>
      </x:c>
      <x:c r="L2845" s="7"/>
    </x:row>
    <x:row r="2846" ht="21" customHeight="1">
      <x:c r="A2846" s="1" t="str">
        <x:f>Source!A2840</x:f>
        <x:v>C0000214</x:v>
      </x:c>
      <x:c r="B2846" s="1" t="str">
        <x:f>_xlfn.IFNA(VLOOKUP(Source!B2840,Advertisers!$A$5:$B$34,2,FALSE),"Missing advertiser")</x:f>
        <x:v>Synthetic advertiser 12</x:v>
      </x:c>
      <x:c r="C2846" s="1" t="n">
        <x:f>Source!C2840</x:f>
        <x:v>72</x:v>
      </x:c>
      <x:c r="D2846" s="8" t="n">
        <x:f>Source!D2840/100</x:f>
        <x:v>223.36</x:v>
      </x:c>
      <x:c r="E2846" s="8" t="n">
        <x:f>Source!E2840/100</x:f>
        <x:v>238.36</x:v>
      </x:c>
      <x:c r="F2846" s="8" t="n">
        <x:f>Source!F2840/100</x:f>
        <x:v>0</x:v>
      </x:c>
      <x:c r="G2846" s="8" t="n">
        <x:f>Source!G2840/100</x:f>
        <x:v>238.36</x:v>
      </x:c>
      <x:c r="H2846" s="8" t="n">
        <x:f>G2846-D2846</x:f>
        <x:v>15</x:v>
      </x:c>
      <x:c r="I2846" s="1" t="str">
        <x:f>IF(H2846&gt;0,"Overbilled","Shortfall")</x:f>
        <x:v>Overbilled</x:v>
      </x:c>
      <x:c r="J2846" s="7"/>
      <x:c r="K2846" s="7" t="str">
        <x:v>Open</x:v>
      </x:c>
      <x:c r="L2846" s="7"/>
    </x:row>
    <x:row r="2847" ht="21" customHeight="1">
      <x:c r="A2847" s="1" t="str">
        <x:f>Source!A2841</x:f>
        <x:v>C0017847</x:v>
      </x:c>
      <x:c r="B2847" s="1" t="str">
        <x:f>_xlfn.IFNA(VLOOKUP(Source!B2841,Advertisers!$A$5:$B$34,2,FALSE),"Missing advertiser")</x:f>
        <x:v>Synthetic advertiser 22</x:v>
      </x:c>
      <x:c r="C2847" s="1" t="n">
        <x:f>Source!C2841</x:f>
        <x:v>112</x:v>
      </x:c>
      <x:c r="D2847" s="8" t="n">
        <x:f>Source!D2841/100</x:f>
        <x:v>99.68</x:v>
      </x:c>
      <x:c r="E2847" s="8" t="n">
        <x:f>Source!E2841/100</x:f>
        <x:v>114.68</x:v>
      </x:c>
      <x:c r="F2847" s="8" t="n">
        <x:f>Source!F2841/100</x:f>
        <x:v>0</x:v>
      </x:c>
      <x:c r="G2847" s="8" t="n">
        <x:f>Source!G2841/100</x:f>
        <x:v>114.68</x:v>
      </x:c>
      <x:c r="H2847" s="8" t="n">
        <x:f>G2847-D2847</x:f>
        <x:v>15</x:v>
      </x:c>
      <x:c r="I2847" s="1" t="str">
        <x:f>IF(H2847&gt;0,"Overbilled","Shortfall")</x:f>
        <x:v>Overbilled</x:v>
      </x:c>
      <x:c r="J2847" s="7"/>
      <x:c r="K2847" s="7" t="str">
        <x:v>Open</x:v>
      </x:c>
      <x:c r="L2847" s="7"/>
    </x:row>
    <x:row r="2848" ht="21" customHeight="1">
      <x:c r="A2848" s="1" t="str">
        <x:f>Source!A2842</x:f>
        <x:v>C0017402</x:v>
      </x:c>
      <x:c r="B2848" s="1" t="str">
        <x:f>_xlfn.IFNA(VLOOKUP(Source!B2842,Advertisers!$A$5:$B$34,2,FALSE),"Missing advertiser")</x:f>
        <x:v>Synthetic advertiser 29</x:v>
      </x:c>
      <x:c r="C2848" s="1" t="n">
        <x:f>Source!C2842</x:f>
        <x:v>119</x:v>
      </x:c>
      <x:c r="D2848" s="8" t="n">
        <x:f>Source!D2842/100</x:f>
        <x:v>80.63</x:v>
      </x:c>
      <x:c r="E2848" s="8" t="n">
        <x:f>Source!E2842/100</x:f>
        <x:v>95.63</x:v>
      </x:c>
      <x:c r="F2848" s="8" t="n">
        <x:f>Source!F2842/100</x:f>
        <x:v>0</x:v>
      </x:c>
      <x:c r="G2848" s="8" t="n">
        <x:f>Source!G2842/100</x:f>
        <x:v>95.63</x:v>
      </x:c>
      <x:c r="H2848" s="8" t="n">
        <x:f>G2848-D2848</x:f>
        <x:v>15</x:v>
      </x:c>
      <x:c r="I2848" s="1" t="str">
        <x:f>IF(H2848&gt;0,"Overbilled","Shortfall")</x:f>
        <x:v>Overbilled</x:v>
      </x:c>
      <x:c r="J2848" s="7"/>
      <x:c r="K2848" s="7" t="str">
        <x:v>Open</x:v>
      </x:c>
      <x:c r="L2848" s="7"/>
    </x:row>
    <x:row r="2849" ht="21" customHeight="1">
      <x:c r="A2849" s="1" t="str">
        <x:f>Source!A2843</x:f>
        <x:v>C0000395</x:v>
      </x:c>
      <x:c r="B2849" s="1" t="str">
        <x:f>_xlfn.IFNA(VLOOKUP(Source!B2843,Advertisers!$A$5:$B$34,2,FALSE),"Missing advertiser")</x:f>
        <x:v>Synthetic advertiser 24</x:v>
      </x:c>
      <x:c r="C2849" s="1" t="n">
        <x:f>Source!C2843</x:f>
        <x:v>84</x:v>
      </x:c>
      <x:c r="D2849" s="8" t="n">
        <x:f>Source!D2843/100</x:f>
        <x:v>335.62</x:v>
      </x:c>
      <x:c r="E2849" s="8" t="n">
        <x:f>Source!E2843/100</x:f>
        <x:v>350.62</x:v>
      </x:c>
      <x:c r="F2849" s="8" t="n">
        <x:f>Source!F2843/100</x:f>
        <x:v>0</x:v>
      </x:c>
      <x:c r="G2849" s="8" t="n">
        <x:f>Source!G2843/100</x:f>
        <x:v>350.62</x:v>
      </x:c>
      <x:c r="H2849" s="8" t="n">
        <x:f>G2849-D2849</x:f>
        <x:v>15</x:v>
      </x:c>
      <x:c r="I2849" s="1" t="str">
        <x:f>IF(H2849&gt;0,"Overbilled","Shortfall")</x:f>
        <x:v>Overbilled</x:v>
      </x:c>
      <x:c r="J2849" s="7"/>
      <x:c r="K2849" s="7" t="str">
        <x:v>Open</x:v>
      </x:c>
      <x:c r="L2849" s="7"/>
    </x:row>
    <x:row r="2850" ht="21" customHeight="1">
      <x:c r="A2850" s="1" t="str">
        <x:f>Source!A2844</x:f>
        <x:v>C0000400</x:v>
      </x:c>
      <x:c r="B2850" s="1" t="str">
        <x:f>_xlfn.IFNA(VLOOKUP(Source!B2844,Advertisers!$A$5:$B$34,2,FALSE),"Missing advertiser")</x:f>
        <x:v>Synthetic advertiser 16</x:v>
      </x:c>
      <x:c r="C2850" s="1" t="n">
        <x:f>Source!C2844</x:f>
        <x:v>16</x:v>
      </x:c>
      <x:c r="D2850" s="8" t="n">
        <x:f>Source!D2844/100</x:f>
        <x:v>84.12</x:v>
      </x:c>
      <x:c r="E2850" s="8" t="n">
        <x:f>Source!E2844/100</x:f>
        <x:v>99.12</x:v>
      </x:c>
      <x:c r="F2850" s="8" t="n">
        <x:f>Source!F2844/100</x:f>
        <x:v>0</x:v>
      </x:c>
      <x:c r="G2850" s="8" t="n">
        <x:f>Source!G2844/100</x:f>
        <x:v>99.12</x:v>
      </x:c>
      <x:c r="H2850" s="8" t="n">
        <x:f>G2850-D2850</x:f>
        <x:v>15</x:v>
      </x:c>
      <x:c r="I2850" s="1" t="str">
        <x:f>IF(H2850&gt;0,"Overbilled","Shortfall")</x:f>
        <x:v>Overbilled</x:v>
      </x:c>
      <x:c r="J2850" s="7"/>
      <x:c r="K2850" s="7" t="str">
        <x:v>Open</x:v>
      </x:c>
      <x:c r="L2850" s="7"/>
    </x:row>
    <x:row r="2851" ht="21" customHeight="1">
      <x:c r="A2851" s="1" t="str">
        <x:f>Source!A2845</x:f>
        <x:v>C0000447</x:v>
      </x:c>
      <x:c r="B2851" s="1" t="str">
        <x:f>_xlfn.IFNA(VLOOKUP(Source!B2845,Advertisers!$A$5:$B$34,2,FALSE),"Missing advertiser")</x:f>
        <x:v>Synthetic advertiser 7</x:v>
      </x:c>
      <x:c r="C2851" s="1" t="n">
        <x:f>Source!C2845</x:f>
        <x:v>37</x:v>
      </x:c>
      <x:c r="D2851" s="8" t="n">
        <x:f>Source!D2845/100</x:f>
        <x:v>151.01</x:v>
      </x:c>
      <x:c r="E2851" s="8" t="n">
        <x:f>Source!E2845/100</x:f>
        <x:v>166.01</x:v>
      </x:c>
      <x:c r="F2851" s="8" t="n">
        <x:f>Source!F2845/100</x:f>
        <x:v>0</x:v>
      </x:c>
      <x:c r="G2851" s="8" t="n">
        <x:f>Source!G2845/100</x:f>
        <x:v>166.01</x:v>
      </x:c>
      <x:c r="H2851" s="8" t="n">
        <x:f>G2851-D2851</x:f>
        <x:v>15</x:v>
      </x:c>
      <x:c r="I2851" s="1" t="str">
        <x:f>IF(H2851&gt;0,"Overbilled","Shortfall")</x:f>
        <x:v>Overbilled</x:v>
      </x:c>
      <x:c r="J2851" s="7"/>
      <x:c r="K2851" s="7" t="str">
        <x:v>Open</x:v>
      </x:c>
      <x:c r="L2851" s="7"/>
    </x:row>
    <x:row r="2852" ht="21" customHeight="1">
      <x:c r="A2852" s="1" t="str">
        <x:f>Source!A2846</x:f>
        <x:v>C0000450</x:v>
      </x:c>
      <x:c r="B2852" s="1" t="str">
        <x:f>_xlfn.IFNA(VLOOKUP(Source!B2846,Advertisers!$A$5:$B$34,2,FALSE),"Missing advertiser")</x:f>
        <x:v>Synthetic advertiser 9</x:v>
      </x:c>
      <x:c r="C2852" s="1" t="n">
        <x:f>Source!C2846</x:f>
        <x:v>39</x:v>
      </x:c>
      <x:c r="D2852" s="8" t="n">
        <x:f>Source!D2846/100</x:f>
        <x:v>176.58</x:v>
      </x:c>
      <x:c r="E2852" s="8" t="n">
        <x:f>Source!E2846/100</x:f>
        <x:v>191.58</x:v>
      </x:c>
      <x:c r="F2852" s="8" t="n">
        <x:f>Source!F2846/100</x:f>
        <x:v>0</x:v>
      </x:c>
      <x:c r="G2852" s="8" t="n">
        <x:f>Source!G2846/100</x:f>
        <x:v>191.58</x:v>
      </x:c>
      <x:c r="H2852" s="8" t="n">
        <x:f>G2852-D2852</x:f>
        <x:v>15</x:v>
      </x:c>
      <x:c r="I2852" s="1" t="str">
        <x:f>IF(H2852&gt;0,"Overbilled","Shortfall")</x:f>
        <x:v>Overbilled</x:v>
      </x:c>
      <x:c r="J2852" s="7"/>
      <x:c r="K2852" s="7" t="str">
        <x:v>Open</x:v>
      </x:c>
      <x:c r="L2852" s="7"/>
    </x:row>
    <x:row r="2853" ht="21" customHeight="1">
      <x:c r="A2853" s="1" t="str">
        <x:f>Source!A2847</x:f>
        <x:v>C0000534</x:v>
      </x:c>
      <x:c r="B2853" s="1" t="str">
        <x:f>_xlfn.IFNA(VLOOKUP(Source!B2847,Advertisers!$A$5:$B$34,2,FALSE),"Missing advertiser")</x:f>
        <x:v>Synthetic advertiser 14</x:v>
      </x:c>
      <x:c r="C2853" s="1" t="n">
        <x:f>Source!C2847</x:f>
        <x:v>14</x:v>
      </x:c>
      <x:c r="D2853" s="8" t="n">
        <x:f>Source!D2847/100</x:f>
        <x:v>136.42</x:v>
      </x:c>
      <x:c r="E2853" s="8" t="n">
        <x:f>Source!E2847/100</x:f>
        <x:v>151.42</x:v>
      </x:c>
      <x:c r="F2853" s="8" t="n">
        <x:f>Source!F2847/100</x:f>
        <x:v>0</x:v>
      </x:c>
      <x:c r="G2853" s="8" t="n">
        <x:f>Source!G2847/100</x:f>
        <x:v>151.42</x:v>
      </x:c>
      <x:c r="H2853" s="8" t="n">
        <x:f>G2853-D2853</x:f>
        <x:v>15</x:v>
      </x:c>
      <x:c r="I2853" s="1" t="str">
        <x:f>IF(H2853&gt;0,"Overbilled","Shortfall")</x:f>
        <x:v>Overbilled</x:v>
      </x:c>
      <x:c r="J2853" s="7"/>
      <x:c r="K2853" s="7" t="str">
        <x:v>Open</x:v>
      </x:c>
      <x:c r="L2853" s="7"/>
    </x:row>
    <x:row r="2854" ht="21" customHeight="1">
      <x:c r="A2854" s="1" t="str">
        <x:f>Source!A2848</x:f>
        <x:v>C0000563</x:v>
      </x:c>
      <x:c r="B2854" s="1" t="str">
        <x:f>_xlfn.IFNA(VLOOKUP(Source!B2848,Advertisers!$A$5:$B$34,2,FALSE),"Missing advertiser")</x:f>
        <x:v>Synthetic advertiser 25</x:v>
      </x:c>
      <x:c r="C2854" s="1" t="n">
        <x:f>Source!C2848</x:f>
        <x:v>55</x:v>
      </x:c>
      <x:c r="D2854" s="8" t="n">
        <x:f>Source!D2848/100</x:f>
        <x:v>99.66</x:v>
      </x:c>
      <x:c r="E2854" s="8" t="n">
        <x:f>Source!E2848/100</x:f>
        <x:v>114.66</x:v>
      </x:c>
      <x:c r="F2854" s="8" t="n">
        <x:f>Source!F2848/100</x:f>
        <x:v>0</x:v>
      </x:c>
      <x:c r="G2854" s="8" t="n">
        <x:f>Source!G2848/100</x:f>
        <x:v>114.66</x:v>
      </x:c>
      <x:c r="H2854" s="8" t="n">
        <x:f>G2854-D2854</x:f>
        <x:v>15</x:v>
      </x:c>
      <x:c r="I2854" s="1" t="str">
        <x:f>IF(H2854&gt;0,"Overbilled","Shortfall")</x:f>
        <x:v>Overbilled</x:v>
      </x:c>
      <x:c r="J2854" s="7"/>
      <x:c r="K2854" s="7" t="str">
        <x:v>Open</x:v>
      </x:c>
      <x:c r="L2854" s="7"/>
    </x:row>
    <x:row r="2855" ht="21" customHeight="1">
      <x:c r="A2855" s="1" t="str">
        <x:f>Source!A2849</x:f>
        <x:v>C0000570</x:v>
      </x:c>
      <x:c r="B2855" s="1" t="str">
        <x:f>_xlfn.IFNA(VLOOKUP(Source!B2849,Advertisers!$A$5:$B$34,2,FALSE),"Missing advertiser")</x:f>
        <x:v>Synthetic advertiser 21</x:v>
      </x:c>
      <x:c r="C2855" s="1" t="n">
        <x:f>Source!C2849</x:f>
        <x:v>51</x:v>
      </x:c>
      <x:c r="D2855" s="8" t="n">
        <x:f>Source!D2849/100</x:f>
        <x:v>213.96</x:v>
      </x:c>
      <x:c r="E2855" s="8" t="n">
        <x:f>Source!E2849/100</x:f>
        <x:v>228.96</x:v>
      </x:c>
      <x:c r="F2855" s="8" t="n">
        <x:f>Source!F2849/100</x:f>
        <x:v>0</x:v>
      </x:c>
      <x:c r="G2855" s="8" t="n">
        <x:f>Source!G2849/100</x:f>
        <x:v>228.96</x:v>
      </x:c>
      <x:c r="H2855" s="8" t="n">
        <x:f>G2855-D2855</x:f>
        <x:v>15</x:v>
      </x:c>
      <x:c r="I2855" s="1" t="str">
        <x:f>IF(H2855&gt;0,"Overbilled","Shortfall")</x:f>
        <x:v>Overbilled</x:v>
      </x:c>
      <x:c r="J2855" s="7"/>
      <x:c r="K2855" s="7" t="str">
        <x:v>Open</x:v>
      </x:c>
      <x:c r="L2855" s="7"/>
    </x:row>
    <x:row r="2856" ht="21" customHeight="1">
      <x:c r="A2856" s="1" t="str">
        <x:f>Source!A2850</x:f>
        <x:v>C0017409</x:v>
      </x:c>
      <x:c r="B2856" s="1" t="str">
        <x:f>_xlfn.IFNA(VLOOKUP(Source!B2850,Advertisers!$A$5:$B$34,2,FALSE),"Missing advertiser")</x:f>
        <x:v>Synthetic advertiser 4</x:v>
      </x:c>
      <x:c r="C2856" s="1" t="n">
        <x:f>Source!C2850</x:f>
        <x:v>4</x:v>
      </x:c>
      <x:c r="D2856" s="8" t="n">
        <x:f>Source!D2850/100</x:f>
        <x:v>80.85</x:v>
      </x:c>
      <x:c r="E2856" s="8" t="n">
        <x:f>Source!E2850/100</x:f>
        <x:v>95.85</x:v>
      </x:c>
      <x:c r="F2856" s="8" t="n">
        <x:f>Source!F2850/100</x:f>
        <x:v>0</x:v>
      </x:c>
      <x:c r="G2856" s="8" t="n">
        <x:f>Source!G2850/100</x:f>
        <x:v>95.85</x:v>
      </x:c>
      <x:c r="H2856" s="8" t="n">
        <x:f>G2856-D2856</x:f>
        <x:v>15</x:v>
      </x:c>
      <x:c r="I2856" s="1" t="str">
        <x:f>IF(H2856&gt;0,"Overbilled","Shortfall")</x:f>
        <x:v>Overbilled</x:v>
      </x:c>
      <x:c r="J2856" s="7"/>
      <x:c r="K2856" s="7" t="str">
        <x:v>Open</x:v>
      </x:c>
      <x:c r="L2856" s="7"/>
    </x:row>
    <x:row r="2857" ht="21" customHeight="1">
      <x:c r="A2857" s="1" t="str">
        <x:f>Source!A2851</x:f>
        <x:v>C0017417</x:v>
      </x:c>
      <x:c r="B2857" s="1" t="str">
        <x:f>_xlfn.IFNA(VLOOKUP(Source!B2851,Advertisers!$A$5:$B$34,2,FALSE),"Missing advertiser")</x:f>
        <x:v>Synthetic advertiser 23</x:v>
      </x:c>
      <x:c r="C2857" s="1" t="n">
        <x:f>Source!C2851</x:f>
        <x:v>53</x:v>
      </x:c>
      <x:c r="D2857" s="8" t="n">
        <x:f>Source!D2851/100</x:f>
        <x:v>69.99</x:v>
      </x:c>
      <x:c r="E2857" s="8" t="n">
        <x:f>Source!E2851/100</x:f>
        <x:v>84.99</x:v>
      </x:c>
      <x:c r="F2857" s="8" t="n">
        <x:f>Source!F2851/100</x:f>
        <x:v>0</x:v>
      </x:c>
      <x:c r="G2857" s="8" t="n">
        <x:f>Source!G2851/100</x:f>
        <x:v>84.99</x:v>
      </x:c>
      <x:c r="H2857" s="8" t="n">
        <x:f>G2857-D2857</x:f>
        <x:v>15</x:v>
      </x:c>
      <x:c r="I2857" s="1" t="str">
        <x:f>IF(H2857&gt;0,"Overbilled","Shortfall")</x:f>
        <x:v>Overbilled</x:v>
      </x:c>
      <x:c r="J2857" s="7"/>
      <x:c r="K2857" s="7" t="str">
        <x:v>Open</x:v>
      </x:c>
      <x:c r="L2857" s="7"/>
    </x:row>
    <x:row r="2858" ht="21" customHeight="1">
      <x:c r="A2858" s="1" t="str">
        <x:f>Source!A2852</x:f>
        <x:v>C0017424</x:v>
      </x:c>
      <x:c r="B2858" s="1" t="str">
        <x:f>_xlfn.IFNA(VLOOKUP(Source!B2852,Advertisers!$A$5:$B$34,2,FALSE),"Missing advertiser")</x:f>
        <x:v>Synthetic advertiser 14</x:v>
      </x:c>
      <x:c r="C2858" s="1" t="n">
        <x:f>Source!C2852</x:f>
        <x:v>14</x:v>
      </x:c>
      <x:c r="D2858" s="8" t="n">
        <x:f>Source!D2852/100</x:f>
        <x:v>136.42</x:v>
      </x:c>
      <x:c r="E2858" s="8" t="n">
        <x:f>Source!E2852/100</x:f>
        <x:v>151.42</x:v>
      </x:c>
      <x:c r="F2858" s="8" t="n">
        <x:f>Source!F2852/100</x:f>
        <x:v>0</x:v>
      </x:c>
      <x:c r="G2858" s="8" t="n">
        <x:f>Source!G2852/100</x:f>
        <x:v>151.42</x:v>
      </x:c>
      <x:c r="H2858" s="8" t="n">
        <x:f>G2858-D2858</x:f>
        <x:v>15</x:v>
      </x:c>
      <x:c r="I2858" s="1" t="str">
        <x:f>IF(H2858&gt;0,"Overbilled","Shortfall")</x:f>
        <x:v>Overbilled</x:v>
      </x:c>
      <x:c r="J2858" s="7"/>
      <x:c r="K2858" s="7" t="str">
        <x:v>Open</x:v>
      </x:c>
      <x:c r="L2858" s="7"/>
    </x:row>
    <x:row r="2859" ht="21" customHeight="1">
      <x:c r="A2859" s="1" t="str">
        <x:f>Source!A2853</x:f>
        <x:v>C0000379</x:v>
      </x:c>
      <x:c r="B2859" s="1" t="str">
        <x:f>_xlfn.IFNA(VLOOKUP(Source!B2853,Advertisers!$A$5:$B$34,2,FALSE),"Missing advertiser")</x:f>
        <x:v>Synthetic advertiser 18</x:v>
      </x:c>
      <x:c r="C2859" s="1" t="n">
        <x:f>Source!C2853</x:f>
        <x:v>48</x:v>
      </x:c>
      <x:c r="D2859" s="8" t="n">
        <x:f>Source!D2853/100</x:f>
        <x:v>412.52</x:v>
      </x:c>
      <x:c r="E2859" s="8" t="n">
        <x:f>Source!E2853/100</x:f>
        <x:v>427.52</x:v>
      </x:c>
      <x:c r="F2859" s="8" t="n">
        <x:f>Source!F2853/100</x:f>
        <x:v>0</x:v>
      </x:c>
      <x:c r="G2859" s="8" t="n">
        <x:f>Source!G2853/100</x:f>
        <x:v>427.52</x:v>
      </x:c>
      <x:c r="H2859" s="8" t="n">
        <x:f>G2859-D2859</x:f>
        <x:v>15</x:v>
      </x:c>
      <x:c r="I2859" s="1" t="str">
        <x:f>IF(H2859&gt;0,"Overbilled","Shortfall")</x:f>
        <x:v>Overbilled</x:v>
      </x:c>
      <x:c r="J2859" s="7"/>
      <x:c r="K2859" s="7" t="str">
        <x:v>Open</x:v>
      </x:c>
      <x:c r="L2859" s="7"/>
    </x:row>
    <x:row r="2860" ht="21" customHeight="1">
      <x:c r="A2860" s="1" t="str">
        <x:f>Source!A2854</x:f>
        <x:v>C0017459</x:v>
      </x:c>
      <x:c r="B2860" s="1" t="str">
        <x:f>_xlfn.IFNA(VLOOKUP(Source!B2854,Advertisers!$A$5:$B$34,2,FALSE),"Missing advertiser")</x:f>
        <x:v>Synthetic advertiser 2</x:v>
      </x:c>
      <x:c r="C2860" s="1" t="n">
        <x:f>Source!C2854</x:f>
        <x:v>2</x:v>
      </x:c>
      <x:c r="D2860" s="8" t="n">
        <x:f>Source!D2854/100</x:f>
        <x:v>235.36</x:v>
      </x:c>
      <x:c r="E2860" s="8" t="n">
        <x:f>Source!E2854/100</x:f>
        <x:v>250.36</x:v>
      </x:c>
      <x:c r="F2860" s="8" t="n">
        <x:f>Source!F2854/100</x:f>
        <x:v>0</x:v>
      </x:c>
      <x:c r="G2860" s="8" t="n">
        <x:f>Source!G2854/100</x:f>
        <x:v>250.36</x:v>
      </x:c>
      <x:c r="H2860" s="8" t="n">
        <x:f>G2860-D2860</x:f>
        <x:v>15</x:v>
      </x:c>
      <x:c r="I2860" s="1" t="str">
        <x:f>IF(H2860&gt;0,"Overbilled","Shortfall")</x:f>
        <x:v>Overbilled</x:v>
      </x:c>
      <x:c r="J2860" s="7"/>
      <x:c r="K2860" s="7" t="str">
        <x:v>Open</x:v>
      </x:c>
      <x:c r="L2860" s="7"/>
    </x:row>
    <x:row r="2861" ht="21" customHeight="1">
      <x:c r="A2861" s="1" t="str">
        <x:f>Source!A2855</x:f>
        <x:v>C0000180</x:v>
      </x:c>
      <x:c r="B2861" s="1" t="str">
        <x:f>_xlfn.IFNA(VLOOKUP(Source!B2855,Advertisers!$A$5:$B$34,2,FALSE),"Missing advertiser")</x:f>
        <x:v>Synthetic advertiser 30</x:v>
      </x:c>
      <x:c r="C2861" s="1" t="n">
        <x:f>Source!C2855</x:f>
        <x:v>60</x:v>
      </x:c>
      <x:c r="D2861" s="8" t="n">
        <x:f>Source!D2855/100</x:f>
        <x:v>73.17</x:v>
      </x:c>
      <x:c r="E2861" s="8" t="n">
        <x:f>Source!E2855/100</x:f>
        <x:v>88.17</x:v>
      </x:c>
      <x:c r="F2861" s="8" t="n">
        <x:f>Source!F2855/100</x:f>
        <x:v>0</x:v>
      </x:c>
      <x:c r="G2861" s="8" t="n">
        <x:f>Source!G2855/100</x:f>
        <x:v>88.17</x:v>
      </x:c>
      <x:c r="H2861" s="8" t="n">
        <x:f>G2861-D2861</x:f>
        <x:v>15</x:v>
      </x:c>
      <x:c r="I2861" s="1" t="str">
        <x:f>IF(H2861&gt;0,"Overbilled","Shortfall")</x:f>
        <x:v>Overbilled</x:v>
      </x:c>
      <x:c r="J2861" s="7"/>
      <x:c r="K2861" s="7" t="str">
        <x:v>Open</x:v>
      </x:c>
      <x:c r="L2861" s="7"/>
    </x:row>
    <x:row r="2862" ht="21" customHeight="1">
      <x:c r="A2862" s="1" t="str">
        <x:f>Source!A2856</x:f>
        <x:v>C0017629</x:v>
      </x:c>
      <x:c r="B2862" s="1" t="str">
        <x:f>_xlfn.IFNA(VLOOKUP(Source!B2856,Advertisers!$A$5:$B$34,2,FALSE),"Missing advertiser")</x:f>
        <x:v>Synthetic advertiser 3</x:v>
      </x:c>
      <x:c r="C2862" s="1" t="n">
        <x:f>Source!C2856</x:f>
        <x:v>3</x:v>
      </x:c>
      <x:c r="D2862" s="8" t="n">
        <x:f>Source!D2856/100</x:f>
        <x:v>244.14</x:v>
      </x:c>
      <x:c r="E2862" s="8" t="n">
        <x:f>Source!E2856/100</x:f>
        <x:v>259.14</x:v>
      </x:c>
      <x:c r="F2862" s="8" t="n">
        <x:f>Source!F2856/100</x:f>
        <x:v>0</x:v>
      </x:c>
      <x:c r="G2862" s="8" t="n">
        <x:f>Source!G2856/100</x:f>
        <x:v>259.14</x:v>
      </x:c>
      <x:c r="H2862" s="8" t="n">
        <x:f>G2862-D2862</x:f>
        <x:v>15</x:v>
      </x:c>
      <x:c r="I2862" s="1" t="str">
        <x:f>IF(H2862&gt;0,"Overbilled","Shortfall")</x:f>
        <x:v>Overbilled</x:v>
      </x:c>
      <x:c r="J2862" s="7"/>
      <x:c r="K2862" s="7" t="str">
        <x:v>Open</x:v>
      </x:c>
      <x:c r="L2862" s="7"/>
    </x:row>
    <x:row r="2863" ht="21" customHeight="1">
      <x:c r="A2863" s="1" t="str">
        <x:f>Source!A2857</x:f>
        <x:v>C0017635</x:v>
      </x:c>
      <x:c r="B2863" s="1" t="str">
        <x:f>_xlfn.IFNA(VLOOKUP(Source!B2857,Advertisers!$A$5:$B$34,2,FALSE),"Missing advertiser")</x:f>
        <x:v>Synthetic advertiser 25</x:v>
      </x:c>
      <x:c r="C2863" s="1" t="n">
        <x:f>Source!C2857</x:f>
        <x:v>55</x:v>
      </x:c>
      <x:c r="D2863" s="8" t="n">
        <x:f>Source!D2857/100</x:f>
        <x:v>138.53</x:v>
      </x:c>
      <x:c r="E2863" s="8" t="n">
        <x:f>Source!E2857/100</x:f>
        <x:v>153.53</x:v>
      </x:c>
      <x:c r="F2863" s="8" t="n">
        <x:f>Source!F2857/100</x:f>
        <x:v>0</x:v>
      </x:c>
      <x:c r="G2863" s="8" t="n">
        <x:f>Source!G2857/100</x:f>
        <x:v>153.53</x:v>
      </x:c>
      <x:c r="H2863" s="8" t="n">
        <x:f>G2863-D2863</x:f>
        <x:v>15</x:v>
      </x:c>
      <x:c r="I2863" s="1" t="str">
        <x:f>IF(H2863&gt;0,"Overbilled","Shortfall")</x:f>
        <x:v>Overbilled</x:v>
      </x:c>
      <x:c r="J2863" s="7"/>
      <x:c r="K2863" s="7" t="str">
        <x:v>Open</x:v>
      </x:c>
      <x:c r="L2863" s="7"/>
    </x:row>
    <x:row r="2864" ht="21" customHeight="1">
      <x:c r="A2864" s="1" t="str">
        <x:f>Source!A2858</x:f>
        <x:v>C0017655</x:v>
      </x:c>
      <x:c r="B2864" s="1" t="str">
        <x:f>_xlfn.IFNA(VLOOKUP(Source!B2858,Advertisers!$A$5:$B$34,2,FALSE),"Missing advertiser")</x:f>
        <x:v>Synthetic advertiser 25</x:v>
      </x:c>
      <x:c r="C2864" s="1" t="n">
        <x:f>Source!C2858</x:f>
        <x:v>115</x:v>
      </x:c>
      <x:c r="D2864" s="8" t="n">
        <x:f>Source!D2858/100</x:f>
        <x:v>126.03</x:v>
      </x:c>
      <x:c r="E2864" s="8" t="n">
        <x:f>Source!E2858/100</x:f>
        <x:v>141.03</x:v>
      </x:c>
      <x:c r="F2864" s="8" t="n">
        <x:f>Source!F2858/100</x:f>
        <x:v>0</x:v>
      </x:c>
      <x:c r="G2864" s="8" t="n">
        <x:f>Source!G2858/100</x:f>
        <x:v>141.03</x:v>
      </x:c>
      <x:c r="H2864" s="8" t="n">
        <x:f>G2864-D2864</x:f>
        <x:v>15</x:v>
      </x:c>
      <x:c r="I2864" s="1" t="str">
        <x:f>IF(H2864&gt;0,"Overbilled","Shortfall")</x:f>
        <x:v>Overbilled</x:v>
      </x:c>
      <x:c r="J2864" s="7"/>
      <x:c r="K2864" s="7" t="str">
        <x:v>Open</x:v>
      </x:c>
      <x:c r="L2864" s="7"/>
    </x:row>
    <x:row r="2865" ht="21" customHeight="1">
      <x:c r="A2865" s="1" t="str">
        <x:f>Source!A2859</x:f>
        <x:v>C0017693</x:v>
      </x:c>
      <x:c r="B2865" s="1" t="str">
        <x:f>_xlfn.IFNA(VLOOKUP(Source!B2859,Advertisers!$A$5:$B$34,2,FALSE),"Missing advertiser")</x:f>
        <x:v>Synthetic advertiser 27</x:v>
      </x:c>
      <x:c r="C2865" s="1" t="n">
        <x:f>Source!C2859</x:f>
        <x:v>57</x:v>
      </x:c>
      <x:c r="D2865" s="8" t="n">
        <x:f>Source!D2859/100</x:f>
        <x:v>93.52</x:v>
      </x:c>
      <x:c r="E2865" s="8" t="n">
        <x:f>Source!E2859/100</x:f>
        <x:v>108.52</x:v>
      </x:c>
      <x:c r="F2865" s="8" t="n">
        <x:f>Source!F2859/100</x:f>
        <x:v>0</x:v>
      </x:c>
      <x:c r="G2865" s="8" t="n">
        <x:f>Source!G2859/100</x:f>
        <x:v>108.52</x:v>
      </x:c>
      <x:c r="H2865" s="8" t="n">
        <x:f>G2865-D2865</x:f>
        <x:v>15</x:v>
      </x:c>
      <x:c r="I2865" s="1" t="str">
        <x:f>IF(H2865&gt;0,"Overbilled","Shortfall")</x:f>
        <x:v>Overbilled</x:v>
      </x:c>
      <x:c r="J2865" s="7"/>
      <x:c r="K2865" s="7" t="str">
        <x:v>Open</x:v>
      </x:c>
      <x:c r="L2865" s="7"/>
    </x:row>
    <x:row r="2866" ht="21" customHeight="1">
      <x:c r="A2866" s="1" t="str">
        <x:f>Source!A2860</x:f>
        <x:v>C0017694</x:v>
      </x:c>
      <x:c r="B2866" s="1" t="str">
        <x:f>_xlfn.IFNA(VLOOKUP(Source!B2860,Advertisers!$A$5:$B$34,2,FALSE),"Missing advertiser")</x:f>
        <x:v>Synthetic advertiser 13</x:v>
      </x:c>
      <x:c r="C2866" s="1" t="n">
        <x:f>Source!C2860</x:f>
        <x:v>103</x:v>
      </x:c>
      <x:c r="D2866" s="8" t="n">
        <x:f>Source!D2860/100</x:f>
        <x:v>236.26</x:v>
      </x:c>
      <x:c r="E2866" s="8" t="n">
        <x:f>Source!E2860/100</x:f>
        <x:v>251.26</x:v>
      </x:c>
      <x:c r="F2866" s="8" t="n">
        <x:f>Source!F2860/100</x:f>
        <x:v>0</x:v>
      </x:c>
      <x:c r="G2866" s="8" t="n">
        <x:f>Source!G2860/100</x:f>
        <x:v>251.26</x:v>
      </x:c>
      <x:c r="H2866" s="8" t="n">
        <x:f>G2866-D2866</x:f>
        <x:v>15</x:v>
      </x:c>
      <x:c r="I2866" s="1" t="str">
        <x:f>IF(H2866&gt;0,"Overbilled","Shortfall")</x:f>
        <x:v>Overbilled</x:v>
      </x:c>
      <x:c r="J2866" s="7"/>
      <x:c r="K2866" s="7" t="str">
        <x:v>Open</x:v>
      </x:c>
      <x:c r="L2866" s="7"/>
    </x:row>
    <x:row r="2867" ht="21" customHeight="1">
      <x:c r="A2867" s="1" t="str">
        <x:f>Source!A2861</x:f>
        <x:v>C0017750</x:v>
      </x:c>
      <x:c r="B2867" s="1" t="str">
        <x:f>_xlfn.IFNA(VLOOKUP(Source!B2861,Advertisers!$A$5:$B$34,2,FALSE),"Missing advertiser")</x:f>
        <x:v>Synthetic advertiser 1</x:v>
      </x:c>
      <x:c r="C2867" s="1" t="n">
        <x:f>Source!C2861</x:f>
        <x:v>1</x:v>
      </x:c>
      <x:c r="D2867" s="8" t="n">
        <x:f>Source!D2861/100</x:f>
        <x:v>134.36</x:v>
      </x:c>
      <x:c r="E2867" s="8" t="n">
        <x:f>Source!E2861/100</x:f>
        <x:v>149.36</x:v>
      </x:c>
      <x:c r="F2867" s="8" t="n">
        <x:f>Source!F2861/100</x:f>
        <x:v>0</x:v>
      </x:c>
      <x:c r="G2867" s="8" t="n">
        <x:f>Source!G2861/100</x:f>
        <x:v>149.36</x:v>
      </x:c>
      <x:c r="H2867" s="8" t="n">
        <x:f>G2867-D2867</x:f>
        <x:v>15</x:v>
      </x:c>
      <x:c r="I2867" s="1" t="str">
        <x:f>IF(H2867&gt;0,"Overbilled","Shortfall")</x:f>
        <x:v>Overbilled</x:v>
      </x:c>
      <x:c r="J2867" s="7"/>
      <x:c r="K2867" s="7" t="str">
        <x:v>Open</x:v>
      </x:c>
      <x:c r="L2867" s="7"/>
    </x:row>
    <x:row r="2868" ht="21" customHeight="1">
      <x:c r="A2868" s="1" t="str">
        <x:f>Source!A2862</x:f>
        <x:v>C0000129</x:v>
      </x:c>
      <x:c r="B2868" s="1" t="str">
        <x:f>_xlfn.IFNA(VLOOKUP(Source!B2862,Advertisers!$A$5:$B$34,2,FALSE),"Missing advertiser")</x:f>
        <x:v>Synthetic advertiser 13</x:v>
      </x:c>
      <x:c r="C2868" s="1" t="n">
        <x:f>Source!C2862</x:f>
        <x:v>43</x:v>
      </x:c>
      <x:c r="D2868" s="8" t="n">
        <x:f>Source!D2862/100</x:f>
        <x:v>195.76</x:v>
      </x:c>
      <x:c r="E2868" s="8" t="n">
        <x:f>Source!E2862/100</x:f>
        <x:v>210.76</x:v>
      </x:c>
      <x:c r="F2868" s="8" t="n">
        <x:f>Source!F2862/100</x:f>
        <x:v>0</x:v>
      </x:c>
      <x:c r="G2868" s="8" t="n">
        <x:f>Source!G2862/100</x:f>
        <x:v>210.76</x:v>
      </x:c>
      <x:c r="H2868" s="8" t="n">
        <x:f>G2868-D2868</x:f>
        <x:v>15</x:v>
      </x:c>
      <x:c r="I2868" s="1" t="str">
        <x:f>IF(H2868&gt;0,"Overbilled","Shortfall")</x:f>
        <x:v>Overbilled</x:v>
      </x:c>
      <x:c r="J2868" s="7"/>
      <x:c r="K2868" s="7" t="str">
        <x:v>Open</x:v>
      </x:c>
      <x:c r="L2868" s="7"/>
    </x:row>
    <x:row r="2869" ht="21" customHeight="1">
      <x:c r="A2869" s="1" t="str">
        <x:f>Source!A2863</x:f>
        <x:v>C0017967</x:v>
      </x:c>
      <x:c r="B2869" s="1" t="str">
        <x:f>_xlfn.IFNA(VLOOKUP(Source!B2863,Advertisers!$A$5:$B$34,2,FALSE),"Missing advertiser")</x:f>
        <x:v>Synthetic advertiser 24</x:v>
      </x:c>
      <x:c r="C2869" s="1" t="n">
        <x:f>Source!C2863</x:f>
        <x:v>84</x:v>
      </x:c>
      <x:c r="D2869" s="8" t="n">
        <x:f>Source!D2863/100</x:f>
        <x:v>335.62</x:v>
      </x:c>
      <x:c r="E2869" s="8" t="n">
        <x:f>Source!E2863/100</x:f>
        <x:v>350.62</x:v>
      </x:c>
      <x:c r="F2869" s="8" t="n">
        <x:f>Source!F2863/100</x:f>
        <x:v>0</x:v>
      </x:c>
      <x:c r="G2869" s="8" t="n">
        <x:f>Source!G2863/100</x:f>
        <x:v>350.62</x:v>
      </x:c>
      <x:c r="H2869" s="8" t="n">
        <x:f>G2869-D2869</x:f>
        <x:v>15</x:v>
      </x:c>
      <x:c r="I2869" s="1" t="str">
        <x:f>IF(H2869&gt;0,"Overbilled","Shortfall")</x:f>
        <x:v>Overbilled</x:v>
      </x:c>
      <x:c r="J2869" s="7"/>
      <x:c r="K2869" s="7" t="str">
        <x:v>Open</x:v>
      </x:c>
      <x:c r="L2869" s="7"/>
    </x:row>
    <x:row r="2870" ht="21" customHeight="1">
      <x:c r="A2870" s="1" t="str">
        <x:f>Source!A2864</x:f>
        <x:v>C0017977</x:v>
      </x:c>
      <x:c r="B2870" s="1" t="str">
        <x:f>_xlfn.IFNA(VLOOKUP(Source!B2864,Advertisers!$A$5:$B$34,2,FALSE),"Missing advertiser")</x:f>
        <x:v>Synthetic advertiser 11</x:v>
      </x:c>
      <x:c r="C2870" s="1" t="n">
        <x:f>Source!C2864</x:f>
        <x:v>101</x:v>
      </x:c>
      <x:c r="D2870" s="8" t="n">
        <x:f>Source!D2864/100</x:f>
        <x:v>358.36</x:v>
      </x:c>
      <x:c r="E2870" s="8" t="n">
        <x:f>Source!E2864/100</x:f>
        <x:v>373.36</x:v>
      </x:c>
      <x:c r="F2870" s="8" t="n">
        <x:f>Source!F2864/100</x:f>
        <x:v>0</x:v>
      </x:c>
      <x:c r="G2870" s="8" t="n">
        <x:f>Source!G2864/100</x:f>
        <x:v>373.36</x:v>
      </x:c>
      <x:c r="H2870" s="8" t="n">
        <x:f>G2870-D2870</x:f>
        <x:v>15</x:v>
      </x:c>
      <x:c r="I2870" s="1" t="str">
        <x:f>IF(H2870&gt;0,"Overbilled","Shortfall")</x:f>
        <x:v>Overbilled</x:v>
      </x:c>
      <x:c r="J2870" s="7"/>
      <x:c r="K2870" s="7" t="str">
        <x:v>Open</x:v>
      </x:c>
      <x:c r="L2870" s="7"/>
    </x:row>
    <x:row r="2871" ht="21" customHeight="1">
      <x:c r="A2871" s="1" t="str">
        <x:f>Source!A2865</x:f>
        <x:v>C0000356</x:v>
      </x:c>
      <x:c r="B2871" s="1" t="str">
        <x:f>_xlfn.IFNA(VLOOKUP(Source!B2865,Advertisers!$A$5:$B$34,2,FALSE),"Missing advertiser")</x:f>
        <x:v>Synthetic advertiser 29</x:v>
      </x:c>
      <x:c r="C2871" s="1" t="n">
        <x:f>Source!C2865</x:f>
        <x:v>119</x:v>
      </x:c>
      <x:c r="D2871" s="8" t="n">
        <x:f>Source!D2865/100</x:f>
        <x:v>195.24</x:v>
      </x:c>
      <x:c r="E2871" s="8" t="n">
        <x:f>Source!E2865/100</x:f>
        <x:v>210.24</x:v>
      </x:c>
      <x:c r="F2871" s="8" t="n">
        <x:f>Source!F2865/100</x:f>
        <x:v>0</x:v>
      </x:c>
      <x:c r="G2871" s="8" t="n">
        <x:f>Source!G2865/100</x:f>
        <x:v>210.24</x:v>
      </x:c>
      <x:c r="H2871" s="8" t="n">
        <x:f>G2871-D2871</x:f>
        <x:v>15</x:v>
      </x:c>
      <x:c r="I2871" s="1" t="str">
        <x:f>IF(H2871&gt;0,"Overbilled","Shortfall")</x:f>
        <x:v>Overbilled</x:v>
      </x:c>
      <x:c r="J2871" s="7"/>
      <x:c r="K2871" s="7" t="str">
        <x:v>Open</x:v>
      </x:c>
      <x:c r="L2871" s="7"/>
    </x:row>
    <x:row r="2872" ht="21" customHeight="1">
      <x:c r="A2872" s="1" t="str">
        <x:f>Source!A2866</x:f>
        <x:v>C0000358</x:v>
      </x:c>
      <x:c r="B2872" s="1" t="str">
        <x:f>_xlfn.IFNA(VLOOKUP(Source!B2866,Advertisers!$A$5:$B$34,2,FALSE),"Missing advertiser")</x:f>
        <x:v>Synthetic advertiser 30</x:v>
      </x:c>
      <x:c r="C2872" s="1" t="n">
        <x:f>Source!C2866</x:f>
        <x:v>120</x:v>
      </x:c>
      <x:c r="D2872" s="8" t="n">
        <x:f>Source!D2866/100</x:f>
        <x:v>237.08</x:v>
      </x:c>
      <x:c r="E2872" s="8" t="n">
        <x:f>Source!E2866/100</x:f>
        <x:v>252.08</x:v>
      </x:c>
      <x:c r="F2872" s="8" t="n">
        <x:f>Source!F2866/100</x:f>
        <x:v>0</x:v>
      </x:c>
      <x:c r="G2872" s="8" t="n">
        <x:f>Source!G2866/100</x:f>
        <x:v>252.08</x:v>
      </x:c>
      <x:c r="H2872" s="8" t="n">
        <x:f>G2872-D2872</x:f>
        <x:v>15</x:v>
      </x:c>
      <x:c r="I2872" s="1" t="str">
        <x:f>IF(H2872&gt;0,"Overbilled","Shortfall")</x:f>
        <x:v>Overbilled</x:v>
      </x:c>
      <x:c r="J2872" s="7"/>
      <x:c r="K2872" s="7" t="str">
        <x:v>Open</x:v>
      </x:c>
      <x:c r="L2872" s="7"/>
    </x:row>
    <x:row r="2873" ht="21" customHeight="1">
      <x:c r="A2873" s="1" t="str">
        <x:f>Source!A2867</x:f>
        <x:v>C0000378</x:v>
      </x:c>
      <x:c r="B2873" s="1" t="str">
        <x:f>_xlfn.IFNA(VLOOKUP(Source!B2867,Advertisers!$A$5:$B$34,2,FALSE),"Missing advertiser")</x:f>
        <x:v>Synthetic advertiser 29</x:v>
      </x:c>
      <x:c r="C2873" s="1" t="n">
        <x:f>Source!C2867</x:f>
        <x:v>89</x:v>
      </x:c>
      <x:c r="D2873" s="8" t="n">
        <x:f>Source!D2867/100</x:f>
        <x:v>145.97</x:v>
      </x:c>
      <x:c r="E2873" s="8" t="n">
        <x:f>Source!E2867/100</x:f>
        <x:v>160.97</x:v>
      </x:c>
      <x:c r="F2873" s="8" t="n">
        <x:f>Source!F2867/100</x:f>
        <x:v>0</x:v>
      </x:c>
      <x:c r="G2873" s="8" t="n">
        <x:f>Source!G2867/100</x:f>
        <x:v>160.97</x:v>
      </x:c>
      <x:c r="H2873" s="8" t="n">
        <x:f>G2873-D2873</x:f>
        <x:v>15</x:v>
      </x:c>
      <x:c r="I2873" s="1" t="str">
        <x:f>IF(H2873&gt;0,"Overbilled","Shortfall")</x:f>
        <x:v>Overbilled</x:v>
      </x:c>
      <x:c r="J2873" s="7"/>
      <x:c r="K2873" s="7" t="str">
        <x:v>Open</x:v>
      </x:c>
      <x:c r="L2873" s="7"/>
    </x:row>
    <x:row r="2874" ht="21" customHeight="1">
      <x:c r="A2874" s="1" t="str">
        <x:f>Source!A2868</x:f>
        <x:v>C0017456</x:v>
      </x:c>
      <x:c r="B2874" s="1" t="str">
        <x:f>_xlfn.IFNA(VLOOKUP(Source!B2868,Advertisers!$A$5:$B$34,2,FALSE),"Missing advertiser")</x:f>
        <x:v>Synthetic advertiser 8</x:v>
      </x:c>
      <x:c r="C2874" s="1" t="n">
        <x:f>Source!C2868</x:f>
        <x:v>98</x:v>
      </x:c>
      <x:c r="D2874" s="8" t="n">
        <x:f>Source!D2868/100</x:f>
        <x:v>96.25</x:v>
      </x:c>
      <x:c r="E2874" s="8" t="n">
        <x:f>Source!E2868/100</x:f>
        <x:v>111.25</x:v>
      </x:c>
      <x:c r="F2874" s="8" t="n">
        <x:f>Source!F2868/100</x:f>
        <x:v>0</x:v>
      </x:c>
      <x:c r="G2874" s="8" t="n">
        <x:f>Source!G2868/100</x:f>
        <x:v>111.25</x:v>
      </x:c>
      <x:c r="H2874" s="8" t="n">
        <x:f>G2874-D2874</x:f>
        <x:v>15</x:v>
      </x:c>
      <x:c r="I2874" s="1" t="str">
        <x:f>IF(H2874&gt;0,"Overbilled","Shortfall")</x:f>
        <x:v>Overbilled</x:v>
      </x:c>
      <x:c r="J2874" s="7"/>
      <x:c r="K2874" s="7" t="str">
        <x:v>Open</x:v>
      </x:c>
      <x:c r="L2874" s="7"/>
    </x:row>
    <x:row r="2875" ht="21" customHeight="1">
      <x:c r="A2875" s="1" t="str">
        <x:f>Source!A2869</x:f>
        <x:v>C0005492</x:v>
      </x:c>
      <x:c r="B2875" s="1" t="str">
        <x:f>_xlfn.IFNA(VLOOKUP(Source!B2869,Advertisers!$A$5:$B$34,2,FALSE),"Missing advertiser")</x:f>
        <x:v>Synthetic advertiser 7</x:v>
      </x:c>
      <x:c r="C2875" s="1" t="n">
        <x:f>Source!C2869</x:f>
        <x:v>97</x:v>
      </x:c>
      <x:c r="D2875" s="8" t="n">
        <x:f>Source!D2869/100</x:f>
        <x:v>86.47</x:v>
      </x:c>
      <x:c r="E2875" s="8" t="n">
        <x:f>Source!E2869/100</x:f>
        <x:v>101.47</x:v>
      </x:c>
      <x:c r="F2875" s="8" t="n">
        <x:f>Source!F2869/100</x:f>
        <x:v>0</x:v>
      </x:c>
      <x:c r="G2875" s="8" t="n">
        <x:f>Source!G2869/100</x:f>
        <x:v>101.47</x:v>
      </x:c>
      <x:c r="H2875" s="8" t="n">
        <x:f>G2875-D2875</x:f>
        <x:v>15</x:v>
      </x:c>
      <x:c r="I2875" s="1" t="str">
        <x:f>IF(H2875&gt;0,"Overbilled","Shortfall")</x:f>
        <x:v>Overbilled</x:v>
      </x:c>
      <x:c r="J2875" s="7"/>
      <x:c r="K2875" s="7" t="str">
        <x:v>Open</x:v>
      </x:c>
      <x:c r="L2875" s="7"/>
    </x:row>
    <x:row r="2876" ht="21" customHeight="1">
      <x:c r="A2876" s="1" t="str">
        <x:f>Source!A2870</x:f>
        <x:v>C0005518</x:v>
      </x:c>
      <x:c r="B2876" s="1" t="str">
        <x:f>_xlfn.IFNA(VLOOKUP(Source!B2870,Advertisers!$A$5:$B$34,2,FALSE),"Missing advertiser")</x:f>
        <x:v>Synthetic advertiser 25</x:v>
      </x:c>
      <x:c r="C2876" s="1" t="n">
        <x:f>Source!C2870</x:f>
        <x:v>115</x:v>
      </x:c>
      <x:c r="D2876" s="8" t="n">
        <x:f>Source!D2870/100</x:f>
        <x:v>126.03</x:v>
      </x:c>
      <x:c r="E2876" s="8" t="n">
        <x:f>Source!E2870/100</x:f>
        <x:v>141.03</x:v>
      </x:c>
      <x:c r="F2876" s="8" t="n">
        <x:f>Source!F2870/100</x:f>
        <x:v>0</x:v>
      </x:c>
      <x:c r="G2876" s="8" t="n">
        <x:f>Source!G2870/100</x:f>
        <x:v>141.03</x:v>
      </x:c>
      <x:c r="H2876" s="8" t="n">
        <x:f>G2876-D2876</x:f>
        <x:v>15</x:v>
      </x:c>
      <x:c r="I2876" s="1" t="str">
        <x:f>IF(H2876&gt;0,"Overbilled","Shortfall")</x:f>
        <x:v>Overbilled</x:v>
      </x:c>
      <x:c r="J2876" s="7"/>
      <x:c r="K2876" s="7" t="str">
        <x:v>Open</x:v>
      </x:c>
      <x:c r="L2876" s="7"/>
    </x:row>
    <x:row r="2877" ht="21" customHeight="1">
      <x:c r="A2877" s="1" t="str">
        <x:f>Source!A2871</x:f>
        <x:v>C0005522</x:v>
      </x:c>
      <x:c r="B2877" s="1" t="str">
        <x:f>_xlfn.IFNA(VLOOKUP(Source!B2871,Advertisers!$A$5:$B$34,2,FALSE),"Missing advertiser")</x:f>
        <x:v>Synthetic advertiser 5</x:v>
      </x:c>
      <x:c r="C2877" s="1" t="n">
        <x:f>Source!C2871</x:f>
        <x:v>35</x:v>
      </x:c>
      <x:c r="D2877" s="8" t="n">
        <x:f>Source!D2871/100</x:f>
        <x:v>218.72</x:v>
      </x:c>
      <x:c r="E2877" s="8" t="n">
        <x:f>Source!E2871/100</x:f>
        <x:v>233.72</x:v>
      </x:c>
      <x:c r="F2877" s="8" t="n">
        <x:f>Source!F2871/100</x:f>
        <x:v>0</x:v>
      </x:c>
      <x:c r="G2877" s="8" t="n">
        <x:f>Source!G2871/100</x:f>
        <x:v>233.72</x:v>
      </x:c>
      <x:c r="H2877" s="8" t="n">
        <x:f>G2877-D2877</x:f>
        <x:v>15</x:v>
      </x:c>
      <x:c r="I2877" s="1" t="str">
        <x:f>IF(H2877&gt;0,"Overbilled","Shortfall")</x:f>
        <x:v>Overbilled</x:v>
      </x:c>
      <x:c r="J2877" s="7"/>
      <x:c r="K2877" s="7" t="str">
        <x:v>Open</x:v>
      </x:c>
      <x:c r="L2877" s="7"/>
    </x:row>
    <x:row r="2878" ht="21" customHeight="1">
      <x:c r="A2878" s="1" t="str">
        <x:f>Source!A2872</x:f>
        <x:v>C0005527</x:v>
      </x:c>
      <x:c r="B2878" s="1" t="str">
        <x:f>_xlfn.IFNA(VLOOKUP(Source!B2872,Advertisers!$A$5:$B$34,2,FALSE),"Missing advertiser")</x:f>
        <x:v>Synthetic advertiser 29</x:v>
      </x:c>
      <x:c r="C2878" s="1" t="n">
        <x:f>Source!C2872</x:f>
        <x:v>119</x:v>
      </x:c>
      <x:c r="D2878" s="8" t="n">
        <x:f>Source!D2872/100</x:f>
        <x:v>195.24</x:v>
      </x:c>
      <x:c r="E2878" s="8" t="n">
        <x:f>Source!E2872/100</x:f>
        <x:v>210.24</x:v>
      </x:c>
      <x:c r="F2878" s="8" t="n">
        <x:f>Source!F2872/100</x:f>
        <x:v>0</x:v>
      </x:c>
      <x:c r="G2878" s="8" t="n">
        <x:f>Source!G2872/100</x:f>
        <x:v>210.24</x:v>
      </x:c>
      <x:c r="H2878" s="8" t="n">
        <x:f>G2878-D2878</x:f>
        <x:v>15</x:v>
      </x:c>
      <x:c r="I2878" s="1" t="str">
        <x:f>IF(H2878&gt;0,"Overbilled","Shortfall")</x:f>
        <x:v>Overbilled</x:v>
      </x:c>
      <x:c r="J2878" s="7"/>
      <x:c r="K2878" s="7" t="str">
        <x:v>Open</x:v>
      </x:c>
      <x:c r="L2878" s="7"/>
    </x:row>
    <x:row r="2879" ht="21" customHeight="1">
      <x:c r="A2879" s="1" t="str">
        <x:f>Source!A2873</x:f>
        <x:v>C0012573</x:v>
      </x:c>
      <x:c r="B2879" s="1" t="str">
        <x:f>_xlfn.IFNA(VLOOKUP(Source!B2873,Advertisers!$A$5:$B$34,2,FALSE),"Missing advertiser")</x:f>
        <x:v>Synthetic advertiser 16</x:v>
      </x:c>
      <x:c r="C2879" s="1" t="n">
        <x:f>Source!C2873</x:f>
        <x:v>106</x:v>
      </x:c>
      <x:c r="D2879" s="8" t="n">
        <x:f>Source!D2873/100</x:f>
        <x:v>226.21</x:v>
      </x:c>
      <x:c r="E2879" s="8" t="n">
        <x:f>Source!E2873/100</x:f>
        <x:v>241.21</x:v>
      </x:c>
      <x:c r="F2879" s="8" t="n">
        <x:f>Source!F2873/100</x:f>
        <x:v>0</x:v>
      </x:c>
      <x:c r="G2879" s="8" t="n">
        <x:f>Source!G2873/100</x:f>
        <x:v>241.21</x:v>
      </x:c>
      <x:c r="H2879" s="8" t="n">
        <x:f>G2879-D2879</x:f>
        <x:v>15</x:v>
      </x:c>
      <x:c r="I2879" s="1" t="str">
        <x:f>IF(H2879&gt;0,"Overbilled","Shortfall")</x:f>
        <x:v>Overbilled</x:v>
      </x:c>
      <x:c r="J2879" s="7"/>
      <x:c r="K2879" s="7" t="str">
        <x:v>Open</x:v>
      </x:c>
      <x:c r="L2879" s="7"/>
    </x:row>
    <x:row r="2880" ht="21" customHeight="1">
      <x:c r="A2880" s="1" t="str">
        <x:f>Source!A2874</x:f>
        <x:v>C0012616</x:v>
      </x:c>
      <x:c r="B2880" s="1" t="str">
        <x:f>_xlfn.IFNA(VLOOKUP(Source!B2874,Advertisers!$A$5:$B$34,2,FALSE),"Missing advertiser")</x:f>
        <x:v>Synthetic advertiser 2</x:v>
      </x:c>
      <x:c r="C2880" s="1" t="n">
        <x:f>Source!C2874</x:f>
        <x:v>92</x:v>
      </x:c>
      <x:c r="D2880" s="8" t="n">
        <x:f>Source!D2874/100</x:f>
        <x:v>249.04</x:v>
      </x:c>
      <x:c r="E2880" s="8" t="n">
        <x:f>Source!E2874/100</x:f>
        <x:v>264.04</x:v>
      </x:c>
      <x:c r="F2880" s="8" t="n">
        <x:f>Source!F2874/100</x:f>
        <x:v>0</x:v>
      </x:c>
      <x:c r="G2880" s="8" t="n">
        <x:f>Source!G2874/100</x:f>
        <x:v>264.04</x:v>
      </x:c>
      <x:c r="H2880" s="8" t="n">
        <x:f>G2880-D2880</x:f>
        <x:v>15.000000000000028</x:v>
      </x:c>
      <x:c r="I2880" s="1" t="str">
        <x:f>IF(H2880&gt;0,"Overbilled","Shortfall")</x:f>
        <x:v>Overbilled</x:v>
      </x:c>
      <x:c r="J2880" s="7"/>
      <x:c r="K2880" s="7" t="str">
        <x:v>Open</x:v>
      </x:c>
      <x:c r="L2880" s="7"/>
    </x:row>
    <x:row r="2881" ht="21" customHeight="1">
      <x:c r="A2881" s="1" t="str">
        <x:f>Source!A2875</x:f>
        <x:v>C0012619</x:v>
      </x:c>
      <x:c r="B2881" s="1" t="str">
        <x:f>_xlfn.IFNA(VLOOKUP(Source!B2875,Advertisers!$A$5:$B$34,2,FALSE),"Missing advertiser")</x:f>
        <x:v>Synthetic advertiser 7</x:v>
      </x:c>
      <x:c r="C2881" s="1" t="n">
        <x:f>Source!C2875</x:f>
        <x:v>37</x:v>
      </x:c>
      <x:c r="D2881" s="8" t="n">
        <x:f>Source!D2875/100</x:f>
        <x:v>151.01</x:v>
      </x:c>
      <x:c r="E2881" s="8" t="n">
        <x:f>Source!E2875/100</x:f>
        <x:v>166.01</x:v>
      </x:c>
      <x:c r="F2881" s="8" t="n">
        <x:f>Source!F2875/100</x:f>
        <x:v>0</x:v>
      </x:c>
      <x:c r="G2881" s="8" t="n">
        <x:f>Source!G2875/100</x:f>
        <x:v>166.01</x:v>
      </x:c>
      <x:c r="H2881" s="8" t="n">
        <x:f>G2881-D2881</x:f>
        <x:v>15</x:v>
      </x:c>
      <x:c r="I2881" s="1" t="str">
        <x:f>IF(H2881&gt;0,"Overbilled","Shortfall")</x:f>
        <x:v>Overbilled</x:v>
      </x:c>
      <x:c r="J2881" s="7"/>
      <x:c r="K2881" s="7" t="str">
        <x:v>Open</x:v>
      </x:c>
      <x:c r="L2881" s="7"/>
    </x:row>
    <x:row r="2882" ht="21" customHeight="1">
      <x:c r="A2882" s="1" t="str">
        <x:f>Source!A2876</x:f>
        <x:v>C0012622</x:v>
      </x:c>
      <x:c r="B2882" s="1" t="str">
        <x:f>_xlfn.IFNA(VLOOKUP(Source!B2876,Advertisers!$A$5:$B$34,2,FALSE),"Missing advertiser")</x:f>
        <x:v>Synthetic advertiser 8</x:v>
      </x:c>
      <x:c r="C2882" s="1" t="n">
        <x:f>Source!C2876</x:f>
        <x:v>68</x:v>
      </x:c>
      <x:c r="D2882" s="8" t="n">
        <x:f>Source!D2876/100</x:f>
        <x:v>293.02</x:v>
      </x:c>
      <x:c r="E2882" s="8" t="n">
        <x:f>Source!E2876/100</x:f>
        <x:v>308.02</x:v>
      </x:c>
      <x:c r="F2882" s="8" t="n">
        <x:f>Source!F2876/100</x:f>
        <x:v>0</x:v>
      </x:c>
      <x:c r="G2882" s="8" t="n">
        <x:f>Source!G2876/100</x:f>
        <x:v>308.02</x:v>
      </x:c>
      <x:c r="H2882" s="8" t="n">
        <x:f>G2882-D2882</x:f>
        <x:v>15</x:v>
      </x:c>
      <x:c r="I2882" s="1" t="str">
        <x:f>IF(H2882&gt;0,"Overbilled","Shortfall")</x:f>
        <x:v>Overbilled</x:v>
      </x:c>
      <x:c r="J2882" s="7"/>
      <x:c r="K2882" s="7" t="str">
        <x:v>Open</x:v>
      </x:c>
      <x:c r="L2882" s="7"/>
    </x:row>
    <x:row r="2883" ht="21" customHeight="1">
      <x:c r="A2883" s="1" t="str">
        <x:f>Source!A2877</x:f>
        <x:v>C0006431</x:v>
      </x:c>
      <x:c r="B2883" s="1" t="str">
        <x:f>_xlfn.IFNA(VLOOKUP(Source!B2877,Advertisers!$A$5:$B$34,2,FALSE),"Missing advertiser")</x:f>
        <x:v>Synthetic advertiser 9</x:v>
      </x:c>
      <x:c r="C2883" s="1" t="n">
        <x:f>Source!C2877</x:f>
        <x:v>39</x:v>
      </x:c>
      <x:c r="D2883" s="8" t="n">
        <x:f>Source!D2877/100</x:f>
        <x:v>90.47</x:v>
      </x:c>
      <x:c r="E2883" s="8" t="n">
        <x:f>Source!E2877/100</x:f>
        <x:v>105.47</x:v>
      </x:c>
      <x:c r="F2883" s="8" t="n">
        <x:f>Source!F2877/100</x:f>
        <x:v>0</x:v>
      </x:c>
      <x:c r="G2883" s="8" t="n">
        <x:f>Source!G2877/100</x:f>
        <x:v>105.47</x:v>
      </x:c>
      <x:c r="H2883" s="8" t="n">
        <x:f>G2883-D2883</x:f>
        <x:v>15</x:v>
      </x:c>
      <x:c r="I2883" s="1" t="str">
        <x:f>IF(H2883&gt;0,"Overbilled","Shortfall")</x:f>
        <x:v>Overbilled</x:v>
      </x:c>
      <x:c r="J2883" s="7"/>
      <x:c r="K2883" s="7" t="str">
        <x:v>Open</x:v>
      </x:c>
      <x:c r="L2883" s="7"/>
    </x:row>
    <x:row r="2884" ht="21" customHeight="1">
      <x:c r="A2884" s="1" t="str">
        <x:f>Source!A2878</x:f>
        <x:v>C0006440</x:v>
      </x:c>
      <x:c r="B2884" s="1" t="str">
        <x:f>_xlfn.IFNA(VLOOKUP(Source!B2878,Advertisers!$A$5:$B$34,2,FALSE),"Missing advertiser")</x:f>
        <x:v>Synthetic advertiser 7</x:v>
      </x:c>
      <x:c r="C2884" s="1" t="n">
        <x:f>Source!C2878</x:f>
        <x:v>97</x:v>
      </x:c>
      <x:c r="D2884" s="8" t="n">
        <x:f>Source!D2878/100</x:f>
        <x:v>86.47</x:v>
      </x:c>
      <x:c r="E2884" s="8" t="n">
        <x:f>Source!E2878/100</x:f>
        <x:v>101.47</x:v>
      </x:c>
      <x:c r="F2884" s="8" t="n">
        <x:f>Source!F2878/100</x:f>
        <x:v>0</x:v>
      </x:c>
      <x:c r="G2884" s="8" t="n">
        <x:f>Source!G2878/100</x:f>
        <x:v>101.47</x:v>
      </x:c>
      <x:c r="H2884" s="8" t="n">
        <x:f>G2884-D2884</x:f>
        <x:v>15</x:v>
      </x:c>
      <x:c r="I2884" s="1" t="str">
        <x:f>IF(H2884&gt;0,"Overbilled","Shortfall")</x:f>
        <x:v>Overbilled</x:v>
      </x:c>
      <x:c r="J2884" s="7"/>
      <x:c r="K2884" s="7" t="str">
        <x:v>Open</x:v>
      </x:c>
      <x:c r="L2884" s="7"/>
    </x:row>
    <x:row r="2885" ht="21" customHeight="1">
      <x:c r="A2885" s="1" t="str">
        <x:f>Source!A2879</x:f>
        <x:v>C0006537</x:v>
      </x:c>
      <x:c r="B2885" s="1" t="str">
        <x:f>_xlfn.IFNA(VLOOKUP(Source!B2879,Advertisers!$A$5:$B$34,2,FALSE),"Missing advertiser")</x:f>
        <x:v>Synthetic advertiser 11</x:v>
      </x:c>
      <x:c r="C2885" s="1" t="n">
        <x:f>Source!C2879</x:f>
        <x:v>71</x:v>
      </x:c>
      <x:c r="D2885" s="8" t="n">
        <x:f>Source!D2879/100</x:f>
        <x:v>306.04</x:v>
      </x:c>
      <x:c r="E2885" s="8" t="n">
        <x:f>Source!E2879/100</x:f>
        <x:v>321.04</x:v>
      </x:c>
      <x:c r="F2885" s="8" t="n">
        <x:f>Source!F2879/100</x:f>
        <x:v>0</x:v>
      </x:c>
      <x:c r="G2885" s="8" t="n">
        <x:f>Source!G2879/100</x:f>
        <x:v>321.04</x:v>
      </x:c>
      <x:c r="H2885" s="8" t="n">
        <x:f>G2885-D2885</x:f>
        <x:v>15</x:v>
      </x:c>
      <x:c r="I2885" s="1" t="str">
        <x:f>IF(H2885&gt;0,"Overbilled","Shortfall")</x:f>
        <x:v>Overbilled</x:v>
      </x:c>
      <x:c r="J2885" s="7"/>
      <x:c r="K2885" s="7" t="str">
        <x:v>Open</x:v>
      </x:c>
      <x:c r="L2885" s="7"/>
    </x:row>
    <x:row r="2886" ht="21" customHeight="1">
      <x:c r="A2886" s="1" t="str">
        <x:f>Source!A2880</x:f>
        <x:v>C0006565</x:v>
      </x:c>
      <x:c r="B2886" s="1" t="str">
        <x:f>_xlfn.IFNA(VLOOKUP(Source!B2880,Advertisers!$A$5:$B$34,2,FALSE),"Missing advertiser")</x:f>
        <x:v>Synthetic advertiser 12</x:v>
      </x:c>
      <x:c r="C2886" s="1" t="n">
        <x:f>Source!C2880</x:f>
        <x:v>72</x:v>
      </x:c>
      <x:c r="D2886" s="8" t="n">
        <x:f>Source!D2880/100</x:f>
        <x:v>211.85</x:v>
      </x:c>
      <x:c r="E2886" s="8" t="n">
        <x:f>Source!E2880/100</x:f>
        <x:v>226.85</x:v>
      </x:c>
      <x:c r="F2886" s="8" t="n">
        <x:f>Source!F2880/100</x:f>
        <x:v>0</x:v>
      </x:c>
      <x:c r="G2886" s="8" t="n">
        <x:f>Source!G2880/100</x:f>
        <x:v>226.85</x:v>
      </x:c>
      <x:c r="H2886" s="8" t="n">
        <x:f>G2886-D2886</x:f>
        <x:v>15</x:v>
      </x:c>
      <x:c r="I2886" s="1" t="str">
        <x:f>IF(H2886&gt;0,"Overbilled","Shortfall")</x:f>
        <x:v>Overbilled</x:v>
      </x:c>
      <x:c r="J2886" s="7"/>
      <x:c r="K2886" s="7" t="str">
        <x:v>Open</x:v>
      </x:c>
      <x:c r="L2886" s="7"/>
    </x:row>
    <x:row r="2887" ht="21" customHeight="1">
      <x:c r="A2887" s="1" t="str">
        <x:f>Source!A2881</x:f>
        <x:v>C0006570</x:v>
      </x:c>
      <x:c r="B2887" s="1" t="str">
        <x:f>_xlfn.IFNA(VLOOKUP(Source!B2881,Advertisers!$A$5:$B$34,2,FALSE),"Missing advertiser")</x:f>
        <x:v>Synthetic advertiser 30</x:v>
      </x:c>
      <x:c r="C2887" s="1" t="n">
        <x:f>Source!C2881</x:f>
        <x:v>120</x:v>
      </x:c>
      <x:c r="D2887" s="8" t="n">
        <x:f>Source!D2881/100</x:f>
        <x:v>247.24</x:v>
      </x:c>
      <x:c r="E2887" s="8" t="n">
        <x:f>Source!E2881/100</x:f>
        <x:v>262.24</x:v>
      </x:c>
      <x:c r="F2887" s="8" t="n">
        <x:f>Source!F2881/100</x:f>
        <x:v>0</x:v>
      </x:c>
      <x:c r="G2887" s="8" t="n">
        <x:f>Source!G2881/100</x:f>
        <x:v>262.24</x:v>
      </x:c>
      <x:c r="H2887" s="8" t="n">
        <x:f>G2887-D2887</x:f>
        <x:v>15</x:v>
      </x:c>
      <x:c r="I2887" s="1" t="str">
        <x:f>IF(H2887&gt;0,"Overbilled","Shortfall")</x:f>
        <x:v>Overbilled</x:v>
      </x:c>
      <x:c r="J2887" s="7"/>
      <x:c r="K2887" s="7" t="str">
        <x:v>Open</x:v>
      </x:c>
      <x:c r="L2887" s="7"/>
    </x:row>
    <x:row r="2888" ht="21" customHeight="1">
      <x:c r="A2888" s="1" t="str">
        <x:f>Source!A2882</x:f>
        <x:v>C0006151</x:v>
      </x:c>
      <x:c r="B2888" s="1" t="str">
        <x:f>_xlfn.IFNA(VLOOKUP(Source!B2882,Advertisers!$A$5:$B$34,2,FALSE),"Missing advertiser")</x:f>
        <x:v>Synthetic advertiser 22</x:v>
      </x:c>
      <x:c r="C2888" s="1" t="n">
        <x:f>Source!C2882</x:f>
        <x:v>22</x:v>
      </x:c>
      <x:c r="D2888" s="8" t="n">
        <x:f>Source!D2882/100</x:f>
        <x:v>54.42</x:v>
      </x:c>
      <x:c r="E2888" s="8" t="n">
        <x:f>Source!E2882/100</x:f>
        <x:v>69.42</x:v>
      </x:c>
      <x:c r="F2888" s="8" t="n">
        <x:f>Source!F2882/100</x:f>
        <x:v>0</x:v>
      </x:c>
      <x:c r="G2888" s="8" t="n">
        <x:f>Source!G2882/100</x:f>
        <x:v>69.42</x:v>
      </x:c>
      <x:c r="H2888" s="8" t="n">
        <x:f>G2888-D2888</x:f>
        <x:v>15</x:v>
      </x:c>
      <x:c r="I2888" s="1" t="str">
        <x:f>IF(H2888&gt;0,"Overbilled","Shortfall")</x:f>
        <x:v>Overbilled</x:v>
      </x:c>
      <x:c r="J2888" s="7"/>
      <x:c r="K2888" s="7" t="str">
        <x:v>Open</x:v>
      </x:c>
      <x:c r="L2888" s="7"/>
    </x:row>
    <x:row r="2889" ht="21" customHeight="1">
      <x:c r="A2889" s="1" t="str">
        <x:f>Source!A2883</x:f>
        <x:v>C0006240</x:v>
      </x:c>
      <x:c r="B2889" s="1" t="str">
        <x:f>_xlfn.IFNA(VLOOKUP(Source!B2883,Advertisers!$A$5:$B$34,2,FALSE),"Missing advertiser")</x:f>
        <x:v>Synthetic advertiser 18</x:v>
      </x:c>
      <x:c r="C2889" s="1" t="n">
        <x:f>Source!C2883</x:f>
        <x:v>48</x:v>
      </x:c>
      <x:c r="D2889" s="8" t="n">
        <x:f>Source!D2883/100</x:f>
        <x:v>117.66</x:v>
      </x:c>
      <x:c r="E2889" s="8" t="n">
        <x:f>Source!E2883/100</x:f>
        <x:v>132.66</x:v>
      </x:c>
      <x:c r="F2889" s="8" t="n">
        <x:f>Source!F2883/100</x:f>
        <x:v>0</x:v>
      </x:c>
      <x:c r="G2889" s="8" t="n">
        <x:f>Source!G2883/100</x:f>
        <x:v>132.66</x:v>
      </x:c>
      <x:c r="H2889" s="8" t="n">
        <x:f>G2889-D2889</x:f>
        <x:v>15</x:v>
      </x:c>
      <x:c r="I2889" s="1" t="str">
        <x:f>IF(H2889&gt;0,"Overbilled","Shortfall")</x:f>
        <x:v>Overbilled</x:v>
      </x:c>
      <x:c r="J2889" s="7"/>
      <x:c r="K2889" s="7" t="str">
        <x:v>Open</x:v>
      </x:c>
      <x:c r="L2889" s="7"/>
    </x:row>
    <x:row r="2890" ht="21" customHeight="1">
      <x:c r="A2890" s="1" t="str">
        <x:f>Source!A2884</x:f>
        <x:v>C0006269</x:v>
      </x:c>
      <x:c r="B2890" s="1" t="str">
        <x:f>_xlfn.IFNA(VLOOKUP(Source!B2884,Advertisers!$A$5:$B$34,2,FALSE),"Missing advertiser")</x:f>
        <x:v>Synthetic advertiser 10</x:v>
      </x:c>
      <x:c r="C2890" s="1" t="n">
        <x:f>Source!C2884</x:f>
        <x:v>70</x:v>
      </x:c>
      <x:c r="D2890" s="8" t="n">
        <x:f>Source!D2884/100</x:f>
        <x:v>134.05</x:v>
      </x:c>
      <x:c r="E2890" s="8" t="n">
        <x:f>Source!E2884/100</x:f>
        <x:v>149.05</x:v>
      </x:c>
      <x:c r="F2890" s="8" t="n">
        <x:f>Source!F2884/100</x:f>
        <x:v>0</x:v>
      </x:c>
      <x:c r="G2890" s="8" t="n">
        <x:f>Source!G2884/100</x:f>
        <x:v>149.05</x:v>
      </x:c>
      <x:c r="H2890" s="8" t="n">
        <x:f>G2890-D2890</x:f>
        <x:v>15</x:v>
      </x:c>
      <x:c r="I2890" s="1" t="str">
        <x:f>IF(H2890&gt;0,"Overbilled","Shortfall")</x:f>
        <x:v>Overbilled</x:v>
      </x:c>
      <x:c r="J2890" s="7"/>
      <x:c r="K2890" s="7" t="str">
        <x:v>Open</x:v>
      </x:c>
      <x:c r="L2890" s="7"/>
    </x:row>
    <x:row r="2891" ht="21" customHeight="1">
      <x:c r="A2891" s="1" t="str">
        <x:f>Source!A2885</x:f>
        <x:v>C0006317</x:v>
      </x:c>
      <x:c r="B2891" s="1" t="str">
        <x:f>_xlfn.IFNA(VLOOKUP(Source!B2885,Advertisers!$A$5:$B$34,2,FALSE),"Missing advertiser")</x:f>
        <x:v>Synthetic advertiser 27</x:v>
      </x:c>
      <x:c r="C2891" s="1" t="n">
        <x:f>Source!C2885</x:f>
        <x:v>87</x:v>
      </x:c>
      <x:c r="D2891" s="8" t="n">
        <x:f>Source!D2885/100</x:f>
        <x:v>205.51</x:v>
      </x:c>
      <x:c r="E2891" s="8" t="n">
        <x:f>Source!E2885/100</x:f>
        <x:v>220.51</x:v>
      </x:c>
      <x:c r="F2891" s="8" t="n">
        <x:f>Source!F2885/100</x:f>
        <x:v>0</x:v>
      </x:c>
      <x:c r="G2891" s="8" t="n">
        <x:f>Source!G2885/100</x:f>
        <x:v>220.51</x:v>
      </x:c>
      <x:c r="H2891" s="8" t="n">
        <x:f>G2891-D2891</x:f>
        <x:v>15</x:v>
      </x:c>
      <x:c r="I2891" s="1" t="str">
        <x:f>IF(H2891&gt;0,"Overbilled","Shortfall")</x:f>
        <x:v>Overbilled</x:v>
      </x:c>
      <x:c r="J2891" s="7"/>
      <x:c r="K2891" s="7" t="str">
        <x:v>Open</x:v>
      </x:c>
      <x:c r="L2891" s="7"/>
    </x:row>
    <x:row r="2892" ht="21" customHeight="1">
      <x:c r="A2892" s="1" t="str">
        <x:f>Source!A2886</x:f>
        <x:v>C0006371</x:v>
      </x:c>
      <x:c r="B2892" s="1" t="str">
        <x:f>_xlfn.IFNA(VLOOKUP(Source!B2886,Advertisers!$A$5:$B$34,2,FALSE),"Missing advertiser")</x:f>
        <x:v>Synthetic advertiser 1</x:v>
      </x:c>
      <x:c r="C2892" s="1" t="n">
        <x:f>Source!C2886</x:f>
        <x:v>31</x:v>
      </x:c>
      <x:c r="D2892" s="8" t="n">
        <x:f>Source!D2886/100</x:f>
        <x:v>79.23</x:v>
      </x:c>
      <x:c r="E2892" s="8" t="n">
        <x:f>Source!E2886/100</x:f>
        <x:v>94.23</x:v>
      </x:c>
      <x:c r="F2892" s="8" t="n">
        <x:f>Source!F2886/100</x:f>
        <x:v>0</x:v>
      </x:c>
      <x:c r="G2892" s="8" t="n">
        <x:f>Source!G2886/100</x:f>
        <x:v>94.23</x:v>
      </x:c>
      <x:c r="H2892" s="8" t="n">
        <x:f>G2892-D2892</x:f>
        <x:v>15</x:v>
      </x:c>
      <x:c r="I2892" s="1" t="str">
        <x:f>IF(H2892&gt;0,"Overbilled","Shortfall")</x:f>
        <x:v>Overbilled</x:v>
      </x:c>
      <x:c r="J2892" s="7"/>
      <x:c r="K2892" s="7" t="str">
        <x:v>Open</x:v>
      </x:c>
      <x:c r="L2892" s="7"/>
    </x:row>
    <x:row r="2893" ht="21" customHeight="1">
      <x:c r="A2893" s="1" t="str">
        <x:f>Source!A2887</x:f>
        <x:v>C0006391</x:v>
      </x:c>
      <x:c r="B2893" s="1" t="str">
        <x:f>_xlfn.IFNA(VLOOKUP(Source!B2887,Advertisers!$A$5:$B$34,2,FALSE),"Missing advertiser")</x:f>
        <x:v>Synthetic advertiser 8</x:v>
      </x:c>
      <x:c r="C2893" s="1" t="n">
        <x:f>Source!C2887</x:f>
        <x:v>8</x:v>
      </x:c>
      <x:c r="D2893" s="8" t="n">
        <x:f>Source!D2887/100</x:f>
        <x:v>163.08</x:v>
      </x:c>
      <x:c r="E2893" s="8" t="n">
        <x:f>Source!E2887/100</x:f>
        <x:v>178.08</x:v>
      </x:c>
      <x:c r="F2893" s="8" t="n">
        <x:f>Source!F2887/100</x:f>
        <x:v>0</x:v>
      </x:c>
      <x:c r="G2893" s="8" t="n">
        <x:f>Source!G2887/100</x:f>
        <x:v>178.08</x:v>
      </x:c>
      <x:c r="H2893" s="8" t="n">
        <x:f>G2893-D2893</x:f>
        <x:v>15</x:v>
      </x:c>
      <x:c r="I2893" s="1" t="str">
        <x:f>IF(H2893&gt;0,"Overbilled","Shortfall")</x:f>
        <x:v>Overbilled</x:v>
      </x:c>
      <x:c r="J2893" s="7"/>
      <x:c r="K2893" s="7" t="str">
        <x:v>Open</x:v>
      </x:c>
      <x:c r="L2893" s="7"/>
    </x:row>
    <x:row r="2894" ht="21" customHeight="1">
      <x:c r="A2894" s="1" t="str">
        <x:f>Source!A2888</x:f>
        <x:v>C0006412</x:v>
      </x:c>
      <x:c r="B2894" s="1" t="str">
        <x:f>_xlfn.IFNA(VLOOKUP(Source!B2888,Advertisers!$A$5:$B$34,2,FALSE),"Missing advertiser")</x:f>
        <x:v>Synthetic advertiser 2</x:v>
      </x:c>
      <x:c r="C2894" s="1" t="n">
        <x:f>Source!C2888</x:f>
        <x:v>32</x:v>
      </x:c>
      <x:c r="D2894" s="8" t="n">
        <x:f>Source!D2888/100</x:f>
        <x:v>106.94</x:v>
      </x:c>
      <x:c r="E2894" s="8" t="n">
        <x:f>Source!E2888/100</x:f>
        <x:v>121.94</x:v>
      </x:c>
      <x:c r="F2894" s="8" t="n">
        <x:f>Source!F2888/100</x:f>
        <x:v>0</x:v>
      </x:c>
      <x:c r="G2894" s="8" t="n">
        <x:f>Source!G2888/100</x:f>
        <x:v>121.94</x:v>
      </x:c>
      <x:c r="H2894" s="8" t="n">
        <x:f>G2894-D2894</x:f>
        <x:v>15</x:v>
      </x:c>
      <x:c r="I2894" s="1" t="str">
        <x:f>IF(H2894&gt;0,"Overbilled","Shortfall")</x:f>
        <x:v>Overbilled</x:v>
      </x:c>
      <x:c r="J2894" s="7"/>
      <x:c r="K2894" s="7" t="str">
        <x:v>Open</x:v>
      </x:c>
      <x:c r="L2894" s="7"/>
    </x:row>
    <x:row r="2895" ht="21" customHeight="1">
      <x:c r="A2895" s="1" t="str">
        <x:f>Source!A2889</x:f>
        <x:v>C0006413</x:v>
      </x:c>
      <x:c r="B2895" s="1" t="str">
        <x:f>_xlfn.IFNA(VLOOKUP(Source!B2889,Advertisers!$A$5:$B$34,2,FALSE),"Missing advertiser")</x:f>
        <x:v>Synthetic advertiser 20</x:v>
      </x:c>
      <x:c r="C2895" s="1" t="n">
        <x:f>Source!C2889</x:f>
        <x:v>80</x:v>
      </x:c>
      <x:c r="D2895" s="8" t="n">
        <x:f>Source!D2889/100</x:f>
        <x:v>169.04</x:v>
      </x:c>
      <x:c r="E2895" s="8" t="n">
        <x:f>Source!E2889/100</x:f>
        <x:v>184.04</x:v>
      </x:c>
      <x:c r="F2895" s="8" t="n">
        <x:f>Source!F2889/100</x:f>
        <x:v>0</x:v>
      </x:c>
      <x:c r="G2895" s="8" t="n">
        <x:f>Source!G2889/100</x:f>
        <x:v>184.04</x:v>
      </x:c>
      <x:c r="H2895" s="8" t="n">
        <x:f>G2895-D2895</x:f>
        <x:v>15</x:v>
      </x:c>
      <x:c r="I2895" s="1" t="str">
        <x:f>IF(H2895&gt;0,"Overbilled","Shortfall")</x:f>
        <x:v>Overbilled</x:v>
      </x:c>
      <x:c r="J2895" s="7"/>
      <x:c r="K2895" s="7" t="str">
        <x:v>Open</x:v>
      </x:c>
      <x:c r="L2895" s="7"/>
    </x:row>
    <x:row r="2896" ht="21" customHeight="1">
      <x:c r="A2896" s="1" t="str">
        <x:f>Source!A2890</x:f>
        <x:v>C0011769</x:v>
      </x:c>
      <x:c r="B2896" s="1" t="str">
        <x:f>_xlfn.IFNA(VLOOKUP(Source!B2890,Advertisers!$A$5:$B$34,2,FALSE),"Missing advertiser")</x:f>
        <x:v>Synthetic advertiser 9</x:v>
      </x:c>
      <x:c r="C2896" s="1" t="n">
        <x:f>Source!C2890</x:f>
        <x:v>39</x:v>
      </x:c>
      <x:c r="D2896" s="8" t="n">
        <x:f>Source!D2890/100</x:f>
        <x:v>57.02</x:v>
      </x:c>
      <x:c r="E2896" s="8" t="n">
        <x:f>Source!E2890/100</x:f>
        <x:v>72.02</x:v>
      </x:c>
      <x:c r="F2896" s="8" t="n">
        <x:f>Source!F2890/100</x:f>
        <x:v>0</x:v>
      </x:c>
      <x:c r="G2896" s="8" t="n">
        <x:f>Source!G2890/100</x:f>
        <x:v>72.02</x:v>
      </x:c>
      <x:c r="H2896" s="8" t="n">
        <x:f>G2896-D2896</x:f>
        <x:v>14.999999999999993</x:v>
      </x:c>
      <x:c r="I2896" s="1" t="str">
        <x:f>IF(H2896&gt;0,"Overbilled","Shortfall")</x:f>
        <x:v>Overbilled</x:v>
      </x:c>
      <x:c r="J2896" s="7"/>
      <x:c r="K2896" s="7" t="str">
        <x:v>Open</x:v>
      </x:c>
      <x:c r="L2896" s="7"/>
    </x:row>
    <x:row r="2897" ht="21" customHeight="1">
      <x:c r="A2897" s="1" t="str">
        <x:f>Source!A2891</x:f>
        <x:v>C0011772</x:v>
      </x:c>
      <x:c r="B2897" s="1" t="str">
        <x:f>_xlfn.IFNA(VLOOKUP(Source!B2891,Advertisers!$A$5:$B$34,2,FALSE),"Missing advertiser")</x:f>
        <x:v>Synthetic advertiser 17</x:v>
      </x:c>
      <x:c r="C2897" s="1" t="n">
        <x:f>Source!C2891</x:f>
        <x:v>47</x:v>
      </x:c>
      <x:c r="D2897" s="8" t="n">
        <x:f>Source!D2891/100</x:f>
        <x:v>113.08</x:v>
      </x:c>
      <x:c r="E2897" s="8" t="n">
        <x:f>Source!E2891/100</x:f>
        <x:v>128.08</x:v>
      </x:c>
      <x:c r="F2897" s="8" t="n">
        <x:f>Source!F2891/100</x:f>
        <x:v>0</x:v>
      </x:c>
      <x:c r="G2897" s="8" t="n">
        <x:f>Source!G2891/100</x:f>
        <x:v>128.08</x:v>
      </x:c>
      <x:c r="H2897" s="8" t="n">
        <x:f>G2897-D2897</x:f>
        <x:v>15.000000000000014</x:v>
      </x:c>
      <x:c r="I2897" s="1" t="str">
        <x:f>IF(H2897&gt;0,"Overbilled","Shortfall")</x:f>
        <x:v>Overbilled</x:v>
      </x:c>
      <x:c r="J2897" s="7"/>
      <x:c r="K2897" s="7" t="str">
        <x:v>Open</x:v>
      </x:c>
      <x:c r="L2897" s="7"/>
    </x:row>
    <x:row r="2898" ht="21" customHeight="1">
      <x:c r="A2898" s="1" t="str">
        <x:f>Source!A2892</x:f>
        <x:v>C0012658</x:v>
      </x:c>
      <x:c r="B2898" s="1" t="str">
        <x:f>_xlfn.IFNA(VLOOKUP(Source!B2892,Advertisers!$A$5:$B$34,2,FALSE),"Missing advertiser")</x:f>
        <x:v>Synthetic advertiser 5</x:v>
      </x:c>
      <x:c r="C2898" s="1" t="n">
        <x:f>Source!C2892</x:f>
        <x:v>65</x:v>
      </x:c>
      <x:c r="D2898" s="8" t="n">
        <x:f>Source!D2892/100</x:f>
        <x:v>115.72</x:v>
      </x:c>
      <x:c r="E2898" s="8" t="n">
        <x:f>Source!E2892/100</x:f>
        <x:v>130.72</x:v>
      </x:c>
      <x:c r="F2898" s="8" t="n">
        <x:f>Source!F2892/100</x:f>
        <x:v>0</x:v>
      </x:c>
      <x:c r="G2898" s="8" t="n">
        <x:f>Source!G2892/100</x:f>
        <x:v>130.72</x:v>
      </x:c>
      <x:c r="H2898" s="8" t="n">
        <x:f>G2898-D2898</x:f>
        <x:v>15</x:v>
      </x:c>
      <x:c r="I2898" s="1" t="str">
        <x:f>IF(H2898&gt;0,"Overbilled","Shortfall")</x:f>
        <x:v>Overbilled</x:v>
      </x:c>
      <x:c r="J2898" s="7"/>
      <x:c r="K2898" s="7" t="str">
        <x:v>Open</x:v>
      </x:c>
      <x:c r="L2898" s="7"/>
    </x:row>
    <x:row r="2899" ht="21" customHeight="1">
      <x:c r="A2899" s="1" t="str">
        <x:f>Source!A2893</x:f>
        <x:v>C0012713</x:v>
      </x:c>
      <x:c r="B2899" s="1" t="str">
        <x:f>_xlfn.IFNA(VLOOKUP(Source!B2893,Advertisers!$A$5:$B$34,2,FALSE),"Missing advertiser")</x:f>
        <x:v>Synthetic advertiser 14</x:v>
      </x:c>
      <x:c r="C2899" s="1" t="n">
        <x:f>Source!C2893</x:f>
        <x:v>74</x:v>
      </x:c>
      <x:c r="D2899" s="8" t="n">
        <x:f>Source!D2893/100</x:f>
        <x:v>161.09</x:v>
      </x:c>
      <x:c r="E2899" s="8" t="n">
        <x:f>Source!E2893/100</x:f>
        <x:v>176.09</x:v>
      </x:c>
      <x:c r="F2899" s="8" t="n">
        <x:f>Source!F2893/100</x:f>
        <x:v>0</x:v>
      </x:c>
      <x:c r="G2899" s="8" t="n">
        <x:f>Source!G2893/100</x:f>
        <x:v>176.09</x:v>
      </x:c>
      <x:c r="H2899" s="8" t="n">
        <x:f>G2899-D2899</x:f>
        <x:v>15</x:v>
      </x:c>
      <x:c r="I2899" s="1" t="str">
        <x:f>IF(H2899&gt;0,"Overbilled","Shortfall")</x:f>
        <x:v>Overbilled</x:v>
      </x:c>
      <x:c r="J2899" s="7"/>
      <x:c r="K2899" s="7" t="str">
        <x:v>Open</x:v>
      </x:c>
      <x:c r="L2899" s="7"/>
    </x:row>
    <x:row r="2900" ht="21" customHeight="1">
      <x:c r="A2900" s="1" t="str">
        <x:f>Source!A2894</x:f>
        <x:v>C0012725</x:v>
      </x:c>
      <x:c r="B2900" s="1" t="str">
        <x:f>_xlfn.IFNA(VLOOKUP(Source!B2894,Advertisers!$A$5:$B$34,2,FALSE),"Missing advertiser")</x:f>
        <x:v>Synthetic advertiser 16</x:v>
      </x:c>
      <x:c r="C2900" s="1" t="n">
        <x:f>Source!C2894</x:f>
        <x:v>106</x:v>
      </x:c>
      <x:c r="D2900" s="8" t="n">
        <x:f>Source!D2894/100</x:f>
        <x:v>245.13</x:v>
      </x:c>
      <x:c r="E2900" s="8" t="n">
        <x:f>Source!E2894/100</x:f>
        <x:v>260.13</x:v>
      </x:c>
      <x:c r="F2900" s="8" t="n">
        <x:f>Source!F2894/100</x:f>
        <x:v>0</x:v>
      </x:c>
      <x:c r="G2900" s="8" t="n">
        <x:f>Source!G2894/100</x:f>
        <x:v>260.13</x:v>
      </x:c>
      <x:c r="H2900" s="8" t="n">
        <x:f>G2900-D2900</x:f>
        <x:v>15</x:v>
      </x:c>
      <x:c r="I2900" s="1" t="str">
        <x:f>IF(H2900&gt;0,"Overbilled","Shortfall")</x:f>
        <x:v>Overbilled</x:v>
      </x:c>
      <x:c r="J2900" s="7"/>
      <x:c r="K2900" s="7" t="str">
        <x:v>Open</x:v>
      </x:c>
      <x:c r="L2900" s="7"/>
    </x:row>
    <x:row r="2901" ht="21" customHeight="1">
      <x:c r="A2901" s="1" t="str">
        <x:f>Source!A2895</x:f>
        <x:v>C0012728</x:v>
      </x:c>
      <x:c r="B2901" s="1" t="str">
        <x:f>_xlfn.IFNA(VLOOKUP(Source!B2895,Advertisers!$A$5:$B$34,2,FALSE),"Missing advertiser")</x:f>
        <x:v>Synthetic advertiser 28</x:v>
      </x:c>
      <x:c r="C2901" s="1" t="n">
        <x:f>Source!C2895</x:f>
        <x:v>118</x:v>
      </x:c>
      <x:c r="D2901" s="8" t="n">
        <x:f>Source!D2895/100</x:f>
        <x:v>75.8</x:v>
      </x:c>
      <x:c r="E2901" s="8" t="n">
        <x:f>Source!E2895/100</x:f>
        <x:v>90.8</x:v>
      </x:c>
      <x:c r="F2901" s="8" t="n">
        <x:f>Source!F2895/100</x:f>
        <x:v>0</x:v>
      </x:c>
      <x:c r="G2901" s="8" t="n">
        <x:f>Source!G2895/100</x:f>
        <x:v>90.8</x:v>
      </x:c>
      <x:c r="H2901" s="8" t="n">
        <x:f>G2901-D2901</x:f>
        <x:v>15</x:v>
      </x:c>
      <x:c r="I2901" s="1" t="str">
        <x:f>IF(H2901&gt;0,"Overbilled","Shortfall")</x:f>
        <x:v>Overbilled</x:v>
      </x:c>
      <x:c r="J2901" s="7"/>
      <x:c r="K2901" s="7" t="str">
        <x:v>Open</x:v>
      </x:c>
      <x:c r="L2901" s="7"/>
    </x:row>
    <x:row r="2902" ht="21" customHeight="1">
      <x:c r="A2902" s="1" t="str">
        <x:f>Source!A2896</x:f>
        <x:v>C0006226</x:v>
      </x:c>
      <x:c r="B2902" s="1" t="str">
        <x:f>_xlfn.IFNA(VLOOKUP(Source!B2896,Advertisers!$A$5:$B$34,2,FALSE),"Missing advertiser")</x:f>
        <x:v>Synthetic advertiser 24</x:v>
      </x:c>
      <x:c r="C2902" s="1" t="n">
        <x:f>Source!C2896</x:f>
        <x:v>114</x:v>
      </x:c>
      <x:c r="D2902" s="8" t="n">
        <x:f>Source!D2896/100</x:f>
        <x:v>75.13</x:v>
      </x:c>
      <x:c r="E2902" s="8" t="n">
        <x:f>Source!E2896/100</x:f>
        <x:v>90.13</x:v>
      </x:c>
      <x:c r="F2902" s="8" t="n">
        <x:f>Source!F2896/100</x:f>
        <x:v>0</x:v>
      </x:c>
      <x:c r="G2902" s="8" t="n">
        <x:f>Source!G2896/100</x:f>
        <x:v>90.13</x:v>
      </x:c>
      <x:c r="H2902" s="8" t="n">
        <x:f>G2902-D2902</x:f>
        <x:v>15</x:v>
      </x:c>
      <x:c r="I2902" s="1" t="str">
        <x:f>IF(H2902&gt;0,"Overbilled","Shortfall")</x:f>
        <x:v>Overbilled</x:v>
      </x:c>
      <x:c r="J2902" s="7"/>
      <x:c r="K2902" s="7" t="str">
        <x:v>Open</x:v>
      </x:c>
      <x:c r="L2902" s="7"/>
    </x:row>
    <x:row r="2903" ht="21" customHeight="1">
      <x:c r="A2903" s="1" t="str">
        <x:f>Source!A2897</x:f>
        <x:v>C0006203</x:v>
      </x:c>
      <x:c r="B2903" s="1" t="str">
        <x:f>_xlfn.IFNA(VLOOKUP(Source!B2897,Advertisers!$A$5:$B$34,2,FALSE),"Missing advertiser")</x:f>
        <x:v>Synthetic advertiser 22</x:v>
      </x:c>
      <x:c r="C2903" s="1" t="n">
        <x:f>Source!C2897</x:f>
        <x:v>112</x:v>
      </x:c>
      <x:c r="D2903" s="8" t="n">
        <x:f>Source!D2897/100</x:f>
        <x:v>192.05</x:v>
      </x:c>
      <x:c r="E2903" s="8" t="n">
        <x:f>Source!E2897/100</x:f>
        <x:v>207.05</x:v>
      </x:c>
      <x:c r="F2903" s="8" t="n">
        <x:f>Source!F2897/100</x:f>
        <x:v>0</x:v>
      </x:c>
      <x:c r="G2903" s="8" t="n">
        <x:f>Source!G2897/100</x:f>
        <x:v>207.05</x:v>
      </x:c>
      <x:c r="H2903" s="8" t="n">
        <x:f>G2903-D2903</x:f>
        <x:v>15</x:v>
      </x:c>
      <x:c r="I2903" s="1" t="str">
        <x:f>IF(H2903&gt;0,"Overbilled","Shortfall")</x:f>
        <x:v>Overbilled</x:v>
      </x:c>
      <x:c r="J2903" s="7"/>
      <x:c r="K2903" s="7" t="str">
        <x:v>Open</x:v>
      </x:c>
      <x:c r="L2903" s="7"/>
    </x:row>
    <x:row r="2904" ht="21" customHeight="1">
      <x:c r="A2904" s="1" t="str">
        <x:f>Source!A2898</x:f>
        <x:v>C0011978</x:v>
      </x:c>
      <x:c r="B2904" s="1" t="str">
        <x:f>_xlfn.IFNA(VLOOKUP(Source!B2898,Advertisers!$A$5:$B$34,2,FALSE),"Missing advertiser")</x:f>
        <x:v>Synthetic advertiser 15</x:v>
      </x:c>
      <x:c r="C2904" s="1" t="n">
        <x:f>Source!C2898</x:f>
        <x:v>75</x:v>
      </x:c>
      <x:c r="D2904" s="8" t="n">
        <x:f>Source!D2898/100</x:f>
        <x:v>59.74</x:v>
      </x:c>
      <x:c r="E2904" s="8" t="n">
        <x:f>Source!E2898/100</x:f>
        <x:v>74.74</x:v>
      </x:c>
      <x:c r="F2904" s="8" t="n">
        <x:f>Source!F2898/100</x:f>
        <x:v>0</x:v>
      </x:c>
      <x:c r="G2904" s="8" t="n">
        <x:f>Source!G2898/100</x:f>
        <x:v>74.74</x:v>
      </x:c>
      <x:c r="H2904" s="8" t="n">
        <x:f>G2904-D2904</x:f>
        <x:v>14.999999999999993</x:v>
      </x:c>
      <x:c r="I2904" s="1" t="str">
        <x:f>IF(H2904&gt;0,"Overbilled","Shortfall")</x:f>
        <x:v>Overbilled</x:v>
      </x:c>
      <x:c r="J2904" s="7"/>
      <x:c r="K2904" s="7" t="str">
        <x:v>Open</x:v>
      </x:c>
      <x:c r="L2904" s="7"/>
    </x:row>
    <x:row r="2905" ht="21" customHeight="1">
      <x:c r="A2905" s="1" t="str">
        <x:f>Source!A2899</x:f>
        <x:v>C0011998</x:v>
      </x:c>
      <x:c r="B2905" s="1" t="str">
        <x:f>_xlfn.IFNA(VLOOKUP(Source!B2899,Advertisers!$A$5:$B$34,2,FALSE),"Missing advertiser")</x:f>
        <x:v>Synthetic advertiser 29</x:v>
      </x:c>
      <x:c r="C2905" s="1" t="n">
        <x:f>Source!C2899</x:f>
        <x:v>119</x:v>
      </x:c>
      <x:c r="D2905" s="8" t="n">
        <x:f>Source!D2899/100</x:f>
        <x:v>80.63</x:v>
      </x:c>
      <x:c r="E2905" s="8" t="n">
        <x:f>Source!E2899/100</x:f>
        <x:v>95.63</x:v>
      </x:c>
      <x:c r="F2905" s="8" t="n">
        <x:f>Source!F2899/100</x:f>
        <x:v>0</x:v>
      </x:c>
      <x:c r="G2905" s="8" t="n">
        <x:f>Source!G2899/100</x:f>
        <x:v>95.63</x:v>
      </x:c>
      <x:c r="H2905" s="8" t="n">
        <x:f>G2905-D2905</x:f>
        <x:v>15</x:v>
      </x:c>
      <x:c r="I2905" s="1" t="str">
        <x:f>IF(H2905&gt;0,"Overbilled","Shortfall")</x:f>
        <x:v>Overbilled</x:v>
      </x:c>
      <x:c r="J2905" s="7"/>
      <x:c r="K2905" s="7" t="str">
        <x:v>Open</x:v>
      </x:c>
      <x:c r="L2905" s="7"/>
    </x:row>
    <x:row r="2906" ht="21" customHeight="1">
      <x:c r="A2906" s="1" t="str">
        <x:f>Source!A2900</x:f>
        <x:v>C0012051</x:v>
      </x:c>
      <x:c r="B2906" s="1" t="str">
        <x:f>_xlfn.IFNA(VLOOKUP(Source!B2900,Advertisers!$A$5:$B$34,2,FALSE),"Missing advertiser")</x:f>
        <x:v>Synthetic advertiser 7</x:v>
      </x:c>
      <x:c r="C2906" s="1" t="n">
        <x:f>Source!C2900</x:f>
        <x:v>37</x:v>
      </x:c>
      <x:c r="D2906" s="8" t="n">
        <x:f>Source!D2900/100</x:f>
        <x:v>133.38</x:v>
      </x:c>
      <x:c r="E2906" s="8" t="n">
        <x:f>Source!E2900/100</x:f>
        <x:v>148.38</x:v>
      </x:c>
      <x:c r="F2906" s="8" t="n">
        <x:f>Source!F2900/100</x:f>
        <x:v>0</x:v>
      </x:c>
      <x:c r="G2906" s="8" t="n">
        <x:f>Source!G2900/100</x:f>
        <x:v>148.38</x:v>
      </x:c>
      <x:c r="H2906" s="8" t="n">
        <x:f>G2906-D2906</x:f>
        <x:v>15</x:v>
      </x:c>
      <x:c r="I2906" s="1" t="str">
        <x:f>IF(H2906&gt;0,"Overbilled","Shortfall")</x:f>
        <x:v>Overbilled</x:v>
      </x:c>
      <x:c r="J2906" s="7"/>
      <x:c r="K2906" s="7" t="str">
        <x:v>Open</x:v>
      </x:c>
      <x:c r="L2906" s="7"/>
    </x:row>
    <x:row r="2907" ht="21" customHeight="1">
      <x:c r="A2907" s="1" t="str">
        <x:f>Source!A2901</x:f>
        <x:v>C0012065</x:v>
      </x:c>
      <x:c r="B2907" s="1" t="str">
        <x:f>_xlfn.IFNA(VLOOKUP(Source!B2901,Advertisers!$A$5:$B$34,2,FALSE),"Missing advertiser")</x:f>
        <x:v>Synthetic advertiser 9</x:v>
      </x:c>
      <x:c r="C2907" s="1" t="n">
        <x:f>Source!C2901</x:f>
        <x:v>39</x:v>
      </x:c>
      <x:c r="D2907" s="8" t="n">
        <x:f>Source!D2901/100</x:f>
        <x:v>176.58</x:v>
      </x:c>
      <x:c r="E2907" s="8" t="n">
        <x:f>Source!E2901/100</x:f>
        <x:v>191.58</x:v>
      </x:c>
      <x:c r="F2907" s="8" t="n">
        <x:f>Source!F2901/100</x:f>
        <x:v>0</x:v>
      </x:c>
      <x:c r="G2907" s="8" t="n">
        <x:f>Source!G2901/100</x:f>
        <x:v>191.58</x:v>
      </x:c>
      <x:c r="H2907" s="8" t="n">
        <x:f>G2907-D2907</x:f>
        <x:v>15</x:v>
      </x:c>
      <x:c r="I2907" s="1" t="str">
        <x:f>IF(H2907&gt;0,"Overbilled","Shortfall")</x:f>
        <x:v>Overbilled</x:v>
      </x:c>
      <x:c r="J2907" s="7"/>
      <x:c r="K2907" s="7" t="str">
        <x:v>Open</x:v>
      </x:c>
      <x:c r="L2907" s="7"/>
    </x:row>
    <x:row r="2908" ht="21" customHeight="1">
      <x:c r="A2908" s="1" t="str">
        <x:f>Source!A2902</x:f>
        <x:v>C0012066</x:v>
      </x:c>
      <x:c r="B2908" s="1" t="str">
        <x:f>_xlfn.IFNA(VLOOKUP(Source!B2902,Advertisers!$A$5:$B$34,2,FALSE),"Missing advertiser")</x:f>
        <x:v>Synthetic advertiser 23</x:v>
      </x:c>
      <x:c r="C2908" s="1" t="n">
        <x:f>Source!C2902</x:f>
        <x:v>53</x:v>
      </x:c>
      <x:c r="D2908" s="8" t="n">
        <x:f>Source!D2902/100</x:f>
        <x:v>344.62</x:v>
      </x:c>
      <x:c r="E2908" s="8" t="n">
        <x:f>Source!E2902/100</x:f>
        <x:v>359.62</x:v>
      </x:c>
      <x:c r="F2908" s="8" t="n">
        <x:f>Source!F2902/100</x:f>
        <x:v>0</x:v>
      </x:c>
      <x:c r="G2908" s="8" t="n">
        <x:f>Source!G2902/100</x:f>
        <x:v>359.62</x:v>
      </x:c>
      <x:c r="H2908" s="8" t="n">
        <x:f>G2908-D2908</x:f>
        <x:v>15</x:v>
      </x:c>
      <x:c r="I2908" s="1" t="str">
        <x:f>IF(H2908&gt;0,"Overbilled","Shortfall")</x:f>
        <x:v>Overbilled</x:v>
      </x:c>
      <x:c r="J2908" s="7"/>
      <x:c r="K2908" s="7" t="str">
        <x:v>Open</x:v>
      </x:c>
      <x:c r="L2908" s="7"/>
    </x:row>
    <x:row r="2909" ht="21" customHeight="1">
      <x:c r="A2909" s="1" t="str">
        <x:f>Source!A2903</x:f>
        <x:v>C0005868</x:v>
      </x:c>
      <x:c r="B2909" s="1" t="str">
        <x:f>_xlfn.IFNA(VLOOKUP(Source!B2903,Advertisers!$A$5:$B$34,2,FALSE),"Missing advertiser")</x:f>
        <x:v>Synthetic advertiser 9</x:v>
      </x:c>
      <x:c r="C2909" s="1" t="n">
        <x:f>Source!C2903</x:f>
        <x:v>99</x:v>
      </x:c>
      <x:c r="D2909" s="8" t="n">
        <x:f>Source!D2903/100</x:f>
        <x:v>103.53</x:v>
      </x:c>
      <x:c r="E2909" s="8" t="n">
        <x:f>Source!E2903/100</x:f>
        <x:v>118.53</x:v>
      </x:c>
      <x:c r="F2909" s="8" t="n">
        <x:f>Source!F2903/100</x:f>
        <x:v>0</x:v>
      </x:c>
      <x:c r="G2909" s="8" t="n">
        <x:f>Source!G2903/100</x:f>
        <x:v>118.53</x:v>
      </x:c>
      <x:c r="H2909" s="8" t="n">
        <x:f>G2909-D2909</x:f>
        <x:v>15</x:v>
      </x:c>
      <x:c r="I2909" s="1" t="str">
        <x:f>IF(H2909&gt;0,"Overbilled","Shortfall")</x:f>
        <x:v>Overbilled</x:v>
      </x:c>
      <x:c r="J2909" s="7"/>
      <x:c r="K2909" s="7" t="str">
        <x:v>Open</x:v>
      </x:c>
      <x:c r="L2909" s="7"/>
    </x:row>
    <x:row r="2910" ht="21" customHeight="1">
      <x:c r="A2910" s="1" t="str">
        <x:f>Source!A2904</x:f>
        <x:v>C0005869</x:v>
      </x:c>
      <x:c r="B2910" s="1" t="str">
        <x:f>_xlfn.IFNA(VLOOKUP(Source!B2904,Advertisers!$A$5:$B$34,2,FALSE),"Missing advertiser")</x:f>
        <x:v>Synthetic advertiser 27</x:v>
      </x:c>
      <x:c r="C2910" s="1" t="n">
        <x:f>Source!C2904</x:f>
        <x:v>57</x:v>
      </x:c>
      <x:c r="D2910" s="8" t="n">
        <x:f>Source!D2904/100</x:f>
        <x:v>244.3</x:v>
      </x:c>
      <x:c r="E2910" s="8" t="n">
        <x:f>Source!E2904/100</x:f>
        <x:v>259.3</x:v>
      </x:c>
      <x:c r="F2910" s="8" t="n">
        <x:f>Source!F2904/100</x:f>
        <x:v>0</x:v>
      </x:c>
      <x:c r="G2910" s="8" t="n">
        <x:f>Source!G2904/100</x:f>
        <x:v>259.3</x:v>
      </x:c>
      <x:c r="H2910" s="8" t="n">
        <x:f>G2910-D2910</x:f>
        <x:v>15</x:v>
      </x:c>
      <x:c r="I2910" s="1" t="str">
        <x:f>IF(H2910&gt;0,"Overbilled","Shortfall")</x:f>
        <x:v>Overbilled</x:v>
      </x:c>
      <x:c r="J2910" s="7"/>
      <x:c r="K2910" s="7" t="str">
        <x:v>Open</x:v>
      </x:c>
      <x:c r="L2910" s="7"/>
    </x:row>
    <x:row r="2911" ht="21" customHeight="1">
      <x:c r="A2911" s="1" t="str">
        <x:f>Source!A2905</x:f>
        <x:v>C0005922</x:v>
      </x:c>
      <x:c r="B2911" s="1" t="str">
        <x:f>_xlfn.IFNA(VLOOKUP(Source!B2905,Advertisers!$A$5:$B$34,2,FALSE),"Missing advertiser")</x:f>
        <x:v>Synthetic advertiser 2</x:v>
      </x:c>
      <x:c r="C2911" s="1" t="n">
        <x:f>Source!C2905</x:f>
        <x:v>2</x:v>
      </x:c>
      <x:c r="D2911" s="8" t="n">
        <x:f>Source!D2905/100</x:f>
        <x:v>160.92</x:v>
      </x:c>
      <x:c r="E2911" s="8" t="n">
        <x:f>Source!E2905/100</x:f>
        <x:v>175.92</x:v>
      </x:c>
      <x:c r="F2911" s="8" t="n">
        <x:f>Source!F2905/100</x:f>
        <x:v>0</x:v>
      </x:c>
      <x:c r="G2911" s="8" t="n">
        <x:f>Source!G2905/100</x:f>
        <x:v>175.92</x:v>
      </x:c>
      <x:c r="H2911" s="8" t="n">
        <x:f>G2911-D2911</x:f>
        <x:v>15</x:v>
      </x:c>
      <x:c r="I2911" s="1" t="str">
        <x:f>IF(H2911&gt;0,"Overbilled","Shortfall")</x:f>
        <x:v>Overbilled</x:v>
      </x:c>
      <x:c r="J2911" s="7"/>
      <x:c r="K2911" s="7" t="str">
        <x:v>Open</x:v>
      </x:c>
      <x:c r="L2911" s="7"/>
    </x:row>
    <x:row r="2912" ht="21" customHeight="1">
      <x:c r="A2912" s="1" t="str">
        <x:f>Source!A2906</x:f>
        <x:v>C0005971</x:v>
      </x:c>
      <x:c r="B2912" s="1" t="str">
        <x:f>_xlfn.IFNA(VLOOKUP(Source!B2906,Advertisers!$A$5:$B$34,2,FALSE),"Missing advertiser")</x:f>
        <x:v>Synthetic advertiser 15</x:v>
      </x:c>
      <x:c r="C2912" s="1" t="n">
        <x:f>Source!C2906</x:f>
        <x:v>45</x:v>
      </x:c>
      <x:c r="D2912" s="8" t="n">
        <x:f>Source!D2906/100</x:f>
        <x:v>322</x:v>
      </x:c>
      <x:c r="E2912" s="8" t="n">
        <x:f>Source!E2906/100</x:f>
        <x:v>337</x:v>
      </x:c>
      <x:c r="F2912" s="8" t="n">
        <x:f>Source!F2906/100</x:f>
        <x:v>0</x:v>
      </x:c>
      <x:c r="G2912" s="8" t="n">
        <x:f>Source!G2906/100</x:f>
        <x:v>337</x:v>
      </x:c>
      <x:c r="H2912" s="8" t="n">
        <x:f>G2912-D2912</x:f>
        <x:v>15</x:v>
      </x:c>
      <x:c r="I2912" s="1" t="str">
        <x:f>IF(H2912&gt;0,"Overbilled","Shortfall")</x:f>
        <x:v>Overbilled</x:v>
      </x:c>
      <x:c r="J2912" s="7"/>
      <x:c r="K2912" s="7" t="str">
        <x:v>Open</x:v>
      </x:c>
      <x:c r="L2912" s="7"/>
    </x:row>
    <x:row r="2913" ht="21" customHeight="1">
      <x:c r="A2913" s="1" t="str">
        <x:f>Source!A2907</x:f>
        <x:v>C0005973</x:v>
      </x:c>
      <x:c r="B2913" s="1" t="str">
        <x:f>_xlfn.IFNA(VLOOKUP(Source!B2907,Advertisers!$A$5:$B$34,2,FALSE),"Missing advertiser")</x:f>
        <x:v>Synthetic advertiser 5</x:v>
      </x:c>
      <x:c r="C2913" s="1" t="n">
        <x:f>Source!C2907</x:f>
        <x:v>35</x:v>
      </x:c>
      <x:c r="D2913" s="8" t="n">
        <x:f>Source!D2907/100</x:f>
        <x:v>130.82</x:v>
      </x:c>
      <x:c r="E2913" s="8" t="n">
        <x:f>Source!E2907/100</x:f>
        <x:v>145.82</x:v>
      </x:c>
      <x:c r="F2913" s="8" t="n">
        <x:f>Source!F2907/100</x:f>
        <x:v>0</x:v>
      </x:c>
      <x:c r="G2913" s="8" t="n">
        <x:f>Source!G2907/100</x:f>
        <x:v>145.82</x:v>
      </x:c>
      <x:c r="H2913" s="8" t="n">
        <x:f>G2913-D2913</x:f>
        <x:v>15</x:v>
      </x:c>
      <x:c r="I2913" s="1" t="str">
        <x:f>IF(H2913&gt;0,"Overbilled","Shortfall")</x:f>
        <x:v>Overbilled</x:v>
      </x:c>
      <x:c r="J2913" s="7"/>
      <x:c r="K2913" s="7" t="str">
        <x:v>Open</x:v>
      </x:c>
      <x:c r="L2913" s="7"/>
    </x:row>
    <x:row r="2914" ht="21" customHeight="1">
      <x:c r="A2914" s="1" t="str">
        <x:f>Source!A2908</x:f>
        <x:v>C0005540</x:v>
      </x:c>
      <x:c r="B2914" s="1" t="str">
        <x:f>_xlfn.IFNA(VLOOKUP(Source!B2908,Advertisers!$A$5:$B$34,2,FALSE),"Missing advertiser")</x:f>
        <x:v>Synthetic advertiser 28</x:v>
      </x:c>
      <x:c r="C2914" s="1" t="n">
        <x:f>Source!C2908</x:f>
        <x:v>28</x:v>
      </x:c>
      <x:c r="D2914" s="8" t="n">
        <x:f>Source!D2908/100</x:f>
        <x:v>243.25</x:v>
      </x:c>
      <x:c r="E2914" s="8" t="n">
        <x:f>Source!E2908/100</x:f>
        <x:v>258.25</x:v>
      </x:c>
      <x:c r="F2914" s="8" t="n">
        <x:f>Source!F2908/100</x:f>
        <x:v>0</x:v>
      </x:c>
      <x:c r="G2914" s="8" t="n">
        <x:f>Source!G2908/100</x:f>
        <x:v>258.25</x:v>
      </x:c>
      <x:c r="H2914" s="8" t="n">
        <x:f>G2914-D2914</x:f>
        <x:v>15</x:v>
      </x:c>
      <x:c r="I2914" s="1" t="str">
        <x:f>IF(H2914&gt;0,"Overbilled","Shortfall")</x:f>
        <x:v>Overbilled</x:v>
      </x:c>
      <x:c r="J2914" s="7"/>
      <x:c r="K2914" s="7" t="str">
        <x:v>Open</x:v>
      </x:c>
      <x:c r="L2914" s="7"/>
    </x:row>
    <x:row r="2915" ht="21" customHeight="1">
      <x:c r="A2915" s="1" t="str">
        <x:f>Source!A2909</x:f>
        <x:v>C0005565</x:v>
      </x:c>
      <x:c r="B2915" s="1" t="str">
        <x:f>_xlfn.IFNA(VLOOKUP(Source!B2909,Advertisers!$A$5:$B$34,2,FALSE),"Missing advertiser")</x:f>
        <x:v>Synthetic advertiser 28</x:v>
      </x:c>
      <x:c r="C2915" s="1" t="n">
        <x:f>Source!C2909</x:f>
        <x:v>88</x:v>
      </x:c>
      <x:c r="D2915" s="8" t="n">
        <x:f>Source!D2909/100</x:f>
        <x:v>104.97</x:v>
      </x:c>
      <x:c r="E2915" s="8" t="n">
        <x:f>Source!E2909/100</x:f>
        <x:v>119.97</x:v>
      </x:c>
      <x:c r="F2915" s="8" t="n">
        <x:f>Source!F2909/100</x:f>
        <x:v>0</x:v>
      </x:c>
      <x:c r="G2915" s="8" t="n">
        <x:f>Source!G2909/100</x:f>
        <x:v>119.97</x:v>
      </x:c>
      <x:c r="H2915" s="8" t="n">
        <x:f>G2915-D2915</x:f>
        <x:v>15</x:v>
      </x:c>
      <x:c r="I2915" s="1" t="str">
        <x:f>IF(H2915&gt;0,"Overbilled","Shortfall")</x:f>
        <x:v>Overbilled</x:v>
      </x:c>
      <x:c r="J2915" s="7"/>
      <x:c r="K2915" s="7" t="str">
        <x:v>Open</x:v>
      </x:c>
      <x:c r="L2915" s="7"/>
    </x:row>
    <x:row r="2916" ht="21" customHeight="1">
      <x:c r="A2916" s="1" t="str">
        <x:f>Source!A2910</x:f>
        <x:v>C0005459</x:v>
      </x:c>
      <x:c r="B2916" s="1" t="str">
        <x:f>_xlfn.IFNA(VLOOKUP(Source!B2910,Advertisers!$A$5:$B$34,2,FALSE),"Missing advertiser")</x:f>
        <x:v>Synthetic advertiser 27</x:v>
      </x:c>
      <x:c r="C2916" s="1" t="n">
        <x:f>Source!C2910</x:f>
        <x:v>27</x:v>
      </x:c>
      <x:c r="D2916" s="8" t="n">
        <x:f>Source!D2910/100</x:f>
        <x:v>218.16</x:v>
      </x:c>
      <x:c r="E2916" s="8" t="n">
        <x:f>Source!E2910/100</x:f>
        <x:v>233.16</x:v>
      </x:c>
      <x:c r="F2916" s="8" t="n">
        <x:f>Source!F2910/100</x:f>
        <x:v>0</x:v>
      </x:c>
      <x:c r="G2916" s="8" t="n">
        <x:f>Source!G2910/100</x:f>
        <x:v>233.16</x:v>
      </x:c>
      <x:c r="H2916" s="8" t="n">
        <x:f>G2916-D2916</x:f>
        <x:v>15</x:v>
      </x:c>
      <x:c r="I2916" s="1" t="str">
        <x:f>IF(H2916&gt;0,"Overbilled","Shortfall")</x:f>
        <x:v>Overbilled</x:v>
      </x:c>
      <x:c r="J2916" s="7"/>
      <x:c r="K2916" s="7" t="str">
        <x:v>Open</x:v>
      </x:c>
      <x:c r="L2916" s="7"/>
    </x:row>
    <x:row r="2917" ht="21" customHeight="1">
      <x:c r="A2917" s="1" t="str">
        <x:f>Source!A2911</x:f>
        <x:v>C0005606</x:v>
      </x:c>
      <x:c r="B2917" s="1" t="str">
        <x:f>_xlfn.IFNA(VLOOKUP(Source!B2911,Advertisers!$A$5:$B$34,2,FALSE),"Missing advertiser")</x:f>
        <x:v>Synthetic advertiser 8</x:v>
      </x:c>
      <x:c r="C2917" s="1" t="n">
        <x:f>Source!C2911</x:f>
        <x:v>98</x:v>
      </x:c>
      <x:c r="D2917" s="8" t="n">
        <x:f>Source!D2911/100</x:f>
        <x:v>129.23</x:v>
      </x:c>
      <x:c r="E2917" s="8" t="n">
        <x:f>Source!E2911/100</x:f>
        <x:v>144.23</x:v>
      </x:c>
      <x:c r="F2917" s="8" t="n">
        <x:f>Source!F2911/100</x:f>
        <x:v>0</x:v>
      </x:c>
      <x:c r="G2917" s="8" t="n">
        <x:f>Source!G2911/100</x:f>
        <x:v>144.23</x:v>
      </x:c>
      <x:c r="H2917" s="8" t="n">
        <x:f>G2917-D2917</x:f>
        <x:v>15</x:v>
      </x:c>
      <x:c r="I2917" s="1" t="str">
        <x:f>IF(H2917&gt;0,"Overbilled","Shortfall")</x:f>
        <x:v>Overbilled</x:v>
      </x:c>
      <x:c r="J2917" s="7"/>
      <x:c r="K2917" s="7" t="str">
        <x:v>Open</x:v>
      </x:c>
      <x:c r="L2917" s="7"/>
    </x:row>
    <x:row r="2918" ht="21" customHeight="1">
      <x:c r="A2918" s="1" t="str">
        <x:f>Source!A2912</x:f>
        <x:v>C0005611</x:v>
      </x:c>
      <x:c r="B2918" s="1" t="str">
        <x:f>_xlfn.IFNA(VLOOKUP(Source!B2912,Advertisers!$A$5:$B$34,2,FALSE),"Missing advertiser")</x:f>
        <x:v>Synthetic advertiser 21</x:v>
      </x:c>
      <x:c r="C2918" s="1" t="n">
        <x:f>Source!C2912</x:f>
        <x:v>81</x:v>
      </x:c>
      <x:c r="D2918" s="8" t="n">
        <x:f>Source!D2912/100</x:f>
        <x:v>118.66</x:v>
      </x:c>
      <x:c r="E2918" s="8" t="n">
        <x:f>Source!E2912/100</x:f>
        <x:v>133.66</x:v>
      </x:c>
      <x:c r="F2918" s="8" t="n">
        <x:f>Source!F2912/100</x:f>
        <x:v>0</x:v>
      </x:c>
      <x:c r="G2918" s="8" t="n">
        <x:f>Source!G2912/100</x:f>
        <x:v>133.66</x:v>
      </x:c>
      <x:c r="H2918" s="8" t="n">
        <x:f>G2918-D2918</x:f>
        <x:v>15</x:v>
      </x:c>
      <x:c r="I2918" s="1" t="str">
        <x:f>IF(H2918&gt;0,"Overbilled","Shortfall")</x:f>
        <x:v>Overbilled</x:v>
      </x:c>
      <x:c r="J2918" s="7"/>
      <x:c r="K2918" s="7" t="str">
        <x:v>Open</x:v>
      </x:c>
      <x:c r="L2918" s="7"/>
    </x:row>
    <x:row r="2919" ht="21" customHeight="1">
      <x:c r="A2919" s="1" t="str">
        <x:f>Source!A2913</x:f>
        <x:v>C0005668</x:v>
      </x:c>
      <x:c r="B2919" s="1" t="str">
        <x:f>_xlfn.IFNA(VLOOKUP(Source!B2913,Advertisers!$A$5:$B$34,2,FALSE),"Missing advertiser")</x:f>
        <x:v>Synthetic advertiser 12</x:v>
      </x:c>
      <x:c r="C2919" s="1" t="n">
        <x:f>Source!C2913</x:f>
        <x:v>42</x:v>
      </x:c>
      <x:c r="D2919" s="8" t="n">
        <x:f>Source!D2913/100</x:f>
        <x:v>145.19</x:v>
      </x:c>
      <x:c r="E2919" s="8" t="n">
        <x:f>Source!E2913/100</x:f>
        <x:v>160.19</x:v>
      </x:c>
      <x:c r="F2919" s="8" t="n">
        <x:f>Source!F2913/100</x:f>
        <x:v>0</x:v>
      </x:c>
      <x:c r="G2919" s="8" t="n">
        <x:f>Source!G2913/100</x:f>
        <x:v>160.19</x:v>
      </x:c>
      <x:c r="H2919" s="8" t="n">
        <x:f>G2919-D2919</x:f>
        <x:v>15</x:v>
      </x:c>
      <x:c r="I2919" s="1" t="str">
        <x:f>IF(H2919&gt;0,"Overbilled","Shortfall")</x:f>
        <x:v>Overbilled</x:v>
      </x:c>
      <x:c r="J2919" s="7"/>
      <x:c r="K2919" s="7" t="str">
        <x:v>Open</x:v>
      </x:c>
      <x:c r="L2919" s="7"/>
    </x:row>
    <x:row r="2920" ht="21" customHeight="1">
      <x:c r="A2920" s="1" t="str">
        <x:f>Source!A2914</x:f>
        <x:v>C0005697</x:v>
      </x:c>
      <x:c r="B2920" s="1" t="str">
        <x:f>_xlfn.IFNA(VLOOKUP(Source!B2914,Advertisers!$A$5:$B$34,2,FALSE),"Missing advertiser")</x:f>
        <x:v>Synthetic advertiser 13</x:v>
      </x:c>
      <x:c r="C2920" s="1" t="n">
        <x:f>Source!C2914</x:f>
        <x:v>73</x:v>
      </x:c>
      <x:c r="D2920" s="8" t="n">
        <x:f>Source!D2914/100</x:f>
        <x:v>151.64</x:v>
      </x:c>
      <x:c r="E2920" s="8" t="n">
        <x:f>Source!E2914/100</x:f>
        <x:v>166.64</x:v>
      </x:c>
      <x:c r="F2920" s="8" t="n">
        <x:f>Source!F2914/100</x:f>
        <x:v>0</x:v>
      </x:c>
      <x:c r="G2920" s="8" t="n">
        <x:f>Source!G2914/100</x:f>
        <x:v>166.64</x:v>
      </x:c>
      <x:c r="H2920" s="8" t="n">
        <x:f>G2920-D2920</x:f>
        <x:v>15</x:v>
      </x:c>
      <x:c r="I2920" s="1" t="str">
        <x:f>IF(H2920&gt;0,"Overbilled","Shortfall")</x:f>
        <x:v>Overbilled</x:v>
      </x:c>
      <x:c r="J2920" s="7"/>
      <x:c r="K2920" s="7" t="str">
        <x:v>Open</x:v>
      </x:c>
      <x:c r="L2920" s="7"/>
    </x:row>
    <x:row r="2921" ht="21" customHeight="1">
      <x:c r="A2921" s="1" t="str">
        <x:f>Source!A2915</x:f>
        <x:v>C0005767</x:v>
      </x:c>
      <x:c r="B2921" s="1" t="str">
        <x:f>_xlfn.IFNA(VLOOKUP(Source!B2915,Advertisers!$A$5:$B$34,2,FALSE),"Missing advertiser")</x:f>
        <x:v>Synthetic advertiser 18</x:v>
      </x:c>
      <x:c r="C2921" s="1" t="n">
        <x:f>Source!C2915</x:f>
        <x:v>18</x:v>
      </x:c>
      <x:c r="D2921" s="8" t="n">
        <x:f>Source!D2915/100</x:f>
        <x:v>156.1</x:v>
      </x:c>
      <x:c r="E2921" s="8" t="n">
        <x:f>Source!E2915/100</x:f>
        <x:v>171.1</x:v>
      </x:c>
      <x:c r="F2921" s="8" t="n">
        <x:f>Source!F2915/100</x:f>
        <x:v>0</x:v>
      </x:c>
      <x:c r="G2921" s="8" t="n">
        <x:f>Source!G2915/100</x:f>
        <x:v>171.1</x:v>
      </x:c>
      <x:c r="H2921" s="8" t="n">
        <x:f>G2921-D2921</x:f>
        <x:v>15</x:v>
      </x:c>
      <x:c r="I2921" s="1" t="str">
        <x:f>IF(H2921&gt;0,"Overbilled","Shortfall")</x:f>
        <x:v>Overbilled</x:v>
      </x:c>
      <x:c r="J2921" s="7"/>
      <x:c r="K2921" s="7" t="str">
        <x:v>Open</x:v>
      </x:c>
      <x:c r="L2921" s="7"/>
    </x:row>
    <x:row r="2922" ht="21" customHeight="1">
      <x:c r="A2922" s="1" t="str">
        <x:f>Source!A2916</x:f>
        <x:v>C0012440</x:v>
      </x:c>
      <x:c r="B2922" s="1" t="str">
        <x:f>_xlfn.IFNA(VLOOKUP(Source!B2916,Advertisers!$A$5:$B$34,2,FALSE),"Missing advertiser")</x:f>
        <x:v>Synthetic advertiser 19</x:v>
      </x:c>
      <x:c r="C2922" s="1" t="n">
        <x:f>Source!C2916</x:f>
        <x:v>49</x:v>
      </x:c>
      <x:c r="D2922" s="8" t="n">
        <x:f>Source!D2916/100</x:f>
        <x:v>140.66</x:v>
      </x:c>
      <x:c r="E2922" s="8" t="n">
        <x:f>Source!E2916/100</x:f>
        <x:v>155.66</x:v>
      </x:c>
      <x:c r="F2922" s="8" t="n">
        <x:f>Source!F2916/100</x:f>
        <x:v>0</x:v>
      </x:c>
      <x:c r="G2922" s="8" t="n">
        <x:f>Source!G2916/100</x:f>
        <x:v>155.66</x:v>
      </x:c>
      <x:c r="H2922" s="8" t="n">
        <x:f>G2922-D2922</x:f>
        <x:v>15</x:v>
      </x:c>
      <x:c r="I2922" s="1" t="str">
        <x:f>IF(H2922&gt;0,"Overbilled","Shortfall")</x:f>
        <x:v>Overbilled</x:v>
      </x:c>
      <x:c r="J2922" s="7"/>
      <x:c r="K2922" s="7" t="str">
        <x:v>Open</x:v>
      </x:c>
      <x:c r="L2922" s="7"/>
    </x:row>
    <x:row r="2923" ht="21" customHeight="1">
      <x:c r="A2923" s="1" t="str">
        <x:f>Source!A2917</x:f>
        <x:v>C0012462</x:v>
      </x:c>
      <x:c r="B2923" s="1" t="str">
        <x:f>_xlfn.IFNA(VLOOKUP(Source!B2917,Advertisers!$A$5:$B$34,2,FALSE),"Missing advertiser")</x:f>
        <x:v>Synthetic advertiser 20</x:v>
      </x:c>
      <x:c r="C2923" s="1" t="n">
        <x:f>Source!C2917</x:f>
        <x:v>80</x:v>
      </x:c>
      <x:c r="D2923" s="8" t="n">
        <x:f>Source!D2917/100</x:f>
        <x:v>123.07</x:v>
      </x:c>
      <x:c r="E2923" s="8" t="n">
        <x:f>Source!E2917/100</x:f>
        <x:v>138.07</x:v>
      </x:c>
      <x:c r="F2923" s="8" t="n">
        <x:f>Source!F2917/100</x:f>
        <x:v>0</x:v>
      </x:c>
      <x:c r="G2923" s="8" t="n">
        <x:f>Source!G2917/100</x:f>
        <x:v>138.07</x:v>
      </x:c>
      <x:c r="H2923" s="8" t="n">
        <x:f>G2923-D2923</x:f>
        <x:v>15</x:v>
      </x:c>
      <x:c r="I2923" s="1" t="str">
        <x:f>IF(H2923&gt;0,"Overbilled","Shortfall")</x:f>
        <x:v>Overbilled</x:v>
      </x:c>
      <x:c r="J2923" s="7"/>
      <x:c r="K2923" s="7" t="str">
        <x:v>Open</x:v>
      </x:c>
      <x:c r="L2923" s="7"/>
    </x:row>
    <x:row r="2924" ht="21" customHeight="1">
      <x:c r="A2924" s="1" t="str">
        <x:f>Source!A2918</x:f>
        <x:v>C0012490</x:v>
      </x:c>
      <x:c r="B2924" s="1" t="str">
        <x:f>_xlfn.IFNA(VLOOKUP(Source!B2918,Advertisers!$A$5:$B$34,2,FALSE),"Missing advertiser")</x:f>
        <x:v>Synthetic advertiser 16</x:v>
      </x:c>
      <x:c r="C2924" s="1" t="n">
        <x:f>Source!C2918</x:f>
        <x:v>76</x:v>
      </x:c>
      <x:c r="D2924" s="8" t="n">
        <x:f>Source!D2918/100</x:f>
        <x:v>221.63</x:v>
      </x:c>
      <x:c r="E2924" s="8" t="n">
        <x:f>Source!E2918/100</x:f>
        <x:v>236.63</x:v>
      </x:c>
      <x:c r="F2924" s="8" t="n">
        <x:f>Source!F2918/100</x:f>
        <x:v>0</x:v>
      </x:c>
      <x:c r="G2924" s="8" t="n">
        <x:f>Source!G2918/100</x:f>
        <x:v>236.63</x:v>
      </x:c>
      <x:c r="H2924" s="8" t="n">
        <x:f>G2924-D2924</x:f>
        <x:v>15</x:v>
      </x:c>
      <x:c r="I2924" s="1" t="str">
        <x:f>IF(H2924&gt;0,"Overbilled","Shortfall")</x:f>
        <x:v>Overbilled</x:v>
      </x:c>
      <x:c r="J2924" s="7"/>
      <x:c r="K2924" s="7" t="str">
        <x:v>Open</x:v>
      </x:c>
      <x:c r="L2924" s="7"/>
    </x:row>
    <x:row r="2925" ht="21" customHeight="1">
      <x:c r="A2925" s="1" t="str">
        <x:f>Source!A2919</x:f>
        <x:v>C0012491</x:v>
      </x:c>
      <x:c r="B2925" s="1" t="str">
        <x:f>_xlfn.IFNA(VLOOKUP(Source!B2919,Advertisers!$A$5:$B$34,2,FALSE),"Missing advertiser")</x:f>
        <x:v>Synthetic advertiser 28</x:v>
      </x:c>
      <x:c r="C2925" s="1" t="n">
        <x:f>Source!C2919</x:f>
        <x:v>88</x:v>
      </x:c>
      <x:c r="D2925" s="8" t="n">
        <x:f>Source!D2919/100</x:f>
        <x:v>136.26</x:v>
      </x:c>
      <x:c r="E2925" s="8" t="n">
        <x:f>Source!E2919/100</x:f>
        <x:v>151.26</x:v>
      </x:c>
      <x:c r="F2925" s="8" t="n">
        <x:f>Source!F2919/100</x:f>
        <x:v>0</x:v>
      </x:c>
      <x:c r="G2925" s="8" t="n">
        <x:f>Source!G2919/100</x:f>
        <x:v>151.26</x:v>
      </x:c>
      <x:c r="H2925" s="8" t="n">
        <x:f>G2925-D2925</x:f>
        <x:v>15</x:v>
      </x:c>
      <x:c r="I2925" s="1" t="str">
        <x:f>IF(H2925&gt;0,"Overbilled","Shortfall")</x:f>
        <x:v>Overbilled</x:v>
      </x:c>
      <x:c r="J2925" s="7"/>
      <x:c r="K2925" s="7" t="str">
        <x:v>Open</x:v>
      </x:c>
      <x:c r="L2925" s="7"/>
    </x:row>
    <x:row r="2926" ht="21" customHeight="1">
      <x:c r="A2926" s="1" t="str">
        <x:f>Source!A2920</x:f>
        <x:v>C0012493</x:v>
      </x:c>
      <x:c r="B2926" s="1" t="str">
        <x:f>_xlfn.IFNA(VLOOKUP(Source!B2920,Advertisers!$A$5:$B$34,2,FALSE),"Missing advertiser")</x:f>
        <x:v>Synthetic advertiser 21</x:v>
      </x:c>
      <x:c r="C2926" s="1" t="n">
        <x:f>Source!C2920</x:f>
        <x:v>21</x:v>
      </x:c>
      <x:c r="D2926" s="8" t="n">
        <x:f>Source!D2920/100</x:f>
        <x:v>248.28</x:v>
      </x:c>
      <x:c r="E2926" s="8" t="n">
        <x:f>Source!E2920/100</x:f>
        <x:v>263.28</x:v>
      </x:c>
      <x:c r="F2926" s="8" t="n">
        <x:f>Source!F2920/100</x:f>
        <x:v>0</x:v>
      </x:c>
      <x:c r="G2926" s="8" t="n">
        <x:f>Source!G2920/100</x:f>
        <x:v>263.28</x:v>
      </x:c>
      <x:c r="H2926" s="8" t="n">
        <x:f>G2926-D2926</x:f>
        <x:v>14.999999999999972</x:v>
      </x:c>
      <x:c r="I2926" s="1" t="str">
        <x:f>IF(H2926&gt;0,"Overbilled","Shortfall")</x:f>
        <x:v>Overbilled</x:v>
      </x:c>
      <x:c r="J2926" s="7"/>
      <x:c r="K2926" s="7" t="str">
        <x:v>Open</x:v>
      </x:c>
      <x:c r="L2926" s="7"/>
    </x:row>
    <x:row r="2927" ht="21" customHeight="1">
      <x:c r="A2927" s="1" t="str">
        <x:f>Source!A2921</x:f>
        <x:v>C0012534</x:v>
      </x:c>
      <x:c r="B2927" s="1" t="str">
        <x:f>_xlfn.IFNA(VLOOKUP(Source!B2921,Advertisers!$A$5:$B$34,2,FALSE),"Missing advertiser")</x:f>
        <x:v>Synthetic advertiser 17</x:v>
      </x:c>
      <x:c r="C2927" s="1" t="n">
        <x:f>Source!C2921</x:f>
        <x:v>77</x:v>
      </x:c>
      <x:c r="D2927" s="8" t="n">
        <x:f>Source!D2921/100</x:f>
        <x:v>133</x:v>
      </x:c>
      <x:c r="E2927" s="8" t="n">
        <x:f>Source!E2921/100</x:f>
        <x:v>148</x:v>
      </x:c>
      <x:c r="F2927" s="8" t="n">
        <x:f>Source!F2921/100</x:f>
        <x:v>0</x:v>
      </x:c>
      <x:c r="G2927" s="8" t="n">
        <x:f>Source!G2921/100</x:f>
        <x:v>148</x:v>
      </x:c>
      <x:c r="H2927" s="8" t="n">
        <x:f>G2927-D2927</x:f>
        <x:v>15</x:v>
      </x:c>
      <x:c r="I2927" s="1" t="str">
        <x:f>IF(H2927&gt;0,"Overbilled","Shortfall")</x:f>
        <x:v>Overbilled</x:v>
      </x:c>
      <x:c r="J2927" s="7"/>
      <x:c r="K2927" s="7" t="str">
        <x:v>Open</x:v>
      </x:c>
      <x:c r="L2927" s="7"/>
    </x:row>
    <x:row r="2928" ht="21" customHeight="1">
      <x:c r="A2928" s="1" t="str">
        <x:f>Source!A2922</x:f>
        <x:v>C0012567</x:v>
      </x:c>
      <x:c r="B2928" s="1" t="str">
        <x:f>_xlfn.IFNA(VLOOKUP(Source!B2922,Advertisers!$A$5:$B$34,2,FALSE),"Missing advertiser")</x:f>
        <x:v>Synthetic advertiser 10</x:v>
      </x:c>
      <x:c r="C2928" s="1" t="n">
        <x:f>Source!C2922</x:f>
        <x:v>70</x:v>
      </x:c>
      <x:c r="D2928" s="8" t="n">
        <x:f>Source!D2922/100</x:f>
        <x:v>54.96</x:v>
      </x:c>
      <x:c r="E2928" s="8" t="n">
        <x:f>Source!E2922/100</x:f>
        <x:v>69.96</x:v>
      </x:c>
      <x:c r="F2928" s="8" t="n">
        <x:f>Source!F2922/100</x:f>
        <x:v>0</x:v>
      </x:c>
      <x:c r="G2928" s="8" t="n">
        <x:f>Source!G2922/100</x:f>
        <x:v>69.96</x:v>
      </x:c>
      <x:c r="H2928" s="8" t="n">
        <x:f>G2928-D2928</x:f>
        <x:v>14.999999999999993</x:v>
      </x:c>
      <x:c r="I2928" s="1" t="str">
        <x:f>IF(H2928&gt;0,"Overbilled","Shortfall")</x:f>
        <x:v>Overbilled</x:v>
      </x:c>
      <x:c r="J2928" s="7"/>
      <x:c r="K2928" s="7" t="str">
        <x:v>Open</x:v>
      </x:c>
      <x:c r="L2928" s="7"/>
    </x:row>
    <x:row r="2929" ht="21" customHeight="1">
      <x:c r="A2929" s="1" t="str">
        <x:f>Source!A2923</x:f>
        <x:v>C0005356</x:v>
      </x:c>
      <x:c r="B2929" s="1" t="str">
        <x:f>_xlfn.IFNA(VLOOKUP(Source!B2923,Advertisers!$A$5:$B$34,2,FALSE),"Missing advertiser")</x:f>
        <x:v>Synthetic advertiser 21</x:v>
      </x:c>
      <x:c r="C2929" s="1" t="n">
        <x:f>Source!C2923</x:f>
        <x:v>21</x:v>
      </x:c>
      <x:c r="D2929" s="8" t="n">
        <x:f>Source!D2923/100</x:f>
        <x:v>58.98</x:v>
      </x:c>
      <x:c r="E2929" s="8" t="n">
        <x:f>Source!E2923/100</x:f>
        <x:v>73.98</x:v>
      </x:c>
      <x:c r="F2929" s="8" t="n">
        <x:f>Source!F2923/100</x:f>
        <x:v>0</x:v>
      </x:c>
      <x:c r="G2929" s="8" t="n">
        <x:f>Source!G2923/100</x:f>
        <x:v>73.98</x:v>
      </x:c>
      <x:c r="H2929" s="8" t="n">
        <x:f>G2929-D2929</x:f>
        <x:v>15.000000000000007</x:v>
      </x:c>
      <x:c r="I2929" s="1" t="str">
        <x:f>IF(H2929&gt;0,"Overbilled","Shortfall")</x:f>
        <x:v>Overbilled</x:v>
      </x:c>
      <x:c r="J2929" s="7"/>
      <x:c r="K2929" s="7" t="str">
        <x:v>Open</x:v>
      </x:c>
      <x:c r="L2929" s="7"/>
    </x:row>
    <x:row r="2930" ht="21" customHeight="1">
      <x:c r="A2930" s="1" t="str">
        <x:f>Source!A2924</x:f>
        <x:v>C0005434</x:v>
      </x:c>
      <x:c r="B2930" s="1" t="str">
        <x:f>_xlfn.IFNA(VLOOKUP(Source!B2924,Advertisers!$A$5:$B$34,2,FALSE),"Missing advertiser")</x:f>
        <x:v>Synthetic advertiser 30</x:v>
      </x:c>
      <x:c r="C2930" s="1" t="n">
        <x:f>Source!C2924</x:f>
        <x:v>60</x:v>
      </x:c>
      <x:c r="D2930" s="8" t="n">
        <x:f>Source!D2924/100</x:f>
        <x:v>73.17</x:v>
      </x:c>
      <x:c r="E2930" s="8" t="n">
        <x:f>Source!E2924/100</x:f>
        <x:v>88.17</x:v>
      </x:c>
      <x:c r="F2930" s="8" t="n">
        <x:f>Source!F2924/100</x:f>
        <x:v>0</x:v>
      </x:c>
      <x:c r="G2930" s="8" t="n">
        <x:f>Source!G2924/100</x:f>
        <x:v>88.17</x:v>
      </x:c>
      <x:c r="H2930" s="8" t="n">
        <x:f>G2930-D2930</x:f>
        <x:v>15</x:v>
      </x:c>
      <x:c r="I2930" s="1" t="str">
        <x:f>IF(H2930&gt;0,"Overbilled","Shortfall")</x:f>
        <x:v>Overbilled</x:v>
      </x:c>
      <x:c r="J2930" s="7"/>
      <x:c r="K2930" s="7" t="str">
        <x:v>Open</x:v>
      </x:c>
      <x:c r="L2930" s="7"/>
    </x:row>
    <x:row r="2931" ht="21" customHeight="1">
      <x:c r="A2931" s="1" t="str">
        <x:f>Source!A2925</x:f>
        <x:v>C0005593</x:v>
      </x:c>
      <x:c r="B2931" s="1" t="str">
        <x:f>_xlfn.IFNA(VLOOKUP(Source!B2925,Advertisers!$A$5:$B$34,2,FALSE),"Missing advertiser")</x:f>
        <x:v>Synthetic advertiser 9</x:v>
      </x:c>
      <x:c r="C2931" s="1" t="n">
        <x:f>Source!C2925</x:f>
        <x:v>69</x:v>
      </x:c>
      <x:c r="D2931" s="8" t="n">
        <x:f>Source!D2925/100</x:f>
        <x:v>219.6</x:v>
      </x:c>
      <x:c r="E2931" s="8" t="n">
        <x:f>Source!E2925/100</x:f>
        <x:v>234.6</x:v>
      </x:c>
      <x:c r="F2931" s="8" t="n">
        <x:f>Source!F2925/100</x:f>
        <x:v>0</x:v>
      </x:c>
      <x:c r="G2931" s="8" t="n">
        <x:f>Source!G2925/100</x:f>
        <x:v>234.6</x:v>
      </x:c>
      <x:c r="H2931" s="8" t="n">
        <x:f>G2931-D2931</x:f>
        <x:v>15</x:v>
      </x:c>
      <x:c r="I2931" s="1" t="str">
        <x:f>IF(H2931&gt;0,"Overbilled","Shortfall")</x:f>
        <x:v>Overbilled</x:v>
      </x:c>
      <x:c r="J2931" s="7"/>
      <x:c r="K2931" s="7" t="str">
        <x:v>Open</x:v>
      </x:c>
      <x:c r="L2931" s="7"/>
    </x:row>
    <x:row r="2932" ht="21" customHeight="1">
      <x:c r="A2932" s="1" t="str">
        <x:f>Source!A2926</x:f>
        <x:v>C0010727</x:v>
      </x:c>
      <x:c r="B2932" s="1" t="str">
        <x:f>_xlfn.IFNA(VLOOKUP(Source!B2926,Advertisers!$A$5:$B$34,2,FALSE),"Missing advertiser")</x:f>
        <x:v>Synthetic advertiser 30</x:v>
      </x:c>
      <x:c r="C2932" s="1" t="n">
        <x:f>Source!C2926</x:f>
        <x:v>60</x:v>
      </x:c>
      <x:c r="D2932" s="8" t="n">
        <x:f>Source!D2926/100</x:f>
        <x:v>154.06</x:v>
      </x:c>
      <x:c r="E2932" s="8" t="n">
        <x:f>Source!E2926/100</x:f>
        <x:v>169.06</x:v>
      </x:c>
      <x:c r="F2932" s="8" t="n">
        <x:f>Source!F2926/100</x:f>
        <x:v>0</x:v>
      </x:c>
      <x:c r="G2932" s="8" t="n">
        <x:f>Source!G2926/100</x:f>
        <x:v>169.06</x:v>
      </x:c>
      <x:c r="H2932" s="8" t="n">
        <x:f>G2932-D2932</x:f>
        <x:v>15</x:v>
      </x:c>
      <x:c r="I2932" s="1" t="str">
        <x:f>IF(H2932&gt;0,"Overbilled","Shortfall")</x:f>
        <x:v>Overbilled</x:v>
      </x:c>
      <x:c r="J2932" s="7"/>
      <x:c r="K2932" s="7" t="str">
        <x:v>Open</x:v>
      </x:c>
      <x:c r="L2932" s="7"/>
    </x:row>
    <x:row r="2933" ht="21" customHeight="1">
      <x:c r="A2933" s="1" t="str">
        <x:f>Source!A2927</x:f>
        <x:v>C0010728</x:v>
      </x:c>
      <x:c r="B2933" s="1" t="str">
        <x:f>_xlfn.IFNA(VLOOKUP(Source!B2927,Advertisers!$A$5:$B$34,2,FALSE),"Missing advertiser")</x:f>
        <x:v>Synthetic advertiser 23</x:v>
      </x:c>
      <x:c r="C2933" s="1" t="n">
        <x:f>Source!C2927</x:f>
        <x:v>23</x:v>
      </x:c>
      <x:c r="D2933" s="8" t="n">
        <x:f>Source!D2927/100</x:f>
        <x:v>51.06</x:v>
      </x:c>
      <x:c r="E2933" s="8" t="n">
        <x:f>Source!E2927/100</x:f>
        <x:v>66.06</x:v>
      </x:c>
      <x:c r="F2933" s="8" t="n">
        <x:f>Source!F2927/100</x:f>
        <x:v>0</x:v>
      </x:c>
      <x:c r="G2933" s="8" t="n">
        <x:f>Source!G2927/100</x:f>
        <x:v>66.06</x:v>
      </x:c>
      <x:c r="H2933" s="8" t="n">
        <x:f>G2933-D2933</x:f>
        <x:v>15</x:v>
      </x:c>
      <x:c r="I2933" s="1" t="str">
        <x:f>IF(H2933&gt;0,"Overbilled","Shortfall")</x:f>
        <x:v>Overbilled</x:v>
      </x:c>
      <x:c r="J2933" s="7"/>
      <x:c r="K2933" s="7" t="str">
        <x:v>Open</x:v>
      </x:c>
      <x:c r="L2933" s="7"/>
    </x:row>
    <x:row r="2934" ht="21" customHeight="1">
      <x:c r="A2934" s="1" t="str">
        <x:f>Source!A2928</x:f>
        <x:v>C0010754</x:v>
      </x:c>
      <x:c r="B2934" s="1" t="str">
        <x:f>_xlfn.IFNA(VLOOKUP(Source!B2928,Advertisers!$A$5:$B$34,2,FALSE),"Missing advertiser")</x:f>
        <x:v>Synthetic advertiser 5</x:v>
      </x:c>
      <x:c r="C2934" s="1" t="n">
        <x:f>Source!C2928</x:f>
        <x:v>65</x:v>
      </x:c>
      <x:c r="D2934" s="8" t="n">
        <x:f>Source!D2928/100</x:f>
        <x:v>115.72</x:v>
      </x:c>
      <x:c r="E2934" s="8" t="n">
        <x:f>Source!E2928/100</x:f>
        <x:v>130.72</x:v>
      </x:c>
      <x:c r="F2934" s="8" t="n">
        <x:f>Source!F2928/100</x:f>
        <x:v>0</x:v>
      </x:c>
      <x:c r="G2934" s="8" t="n">
        <x:f>Source!G2928/100</x:f>
        <x:v>130.72</x:v>
      </x:c>
      <x:c r="H2934" s="8" t="n">
        <x:f>G2934-D2934</x:f>
        <x:v>15</x:v>
      </x:c>
      <x:c r="I2934" s="1" t="str">
        <x:f>IF(H2934&gt;0,"Overbilled","Shortfall")</x:f>
        <x:v>Overbilled</x:v>
      </x:c>
      <x:c r="J2934" s="7"/>
      <x:c r="K2934" s="7" t="str">
        <x:v>Open</x:v>
      </x:c>
      <x:c r="L2934" s="7"/>
    </x:row>
    <x:row r="2935" ht="21" customHeight="1">
      <x:c r="A2935" s="1" t="str">
        <x:f>Source!A2929</x:f>
        <x:v>C0010771</x:v>
      </x:c>
      <x:c r="B2935" s="1" t="str">
        <x:f>_xlfn.IFNA(VLOOKUP(Source!B2929,Advertisers!$A$5:$B$34,2,FALSE),"Missing advertiser")</x:f>
        <x:v>Synthetic advertiser 19</x:v>
      </x:c>
      <x:c r="C2935" s="1" t="n">
        <x:f>Source!C2929</x:f>
        <x:v>79</x:v>
      </x:c>
      <x:c r="D2935" s="8" t="n">
        <x:f>Source!D2929/100</x:f>
        <x:v>218.54</x:v>
      </x:c>
      <x:c r="E2935" s="8" t="n">
        <x:f>Source!E2929/100</x:f>
        <x:v>233.54</x:v>
      </x:c>
      <x:c r="F2935" s="8" t="n">
        <x:f>Source!F2929/100</x:f>
        <x:v>0</x:v>
      </x:c>
      <x:c r="G2935" s="8" t="n">
        <x:f>Source!G2929/100</x:f>
        <x:v>233.54</x:v>
      </x:c>
      <x:c r="H2935" s="8" t="n">
        <x:f>G2935-D2935</x:f>
        <x:v>15</x:v>
      </x:c>
      <x:c r="I2935" s="1" t="str">
        <x:f>IF(H2935&gt;0,"Overbilled","Shortfall")</x:f>
        <x:v>Overbilled</x:v>
      </x:c>
      <x:c r="J2935" s="7"/>
      <x:c r="K2935" s="7" t="str">
        <x:v>Open</x:v>
      </x:c>
      <x:c r="L2935" s="7"/>
    </x:row>
    <x:row r="2936" ht="21" customHeight="1">
      <x:c r="A2936" s="1" t="str">
        <x:f>Source!A2930</x:f>
        <x:v>C0010783</x:v>
      </x:c>
      <x:c r="B2936" s="1" t="str">
        <x:f>_xlfn.IFNA(VLOOKUP(Source!B2930,Advertisers!$A$5:$B$34,2,FALSE),"Missing advertiser")</x:f>
        <x:v>Synthetic advertiser 26</x:v>
      </x:c>
      <x:c r="C2936" s="1" t="n">
        <x:f>Source!C2930</x:f>
        <x:v>116</x:v>
      </x:c>
      <x:c r="D2936" s="8" t="n">
        <x:f>Source!D2930/100</x:f>
        <x:v>247.73</x:v>
      </x:c>
      <x:c r="E2936" s="8" t="n">
        <x:f>Source!E2930/100</x:f>
        <x:v>262.73</x:v>
      </x:c>
      <x:c r="F2936" s="8" t="n">
        <x:f>Source!F2930/100</x:f>
        <x:v>0</x:v>
      </x:c>
      <x:c r="G2936" s="8" t="n">
        <x:f>Source!G2930/100</x:f>
        <x:v>262.73</x:v>
      </x:c>
      <x:c r="H2936" s="8" t="n">
        <x:f>G2936-D2936</x:f>
        <x:v>15.000000000000028</x:v>
      </x:c>
      <x:c r="I2936" s="1" t="str">
        <x:f>IF(H2936&gt;0,"Overbilled","Shortfall")</x:f>
        <x:v>Overbilled</x:v>
      </x:c>
      <x:c r="J2936" s="7"/>
      <x:c r="K2936" s="7" t="str">
        <x:v>Open</x:v>
      </x:c>
      <x:c r="L2936" s="7"/>
    </x:row>
    <x:row r="2937" ht="21" customHeight="1">
      <x:c r="A2937" s="1" t="str">
        <x:f>Source!A2931</x:f>
        <x:v>C0010801</x:v>
      </x:c>
      <x:c r="B2937" s="1" t="str">
        <x:f>_xlfn.IFNA(VLOOKUP(Source!B2931,Advertisers!$A$5:$B$34,2,FALSE),"Missing advertiser")</x:f>
        <x:v>Synthetic advertiser 26</x:v>
      </x:c>
      <x:c r="C2937" s="1" t="n">
        <x:f>Source!C2931</x:f>
        <x:v>116</x:v>
      </x:c>
      <x:c r="D2937" s="8" t="n">
        <x:f>Source!D2931/100</x:f>
        <x:v>234.14</x:v>
      </x:c>
      <x:c r="E2937" s="8" t="n">
        <x:f>Source!E2931/100</x:f>
        <x:v>249.14</x:v>
      </x:c>
      <x:c r="F2937" s="8" t="n">
        <x:f>Source!F2931/100</x:f>
        <x:v>0</x:v>
      </x:c>
      <x:c r="G2937" s="8" t="n">
        <x:f>Source!G2931/100</x:f>
        <x:v>249.14</x:v>
      </x:c>
      <x:c r="H2937" s="8" t="n">
        <x:f>G2937-D2937</x:f>
        <x:v>15</x:v>
      </x:c>
      <x:c r="I2937" s="1" t="str">
        <x:f>IF(H2937&gt;0,"Overbilled","Shortfall")</x:f>
        <x:v>Overbilled</x:v>
      </x:c>
      <x:c r="J2937" s="7"/>
      <x:c r="K2937" s="7" t="str">
        <x:v>Open</x:v>
      </x:c>
      <x:c r="L2937" s="7"/>
    </x:row>
    <x:row r="2938" ht="21" customHeight="1">
      <x:c r="A2938" s="1" t="str">
        <x:f>Source!A2932</x:f>
        <x:v>C0010829</x:v>
      </x:c>
      <x:c r="B2938" s="1" t="str">
        <x:f>_xlfn.IFNA(VLOOKUP(Source!B2932,Advertisers!$A$5:$B$34,2,FALSE),"Missing advertiser")</x:f>
        <x:v>Synthetic advertiser 6</x:v>
      </x:c>
      <x:c r="C2938" s="1" t="n">
        <x:f>Source!C2932</x:f>
        <x:v>36</x:v>
      </x:c>
      <x:c r="D2938" s="8" t="n">
        <x:f>Source!D2932/100</x:f>
        <x:v>114.61</x:v>
      </x:c>
      <x:c r="E2938" s="8" t="n">
        <x:f>Source!E2932/100</x:f>
        <x:v>129.61</x:v>
      </x:c>
      <x:c r="F2938" s="8" t="n">
        <x:f>Source!F2932/100</x:f>
        <x:v>0</x:v>
      </x:c>
      <x:c r="G2938" s="8" t="n">
        <x:f>Source!G2932/100</x:f>
        <x:v>129.61</x:v>
      </x:c>
      <x:c r="H2938" s="8" t="n">
        <x:f>G2938-D2938</x:f>
        <x:v>15.000000000000014</x:v>
      </x:c>
      <x:c r="I2938" s="1" t="str">
        <x:f>IF(H2938&gt;0,"Overbilled","Shortfall")</x:f>
        <x:v>Overbilled</x:v>
      </x:c>
      <x:c r="J2938" s="7"/>
      <x:c r="K2938" s="7" t="str">
        <x:v>Open</x:v>
      </x:c>
      <x:c r="L2938" s="7"/>
    </x:row>
    <x:row r="2939" ht="21" customHeight="1">
      <x:c r="A2939" s="1" t="str">
        <x:f>Source!A2933</x:f>
        <x:v>C0010846</x:v>
      </x:c>
      <x:c r="B2939" s="1" t="str">
        <x:f>_xlfn.IFNA(VLOOKUP(Source!B2933,Advertisers!$A$5:$B$34,2,FALSE),"Missing advertiser")</x:f>
        <x:v>Synthetic advertiser 7</x:v>
      </x:c>
      <x:c r="C2939" s="1" t="n">
        <x:f>Source!C2933</x:f>
        <x:v>7</x:v>
      </x:c>
      <x:c r="D2939" s="8" t="n">
        <x:f>Source!D2933/100</x:f>
        <x:v>141.78</x:v>
      </x:c>
      <x:c r="E2939" s="8" t="n">
        <x:f>Source!E2933/100</x:f>
        <x:v>156.78</x:v>
      </x:c>
      <x:c r="F2939" s="8" t="n">
        <x:f>Source!F2933/100</x:f>
        <x:v>0</x:v>
      </x:c>
      <x:c r="G2939" s="8" t="n">
        <x:f>Source!G2933/100</x:f>
        <x:v>156.78</x:v>
      </x:c>
      <x:c r="H2939" s="8" t="n">
        <x:f>G2939-D2939</x:f>
        <x:v>15</x:v>
      </x:c>
      <x:c r="I2939" s="1" t="str">
        <x:f>IF(H2939&gt;0,"Overbilled","Shortfall")</x:f>
        <x:v>Overbilled</x:v>
      </x:c>
      <x:c r="J2939" s="7"/>
      <x:c r="K2939" s="7" t="str">
        <x:v>Open</x:v>
      </x:c>
      <x:c r="L2939" s="7"/>
    </x:row>
    <x:row r="2940" ht="21" customHeight="1">
      <x:c r="A2940" s="1" t="str">
        <x:f>Source!A2934</x:f>
        <x:v>C0014600</x:v>
      </x:c>
      <x:c r="B2940" s="1" t="str">
        <x:f>_xlfn.IFNA(VLOOKUP(Source!B2934,Advertisers!$A$5:$B$34,2,FALSE),"Missing advertiser")</x:f>
        <x:v>Synthetic advertiser 9</x:v>
      </x:c>
      <x:c r="C2940" s="1" t="n">
        <x:f>Source!C2934</x:f>
        <x:v>39</x:v>
      </x:c>
      <x:c r="D2940" s="8" t="n">
        <x:f>Source!D2934/100</x:f>
        <x:v>57.02</x:v>
      </x:c>
      <x:c r="E2940" s="8" t="n">
        <x:f>Source!E2934/100</x:f>
        <x:v>72.02</x:v>
      </x:c>
      <x:c r="F2940" s="8" t="n">
        <x:f>Source!F2934/100</x:f>
        <x:v>0</x:v>
      </x:c>
      <x:c r="G2940" s="8" t="n">
        <x:f>Source!G2934/100</x:f>
        <x:v>72.02</x:v>
      </x:c>
      <x:c r="H2940" s="8" t="n">
        <x:f>G2940-D2940</x:f>
        <x:v>14.999999999999993</x:v>
      </x:c>
      <x:c r="I2940" s="1" t="str">
        <x:f>IF(H2940&gt;0,"Overbilled","Shortfall")</x:f>
        <x:v>Overbilled</x:v>
      </x:c>
      <x:c r="J2940" s="7"/>
      <x:c r="K2940" s="7" t="str">
        <x:v>Open</x:v>
      </x:c>
      <x:c r="L2940" s="7"/>
    </x:row>
    <x:row r="2941" ht="21" customHeight="1">
      <x:c r="A2941" s="1" t="str">
        <x:f>Source!A2935</x:f>
        <x:v>C0014655</x:v>
      </x:c>
      <x:c r="B2941" s="1" t="str">
        <x:f>_xlfn.IFNA(VLOOKUP(Source!B2935,Advertisers!$A$5:$B$34,2,FALSE),"Missing advertiser")</x:f>
        <x:v>Synthetic advertiser 7</x:v>
      </x:c>
      <x:c r="C2941" s="1" t="n">
        <x:f>Source!C2935</x:f>
        <x:v>67</x:v>
      </x:c>
      <x:c r="D2941" s="8" t="n">
        <x:f>Source!D2935/100</x:f>
        <x:v>161.24</x:v>
      </x:c>
      <x:c r="E2941" s="8" t="n">
        <x:f>Source!E2935/100</x:f>
        <x:v>176.24</x:v>
      </x:c>
      <x:c r="F2941" s="8" t="n">
        <x:f>Source!F2935/100</x:f>
        <x:v>0</x:v>
      </x:c>
      <x:c r="G2941" s="8" t="n">
        <x:f>Source!G2935/100</x:f>
        <x:v>176.24</x:v>
      </x:c>
      <x:c r="H2941" s="8" t="n">
        <x:f>G2941-D2941</x:f>
        <x:v>15</x:v>
      </x:c>
      <x:c r="I2941" s="1" t="str">
        <x:f>IF(H2941&gt;0,"Overbilled","Shortfall")</x:f>
        <x:v>Overbilled</x:v>
      </x:c>
      <x:c r="J2941" s="7"/>
      <x:c r="K2941" s="7" t="str">
        <x:v>Open</x:v>
      </x:c>
      <x:c r="L2941" s="7"/>
    </x:row>
    <x:row r="2942" ht="21" customHeight="1">
      <x:c r="A2942" s="1" t="str">
        <x:f>Source!A2936</x:f>
        <x:v>C0014664</x:v>
      </x:c>
      <x:c r="B2942" s="1" t="str">
        <x:f>_xlfn.IFNA(VLOOKUP(Source!B2936,Advertisers!$A$5:$B$34,2,FALSE),"Missing advertiser")</x:f>
        <x:v>Synthetic advertiser 23</x:v>
      </x:c>
      <x:c r="C2942" s="1" t="n">
        <x:f>Source!C2936</x:f>
        <x:v>83</x:v>
      </x:c>
      <x:c r="D2942" s="8" t="n">
        <x:f>Source!D2936/100</x:f>
        <x:v>62.12</x:v>
      </x:c>
      <x:c r="E2942" s="8" t="n">
        <x:f>Source!E2936/100</x:f>
        <x:v>77.12</x:v>
      </x:c>
      <x:c r="F2942" s="8" t="n">
        <x:f>Source!F2936/100</x:f>
        <x:v>0</x:v>
      </x:c>
      <x:c r="G2942" s="8" t="n">
        <x:f>Source!G2936/100</x:f>
        <x:v>77.12</x:v>
      </x:c>
      <x:c r="H2942" s="8" t="n">
        <x:f>G2942-D2942</x:f>
        <x:v>15.000000000000007</x:v>
      </x:c>
      <x:c r="I2942" s="1" t="str">
        <x:f>IF(H2942&gt;0,"Overbilled","Shortfall")</x:f>
        <x:v>Overbilled</x:v>
      </x:c>
      <x:c r="J2942" s="7"/>
      <x:c r="K2942" s="7" t="str">
        <x:v>Open</x:v>
      </x:c>
      <x:c r="L2942" s="7"/>
    </x:row>
    <x:row r="2943" ht="21" customHeight="1">
      <x:c r="A2943" s="1" t="str">
        <x:f>Source!A2937</x:f>
        <x:v>C0014666</x:v>
      </x:c>
      <x:c r="B2943" s="1" t="str">
        <x:f>_xlfn.IFNA(VLOOKUP(Source!B2937,Advertisers!$A$5:$B$34,2,FALSE),"Missing advertiser")</x:f>
        <x:v>Synthetic advertiser 12</x:v>
      </x:c>
      <x:c r="C2943" s="1" t="n">
        <x:f>Source!C2937</x:f>
        <x:v>72</x:v>
      </x:c>
      <x:c r="D2943" s="8" t="n">
        <x:f>Source!D2937/100</x:f>
        <x:v>223.36</x:v>
      </x:c>
      <x:c r="E2943" s="8" t="n">
        <x:f>Source!E2937/100</x:f>
        <x:v>238.36</x:v>
      </x:c>
      <x:c r="F2943" s="8" t="n">
        <x:f>Source!F2937/100</x:f>
        <x:v>0</x:v>
      </x:c>
      <x:c r="G2943" s="8" t="n">
        <x:f>Source!G2937/100</x:f>
        <x:v>238.36</x:v>
      </x:c>
      <x:c r="H2943" s="8" t="n">
        <x:f>G2943-D2943</x:f>
        <x:v>15</x:v>
      </x:c>
      <x:c r="I2943" s="1" t="str">
        <x:f>IF(H2943&gt;0,"Overbilled","Shortfall")</x:f>
        <x:v>Overbilled</x:v>
      </x:c>
      <x:c r="J2943" s="7"/>
      <x:c r="K2943" s="7" t="str">
        <x:v>Open</x:v>
      </x:c>
      <x:c r="L2943" s="7"/>
    </x:row>
    <x:row r="2944" ht="21" customHeight="1">
      <x:c r="A2944" s="1" t="str">
        <x:f>Source!A2938</x:f>
        <x:v>C0014673</x:v>
      </x:c>
      <x:c r="B2944" s="1" t="str">
        <x:f>_xlfn.IFNA(VLOOKUP(Source!B2938,Advertisers!$A$5:$B$34,2,FALSE),"Missing advertiser")</x:f>
        <x:v>Synthetic advertiser 23</x:v>
      </x:c>
      <x:c r="C2944" s="1" t="n">
        <x:f>Source!C2938</x:f>
        <x:v>83</x:v>
      </x:c>
      <x:c r="D2944" s="8" t="n">
        <x:f>Source!D2938/100</x:f>
        <x:v>220.93</x:v>
      </x:c>
      <x:c r="E2944" s="8" t="n">
        <x:f>Source!E2938/100</x:f>
        <x:v>235.93</x:v>
      </x:c>
      <x:c r="F2944" s="8" t="n">
        <x:f>Source!F2938/100</x:f>
        <x:v>0</x:v>
      </x:c>
      <x:c r="G2944" s="8" t="n">
        <x:f>Source!G2938/100</x:f>
        <x:v>235.93</x:v>
      </x:c>
      <x:c r="H2944" s="8" t="n">
        <x:f>G2944-D2944</x:f>
        <x:v>15</x:v>
      </x:c>
      <x:c r="I2944" s="1" t="str">
        <x:f>IF(H2944&gt;0,"Overbilled","Shortfall")</x:f>
        <x:v>Overbilled</x:v>
      </x:c>
      <x:c r="J2944" s="7"/>
      <x:c r="K2944" s="7" t="str">
        <x:v>Open</x:v>
      </x:c>
      <x:c r="L2944" s="7"/>
    </x:row>
    <x:row r="2945" ht="21" customHeight="1">
      <x:c r="A2945" s="1" t="str">
        <x:f>Source!A2939</x:f>
        <x:v>C0004325</x:v>
      </x:c>
      <x:c r="B2945" s="1" t="str">
        <x:f>_xlfn.IFNA(VLOOKUP(Source!B2939,Advertisers!$A$5:$B$34,2,FALSE),"Missing advertiser")</x:f>
        <x:v>Synthetic advertiser 27</x:v>
      </x:c>
      <x:c r="C2945" s="1" t="n">
        <x:f>Source!C2939</x:f>
        <x:v>57</x:v>
      </x:c>
      <x:c r="D2945" s="8" t="n">
        <x:f>Source!D2939/100</x:f>
        <x:v>244.3</x:v>
      </x:c>
      <x:c r="E2945" s="8" t="n">
        <x:f>Source!E2939/100</x:f>
        <x:v>259.3</x:v>
      </x:c>
      <x:c r="F2945" s="8" t="n">
        <x:f>Source!F2939/100</x:f>
        <x:v>0</x:v>
      </x:c>
      <x:c r="G2945" s="8" t="n">
        <x:f>Source!G2939/100</x:f>
        <x:v>259.3</x:v>
      </x:c>
      <x:c r="H2945" s="8" t="n">
        <x:f>G2945-D2945</x:f>
        <x:v>15</x:v>
      </x:c>
      <x:c r="I2945" s="1" t="str">
        <x:f>IF(H2945&gt;0,"Overbilled","Shortfall")</x:f>
        <x:v>Overbilled</x:v>
      </x:c>
      <x:c r="J2945" s="7"/>
      <x:c r="K2945" s="7" t="str">
        <x:v>Open</x:v>
      </x:c>
      <x:c r="L2945" s="7"/>
    </x:row>
    <x:row r="2946" ht="21" customHeight="1">
      <x:c r="A2946" s="1" t="str">
        <x:f>Source!A2940</x:f>
        <x:v>C0003235</x:v>
      </x:c>
      <x:c r="B2946" s="1" t="str">
        <x:f>_xlfn.IFNA(VLOOKUP(Source!B2940,Advertisers!$A$5:$B$34,2,FALSE),"Missing advertiser")</x:f>
        <x:v>Synthetic advertiser 4</x:v>
      </x:c>
      <x:c r="C2946" s="1" t="n">
        <x:f>Source!C2940</x:f>
        <x:v>94</x:v>
      </x:c>
      <x:c r="D2946" s="8" t="n">
        <x:f>Source!D2940/100</x:f>
        <x:v>65.62</x:v>
      </x:c>
      <x:c r="E2946" s="8" t="n">
        <x:f>Source!E2940/100</x:f>
        <x:v>80.62</x:v>
      </x:c>
      <x:c r="F2946" s="8" t="n">
        <x:f>Source!F2940/100</x:f>
        <x:v>0</x:v>
      </x:c>
      <x:c r="G2946" s="8" t="n">
        <x:f>Source!G2940/100</x:f>
        <x:v>80.62</x:v>
      </x:c>
      <x:c r="H2946" s="8" t="n">
        <x:f>G2946-D2946</x:f>
        <x:v>15</x:v>
      </x:c>
      <x:c r="I2946" s="1" t="str">
        <x:f>IF(H2946&gt;0,"Overbilled","Shortfall")</x:f>
        <x:v>Overbilled</x:v>
      </x:c>
      <x:c r="J2946" s="7"/>
      <x:c r="K2946" s="7" t="str">
        <x:v>Open</x:v>
      </x:c>
      <x:c r="L2946" s="7"/>
    </x:row>
    <x:row r="2947" ht="21" customHeight="1">
      <x:c r="A2947" s="1" t="str">
        <x:f>Source!A2941</x:f>
        <x:v>C0003270</x:v>
      </x:c>
      <x:c r="B2947" s="1" t="str">
        <x:f>_xlfn.IFNA(VLOOKUP(Source!B2941,Advertisers!$A$5:$B$34,2,FALSE),"Missing advertiser")</x:f>
        <x:v>Synthetic advertiser 15</x:v>
      </x:c>
      <x:c r="C2947" s="1" t="n">
        <x:f>Source!C2941</x:f>
        <x:v>45</x:v>
      </x:c>
      <x:c r="D2947" s="8" t="n">
        <x:f>Source!D2941/100</x:f>
        <x:v>322</x:v>
      </x:c>
      <x:c r="E2947" s="8" t="n">
        <x:f>Source!E2941/100</x:f>
        <x:v>337</x:v>
      </x:c>
      <x:c r="F2947" s="8" t="n">
        <x:f>Source!F2941/100</x:f>
        <x:v>0</x:v>
      </x:c>
      <x:c r="G2947" s="8" t="n">
        <x:f>Source!G2941/100</x:f>
        <x:v>337</x:v>
      </x:c>
      <x:c r="H2947" s="8" t="n">
        <x:f>G2947-D2947</x:f>
        <x:v>15</x:v>
      </x:c>
      <x:c r="I2947" s="1" t="str">
        <x:f>IF(H2947&gt;0,"Overbilled","Shortfall")</x:f>
        <x:v>Overbilled</x:v>
      </x:c>
      <x:c r="J2947" s="7"/>
      <x:c r="K2947" s="7" t="str">
        <x:v>Open</x:v>
      </x:c>
      <x:c r="L2947" s="7"/>
    </x:row>
    <x:row r="2948" ht="21" customHeight="1">
      <x:c r="A2948" s="1" t="str">
        <x:f>Source!A2942</x:f>
        <x:v>C0003288</x:v>
      </x:c>
      <x:c r="B2948" s="1" t="str">
        <x:f>_xlfn.IFNA(VLOOKUP(Source!B2942,Advertisers!$A$5:$B$34,2,FALSE),"Missing advertiser")</x:f>
        <x:v>Synthetic advertiser 11</x:v>
      </x:c>
      <x:c r="C2948" s="1" t="n">
        <x:f>Source!C2942</x:f>
        <x:v>41</x:v>
      </x:c>
      <x:c r="D2948" s="8" t="n">
        <x:f>Source!D2942/100</x:f>
        <x:v>209.03</x:v>
      </x:c>
      <x:c r="E2948" s="8" t="n">
        <x:f>Source!E2942/100</x:f>
        <x:v>224.03</x:v>
      </x:c>
      <x:c r="F2948" s="8" t="n">
        <x:f>Source!F2942/100</x:f>
        <x:v>0</x:v>
      </x:c>
      <x:c r="G2948" s="8" t="n">
        <x:f>Source!G2942/100</x:f>
        <x:v>224.03</x:v>
      </x:c>
      <x:c r="H2948" s="8" t="n">
        <x:f>G2948-D2948</x:f>
        <x:v>15</x:v>
      </x:c>
      <x:c r="I2948" s="1" t="str">
        <x:f>IF(H2948&gt;0,"Overbilled","Shortfall")</x:f>
        <x:v>Overbilled</x:v>
      </x:c>
      <x:c r="J2948" s="7"/>
      <x:c r="K2948" s="7" t="str">
        <x:v>Open</x:v>
      </x:c>
      <x:c r="L2948" s="7"/>
    </x:row>
    <x:row r="2949" ht="21" customHeight="1">
      <x:c r="A2949" s="1" t="str">
        <x:f>Source!A2943</x:f>
        <x:v>C0003302</x:v>
      </x:c>
      <x:c r="B2949" s="1" t="str">
        <x:f>_xlfn.IFNA(VLOOKUP(Source!B2943,Advertisers!$A$5:$B$34,2,FALSE),"Missing advertiser")</x:f>
        <x:v>Synthetic advertiser 26</x:v>
      </x:c>
      <x:c r="C2949" s="1" t="n">
        <x:f>Source!C2943</x:f>
        <x:v>116</x:v>
      </x:c>
      <x:c r="D2949" s="8" t="n">
        <x:f>Source!D2943/100</x:f>
        <x:v>247.73</x:v>
      </x:c>
      <x:c r="E2949" s="8" t="n">
        <x:f>Source!E2943/100</x:f>
        <x:v>262.73</x:v>
      </x:c>
      <x:c r="F2949" s="8" t="n">
        <x:f>Source!F2943/100</x:f>
        <x:v>0</x:v>
      </x:c>
      <x:c r="G2949" s="8" t="n">
        <x:f>Source!G2943/100</x:f>
        <x:v>262.73</x:v>
      </x:c>
      <x:c r="H2949" s="8" t="n">
        <x:f>G2949-D2949</x:f>
        <x:v>15.000000000000028</x:v>
      </x:c>
      <x:c r="I2949" s="1" t="str">
        <x:f>IF(H2949&gt;0,"Overbilled","Shortfall")</x:f>
        <x:v>Overbilled</x:v>
      </x:c>
      <x:c r="J2949" s="7"/>
      <x:c r="K2949" s="7" t="str">
        <x:v>Open</x:v>
      </x:c>
      <x:c r="L2949" s="7"/>
    </x:row>
    <x:row r="2950" ht="21" customHeight="1">
      <x:c r="A2950" s="1" t="str">
        <x:f>Source!A2944</x:f>
        <x:v>C0003359</x:v>
      </x:c>
      <x:c r="B2950" s="1" t="str">
        <x:f>_xlfn.IFNA(VLOOKUP(Source!B2944,Advertisers!$A$5:$B$34,2,FALSE),"Missing advertiser")</x:f>
        <x:v>Synthetic advertiser 30</x:v>
      </x:c>
      <x:c r="C2950" s="1" t="n">
        <x:f>Source!C2944</x:f>
        <x:v>120</x:v>
      </x:c>
      <x:c r="D2950" s="8" t="n">
        <x:f>Source!D2944/100</x:f>
        <x:v>247.24</x:v>
      </x:c>
      <x:c r="E2950" s="8" t="n">
        <x:f>Source!E2944/100</x:f>
        <x:v>262.24</x:v>
      </x:c>
      <x:c r="F2950" s="8" t="n">
        <x:f>Source!F2944/100</x:f>
        <x:v>0</x:v>
      </x:c>
      <x:c r="G2950" s="8" t="n">
        <x:f>Source!G2944/100</x:f>
        <x:v>262.24</x:v>
      </x:c>
      <x:c r="H2950" s="8" t="n">
        <x:f>G2950-D2950</x:f>
        <x:v>15</x:v>
      </x:c>
      <x:c r="I2950" s="1" t="str">
        <x:f>IF(H2950&gt;0,"Overbilled","Shortfall")</x:f>
        <x:v>Overbilled</x:v>
      </x:c>
      <x:c r="J2950" s="7"/>
      <x:c r="K2950" s="7" t="str">
        <x:v>Open</x:v>
      </x:c>
      <x:c r="L2950" s="7"/>
    </x:row>
    <x:row r="2951" ht="21" customHeight="1">
      <x:c r="A2951" s="1" t="str">
        <x:f>Source!A2945</x:f>
        <x:v>C0014743</x:v>
      </x:c>
      <x:c r="B2951" s="1" t="str">
        <x:f>_xlfn.IFNA(VLOOKUP(Source!B2945,Advertisers!$A$5:$B$34,2,FALSE),"Missing advertiser")</x:f>
        <x:v>Synthetic advertiser 17</x:v>
      </x:c>
      <x:c r="C2951" s="1" t="n">
        <x:f>Source!C2945</x:f>
        <x:v>17</x:v>
      </x:c>
      <x:c r="D2951" s="8" t="n">
        <x:f>Source!D2945/100</x:f>
        <x:v>62.99</x:v>
      </x:c>
      <x:c r="E2951" s="8" t="n">
        <x:f>Source!E2945/100</x:f>
        <x:v>77.99</x:v>
      </x:c>
      <x:c r="F2951" s="8" t="n">
        <x:f>Source!F2945/100</x:f>
        <x:v>0</x:v>
      </x:c>
      <x:c r="G2951" s="8" t="n">
        <x:f>Source!G2945/100</x:f>
        <x:v>77.99</x:v>
      </x:c>
      <x:c r="H2951" s="8" t="n">
        <x:f>G2951-D2951</x:f>
        <x:v>14.999999999999993</x:v>
      </x:c>
      <x:c r="I2951" s="1" t="str">
        <x:f>IF(H2951&gt;0,"Overbilled","Shortfall")</x:f>
        <x:v>Overbilled</x:v>
      </x:c>
      <x:c r="J2951" s="7"/>
      <x:c r="K2951" s="7" t="str">
        <x:v>Open</x:v>
      </x:c>
      <x:c r="L2951" s="7"/>
    </x:row>
    <x:row r="2952" ht="21" customHeight="1">
      <x:c r="A2952" s="1" t="str">
        <x:f>Source!A2946</x:f>
        <x:v>C0014763</x:v>
      </x:c>
      <x:c r="B2952" s="1" t="str">
        <x:f>_xlfn.IFNA(VLOOKUP(Source!B2946,Advertisers!$A$5:$B$34,2,FALSE),"Missing advertiser")</x:f>
        <x:v>Synthetic advertiser 24</x:v>
      </x:c>
      <x:c r="C2952" s="1" t="n">
        <x:f>Source!C2946</x:f>
        <x:v>114</x:v>
      </x:c>
      <x:c r="D2952" s="8" t="n">
        <x:f>Source!D2946/100</x:f>
        <x:v>160.88</x:v>
      </x:c>
      <x:c r="E2952" s="8" t="n">
        <x:f>Source!E2946/100</x:f>
        <x:v>175.88</x:v>
      </x:c>
      <x:c r="F2952" s="8" t="n">
        <x:f>Source!F2946/100</x:f>
        <x:v>0</x:v>
      </x:c>
      <x:c r="G2952" s="8" t="n">
        <x:f>Source!G2946/100</x:f>
        <x:v>175.88</x:v>
      </x:c>
      <x:c r="H2952" s="8" t="n">
        <x:f>G2952-D2952</x:f>
        <x:v>15</x:v>
      </x:c>
      <x:c r="I2952" s="1" t="str">
        <x:f>IF(H2952&gt;0,"Overbilled","Shortfall")</x:f>
        <x:v>Overbilled</x:v>
      </x:c>
      <x:c r="J2952" s="7"/>
      <x:c r="K2952" s="7" t="str">
        <x:v>Open</x:v>
      </x:c>
      <x:c r="L2952" s="7"/>
    </x:row>
    <x:row r="2953" ht="21" customHeight="1">
      <x:c r="A2953" s="1" t="str">
        <x:f>Source!A2947</x:f>
        <x:v>C0014764</x:v>
      </x:c>
      <x:c r="B2953" s="1" t="str">
        <x:f>_xlfn.IFNA(VLOOKUP(Source!B2947,Advertisers!$A$5:$B$34,2,FALSE),"Missing advertiser")</x:f>
        <x:v>Synthetic advertiser 5</x:v>
      </x:c>
      <x:c r="C2953" s="1" t="n">
        <x:f>Source!C2947</x:f>
        <x:v>95</x:v>
      </x:c>
      <x:c r="D2953" s="8" t="n">
        <x:f>Source!D2947/100</x:f>
        <x:v>74.83</x:v>
      </x:c>
      <x:c r="E2953" s="8" t="n">
        <x:f>Source!E2947/100</x:f>
        <x:v>89.83</x:v>
      </x:c>
      <x:c r="F2953" s="8" t="n">
        <x:f>Source!F2947/100</x:f>
        <x:v>0</x:v>
      </x:c>
      <x:c r="G2953" s="8" t="n">
        <x:f>Source!G2947/100</x:f>
        <x:v>89.83</x:v>
      </x:c>
      <x:c r="H2953" s="8" t="n">
        <x:f>G2953-D2953</x:f>
        <x:v>15</x:v>
      </x:c>
      <x:c r="I2953" s="1" t="str">
        <x:f>IF(H2953&gt;0,"Overbilled","Shortfall")</x:f>
        <x:v>Overbilled</x:v>
      </x:c>
      <x:c r="J2953" s="7"/>
      <x:c r="K2953" s="7" t="str">
        <x:v>Open</x:v>
      </x:c>
      <x:c r="L2953" s="7"/>
    </x:row>
    <x:row r="2954" ht="21" customHeight="1">
      <x:c r="A2954" s="1" t="str">
        <x:f>Source!A2948</x:f>
        <x:v>C0014768</x:v>
      </x:c>
      <x:c r="B2954" s="1" t="str">
        <x:f>_xlfn.IFNA(VLOOKUP(Source!B2948,Advertisers!$A$5:$B$34,2,FALSE),"Missing advertiser")</x:f>
        <x:v>Synthetic advertiser 21</x:v>
      </x:c>
      <x:c r="C2954" s="1" t="n">
        <x:f>Source!C2948</x:f>
        <x:v>111</x:v>
      </x:c>
      <x:c r="D2954" s="8" t="n">
        <x:f>Source!D2948/100</x:f>
        <x:v>102.91</x:v>
      </x:c>
      <x:c r="E2954" s="8" t="n">
        <x:f>Source!E2948/100</x:f>
        <x:v>117.91</x:v>
      </x:c>
      <x:c r="F2954" s="8" t="n">
        <x:f>Source!F2948/100</x:f>
        <x:v>0</x:v>
      </x:c>
      <x:c r="G2954" s="8" t="n">
        <x:f>Source!G2948/100</x:f>
        <x:v>117.91</x:v>
      </x:c>
      <x:c r="H2954" s="8" t="n">
        <x:f>G2954-D2954</x:f>
        <x:v>15</x:v>
      </x:c>
      <x:c r="I2954" s="1" t="str">
        <x:f>IF(H2954&gt;0,"Overbilled","Shortfall")</x:f>
        <x:v>Overbilled</x:v>
      </x:c>
      <x:c r="J2954" s="7"/>
      <x:c r="K2954" s="7" t="str">
        <x:v>Open</x:v>
      </x:c>
      <x:c r="L2954" s="7"/>
    </x:row>
    <x:row r="2955" ht="21" customHeight="1">
      <x:c r="A2955" s="1" t="str">
        <x:f>Source!A2949</x:f>
        <x:v>C0014770</x:v>
      </x:c>
      <x:c r="B2955" s="1" t="str">
        <x:f>_xlfn.IFNA(VLOOKUP(Source!B2949,Advertisers!$A$5:$B$34,2,FALSE),"Missing advertiser")</x:f>
        <x:v>Synthetic advertiser 3</x:v>
      </x:c>
      <x:c r="C2955" s="1" t="n">
        <x:f>Source!C2949</x:f>
        <x:v>33</x:v>
      </x:c>
      <x:c r="D2955" s="8" t="n">
        <x:f>Source!D2949/100</x:f>
        <x:v>210.62</x:v>
      </x:c>
      <x:c r="E2955" s="8" t="n">
        <x:f>Source!E2949/100</x:f>
        <x:v>225.62</x:v>
      </x:c>
      <x:c r="F2955" s="8" t="n">
        <x:f>Source!F2949/100</x:f>
        <x:v>0</x:v>
      </x:c>
      <x:c r="G2955" s="8" t="n">
        <x:f>Source!G2949/100</x:f>
        <x:v>225.62</x:v>
      </x:c>
      <x:c r="H2955" s="8" t="n">
        <x:f>G2955-D2955</x:f>
        <x:v>15</x:v>
      </x:c>
      <x:c r="I2955" s="1" t="str">
        <x:f>IF(H2955&gt;0,"Overbilled","Shortfall")</x:f>
        <x:v>Overbilled</x:v>
      </x:c>
      <x:c r="J2955" s="7"/>
      <x:c r="K2955" s="7" t="str">
        <x:v>Open</x:v>
      </x:c>
      <x:c r="L2955" s="7"/>
    </x:row>
    <x:row r="2956" ht="21" customHeight="1">
      <x:c r="A2956" s="1" t="str">
        <x:f>Source!A2950</x:f>
        <x:v>C0014798</x:v>
      </x:c>
      <x:c r="B2956" s="1" t="str">
        <x:f>_xlfn.IFNA(VLOOKUP(Source!B2950,Advertisers!$A$5:$B$34,2,FALSE),"Missing advertiser")</x:f>
        <x:v>Synthetic advertiser 21</x:v>
      </x:c>
      <x:c r="C2956" s="1" t="n">
        <x:f>Source!C2950</x:f>
        <x:v>81</x:v>
      </x:c>
      <x:c r="D2956" s="8" t="n">
        <x:f>Source!D2950/100</x:f>
        <x:v>110.36</x:v>
      </x:c>
      <x:c r="E2956" s="8" t="n">
        <x:f>Source!E2950/100</x:f>
        <x:v>125.36</x:v>
      </x:c>
      <x:c r="F2956" s="8" t="n">
        <x:f>Source!F2950/100</x:f>
        <x:v>0</x:v>
      </x:c>
      <x:c r="G2956" s="8" t="n">
        <x:f>Source!G2950/100</x:f>
        <x:v>125.36</x:v>
      </x:c>
      <x:c r="H2956" s="8" t="n">
        <x:f>G2956-D2956</x:f>
        <x:v>15</x:v>
      </x:c>
      <x:c r="I2956" s="1" t="str">
        <x:f>IF(H2956&gt;0,"Overbilled","Shortfall")</x:f>
        <x:v>Overbilled</x:v>
      </x:c>
      <x:c r="J2956" s="7"/>
      <x:c r="K2956" s="7" t="str">
        <x:v>Open</x:v>
      </x:c>
      <x:c r="L2956" s="7"/>
    </x:row>
    <x:row r="2957" ht="21" customHeight="1">
      <x:c r="A2957" s="1" t="str">
        <x:f>Source!A2951</x:f>
        <x:v>C0014806</x:v>
      </x:c>
      <x:c r="B2957" s="1" t="str">
        <x:f>_xlfn.IFNA(VLOOKUP(Source!B2951,Advertisers!$A$5:$B$34,2,FALSE),"Missing advertiser")</x:f>
        <x:v>Synthetic advertiser 30</x:v>
      </x:c>
      <x:c r="C2957" s="1" t="n">
        <x:f>Source!C2951</x:f>
        <x:v>120</x:v>
      </x:c>
      <x:c r="D2957" s="8" t="n">
        <x:f>Source!D2951/100</x:f>
        <x:v>247.24</x:v>
      </x:c>
      <x:c r="E2957" s="8" t="n">
        <x:f>Source!E2951/100</x:f>
        <x:v>262.24</x:v>
      </x:c>
      <x:c r="F2957" s="8" t="n">
        <x:f>Source!F2951/100</x:f>
        <x:v>0</x:v>
      </x:c>
      <x:c r="G2957" s="8" t="n">
        <x:f>Source!G2951/100</x:f>
        <x:v>262.24</x:v>
      </x:c>
      <x:c r="H2957" s="8" t="n">
        <x:f>G2957-D2957</x:f>
        <x:v>15</x:v>
      </x:c>
      <x:c r="I2957" s="1" t="str">
        <x:f>IF(H2957&gt;0,"Overbilled","Shortfall")</x:f>
        <x:v>Overbilled</x:v>
      </x:c>
      <x:c r="J2957" s="7"/>
      <x:c r="K2957" s="7" t="str">
        <x:v>Open</x:v>
      </x:c>
      <x:c r="L2957" s="7"/>
    </x:row>
    <x:row r="2958" ht="21" customHeight="1">
      <x:c r="A2958" s="1" t="str">
        <x:f>Source!A2952</x:f>
        <x:v>C0000007</x:v>
      </x:c>
      <x:c r="B2958" s="1" t="str">
        <x:f>_xlfn.IFNA(VLOOKUP(Source!B2952,Advertisers!$A$5:$B$34,2,FALSE),"Missing advertiser")</x:f>
        <x:v>Synthetic advertiser 3</x:v>
      </x:c>
      <x:c r="C2958" s="1" t="n">
        <x:f>Source!C2952</x:f>
        <x:v>3</x:v>
      </x:c>
      <x:c r="D2958" s="8" t="n">
        <x:f>Source!D2952/100</x:f>
        <x:v>83.04</x:v>
      </x:c>
      <x:c r="E2958" s="8" t="n">
        <x:f>Source!E2952/100</x:f>
        <x:v>98.04</x:v>
      </x:c>
      <x:c r="F2958" s="8" t="n">
        <x:f>Source!F2952/100</x:f>
        <x:v>0</x:v>
      </x:c>
      <x:c r="G2958" s="8" t="n">
        <x:f>Source!G2952/100</x:f>
        <x:v>98.04</x:v>
      </x:c>
      <x:c r="H2958" s="8" t="n">
        <x:f>G2958-D2958</x:f>
        <x:v>15</x:v>
      </x:c>
      <x:c r="I2958" s="1" t="str">
        <x:f>IF(H2958&gt;0,"Overbilled","Shortfall")</x:f>
        <x:v>Overbilled</x:v>
      </x:c>
      <x:c r="J2958" s="7"/>
      <x:c r="K2958" s="7" t="str">
        <x:v>Open</x:v>
      </x:c>
      <x:c r="L2958" s="7"/>
    </x:row>
    <x:row r="2959" ht="21" customHeight="1">
      <x:c r="A2959" s="1" t="str">
        <x:f>Source!A2953</x:f>
        <x:v>C0003226</x:v>
      </x:c>
      <x:c r="B2959" s="1" t="str">
        <x:f>_xlfn.IFNA(VLOOKUP(Source!B2953,Advertisers!$A$5:$B$34,2,FALSE),"Missing advertiser")</x:f>
        <x:v>Synthetic advertiser 17</x:v>
      </x:c>
      <x:c r="C2959" s="1" t="n">
        <x:f>Source!C2953</x:f>
        <x:v>77</x:v>
      </x:c>
      <x:c r="D2959" s="8" t="n">
        <x:f>Source!D2953/100</x:f>
        <x:v>133</x:v>
      </x:c>
      <x:c r="E2959" s="8" t="n">
        <x:f>Source!E2953/100</x:f>
        <x:v>148</x:v>
      </x:c>
      <x:c r="F2959" s="8" t="n">
        <x:f>Source!F2953/100</x:f>
        <x:v>0</x:v>
      </x:c>
      <x:c r="G2959" s="8" t="n">
        <x:f>Source!G2953/100</x:f>
        <x:v>148</x:v>
      </x:c>
      <x:c r="H2959" s="8" t="n">
        <x:f>G2959-D2959</x:f>
        <x:v>15</x:v>
      </x:c>
      <x:c r="I2959" s="1" t="str">
        <x:f>IF(H2959&gt;0,"Overbilled","Shortfall")</x:f>
        <x:v>Overbilled</x:v>
      </x:c>
      <x:c r="J2959" s="7"/>
      <x:c r="K2959" s="7" t="str">
        <x:v>Open</x:v>
      </x:c>
      <x:c r="L2959" s="7"/>
    </x:row>
    <x:row r="2960" ht="21" customHeight="1">
      <x:c r="A2960" s="1" t="str">
        <x:f>Source!A2954</x:f>
        <x:v>C0014515</x:v>
      </x:c>
      <x:c r="B2960" s="1" t="str">
        <x:f>_xlfn.IFNA(VLOOKUP(Source!B2954,Advertisers!$A$5:$B$34,2,FALSE),"Missing advertiser")</x:f>
        <x:v>Synthetic advertiser 11</x:v>
      </x:c>
      <x:c r="C2960" s="1" t="n">
        <x:f>Source!C2954</x:f>
        <x:v>101</x:v>
      </x:c>
      <x:c r="D2960" s="8" t="n">
        <x:f>Source!D2954/100</x:f>
        <x:v>493.42</x:v>
      </x:c>
      <x:c r="E2960" s="8" t="n">
        <x:f>Source!E2954/100</x:f>
        <x:v>508.42</x:v>
      </x:c>
      <x:c r="F2960" s="8" t="n">
        <x:f>Source!F2954/100</x:f>
        <x:v>0</x:v>
      </x:c>
      <x:c r="G2960" s="8" t="n">
        <x:f>Source!G2954/100</x:f>
        <x:v>508.42</x:v>
      </x:c>
      <x:c r="H2960" s="8" t="n">
        <x:f>G2960-D2960</x:f>
        <x:v>15</x:v>
      </x:c>
      <x:c r="I2960" s="1" t="str">
        <x:f>IF(H2960&gt;0,"Overbilled","Shortfall")</x:f>
        <x:v>Overbilled</x:v>
      </x:c>
      <x:c r="J2960" s="7"/>
      <x:c r="K2960" s="7" t="str">
        <x:v>Open</x:v>
      </x:c>
      <x:c r="L2960" s="7"/>
    </x:row>
    <x:row r="2961" ht="21" customHeight="1">
      <x:c r="A2961" s="1" t="str">
        <x:f>Source!A2955</x:f>
        <x:v>C0014516</x:v>
      </x:c>
      <x:c r="B2961" s="1" t="str">
        <x:f>_xlfn.IFNA(VLOOKUP(Source!B2955,Advertisers!$A$5:$B$34,2,FALSE),"Missing advertiser")</x:f>
        <x:v>Synthetic advertiser 4</x:v>
      </x:c>
      <x:c r="C2961" s="1" t="n">
        <x:f>Source!C2955</x:f>
        <x:v>64</x:v>
      </x:c>
      <x:c r="D2961" s="8" t="n">
        <x:f>Source!D2955/100</x:f>
        <x:v>483.22</x:v>
      </x:c>
      <x:c r="E2961" s="8" t="n">
        <x:f>Source!E2955/100</x:f>
        <x:v>498.22</x:v>
      </x:c>
      <x:c r="F2961" s="8" t="n">
        <x:f>Source!F2955/100</x:f>
        <x:v>0</x:v>
      </x:c>
      <x:c r="G2961" s="8" t="n">
        <x:f>Source!G2955/100</x:f>
        <x:v>498.22</x:v>
      </x:c>
      <x:c r="H2961" s="8" t="n">
        <x:f>G2961-D2961</x:f>
        <x:v>15</x:v>
      </x:c>
      <x:c r="I2961" s="1" t="str">
        <x:f>IF(H2961&gt;0,"Overbilled","Shortfall")</x:f>
        <x:v>Overbilled</x:v>
      </x:c>
      <x:c r="J2961" s="7"/>
      <x:c r="K2961" s="7" t="str">
        <x:v>Open</x:v>
      </x:c>
      <x:c r="L2961" s="7"/>
    </x:row>
    <x:row r="2962" ht="21" customHeight="1">
      <x:c r="A2962" s="1" t="str">
        <x:f>Source!A2956</x:f>
        <x:v>C0014517</x:v>
      </x:c>
      <x:c r="B2962" s="1" t="str">
        <x:f>_xlfn.IFNA(VLOOKUP(Source!B2956,Advertisers!$A$5:$B$34,2,FALSE),"Missing advertiser")</x:f>
        <x:v>Synthetic advertiser 12</x:v>
      </x:c>
      <x:c r="C2962" s="1" t="n">
        <x:f>Source!C2956</x:f>
        <x:v>42</x:v>
      </x:c>
      <x:c r="D2962" s="8" t="n">
        <x:f>Source!D2956/100</x:f>
        <x:v>202.79</x:v>
      </x:c>
      <x:c r="E2962" s="8" t="n">
        <x:f>Source!E2956/100</x:f>
        <x:v>217.79</x:v>
      </x:c>
      <x:c r="F2962" s="8" t="n">
        <x:f>Source!F2956/100</x:f>
        <x:v>0</x:v>
      </x:c>
      <x:c r="G2962" s="8" t="n">
        <x:f>Source!G2956/100</x:f>
        <x:v>217.79</x:v>
      </x:c>
      <x:c r="H2962" s="8" t="n">
        <x:f>G2962-D2962</x:f>
        <x:v>15</x:v>
      </x:c>
      <x:c r="I2962" s="1" t="str">
        <x:f>IF(H2962&gt;0,"Overbilled","Shortfall")</x:f>
        <x:v>Overbilled</x:v>
      </x:c>
      <x:c r="J2962" s="7"/>
      <x:c r="K2962" s="7" t="str">
        <x:v>Open</x:v>
      </x:c>
      <x:c r="L2962" s="7"/>
    </x:row>
    <x:row r="2963" ht="21" customHeight="1">
      <x:c r="A2963" s="1" t="str">
        <x:f>Source!A2957</x:f>
        <x:v>C0014540</x:v>
      </x:c>
      <x:c r="B2963" s="1" t="str">
        <x:f>_xlfn.IFNA(VLOOKUP(Source!B2957,Advertisers!$A$5:$B$34,2,FALSE),"Missing advertiser")</x:f>
        <x:v>Synthetic advertiser 13</x:v>
      </x:c>
      <x:c r="C2963" s="1" t="n">
        <x:f>Source!C2957</x:f>
        <x:v>73</x:v>
      </x:c>
      <x:c r="D2963" s="8" t="n">
        <x:f>Source!D2957/100</x:f>
        <x:v>214.3</x:v>
      </x:c>
      <x:c r="E2963" s="8" t="n">
        <x:f>Source!E2957/100</x:f>
        <x:v>229.3</x:v>
      </x:c>
      <x:c r="F2963" s="8" t="n">
        <x:f>Source!F2957/100</x:f>
        <x:v>0</x:v>
      </x:c>
      <x:c r="G2963" s="8" t="n">
        <x:f>Source!G2957/100</x:f>
        <x:v>229.3</x:v>
      </x:c>
      <x:c r="H2963" s="8" t="n">
        <x:f>G2963-D2963</x:f>
        <x:v>15</x:v>
      </x:c>
      <x:c r="I2963" s="1" t="str">
        <x:f>IF(H2963&gt;0,"Overbilled","Shortfall")</x:f>
        <x:v>Overbilled</x:v>
      </x:c>
      <x:c r="J2963" s="7"/>
      <x:c r="K2963" s="7" t="str">
        <x:v>Open</x:v>
      </x:c>
      <x:c r="L2963" s="7"/>
    </x:row>
    <x:row r="2964" ht="21" customHeight="1">
      <x:c r="A2964" s="1" t="str">
        <x:f>Source!A2958</x:f>
        <x:v>C0003391</x:v>
      </x:c>
      <x:c r="B2964" s="1" t="str">
        <x:f>_xlfn.IFNA(VLOOKUP(Source!B2958,Advertisers!$A$5:$B$34,2,FALSE),"Missing advertiser")</x:f>
        <x:v>Synthetic advertiser 20</x:v>
      </x:c>
      <x:c r="C2964" s="1" t="n">
        <x:f>Source!C2958</x:f>
        <x:v>110</x:v>
      </x:c>
      <x:c r="D2964" s="8" t="n">
        <x:f>Source!D2958/100</x:f>
        <x:v>197.03</x:v>
      </x:c>
      <x:c r="E2964" s="8" t="n">
        <x:f>Source!E2958/100</x:f>
        <x:v>212.03</x:v>
      </x:c>
      <x:c r="F2964" s="8" t="n">
        <x:f>Source!F2958/100</x:f>
        <x:v>0</x:v>
      </x:c>
      <x:c r="G2964" s="8" t="n">
        <x:f>Source!G2958/100</x:f>
        <x:v>212.03</x:v>
      </x:c>
      <x:c r="H2964" s="8" t="n">
        <x:f>G2964-D2964</x:f>
        <x:v>15</x:v>
      </x:c>
      <x:c r="I2964" s="1" t="str">
        <x:f>IF(H2964&gt;0,"Overbilled","Shortfall")</x:f>
        <x:v>Overbilled</x:v>
      </x:c>
      <x:c r="J2964" s="7"/>
      <x:c r="K2964" s="7" t="str">
        <x:v>Open</x:v>
      </x:c>
      <x:c r="L2964" s="7"/>
    </x:row>
    <x:row r="2965" ht="21" customHeight="1">
      <x:c r="A2965" s="1" t="str">
        <x:f>Source!A2959</x:f>
        <x:v>C0003447</x:v>
      </x:c>
      <x:c r="B2965" s="1" t="str">
        <x:f>_xlfn.IFNA(VLOOKUP(Source!B2959,Advertisers!$A$5:$B$34,2,FALSE),"Missing advertiser")</x:f>
        <x:v>Synthetic advertiser 30</x:v>
      </x:c>
      <x:c r="C2965" s="1" t="n">
        <x:f>Source!C2959</x:f>
        <x:v>30</x:v>
      </x:c>
      <x:c r="D2965" s="8" t="n">
        <x:f>Source!D2959/100</x:f>
        <x:v>97.33</x:v>
      </x:c>
      <x:c r="E2965" s="8" t="n">
        <x:f>Source!E2959/100</x:f>
        <x:v>112.33</x:v>
      </x:c>
      <x:c r="F2965" s="8" t="n">
        <x:f>Source!F2959/100</x:f>
        <x:v>0</x:v>
      </x:c>
      <x:c r="G2965" s="8" t="n">
        <x:f>Source!G2959/100</x:f>
        <x:v>112.33</x:v>
      </x:c>
      <x:c r="H2965" s="8" t="n">
        <x:f>G2965-D2965</x:f>
        <x:v>15</x:v>
      </x:c>
      <x:c r="I2965" s="1" t="str">
        <x:f>IF(H2965&gt;0,"Overbilled","Shortfall")</x:f>
        <x:v>Overbilled</x:v>
      </x:c>
      <x:c r="J2965" s="7"/>
      <x:c r="K2965" s="7" t="str">
        <x:v>Open</x:v>
      </x:c>
      <x:c r="L2965" s="7"/>
    </x:row>
    <x:row r="2966" ht="21" customHeight="1">
      <x:c r="A2966" s="1" t="str">
        <x:f>Source!A2960</x:f>
        <x:v>C0003448</x:v>
      </x:c>
      <x:c r="B2966" s="1" t="str">
        <x:f>_xlfn.IFNA(VLOOKUP(Source!B2960,Advertisers!$A$5:$B$34,2,FALSE),"Missing advertiser")</x:f>
        <x:v>Synthetic advertiser 2</x:v>
      </x:c>
      <x:c r="C2966" s="1" t="n">
        <x:f>Source!C2960</x:f>
        <x:v>62</x:v>
      </x:c>
      <x:c r="D2966" s="8" t="n">
        <x:f>Source!D2960/100</x:f>
        <x:v>241.69</x:v>
      </x:c>
      <x:c r="E2966" s="8" t="n">
        <x:f>Source!E2960/100</x:f>
        <x:v>256.69</x:v>
      </x:c>
      <x:c r="F2966" s="8" t="n">
        <x:f>Source!F2960/100</x:f>
        <x:v>0</x:v>
      </x:c>
      <x:c r="G2966" s="8" t="n">
        <x:f>Source!G2960/100</x:f>
        <x:v>256.69</x:v>
      </x:c>
      <x:c r="H2966" s="8" t="n">
        <x:f>G2966-D2966</x:f>
        <x:v>15</x:v>
      </x:c>
      <x:c r="I2966" s="1" t="str">
        <x:f>IF(H2966&gt;0,"Overbilled","Shortfall")</x:f>
        <x:v>Overbilled</x:v>
      </x:c>
      <x:c r="J2966" s="7"/>
      <x:c r="K2966" s="7" t="str">
        <x:v>Open</x:v>
      </x:c>
      <x:c r="L2966" s="7"/>
    </x:row>
    <x:row r="2967" ht="21" customHeight="1">
      <x:c r="A2967" s="1" t="str">
        <x:f>Source!A2961</x:f>
        <x:v>C0003467</x:v>
      </x:c>
      <x:c r="B2967" s="1" t="str">
        <x:f>_xlfn.IFNA(VLOOKUP(Source!B2961,Advertisers!$A$5:$B$34,2,FALSE),"Missing advertiser")</x:f>
        <x:v>Synthetic advertiser 28</x:v>
      </x:c>
      <x:c r="C2967" s="1" t="n">
        <x:f>Source!C2961</x:f>
        <x:v>58</x:v>
      </x:c>
      <x:c r="D2967" s="8" t="n">
        <x:f>Source!D2961/100</x:f>
        <x:v>95.12</x:v>
      </x:c>
      <x:c r="E2967" s="8" t="n">
        <x:f>Source!E2961/100</x:f>
        <x:v>110.12</x:v>
      </x:c>
      <x:c r="F2967" s="8" t="n">
        <x:f>Source!F2961/100</x:f>
        <x:v>0</x:v>
      </x:c>
      <x:c r="G2967" s="8" t="n">
        <x:f>Source!G2961/100</x:f>
        <x:v>110.12</x:v>
      </x:c>
      <x:c r="H2967" s="8" t="n">
        <x:f>G2967-D2967</x:f>
        <x:v>15</x:v>
      </x:c>
      <x:c r="I2967" s="1" t="str">
        <x:f>IF(H2967&gt;0,"Overbilled","Shortfall")</x:f>
        <x:v>Overbilled</x:v>
      </x:c>
      <x:c r="J2967" s="7"/>
      <x:c r="K2967" s="7" t="str">
        <x:v>Open</x:v>
      </x:c>
      <x:c r="L2967" s="7"/>
    </x:row>
    <x:row r="2968" ht="21" customHeight="1">
      <x:c r="A2968" s="1" t="str">
        <x:f>Source!A2962</x:f>
        <x:v>C0003480</x:v>
      </x:c>
      <x:c r="B2968" s="1" t="str">
        <x:f>_xlfn.IFNA(VLOOKUP(Source!B2962,Advertisers!$A$5:$B$34,2,FALSE),"Missing advertiser")</x:f>
        <x:v>Synthetic advertiser 22</x:v>
      </x:c>
      <x:c r="C2968" s="1" t="n">
        <x:f>Source!C2962</x:f>
        <x:v>112</x:v>
      </x:c>
      <x:c r="D2968" s="8" t="n">
        <x:f>Source!D2962/100</x:f>
        <x:v>192.05</x:v>
      </x:c>
      <x:c r="E2968" s="8" t="n">
        <x:f>Source!E2962/100</x:f>
        <x:v>207.05</x:v>
      </x:c>
      <x:c r="F2968" s="8" t="n">
        <x:f>Source!F2962/100</x:f>
        <x:v>0</x:v>
      </x:c>
      <x:c r="G2968" s="8" t="n">
        <x:f>Source!G2962/100</x:f>
        <x:v>207.05</x:v>
      </x:c>
      <x:c r="H2968" s="8" t="n">
        <x:f>G2968-D2968</x:f>
        <x:v>15</x:v>
      </x:c>
      <x:c r="I2968" s="1" t="str">
        <x:f>IF(H2968&gt;0,"Overbilled","Shortfall")</x:f>
        <x:v>Overbilled</x:v>
      </x:c>
      <x:c r="J2968" s="7"/>
      <x:c r="K2968" s="7" t="str">
        <x:v>Open</x:v>
      </x:c>
      <x:c r="L2968" s="7"/>
    </x:row>
    <x:row r="2969" ht="21" customHeight="1">
      <x:c r="A2969" s="1" t="str">
        <x:f>Source!A2963</x:f>
        <x:v>C0003485</x:v>
      </x:c>
      <x:c r="B2969" s="1" t="str">
        <x:f>_xlfn.IFNA(VLOOKUP(Source!B2963,Advertisers!$A$5:$B$34,2,FALSE),"Missing advertiser")</x:f>
        <x:v>Synthetic advertiser 13</x:v>
      </x:c>
      <x:c r="C2969" s="1" t="n">
        <x:f>Source!C2963</x:f>
        <x:v>43</x:v>
      </x:c>
      <x:c r="D2969" s="8" t="n">
        <x:f>Source!D2963/100</x:f>
        <x:v>73.42</x:v>
      </x:c>
      <x:c r="E2969" s="8" t="n">
        <x:f>Source!E2963/100</x:f>
        <x:v>88.42</x:v>
      </x:c>
      <x:c r="F2969" s="8" t="n">
        <x:f>Source!F2963/100</x:f>
        <x:v>0</x:v>
      </x:c>
      <x:c r="G2969" s="8" t="n">
        <x:f>Source!G2963/100</x:f>
        <x:v>88.42</x:v>
      </x:c>
      <x:c r="H2969" s="8" t="n">
        <x:f>G2969-D2969</x:f>
        <x:v>15</x:v>
      </x:c>
      <x:c r="I2969" s="1" t="str">
        <x:f>IF(H2969&gt;0,"Overbilled","Shortfall")</x:f>
        <x:v>Overbilled</x:v>
      </x:c>
      <x:c r="J2969" s="7"/>
      <x:c r="K2969" s="7" t="str">
        <x:v>Open</x:v>
      </x:c>
      <x:c r="L2969" s="7"/>
    </x:row>
    <x:row r="2970" ht="21" customHeight="1">
      <x:c r="A2970" s="1" t="str">
        <x:f>Source!A2964</x:f>
        <x:v>C0003487</x:v>
      </x:c>
      <x:c r="B2970" s="1" t="str">
        <x:f>_xlfn.IFNA(VLOOKUP(Source!B2964,Advertisers!$A$5:$B$34,2,FALSE),"Missing advertiser")</x:f>
        <x:v>Synthetic advertiser 27</x:v>
      </x:c>
      <x:c r="C2970" s="1" t="n">
        <x:f>Source!C2964</x:f>
        <x:v>87</x:v>
      </x:c>
      <x:c r="D2970" s="8" t="n">
        <x:f>Source!D2964/100</x:f>
        <x:v>91.4</x:v>
      </x:c>
      <x:c r="E2970" s="8" t="n">
        <x:f>Source!E2964/100</x:f>
        <x:v>106.4</x:v>
      </x:c>
      <x:c r="F2970" s="8" t="n">
        <x:f>Source!F2964/100</x:f>
        <x:v>0</x:v>
      </x:c>
      <x:c r="G2970" s="8" t="n">
        <x:f>Source!G2964/100</x:f>
        <x:v>106.4</x:v>
      </x:c>
      <x:c r="H2970" s="8" t="n">
        <x:f>G2970-D2970</x:f>
        <x:v>15</x:v>
      </x:c>
      <x:c r="I2970" s="1" t="str">
        <x:f>IF(H2970&gt;0,"Overbilled","Shortfall")</x:f>
        <x:v>Overbilled</x:v>
      </x:c>
      <x:c r="J2970" s="7"/>
      <x:c r="K2970" s="7" t="str">
        <x:v>Open</x:v>
      </x:c>
      <x:c r="L2970" s="7"/>
    </x:row>
    <x:row r="2971" ht="21" customHeight="1">
      <x:c r="A2971" s="1" t="str">
        <x:f>Source!A2965</x:f>
        <x:v>C0003505</x:v>
      </x:c>
      <x:c r="B2971" s="1" t="str">
        <x:f>_xlfn.IFNA(VLOOKUP(Source!B2965,Advertisers!$A$5:$B$34,2,FALSE),"Missing advertiser")</x:f>
        <x:v>Synthetic advertiser 4</x:v>
      </x:c>
      <x:c r="C2971" s="1" t="n">
        <x:f>Source!C2965</x:f>
        <x:v>94</x:v>
      </x:c>
      <x:c r="D2971" s="8" t="n">
        <x:f>Source!D2965/100</x:f>
        <x:v>126.67</x:v>
      </x:c>
      <x:c r="E2971" s="8" t="n">
        <x:f>Source!E2965/100</x:f>
        <x:v>141.67</x:v>
      </x:c>
      <x:c r="F2971" s="8" t="n">
        <x:f>Source!F2965/100</x:f>
        <x:v>0</x:v>
      </x:c>
      <x:c r="G2971" s="8" t="n">
        <x:f>Source!G2965/100</x:f>
        <x:v>141.67</x:v>
      </x:c>
      <x:c r="H2971" s="8" t="n">
        <x:f>G2971-D2971</x:f>
        <x:v>14.999999999999986</x:v>
      </x:c>
      <x:c r="I2971" s="1" t="str">
        <x:f>IF(H2971&gt;0,"Overbilled","Shortfall")</x:f>
        <x:v>Overbilled</x:v>
      </x:c>
      <x:c r="J2971" s="7"/>
      <x:c r="K2971" s="7" t="str">
        <x:v>Open</x:v>
      </x:c>
      <x:c r="L2971" s="7"/>
    </x:row>
    <x:row r="2972" ht="21" customHeight="1">
      <x:c r="A2972" s="1" t="str">
        <x:f>Source!A2966</x:f>
        <x:v>C0003515</x:v>
      </x:c>
      <x:c r="B2972" s="1" t="str">
        <x:f>_xlfn.IFNA(VLOOKUP(Source!B2966,Advertisers!$A$5:$B$34,2,FALSE),"Missing advertiser")</x:f>
        <x:v>Synthetic advertiser 15</x:v>
      </x:c>
      <x:c r="C2972" s="1" t="n">
        <x:f>Source!C2966</x:f>
        <x:v>45</x:v>
      </x:c>
      <x:c r="D2972" s="8" t="n">
        <x:f>Source!D2966/100</x:f>
        <x:v>195.94</x:v>
      </x:c>
      <x:c r="E2972" s="8" t="n">
        <x:f>Source!E2966/100</x:f>
        <x:v>210.94</x:v>
      </x:c>
      <x:c r="F2972" s="8" t="n">
        <x:f>Source!F2966/100</x:f>
        <x:v>0</x:v>
      </x:c>
      <x:c r="G2972" s="8" t="n">
        <x:f>Source!G2966/100</x:f>
        <x:v>210.94</x:v>
      </x:c>
      <x:c r="H2972" s="8" t="n">
        <x:f>G2972-D2972</x:f>
        <x:v>15</x:v>
      </x:c>
      <x:c r="I2972" s="1" t="str">
        <x:f>IF(H2972&gt;0,"Overbilled","Shortfall")</x:f>
        <x:v>Overbilled</x:v>
      </x:c>
      <x:c r="J2972" s="7"/>
      <x:c r="K2972" s="7" t="str">
        <x:v>Open</x:v>
      </x:c>
      <x:c r="L2972" s="7"/>
    </x:row>
    <x:row r="2973" ht="21" customHeight="1">
      <x:c r="A2973" s="1" t="str">
        <x:f>Source!A2967</x:f>
        <x:v>C0010703</x:v>
      </x:c>
      <x:c r="B2973" s="1" t="str">
        <x:f>_xlfn.IFNA(VLOOKUP(Source!B2967,Advertisers!$A$5:$B$34,2,FALSE),"Missing advertiser")</x:f>
        <x:v>Synthetic advertiser 26</x:v>
      </x:c>
      <x:c r="C2973" s="1" t="n">
        <x:f>Source!C2967</x:f>
        <x:v>26</x:v>
      </x:c>
      <x:c r="D2973" s="8" t="n">
        <x:f>Source!D2967/100</x:f>
        <x:v>110.19</x:v>
      </x:c>
      <x:c r="E2973" s="8" t="n">
        <x:f>Source!E2967/100</x:f>
        <x:v>125.19</x:v>
      </x:c>
      <x:c r="F2973" s="8" t="n">
        <x:f>Source!F2967/100</x:f>
        <x:v>0</x:v>
      </x:c>
      <x:c r="G2973" s="8" t="n">
        <x:f>Source!G2967/100</x:f>
        <x:v>125.19</x:v>
      </x:c>
      <x:c r="H2973" s="8" t="n">
        <x:f>G2973-D2973</x:f>
        <x:v>15</x:v>
      </x:c>
      <x:c r="I2973" s="1" t="str">
        <x:f>IF(H2973&gt;0,"Overbilled","Shortfall")</x:f>
        <x:v>Overbilled</x:v>
      </x:c>
      <x:c r="J2973" s="7"/>
      <x:c r="K2973" s="7" t="str">
        <x:v>Open</x:v>
      </x:c>
      <x:c r="L2973" s="7"/>
    </x:row>
    <x:row r="2974" ht="21" customHeight="1">
      <x:c r="A2974" s="1" t="str">
        <x:f>Source!A2968</x:f>
        <x:v>C0014561</x:v>
      </x:c>
      <x:c r="B2974" s="1" t="str">
        <x:f>_xlfn.IFNA(VLOOKUP(Source!B2968,Advertisers!$A$5:$B$34,2,FALSE),"Missing advertiser")</x:f>
        <x:v>Synthetic advertiser 15</x:v>
      </x:c>
      <x:c r="C2974" s="1" t="n">
        <x:f>Source!C2968</x:f>
        <x:v>45</x:v>
      </x:c>
      <x:c r="D2974" s="8" t="n">
        <x:f>Source!D2968/100</x:f>
        <x:v>195.94</x:v>
      </x:c>
      <x:c r="E2974" s="8" t="n">
        <x:f>Source!E2968/100</x:f>
        <x:v>210.94</x:v>
      </x:c>
      <x:c r="F2974" s="8" t="n">
        <x:f>Source!F2968/100</x:f>
        <x:v>0</x:v>
      </x:c>
      <x:c r="G2974" s="8" t="n">
        <x:f>Source!G2968/100</x:f>
        <x:v>210.94</x:v>
      </x:c>
      <x:c r="H2974" s="8" t="n">
        <x:f>G2974-D2974</x:f>
        <x:v>15</x:v>
      </x:c>
      <x:c r="I2974" s="1" t="str">
        <x:f>IF(H2974&gt;0,"Overbilled","Shortfall")</x:f>
        <x:v>Overbilled</x:v>
      </x:c>
      <x:c r="J2974" s="7"/>
      <x:c r="K2974" s="7" t="str">
        <x:v>Open</x:v>
      </x:c>
      <x:c r="L2974" s="7"/>
    </x:row>
    <x:row r="2975" ht="21" customHeight="1">
      <x:c r="A2975" s="1" t="str">
        <x:f>Source!A2969</x:f>
        <x:v>C0014565</x:v>
      </x:c>
      <x:c r="B2975" s="1" t="str">
        <x:f>_xlfn.IFNA(VLOOKUP(Source!B2969,Advertisers!$A$5:$B$34,2,FALSE),"Missing advertiser")</x:f>
        <x:v>Synthetic advertiser 22</x:v>
      </x:c>
      <x:c r="C2975" s="1" t="n">
        <x:f>Source!C2969</x:f>
        <x:v>112</x:v>
      </x:c>
      <x:c r="D2975" s="8" t="n">
        <x:f>Source!D2969/100</x:f>
        <x:v>398.84</x:v>
      </x:c>
      <x:c r="E2975" s="8" t="n">
        <x:f>Source!E2969/100</x:f>
        <x:v>413.84</x:v>
      </x:c>
      <x:c r="F2975" s="8" t="n">
        <x:f>Source!F2969/100</x:f>
        <x:v>0</x:v>
      </x:c>
      <x:c r="G2975" s="8" t="n">
        <x:f>Source!G2969/100</x:f>
        <x:v>413.84</x:v>
      </x:c>
      <x:c r="H2975" s="8" t="n">
        <x:f>G2975-D2975</x:f>
        <x:v>15</x:v>
      </x:c>
      <x:c r="I2975" s="1" t="str">
        <x:f>IF(H2975&gt;0,"Overbilled","Shortfall")</x:f>
        <x:v>Overbilled</x:v>
      </x:c>
      <x:c r="J2975" s="7"/>
      <x:c r="K2975" s="7" t="str">
        <x:v>Open</x:v>
      </x:c>
      <x:c r="L2975" s="7"/>
    </x:row>
    <x:row r="2976" ht="21" customHeight="1">
      <x:c r="A2976" s="1" t="str">
        <x:f>Source!A2970</x:f>
        <x:v>C0014568</x:v>
      </x:c>
      <x:c r="B2976" s="1" t="str">
        <x:f>_xlfn.IFNA(VLOOKUP(Source!B2970,Advertisers!$A$5:$B$34,2,FALSE),"Missing advertiser")</x:f>
        <x:v>Synthetic advertiser 24</x:v>
      </x:c>
      <x:c r="C2976" s="1" t="n">
        <x:f>Source!C2970</x:f>
        <x:v>24</x:v>
      </x:c>
      <x:c r="D2976" s="8" t="n">
        <x:f>Source!D2970/100</x:f>
        <x:v>114.08</x:v>
      </x:c>
      <x:c r="E2976" s="8" t="n">
        <x:f>Source!E2970/100</x:f>
        <x:v>129.08</x:v>
      </x:c>
      <x:c r="F2976" s="8" t="n">
        <x:f>Source!F2970/100</x:f>
        <x:v>0</x:v>
      </x:c>
      <x:c r="G2976" s="8" t="n">
        <x:f>Source!G2970/100</x:f>
        <x:v>129.08</x:v>
      </x:c>
      <x:c r="H2976" s="8" t="n">
        <x:f>G2976-D2976</x:f>
        <x:v>15.000000000000014</x:v>
      </x:c>
      <x:c r="I2976" s="1" t="str">
        <x:f>IF(H2976&gt;0,"Overbilled","Shortfall")</x:f>
        <x:v>Overbilled</x:v>
      </x:c>
      <x:c r="J2976" s="7"/>
      <x:c r="K2976" s="7" t="str">
        <x:v>Open</x:v>
      </x:c>
      <x:c r="L2976" s="7"/>
    </x:row>
    <x:row r="2977" ht="21" customHeight="1">
      <x:c r="A2977" s="1" t="str">
        <x:f>Source!A2971</x:f>
        <x:v>C0014592</x:v>
      </x:c>
      <x:c r="B2977" s="1" t="str">
        <x:f>_xlfn.IFNA(VLOOKUP(Source!B2971,Advertisers!$A$5:$B$34,2,FALSE),"Missing advertiser")</x:f>
        <x:v>Synthetic advertiser 21</x:v>
      </x:c>
      <x:c r="C2977" s="1" t="n">
        <x:f>Source!C2971</x:f>
        <x:v>51</x:v>
      </x:c>
      <x:c r="D2977" s="8" t="n">
        <x:f>Source!D2971/100</x:f>
        <x:v>197.94</x:v>
      </x:c>
      <x:c r="E2977" s="8" t="n">
        <x:f>Source!E2971/100</x:f>
        <x:v>212.94</x:v>
      </x:c>
      <x:c r="F2977" s="8" t="n">
        <x:f>Source!F2971/100</x:f>
        <x:v>0</x:v>
      </x:c>
      <x:c r="G2977" s="8" t="n">
        <x:f>Source!G2971/100</x:f>
        <x:v>212.94</x:v>
      </x:c>
      <x:c r="H2977" s="8" t="n">
        <x:f>G2977-D2977</x:f>
        <x:v>15</x:v>
      </x:c>
      <x:c r="I2977" s="1" t="str">
        <x:f>IF(H2977&gt;0,"Overbilled","Shortfall")</x:f>
        <x:v>Overbilled</x:v>
      </x:c>
      <x:c r="J2977" s="7"/>
      <x:c r="K2977" s="7" t="str">
        <x:v>Open</x:v>
      </x:c>
      <x:c r="L2977" s="7"/>
    </x:row>
    <x:row r="2978" ht="21" customHeight="1">
      <x:c r="A2978" s="1" t="str">
        <x:f>Source!A2972</x:f>
        <x:v>C0007754</x:v>
      </x:c>
      <x:c r="B2978" s="1" t="str">
        <x:f>_xlfn.IFNA(VLOOKUP(Source!B2972,Advertisers!$A$5:$B$34,2,FALSE),"Missing advertiser")</x:f>
        <x:v>Synthetic advertiser 12</x:v>
      </x:c>
      <x:c r="C2978" s="1" t="n">
        <x:f>Source!C2972</x:f>
        <x:v>42</x:v>
      </x:c>
      <x:c r="D2978" s="8" t="n">
        <x:f>Source!D2972/100</x:f>
        <x:v>145.19</x:v>
      </x:c>
      <x:c r="E2978" s="8" t="n">
        <x:f>Source!E2972/100</x:f>
        <x:v>160.19</x:v>
      </x:c>
      <x:c r="F2978" s="8" t="n">
        <x:f>Source!F2972/100</x:f>
        <x:v>0</x:v>
      </x:c>
      <x:c r="G2978" s="8" t="n">
        <x:f>Source!G2972/100</x:f>
        <x:v>160.19</x:v>
      </x:c>
      <x:c r="H2978" s="8" t="n">
        <x:f>G2978-D2978</x:f>
        <x:v>15</x:v>
      </x:c>
      <x:c r="I2978" s="1" t="str">
        <x:f>IF(H2978&gt;0,"Overbilled","Shortfall")</x:f>
        <x:v>Overbilled</x:v>
      </x:c>
      <x:c r="J2978" s="7"/>
      <x:c r="K2978" s="7" t="str">
        <x:v>Open</x:v>
      </x:c>
      <x:c r="L2978" s="7"/>
    </x:row>
    <x:row r="2979" ht="21" customHeight="1">
      <x:c r="A2979" s="1" t="str">
        <x:f>Source!A2973</x:f>
        <x:v>C0007763</x:v>
      </x:c>
      <x:c r="B2979" s="1" t="str">
        <x:f>_xlfn.IFNA(VLOOKUP(Source!B2973,Advertisers!$A$5:$B$34,2,FALSE),"Missing advertiser")</x:f>
        <x:v>Synthetic advertiser 23</x:v>
      </x:c>
      <x:c r="C2979" s="1" t="n">
        <x:f>Source!C2973</x:f>
        <x:v>23</x:v>
      </x:c>
      <x:c r="D2979" s="8" t="n">
        <x:f>Source!D2973/100</x:f>
        <x:v>74.55</x:v>
      </x:c>
      <x:c r="E2979" s="8" t="n">
        <x:f>Source!E2973/100</x:f>
        <x:v>89.55</x:v>
      </x:c>
      <x:c r="F2979" s="8" t="n">
        <x:f>Source!F2973/100</x:f>
        <x:v>0</x:v>
      </x:c>
      <x:c r="G2979" s="8" t="n">
        <x:f>Source!G2973/100</x:f>
        <x:v>89.55</x:v>
      </x:c>
      <x:c r="H2979" s="8" t="n">
        <x:f>G2979-D2979</x:f>
        <x:v>15</x:v>
      </x:c>
      <x:c r="I2979" s="1" t="str">
        <x:f>IF(H2979&gt;0,"Overbilled","Shortfall")</x:f>
        <x:v>Overbilled</x:v>
      </x:c>
      <x:c r="J2979" s="7"/>
      <x:c r="K2979" s="7" t="str">
        <x:v>Open</x:v>
      </x:c>
      <x:c r="L2979" s="7"/>
    </x:row>
    <x:row r="2980" ht="21" customHeight="1">
      <x:c r="A2980" s="1" t="str">
        <x:f>Source!A2974</x:f>
        <x:v>C0007768</x:v>
      </x:c>
      <x:c r="B2980" s="1" t="str">
        <x:f>_xlfn.IFNA(VLOOKUP(Source!B2974,Advertisers!$A$5:$B$34,2,FALSE),"Missing advertiser")</x:f>
        <x:v>Synthetic advertiser 14</x:v>
      </x:c>
      <x:c r="C2980" s="1" t="n">
        <x:f>Source!C2974</x:f>
        <x:v>74</x:v>
      </x:c>
      <x:c r="D2980" s="8" t="n">
        <x:f>Source!D2974/100</x:f>
        <x:v>64.8</x:v>
      </x:c>
      <x:c r="E2980" s="8" t="n">
        <x:f>Source!E2974/100</x:f>
        <x:v>79.8</x:v>
      </x:c>
      <x:c r="F2980" s="8" t="n">
        <x:f>Source!F2974/100</x:f>
        <x:v>0</x:v>
      </x:c>
      <x:c r="G2980" s="8" t="n">
        <x:f>Source!G2974/100</x:f>
        <x:v>79.8</x:v>
      </x:c>
      <x:c r="H2980" s="8" t="n">
        <x:f>G2980-D2980</x:f>
        <x:v>15</x:v>
      </x:c>
      <x:c r="I2980" s="1" t="str">
        <x:f>IF(H2980&gt;0,"Overbilled","Shortfall")</x:f>
        <x:v>Overbilled</x:v>
      </x:c>
      <x:c r="J2980" s="7"/>
      <x:c r="K2980" s="7" t="str">
        <x:v>Open</x:v>
      </x:c>
      <x:c r="L2980" s="7"/>
    </x:row>
    <x:row r="2981" ht="21" customHeight="1">
      <x:c r="A2981" s="1" t="str">
        <x:f>Source!A2975</x:f>
        <x:v>C0007777</x:v>
      </x:c>
      <x:c r="B2981" s="1" t="str">
        <x:f>_xlfn.IFNA(VLOOKUP(Source!B2975,Advertisers!$A$5:$B$34,2,FALSE),"Missing advertiser")</x:f>
        <x:v>Synthetic advertiser 8</x:v>
      </x:c>
      <x:c r="C2981" s="1" t="n">
        <x:f>Source!C2975</x:f>
        <x:v>8</x:v>
      </x:c>
      <x:c r="D2981" s="8" t="n">
        <x:f>Source!D2975/100</x:f>
        <x:v>163.05</x:v>
      </x:c>
      <x:c r="E2981" s="8" t="n">
        <x:f>Source!E2975/100</x:f>
        <x:v>178.05</x:v>
      </x:c>
      <x:c r="F2981" s="8" t="n">
        <x:f>Source!F2975/100</x:f>
        <x:v>0</x:v>
      </x:c>
      <x:c r="G2981" s="8" t="n">
        <x:f>Source!G2975/100</x:f>
        <x:v>178.05</x:v>
      </x:c>
      <x:c r="H2981" s="8" t="n">
        <x:f>G2981-D2981</x:f>
        <x:v>15</x:v>
      </x:c>
      <x:c r="I2981" s="1" t="str">
        <x:f>IF(H2981&gt;0,"Overbilled","Shortfall")</x:f>
        <x:v>Overbilled</x:v>
      </x:c>
      <x:c r="J2981" s="7"/>
      <x:c r="K2981" s="7" t="str">
        <x:v>Open</x:v>
      </x:c>
      <x:c r="L2981" s="7"/>
    </x:row>
    <x:row r="2982" ht="21" customHeight="1">
      <x:c r="A2982" s="1" t="str">
        <x:f>Source!A2976</x:f>
        <x:v>C0007788</x:v>
      </x:c>
      <x:c r="B2982" s="1" t="str">
        <x:f>_xlfn.IFNA(VLOOKUP(Source!B2976,Advertisers!$A$5:$B$34,2,FALSE),"Missing advertiser")</x:f>
        <x:v>Synthetic advertiser 29</x:v>
      </x:c>
      <x:c r="C2982" s="1" t="n">
        <x:f>Source!C2976</x:f>
        <x:v>29</x:v>
      </x:c>
      <x:c r="D2982" s="8" t="n">
        <x:f>Source!D2976/100</x:f>
        <x:v>156.15</x:v>
      </x:c>
      <x:c r="E2982" s="8" t="n">
        <x:f>Source!E2976/100</x:f>
        <x:v>171.15</x:v>
      </x:c>
      <x:c r="F2982" s="8" t="n">
        <x:f>Source!F2976/100</x:f>
        <x:v>0</x:v>
      </x:c>
      <x:c r="G2982" s="8" t="n">
        <x:f>Source!G2976/100</x:f>
        <x:v>171.15</x:v>
      </x:c>
      <x:c r="H2982" s="8" t="n">
        <x:f>G2982-D2982</x:f>
        <x:v>15</x:v>
      </x:c>
      <x:c r="I2982" s="1" t="str">
        <x:f>IF(H2982&gt;0,"Overbilled","Shortfall")</x:f>
        <x:v>Overbilled</x:v>
      </x:c>
      <x:c r="J2982" s="7"/>
      <x:c r="K2982" s="7" t="str">
        <x:v>Open</x:v>
      </x:c>
      <x:c r="L2982" s="7"/>
    </x:row>
    <x:row r="2983" ht="21" customHeight="1">
      <x:c r="A2983" s="1" t="str">
        <x:f>Source!A2977</x:f>
        <x:v>C0007866</x:v>
      </x:c>
      <x:c r="B2983" s="1" t="str">
        <x:f>_xlfn.IFNA(VLOOKUP(Source!B2977,Advertisers!$A$5:$B$34,2,FALSE),"Missing advertiser")</x:f>
        <x:v>Synthetic advertiser 1</x:v>
      </x:c>
      <x:c r="C2983" s="1" t="n">
        <x:f>Source!C2977</x:f>
        <x:v>1</x:v>
      </x:c>
      <x:c r="D2983" s="8" t="n">
        <x:f>Source!D2977/100</x:f>
        <x:v>245.13</x:v>
      </x:c>
      <x:c r="E2983" s="8" t="n">
        <x:f>Source!E2977/100</x:f>
        <x:v>260.13</x:v>
      </x:c>
      <x:c r="F2983" s="8" t="n">
        <x:f>Source!F2977/100</x:f>
        <x:v>0</x:v>
      </x:c>
      <x:c r="G2983" s="8" t="n">
        <x:f>Source!G2977/100</x:f>
        <x:v>260.13</x:v>
      </x:c>
      <x:c r="H2983" s="8" t="n">
        <x:f>G2983-D2983</x:f>
        <x:v>15</x:v>
      </x:c>
      <x:c r="I2983" s="1" t="str">
        <x:f>IF(H2983&gt;0,"Overbilled","Shortfall")</x:f>
        <x:v>Overbilled</x:v>
      </x:c>
      <x:c r="J2983" s="7"/>
      <x:c r="K2983" s="7" t="str">
        <x:v>Open</x:v>
      </x:c>
      <x:c r="L2983" s="7"/>
    </x:row>
    <x:row r="2984" ht="21" customHeight="1">
      <x:c r="A2984" s="1" t="str">
        <x:f>Source!A2978</x:f>
        <x:v>C0007868</x:v>
      </x:c>
      <x:c r="B2984" s="1" t="str">
        <x:f>_xlfn.IFNA(VLOOKUP(Source!B2978,Advertisers!$A$5:$B$34,2,FALSE),"Missing advertiser")</x:f>
        <x:v>Synthetic advertiser 24</x:v>
      </x:c>
      <x:c r="C2984" s="1" t="n">
        <x:f>Source!C2978</x:f>
        <x:v>54</x:v>
      </x:c>
      <x:c r="D2984" s="8" t="n">
        <x:f>Source!D2978/100</x:f>
        <x:v>125.27</x:v>
      </x:c>
      <x:c r="E2984" s="8" t="n">
        <x:f>Source!E2978/100</x:f>
        <x:v>140.27</x:v>
      </x:c>
      <x:c r="F2984" s="8" t="n">
        <x:f>Source!F2978/100</x:f>
        <x:v>0</x:v>
      </x:c>
      <x:c r="G2984" s="8" t="n">
        <x:f>Source!G2978/100</x:f>
        <x:v>140.27</x:v>
      </x:c>
      <x:c r="H2984" s="8" t="n">
        <x:f>G2984-D2984</x:f>
        <x:v>15.000000000000014</x:v>
      </x:c>
      <x:c r="I2984" s="1" t="str">
        <x:f>IF(H2984&gt;0,"Overbilled","Shortfall")</x:f>
        <x:v>Overbilled</x:v>
      </x:c>
      <x:c r="J2984" s="7"/>
      <x:c r="K2984" s="7" t="str">
        <x:v>Open</x:v>
      </x:c>
      <x:c r="L2984" s="7"/>
    </x:row>
    <x:row r="2985" ht="21" customHeight="1">
      <x:c r="A2985" s="1" t="str">
        <x:f>Source!A2979</x:f>
        <x:v>C0007903</x:v>
      </x:c>
      <x:c r="B2985" s="1" t="str">
        <x:f>_xlfn.IFNA(VLOOKUP(Source!B2979,Advertisers!$A$5:$B$34,2,FALSE),"Missing advertiser")</x:f>
        <x:v>Synthetic advertiser 8</x:v>
      </x:c>
      <x:c r="C2985" s="1" t="n">
        <x:f>Source!C2979</x:f>
        <x:v>98</x:v>
      </x:c>
      <x:c r="D2985" s="8" t="n">
        <x:f>Source!D2979/100</x:f>
        <x:v>129.23</x:v>
      </x:c>
      <x:c r="E2985" s="8" t="n">
        <x:f>Source!E2979/100</x:f>
        <x:v>144.23</x:v>
      </x:c>
      <x:c r="F2985" s="8" t="n">
        <x:f>Source!F2979/100</x:f>
        <x:v>0</x:v>
      </x:c>
      <x:c r="G2985" s="8" t="n">
        <x:f>Source!G2979/100</x:f>
        <x:v>144.23</x:v>
      </x:c>
      <x:c r="H2985" s="8" t="n">
        <x:f>G2985-D2985</x:f>
        <x:v>15</x:v>
      </x:c>
      <x:c r="I2985" s="1" t="str">
        <x:f>IF(H2985&gt;0,"Overbilled","Shortfall")</x:f>
        <x:v>Overbilled</x:v>
      </x:c>
      <x:c r="J2985" s="7"/>
      <x:c r="K2985" s="7" t="str">
        <x:v>Open</x:v>
      </x:c>
      <x:c r="L2985" s="7"/>
    </x:row>
    <x:row r="2986" ht="21" customHeight="1">
      <x:c r="A2986" s="1" t="str">
        <x:f>Source!A2980</x:f>
        <x:v>C0007905</x:v>
      </x:c>
      <x:c r="B2986" s="1" t="str">
        <x:f>_xlfn.IFNA(VLOOKUP(Source!B2980,Advertisers!$A$5:$B$34,2,FALSE),"Missing advertiser")</x:f>
        <x:v>Synthetic advertiser 1</x:v>
      </x:c>
      <x:c r="C2986" s="1" t="n">
        <x:f>Source!C2980</x:f>
        <x:v>91</x:v>
      </x:c>
      <x:c r="D2986" s="8" t="n">
        <x:f>Source!D2980/100</x:f>
        <x:v>98.33</x:v>
      </x:c>
      <x:c r="E2986" s="8" t="n">
        <x:f>Source!E2980/100</x:f>
        <x:v>113.33</x:v>
      </x:c>
      <x:c r="F2986" s="8" t="n">
        <x:f>Source!F2980/100</x:f>
        <x:v>0</x:v>
      </x:c>
      <x:c r="G2986" s="8" t="n">
        <x:f>Source!G2980/100</x:f>
        <x:v>113.33</x:v>
      </x:c>
      <x:c r="H2986" s="8" t="n">
        <x:f>G2986-D2986</x:f>
        <x:v>15</x:v>
      </x:c>
      <x:c r="I2986" s="1" t="str">
        <x:f>IF(H2986&gt;0,"Overbilled","Shortfall")</x:f>
        <x:v>Overbilled</x:v>
      </x:c>
      <x:c r="J2986" s="7"/>
      <x:c r="K2986" s="7" t="str">
        <x:v>Open</x:v>
      </x:c>
      <x:c r="L2986" s="7"/>
    </x:row>
    <x:row r="2987" ht="21" customHeight="1">
      <x:c r="A2987" s="1" t="str">
        <x:f>Source!A2981</x:f>
        <x:v>C0003520</x:v>
      </x:c>
      <x:c r="B2987" s="1" t="str">
        <x:f>_xlfn.IFNA(VLOOKUP(Source!B2981,Advertisers!$A$5:$B$34,2,FALSE),"Missing advertiser")</x:f>
        <x:v>Synthetic advertiser 25</x:v>
      </x:c>
      <x:c r="C2987" s="1" t="n">
        <x:f>Source!C2981</x:f>
        <x:v>115</x:v>
      </x:c>
      <x:c r="D2987" s="8" t="n">
        <x:f>Source!D2981/100</x:f>
        <x:v>126.03</x:v>
      </x:c>
      <x:c r="E2987" s="8" t="n">
        <x:f>Source!E2981/100</x:f>
        <x:v>141.03</x:v>
      </x:c>
      <x:c r="F2987" s="8" t="n">
        <x:f>Source!F2981/100</x:f>
        <x:v>0</x:v>
      </x:c>
      <x:c r="G2987" s="8" t="n">
        <x:f>Source!G2981/100</x:f>
        <x:v>141.03</x:v>
      </x:c>
      <x:c r="H2987" s="8" t="n">
        <x:f>G2987-D2987</x:f>
        <x:v>15</x:v>
      </x:c>
      <x:c r="I2987" s="1" t="str">
        <x:f>IF(H2987&gt;0,"Overbilled","Shortfall")</x:f>
        <x:v>Overbilled</x:v>
      </x:c>
      <x:c r="J2987" s="7"/>
      <x:c r="K2987" s="7" t="str">
        <x:v>Open</x:v>
      </x:c>
      <x:c r="L2987" s="7"/>
    </x:row>
    <x:row r="2988" ht="21" customHeight="1">
      <x:c r="A2988" s="1" t="str">
        <x:f>Source!A2982</x:f>
        <x:v>C0010557</x:v>
      </x:c>
      <x:c r="B2988" s="1" t="str">
        <x:f>_xlfn.IFNA(VLOOKUP(Source!B2982,Advertisers!$A$5:$B$34,2,FALSE),"Missing advertiser")</x:f>
        <x:v>Synthetic advertiser 4</x:v>
      </x:c>
      <x:c r="C2988" s="1" t="n">
        <x:f>Source!C2982</x:f>
        <x:v>64</x:v>
      </x:c>
      <x:c r="D2988" s="8" t="n">
        <x:f>Source!D2982/100</x:f>
        <x:v>496.14</x:v>
      </x:c>
      <x:c r="E2988" s="8" t="n">
        <x:f>Source!E2982/100</x:f>
        <x:v>511.14</x:v>
      </x:c>
      <x:c r="F2988" s="8" t="n">
        <x:f>Source!F2982/100</x:f>
        <x:v>0</x:v>
      </x:c>
      <x:c r="G2988" s="8" t="n">
        <x:f>Source!G2982/100</x:f>
        <x:v>511.14</x:v>
      </x:c>
      <x:c r="H2988" s="8" t="n">
        <x:f>G2988-D2988</x:f>
        <x:v>15</x:v>
      </x:c>
      <x:c r="I2988" s="1" t="str">
        <x:f>IF(H2988&gt;0,"Overbilled","Shortfall")</x:f>
        <x:v>Overbilled</x:v>
      </x:c>
      <x:c r="J2988" s="7"/>
      <x:c r="K2988" s="7" t="str">
        <x:v>Open</x:v>
      </x:c>
      <x:c r="L2988" s="7"/>
    </x:row>
    <x:row r="2989" ht="21" customHeight="1">
      <x:c r="A2989" s="1" t="str">
        <x:f>Source!A2983</x:f>
        <x:v>C0010582</x:v>
      </x:c>
      <x:c r="B2989" s="1" t="str">
        <x:f>_xlfn.IFNA(VLOOKUP(Source!B2983,Advertisers!$A$5:$B$34,2,FALSE),"Missing advertiser")</x:f>
        <x:v>Synthetic advertiser 5</x:v>
      </x:c>
      <x:c r="C2989" s="1" t="n">
        <x:f>Source!C2983</x:f>
        <x:v>35</x:v>
      </x:c>
      <x:c r="D2989" s="8" t="n">
        <x:f>Source!D2983/100</x:f>
        <x:v>218.72</x:v>
      </x:c>
      <x:c r="E2989" s="8" t="n">
        <x:f>Source!E2983/100</x:f>
        <x:v>233.72</x:v>
      </x:c>
      <x:c r="F2989" s="8" t="n">
        <x:f>Source!F2983/100</x:f>
        <x:v>0</x:v>
      </x:c>
      <x:c r="G2989" s="8" t="n">
        <x:f>Source!G2983/100</x:f>
        <x:v>233.72</x:v>
      </x:c>
      <x:c r="H2989" s="8" t="n">
        <x:f>G2989-D2989</x:f>
        <x:v>15</x:v>
      </x:c>
      <x:c r="I2989" s="1" t="str">
        <x:f>IF(H2989&gt;0,"Overbilled","Shortfall")</x:f>
        <x:v>Overbilled</x:v>
      </x:c>
      <x:c r="J2989" s="7"/>
      <x:c r="K2989" s="7" t="str">
        <x:v>Open</x:v>
      </x:c>
      <x:c r="L2989" s="7"/>
    </x:row>
    <x:row r="2990" ht="21" customHeight="1">
      <x:c r="A2990" s="1" t="str">
        <x:f>Source!A2984</x:f>
        <x:v>C0010589</x:v>
      </x:c>
      <x:c r="B2990" s="1" t="str">
        <x:f>_xlfn.IFNA(VLOOKUP(Source!B2984,Advertisers!$A$5:$B$34,2,FALSE),"Missing advertiser")</x:f>
        <x:v>Synthetic advertiser 4</x:v>
      </x:c>
      <x:c r="C2990" s="1" t="n">
        <x:f>Source!C2984</x:f>
        <x:v>34</x:v>
      </x:c>
      <x:c r="D2990" s="8" t="n">
        <x:f>Source!D2984/100</x:f>
        <x:v>99.88</x:v>
      </x:c>
      <x:c r="E2990" s="8" t="n">
        <x:f>Source!E2984/100</x:f>
        <x:v>114.88</x:v>
      </x:c>
      <x:c r="F2990" s="8" t="n">
        <x:f>Source!F2984/100</x:f>
        <x:v>0</x:v>
      </x:c>
      <x:c r="G2990" s="8" t="n">
        <x:f>Source!G2984/100</x:f>
        <x:v>114.88</x:v>
      </x:c>
      <x:c r="H2990" s="8" t="n">
        <x:f>G2990-D2990</x:f>
        <x:v>15</x:v>
      </x:c>
      <x:c r="I2990" s="1" t="str">
        <x:f>IF(H2990&gt;0,"Overbilled","Shortfall")</x:f>
        <x:v>Overbilled</x:v>
      </x:c>
      <x:c r="J2990" s="7"/>
      <x:c r="K2990" s="7" t="str">
        <x:v>Open</x:v>
      </x:c>
      <x:c r="L2990" s="7"/>
    </x:row>
    <x:row r="2991" ht="21" customHeight="1">
      <x:c r="A2991" s="1" t="str">
        <x:f>Source!A2985</x:f>
        <x:v>C0010622</x:v>
      </x:c>
      <x:c r="B2991" s="1" t="str">
        <x:f>_xlfn.IFNA(VLOOKUP(Source!B2985,Advertisers!$A$5:$B$34,2,FALSE),"Missing advertiser")</x:f>
        <x:v>Synthetic advertiser 7</x:v>
      </x:c>
      <x:c r="C2991" s="1" t="n">
        <x:f>Source!C2985</x:f>
        <x:v>97</x:v>
      </x:c>
      <x:c r="D2991" s="8" t="n">
        <x:f>Source!D2985/100</x:f>
        <x:v>168.91</x:v>
      </x:c>
      <x:c r="E2991" s="8" t="n">
        <x:f>Source!E2985/100</x:f>
        <x:v>183.91</x:v>
      </x:c>
      <x:c r="F2991" s="8" t="n">
        <x:f>Source!F2985/100</x:f>
        <x:v>0</x:v>
      </x:c>
      <x:c r="G2991" s="8" t="n">
        <x:f>Source!G2985/100</x:f>
        <x:v>183.91</x:v>
      </x:c>
      <x:c r="H2991" s="8" t="n">
        <x:f>G2991-D2991</x:f>
        <x:v>15</x:v>
      </x:c>
      <x:c r="I2991" s="1" t="str">
        <x:f>IF(H2991&gt;0,"Overbilled","Shortfall")</x:f>
        <x:v>Overbilled</x:v>
      </x:c>
      <x:c r="J2991" s="7"/>
      <x:c r="K2991" s="7" t="str">
        <x:v>Open</x:v>
      </x:c>
      <x:c r="L2991" s="7"/>
    </x:row>
    <x:row r="2992" ht="21" customHeight="1">
      <x:c r="A2992" s="1" t="str">
        <x:f>Source!A2986</x:f>
        <x:v>C0015061</x:v>
      </x:c>
      <x:c r="B2992" s="1" t="str">
        <x:f>_xlfn.IFNA(VLOOKUP(Source!B2986,Advertisers!$A$5:$B$34,2,FALSE),"Missing advertiser")</x:f>
        <x:v>Synthetic advertiser 10</x:v>
      </x:c>
      <x:c r="C2992" s="1" t="n">
        <x:f>Source!C2986</x:f>
        <x:v>40</x:v>
      </x:c>
      <x:c r="D2992" s="8" t="n">
        <x:f>Source!D2986/100</x:f>
        <x:v>237.19</x:v>
      </x:c>
      <x:c r="E2992" s="8" t="n">
        <x:f>Source!E2986/100</x:f>
        <x:v>252.19</x:v>
      </x:c>
      <x:c r="F2992" s="8" t="n">
        <x:f>Source!F2986/100</x:f>
        <x:v>0</x:v>
      </x:c>
      <x:c r="G2992" s="8" t="n">
        <x:f>Source!G2986/100</x:f>
        <x:v>252.19</x:v>
      </x:c>
      <x:c r="H2992" s="8" t="n">
        <x:f>G2992-D2992</x:f>
        <x:v>15</x:v>
      </x:c>
      <x:c r="I2992" s="1" t="str">
        <x:f>IF(H2992&gt;0,"Overbilled","Shortfall")</x:f>
        <x:v>Overbilled</x:v>
      </x:c>
      <x:c r="J2992" s="7"/>
      <x:c r="K2992" s="7" t="str">
        <x:v>Open</x:v>
      </x:c>
      <x:c r="L2992" s="7"/>
    </x:row>
    <x:row r="2993" ht="21" customHeight="1">
      <x:c r="A2993" s="1" t="str">
        <x:f>Source!A2987</x:f>
        <x:v>C0002803</x:v>
      </x:c>
      <x:c r="B2993" s="1" t="str">
        <x:f>_xlfn.IFNA(VLOOKUP(Source!B2987,Advertisers!$A$5:$B$34,2,FALSE),"Missing advertiser")</x:f>
        <x:v>Synthetic advertiser 11</x:v>
      </x:c>
      <x:c r="C2993" s="1" t="n">
        <x:f>Source!C2987</x:f>
        <x:v>101</x:v>
      </x:c>
      <x:c r="D2993" s="8" t="n">
        <x:f>Source!D2987/100</x:f>
        <x:v>493.42</x:v>
      </x:c>
      <x:c r="E2993" s="8" t="n">
        <x:f>Source!E2987/100</x:f>
        <x:v>508.42</x:v>
      </x:c>
      <x:c r="F2993" s="8" t="n">
        <x:f>Source!F2987/100</x:f>
        <x:v>0</x:v>
      </x:c>
      <x:c r="G2993" s="8" t="n">
        <x:f>Source!G2987/100</x:f>
        <x:v>508.42</x:v>
      </x:c>
      <x:c r="H2993" s="8" t="n">
        <x:f>G2993-D2993</x:f>
        <x:v>15</x:v>
      </x:c>
      <x:c r="I2993" s="1" t="str">
        <x:f>IF(H2993&gt;0,"Overbilled","Shortfall")</x:f>
        <x:v>Overbilled</x:v>
      </x:c>
      <x:c r="J2993" s="7"/>
      <x:c r="K2993" s="7" t="str">
        <x:v>Open</x:v>
      </x:c>
      <x:c r="L2993" s="7"/>
    </x:row>
    <x:row r="2994" ht="21" customHeight="1">
      <x:c r="A2994" s="1" t="str">
        <x:f>Source!A2988</x:f>
        <x:v>C0002839</x:v>
      </x:c>
      <x:c r="B2994" s="1" t="str">
        <x:f>_xlfn.IFNA(VLOOKUP(Source!B2988,Advertisers!$A$5:$B$34,2,FALSE),"Missing advertiser")</x:f>
        <x:v>Synthetic advertiser 26</x:v>
      </x:c>
      <x:c r="C2994" s="1" t="n">
        <x:f>Source!C2988</x:f>
        <x:v>86</x:v>
      </x:c>
      <x:c r="D2994" s="8" t="n">
        <x:f>Source!D2988/100</x:f>
        <x:v>58.21</x:v>
      </x:c>
      <x:c r="E2994" s="8" t="n">
        <x:f>Source!E2988/100</x:f>
        <x:v>73.21</x:v>
      </x:c>
      <x:c r="F2994" s="8" t="n">
        <x:f>Source!F2988/100</x:f>
        <x:v>0</x:v>
      </x:c>
      <x:c r="G2994" s="8" t="n">
        <x:f>Source!G2988/100</x:f>
        <x:v>73.21</x:v>
      </x:c>
      <x:c r="H2994" s="8" t="n">
        <x:f>G2994-D2994</x:f>
        <x:v>14.999999999999993</x:v>
      </x:c>
      <x:c r="I2994" s="1" t="str">
        <x:f>IF(H2994&gt;0,"Overbilled","Shortfall")</x:f>
        <x:v>Overbilled</x:v>
      </x:c>
      <x:c r="J2994" s="7"/>
      <x:c r="K2994" s="7" t="str">
        <x:v>Open</x:v>
      </x:c>
      <x:c r="L2994" s="7"/>
    </x:row>
    <x:row r="2995" ht="21" customHeight="1">
      <x:c r="A2995" s="1" t="str">
        <x:f>Source!A2989</x:f>
        <x:v>C0002843</x:v>
      </x:c>
      <x:c r="B2995" s="1" t="str">
        <x:f>_xlfn.IFNA(VLOOKUP(Source!B2989,Advertisers!$A$5:$B$34,2,FALSE),"Missing advertiser")</x:f>
        <x:v>Synthetic advertiser 5</x:v>
      </x:c>
      <x:c r="C2995" s="1" t="n">
        <x:f>Source!C2989</x:f>
        <x:v>65</x:v>
      </x:c>
      <x:c r="D2995" s="8" t="n">
        <x:f>Source!D2989/100</x:f>
        <x:v>136.76</x:v>
      </x:c>
      <x:c r="E2995" s="8" t="n">
        <x:f>Source!E2989/100</x:f>
        <x:v>151.76</x:v>
      </x:c>
      <x:c r="F2995" s="8" t="n">
        <x:f>Source!F2989/100</x:f>
        <x:v>0</x:v>
      </x:c>
      <x:c r="G2995" s="8" t="n">
        <x:f>Source!G2989/100</x:f>
        <x:v>151.76</x:v>
      </x:c>
      <x:c r="H2995" s="8" t="n">
        <x:f>G2995-D2995</x:f>
        <x:v>15</x:v>
      </x:c>
      <x:c r="I2995" s="1" t="str">
        <x:f>IF(H2995&gt;0,"Overbilled","Shortfall")</x:f>
        <x:v>Overbilled</x:v>
      </x:c>
      <x:c r="J2995" s="7"/>
      <x:c r="K2995" s="7" t="str">
        <x:v>Open</x:v>
      </x:c>
      <x:c r="L2995" s="7"/>
    </x:row>
    <x:row r="2996" ht="21" customHeight="1">
      <x:c r="A2996" s="1" t="str">
        <x:f>Source!A2990</x:f>
        <x:v>C0002873</x:v>
      </x:c>
      <x:c r="B2996" s="1" t="str">
        <x:f>_xlfn.IFNA(VLOOKUP(Source!B2990,Advertisers!$A$5:$B$34,2,FALSE),"Missing advertiser")</x:f>
        <x:v>Synthetic advertiser 12</x:v>
      </x:c>
      <x:c r="C2996" s="1" t="n">
        <x:f>Source!C2990</x:f>
        <x:v>12</x:v>
      </x:c>
      <x:c r="D2996" s="8" t="n">
        <x:f>Source!D2990/100</x:f>
        <x:v>379.88</x:v>
      </x:c>
      <x:c r="E2996" s="8" t="n">
        <x:f>Source!E2990/100</x:f>
        <x:v>394.88</x:v>
      </x:c>
      <x:c r="F2996" s="8" t="n">
        <x:f>Source!F2990/100</x:f>
        <x:v>0</x:v>
      </x:c>
      <x:c r="G2996" s="8" t="n">
        <x:f>Source!G2990/100</x:f>
        <x:v>394.88</x:v>
      </x:c>
      <x:c r="H2996" s="8" t="n">
        <x:f>G2996-D2996</x:f>
        <x:v>15</x:v>
      </x:c>
      <x:c r="I2996" s="1" t="str">
        <x:f>IF(H2996&gt;0,"Overbilled","Shortfall")</x:f>
        <x:v>Overbilled</x:v>
      </x:c>
      <x:c r="J2996" s="7"/>
      <x:c r="K2996" s="7" t="str">
        <x:v>Open</x:v>
      </x:c>
      <x:c r="L2996" s="7"/>
    </x:row>
    <x:row r="2997" ht="21" customHeight="1">
      <x:c r="A2997" s="1" t="str">
        <x:f>Source!A2991</x:f>
        <x:v>C0002883</x:v>
      </x:c>
      <x:c r="B2997" s="1" t="str">
        <x:f>_xlfn.IFNA(VLOOKUP(Source!B2991,Advertisers!$A$5:$B$34,2,FALSE),"Missing advertiser")</x:f>
        <x:v>Synthetic advertiser 3</x:v>
      </x:c>
      <x:c r="C2997" s="1" t="n">
        <x:f>Source!C2991</x:f>
        <x:v>3</x:v>
      </x:c>
      <x:c r="D2997" s="8" t="n">
        <x:f>Source!D2991/100</x:f>
        <x:v>244.14</x:v>
      </x:c>
      <x:c r="E2997" s="8" t="n">
        <x:f>Source!E2991/100</x:f>
        <x:v>259.14</x:v>
      </x:c>
      <x:c r="F2997" s="8" t="n">
        <x:f>Source!F2991/100</x:f>
        <x:v>0</x:v>
      </x:c>
      <x:c r="G2997" s="8" t="n">
        <x:f>Source!G2991/100</x:f>
        <x:v>259.14</x:v>
      </x:c>
      <x:c r="H2997" s="8" t="n">
        <x:f>G2997-D2997</x:f>
        <x:v>15</x:v>
      </x:c>
      <x:c r="I2997" s="1" t="str">
        <x:f>IF(H2997&gt;0,"Overbilled","Shortfall")</x:f>
        <x:v>Overbilled</x:v>
      </x:c>
      <x:c r="J2997" s="7"/>
      <x:c r="K2997" s="7" t="str">
        <x:v>Open</x:v>
      </x:c>
      <x:c r="L2997" s="7"/>
    </x:row>
    <x:row r="2998" ht="21" customHeight="1">
      <x:c r="A2998" s="1" t="str">
        <x:f>Source!A2992</x:f>
        <x:v>C0002932</x:v>
      </x:c>
      <x:c r="B2998" s="1" t="str">
        <x:f>_xlfn.IFNA(VLOOKUP(Source!B2992,Advertisers!$A$5:$B$34,2,FALSE),"Missing advertiser")</x:f>
        <x:v>Synthetic advertiser 9</x:v>
      </x:c>
      <x:c r="C2998" s="1" t="n">
        <x:f>Source!C2992</x:f>
        <x:v>39</x:v>
      </x:c>
      <x:c r="D2998" s="8" t="n">
        <x:f>Source!D2992/100</x:f>
        <x:v>57.02</x:v>
      </x:c>
      <x:c r="E2998" s="8" t="n">
        <x:f>Source!E2992/100</x:f>
        <x:v>72.02</x:v>
      </x:c>
      <x:c r="F2998" s="8" t="n">
        <x:f>Source!F2992/100</x:f>
        <x:v>0</x:v>
      </x:c>
      <x:c r="G2998" s="8" t="n">
        <x:f>Source!G2992/100</x:f>
        <x:v>72.02</x:v>
      </x:c>
      <x:c r="H2998" s="8" t="n">
        <x:f>G2998-D2998</x:f>
        <x:v>14.999999999999993</x:v>
      </x:c>
      <x:c r="I2998" s="1" t="str">
        <x:f>IF(H2998&gt;0,"Overbilled","Shortfall")</x:f>
        <x:v>Overbilled</x:v>
      </x:c>
      <x:c r="J2998" s="7"/>
      <x:c r="K2998" s="7" t="str">
        <x:v>Open</x:v>
      </x:c>
      <x:c r="L2998" s="7"/>
    </x:row>
    <x:row r="2999" ht="21" customHeight="1">
      <x:c r="A2999" s="1" t="str">
        <x:f>Source!A2993</x:f>
        <x:v>C0002934</x:v>
      </x:c>
      <x:c r="B2999" s="1" t="str">
        <x:f>_xlfn.IFNA(VLOOKUP(Source!B2993,Advertisers!$A$5:$B$34,2,FALSE),"Missing advertiser")</x:f>
        <x:v>Synthetic advertiser 3</x:v>
      </x:c>
      <x:c r="C2999" s="1" t="n">
        <x:f>Source!C2993</x:f>
        <x:v>63</x:v>
      </x:c>
      <x:c r="D2999" s="8" t="n">
        <x:f>Source!D2993/100</x:f>
        <x:v>127.57</x:v>
      </x:c>
      <x:c r="E2999" s="8" t="n">
        <x:f>Source!E2993/100</x:f>
        <x:v>142.57</x:v>
      </x:c>
      <x:c r="F2999" s="8" t="n">
        <x:f>Source!F2993/100</x:f>
        <x:v>0</x:v>
      </x:c>
      <x:c r="G2999" s="8" t="n">
        <x:f>Source!G2993/100</x:f>
        <x:v>142.57</x:v>
      </x:c>
      <x:c r="H2999" s="8" t="n">
        <x:f>G2999-D2999</x:f>
        <x:v>15</x:v>
      </x:c>
      <x:c r="I2999" s="1" t="str">
        <x:f>IF(H2999&gt;0,"Overbilled","Shortfall")</x:f>
        <x:v>Overbilled</x:v>
      </x:c>
      <x:c r="J2999" s="7"/>
      <x:c r="K2999" s="7" t="str">
        <x:v>Open</x:v>
      </x:c>
      <x:c r="L2999" s="7"/>
    </x:row>
    <x:row r="3000" ht="21" customHeight="1">
      <x:c r="A3000" s="1" t="str">
        <x:f>Source!A2994</x:f>
        <x:v>C0002958</x:v>
      </x:c>
      <x:c r="B3000" s="1" t="str">
        <x:f>_xlfn.IFNA(VLOOKUP(Source!B2994,Advertisers!$A$5:$B$34,2,FALSE),"Missing advertiser")</x:f>
        <x:v>Synthetic advertiser 30</x:v>
      </x:c>
      <x:c r="C3000" s="1" t="n">
        <x:f>Source!C2994</x:f>
        <x:v>60</x:v>
      </x:c>
      <x:c r="D3000" s="8" t="n">
        <x:f>Source!D2994/100</x:f>
        <x:v>153.86</x:v>
      </x:c>
      <x:c r="E3000" s="8" t="n">
        <x:f>Source!E2994/100</x:f>
        <x:v>168.86</x:v>
      </x:c>
      <x:c r="F3000" s="8" t="n">
        <x:f>Source!F2994/100</x:f>
        <x:v>0</x:v>
      </x:c>
      <x:c r="G3000" s="8" t="n">
        <x:f>Source!G2994/100</x:f>
        <x:v>168.86</x:v>
      </x:c>
      <x:c r="H3000" s="8" t="n">
        <x:f>G3000-D3000</x:f>
        <x:v>15</x:v>
      </x:c>
      <x:c r="I3000" s="1" t="str">
        <x:f>IF(H3000&gt;0,"Overbilled","Shortfall")</x:f>
        <x:v>Overbilled</x:v>
      </x:c>
      <x:c r="J3000" s="7"/>
      <x:c r="K3000" s="7" t="str">
        <x:v>Open</x:v>
      </x:c>
      <x:c r="L3000" s="7"/>
    </x:row>
    <x:row r="3001" ht="21" customHeight="1">
      <x:c r="A3001" s="1" t="str">
        <x:f>Source!A2995</x:f>
        <x:v>C0002971</x:v>
      </x:c>
      <x:c r="B3001" s="1" t="str">
        <x:f>_xlfn.IFNA(VLOOKUP(Source!B2995,Advertisers!$A$5:$B$34,2,FALSE),"Missing advertiser")</x:f>
        <x:v>Synthetic advertiser 18</x:v>
      </x:c>
      <x:c r="C3001" s="1" t="n">
        <x:f>Source!C2995</x:f>
        <x:v>48</x:v>
      </x:c>
      <x:c r="D3001" s="8" t="n">
        <x:f>Source!D2995/100</x:f>
        <x:v>217.38</x:v>
      </x:c>
      <x:c r="E3001" s="8" t="n">
        <x:f>Source!E2995/100</x:f>
        <x:v>232.38</x:v>
      </x:c>
      <x:c r="F3001" s="8" t="n">
        <x:f>Source!F2995/100</x:f>
        <x:v>0</x:v>
      </x:c>
      <x:c r="G3001" s="8" t="n">
        <x:f>Source!G2995/100</x:f>
        <x:v>232.38</x:v>
      </x:c>
      <x:c r="H3001" s="8" t="n">
        <x:f>G3001-D3001</x:f>
        <x:v>15</x:v>
      </x:c>
      <x:c r="I3001" s="1" t="str">
        <x:f>IF(H3001&gt;0,"Overbilled","Shortfall")</x:f>
        <x:v>Overbilled</x:v>
      </x:c>
      <x:c r="J3001" s="7"/>
      <x:c r="K3001" s="7" t="str">
        <x:v>Open</x:v>
      </x:c>
      <x:c r="L3001" s="7"/>
    </x:row>
    <x:row r="3002" ht="21" customHeight="1">
      <x:c r="A3002" s="1" t="str">
        <x:f>Source!A2996</x:f>
        <x:v>C0015078</x:v>
      </x:c>
      <x:c r="B3002" s="1" t="str">
        <x:f>_xlfn.IFNA(VLOOKUP(Source!B2996,Advertisers!$A$5:$B$34,2,FALSE),"Missing advertiser")</x:f>
        <x:v>Synthetic advertiser 20</x:v>
      </x:c>
      <x:c r="C3002" s="1" t="n">
        <x:f>Source!C2996</x:f>
        <x:v>50</x:v>
      </x:c>
      <x:c r="D3002" s="8" t="n">
        <x:f>Source!D2996/100</x:f>
        <x:v>232.13</x:v>
      </x:c>
      <x:c r="E3002" s="8" t="n">
        <x:f>Source!E2996/100</x:f>
        <x:v>247.13</x:v>
      </x:c>
      <x:c r="F3002" s="8" t="n">
        <x:f>Source!F2996/100</x:f>
        <x:v>0</x:v>
      </x:c>
      <x:c r="G3002" s="8" t="n">
        <x:f>Source!G2996/100</x:f>
        <x:v>247.13</x:v>
      </x:c>
      <x:c r="H3002" s="8" t="n">
        <x:f>G3002-D3002</x:f>
        <x:v>15</x:v>
      </x:c>
      <x:c r="I3002" s="1" t="str">
        <x:f>IF(H3002&gt;0,"Overbilled","Shortfall")</x:f>
        <x:v>Overbilled</x:v>
      </x:c>
      <x:c r="J3002" s="7"/>
      <x:c r="K3002" s="7" t="str">
        <x:v>Open</x:v>
      </x:c>
      <x:c r="L3002" s="7"/>
    </x:row>
    <x:row r="3003" ht="21" customHeight="1">
      <x:c r="A3003" s="1" t="str">
        <x:f>Source!A2997</x:f>
        <x:v>C0015108</x:v>
      </x:c>
      <x:c r="B3003" s="1" t="str">
        <x:f>_xlfn.IFNA(VLOOKUP(Source!B2997,Advertisers!$A$5:$B$34,2,FALSE),"Missing advertiser")</x:f>
        <x:v>Synthetic advertiser 25</x:v>
      </x:c>
      <x:c r="C3003" s="1" t="n">
        <x:f>Source!C2997</x:f>
        <x:v>85</x:v>
      </x:c>
      <x:c r="D3003" s="8" t="n">
        <x:f>Source!D2997/100</x:f>
        <x:v>113.89</x:v>
      </x:c>
      <x:c r="E3003" s="8" t="n">
        <x:f>Source!E2997/100</x:f>
        <x:v>128.89</x:v>
      </x:c>
      <x:c r="F3003" s="8" t="n">
        <x:f>Source!F2997/100</x:f>
        <x:v>0</x:v>
      </x:c>
      <x:c r="G3003" s="8" t="n">
        <x:f>Source!G2997/100</x:f>
        <x:v>128.89</x:v>
      </x:c>
      <x:c r="H3003" s="8" t="n">
        <x:f>G3003-D3003</x:f>
        <x:v>14.999999999999986</x:v>
      </x:c>
      <x:c r="I3003" s="1" t="str">
        <x:f>IF(H3003&gt;0,"Overbilled","Shortfall")</x:f>
        <x:v>Overbilled</x:v>
      </x:c>
      <x:c r="J3003" s="7"/>
      <x:c r="K3003" s="7" t="str">
        <x:v>Open</x:v>
      </x:c>
      <x:c r="L3003" s="7"/>
    </x:row>
    <x:row r="3004" ht="21" customHeight="1">
      <x:c r="A3004" s="1" t="str">
        <x:f>Source!A2998</x:f>
        <x:v>C0015137</x:v>
      </x:c>
      <x:c r="B3004" s="1" t="str">
        <x:f>_xlfn.IFNA(VLOOKUP(Source!B2998,Advertisers!$A$5:$B$34,2,FALSE),"Missing advertiser")</x:f>
        <x:v>Synthetic advertiser 14</x:v>
      </x:c>
      <x:c r="C3004" s="1" t="n">
        <x:f>Source!C2998</x:f>
        <x:v>104</x:v>
      </x:c>
      <x:c r="D3004" s="8" t="n">
        <x:f>Source!D2998/100</x:f>
        <x:v>287.06</x:v>
      </x:c>
      <x:c r="E3004" s="8" t="n">
        <x:f>Source!E2998/100</x:f>
        <x:v>302.06</x:v>
      </x:c>
      <x:c r="F3004" s="8" t="n">
        <x:f>Source!F2998/100</x:f>
        <x:v>0</x:v>
      </x:c>
      <x:c r="G3004" s="8" t="n">
        <x:f>Source!G2998/100</x:f>
        <x:v>302.06</x:v>
      </x:c>
      <x:c r="H3004" s="8" t="n">
        <x:f>G3004-D3004</x:f>
        <x:v>15</x:v>
      </x:c>
      <x:c r="I3004" s="1" t="str">
        <x:f>IF(H3004&gt;0,"Overbilled","Shortfall")</x:f>
        <x:v>Overbilled</x:v>
      </x:c>
      <x:c r="J3004" s="7"/>
      <x:c r="K3004" s="7" t="str">
        <x:v>Open</x:v>
      </x:c>
      <x:c r="L3004" s="7"/>
    </x:row>
    <x:row r="3005" ht="21" customHeight="1">
      <x:c r="A3005" s="1" t="str">
        <x:f>Source!A2999</x:f>
        <x:v>C0015143</x:v>
      </x:c>
      <x:c r="B3005" s="1" t="str">
        <x:f>_xlfn.IFNA(VLOOKUP(Source!B2999,Advertisers!$A$5:$B$34,2,FALSE),"Missing advertiser")</x:f>
        <x:v>Synthetic advertiser 17</x:v>
      </x:c>
      <x:c r="C3005" s="1" t="n">
        <x:f>Source!C2999</x:f>
        <x:v>17</x:v>
      </x:c>
      <x:c r="D3005" s="8" t="n">
        <x:f>Source!D2999/100</x:f>
        <x:v>158.45</x:v>
      </x:c>
      <x:c r="E3005" s="8" t="n">
        <x:f>Source!E2999/100</x:f>
        <x:v>173.45</x:v>
      </x:c>
      <x:c r="F3005" s="8" t="n">
        <x:f>Source!F2999/100</x:f>
        <x:v>0</x:v>
      </x:c>
      <x:c r="G3005" s="8" t="n">
        <x:f>Source!G2999/100</x:f>
        <x:v>173.45</x:v>
      </x:c>
      <x:c r="H3005" s="8" t="n">
        <x:f>G3005-D3005</x:f>
        <x:v>15</x:v>
      </x:c>
      <x:c r="I3005" s="1" t="str">
        <x:f>IF(H3005&gt;0,"Overbilled","Shortfall")</x:f>
        <x:v>Overbilled</x:v>
      </x:c>
      <x:c r="J3005" s="7"/>
      <x:c r="K3005" s="7" t="str">
        <x:v>Open</x:v>
      </x:c>
      <x:c r="L3005" s="7"/>
    </x:row>
    <x:row r="3006" ht="21" customHeight="1">
      <x:c r="A3006" s="1" t="str">
        <x:f>Source!A3000</x:f>
        <x:v>C0015186</x:v>
      </x:c>
      <x:c r="B3006" s="1" t="str">
        <x:f>_xlfn.IFNA(VLOOKUP(Source!B3000,Advertisers!$A$5:$B$34,2,FALSE),"Missing advertiser")</x:f>
        <x:v>Synthetic advertiser 16</x:v>
      </x:c>
      <x:c r="C3006" s="1" t="n">
        <x:f>Source!C3000</x:f>
        <x:v>106</x:v>
      </x:c>
      <x:c r="D3006" s="8" t="n">
        <x:f>Source!D3000/100</x:f>
        <x:v>143.68</x:v>
      </x:c>
      <x:c r="E3006" s="8" t="n">
        <x:f>Source!E3000/100</x:f>
        <x:v>158.68</x:v>
      </x:c>
      <x:c r="F3006" s="8" t="n">
        <x:f>Source!F3000/100</x:f>
        <x:v>0</x:v>
      </x:c>
      <x:c r="G3006" s="8" t="n">
        <x:f>Source!G3000/100</x:f>
        <x:v>158.68</x:v>
      </x:c>
      <x:c r="H3006" s="8" t="n">
        <x:f>G3006-D3006</x:f>
        <x:v>15</x:v>
      </x:c>
      <x:c r="I3006" s="1" t="str">
        <x:f>IF(H3006&gt;0,"Overbilled","Shortfall")</x:f>
        <x:v>Overbilled</x:v>
      </x:c>
      <x:c r="J3006" s="7"/>
      <x:c r="K3006" s="7" t="str">
        <x:v>Open</x:v>
      </x:c>
      <x:c r="L3006" s="7"/>
    </x:row>
    <x:row r="3007" ht="21" customHeight="1">
      <x:c r="A3007" s="1" t="str">
        <x:f>Source!A3001</x:f>
        <x:v>C0015189</x:v>
      </x:c>
      <x:c r="B3007" s="1" t="str">
        <x:f>_xlfn.IFNA(VLOOKUP(Source!B3001,Advertisers!$A$5:$B$34,2,FALSE),"Missing advertiser")</x:f>
        <x:v>Synthetic advertiser 13</x:v>
      </x:c>
      <x:c r="C3007" s="1" t="n">
        <x:f>Source!C3001</x:f>
        <x:v>103</x:v>
      </x:c>
      <x:c r="D3007" s="8" t="n">
        <x:f>Source!D3001/100</x:f>
        <x:v>236.26</x:v>
      </x:c>
      <x:c r="E3007" s="8" t="n">
        <x:f>Source!E3001/100</x:f>
        <x:v>251.26</x:v>
      </x:c>
      <x:c r="F3007" s="8" t="n">
        <x:f>Source!F3001/100</x:f>
        <x:v>0</x:v>
      </x:c>
      <x:c r="G3007" s="8" t="n">
        <x:f>Source!G3001/100</x:f>
        <x:v>251.26</x:v>
      </x:c>
      <x:c r="H3007" s="8" t="n">
        <x:f>G3007-D3007</x:f>
        <x:v>15</x:v>
      </x:c>
      <x:c r="I3007" s="1" t="str">
        <x:f>IF(H3007&gt;0,"Overbilled","Shortfall")</x:f>
        <x:v>Overbilled</x:v>
      </x:c>
      <x:c r="J3007" s="7"/>
      <x:c r="K3007" s="7" t="str">
        <x:v>Open</x:v>
      </x:c>
      <x:c r="L3007" s="7"/>
    </x:row>
    <x:row r="3008" ht="21" customHeight="1">
      <x:c r="A3008" s="1" t="str">
        <x:f>Source!A3002</x:f>
        <x:v>C0015195</x:v>
      </x:c>
      <x:c r="B3008" s="1" t="str">
        <x:f>_xlfn.IFNA(VLOOKUP(Source!B3002,Advertisers!$A$5:$B$34,2,FALSE),"Missing advertiser")</x:f>
        <x:v>Synthetic advertiser 18</x:v>
      </x:c>
      <x:c r="C3008" s="1" t="n">
        <x:f>Source!C3002</x:f>
        <x:v>48</x:v>
      </x:c>
      <x:c r="D3008" s="8" t="n">
        <x:f>Source!D3002/100</x:f>
        <x:v>217.38</x:v>
      </x:c>
      <x:c r="E3008" s="8" t="n">
        <x:f>Source!E3002/100</x:f>
        <x:v>232.38</x:v>
      </x:c>
      <x:c r="F3008" s="8" t="n">
        <x:f>Source!F3002/100</x:f>
        <x:v>0</x:v>
      </x:c>
      <x:c r="G3008" s="8" t="n">
        <x:f>Source!G3002/100</x:f>
        <x:v>232.38</x:v>
      </x:c>
      <x:c r="H3008" s="8" t="n">
        <x:f>G3008-D3008</x:f>
        <x:v>15</x:v>
      </x:c>
      <x:c r="I3008" s="1" t="str">
        <x:f>IF(H3008&gt;0,"Overbilled","Shortfall")</x:f>
        <x:v>Overbilled</x:v>
      </x:c>
      <x:c r="J3008" s="7"/>
      <x:c r="K3008" s="7" t="str">
        <x:v>Open</x:v>
      </x:c>
      <x:c r="L3008" s="7"/>
    </x:row>
    <x:row r="3009" ht="21" customHeight="1">
      <x:c r="A3009" s="1" t="str">
        <x:f>Source!A3003</x:f>
        <x:v>C0015246</x:v>
      </x:c>
      <x:c r="B3009" s="1" t="str">
        <x:f>_xlfn.IFNA(VLOOKUP(Source!B3003,Advertisers!$A$5:$B$34,2,FALSE),"Missing advertiser")</x:f>
        <x:v>Synthetic advertiser 20</x:v>
      </x:c>
      <x:c r="C3009" s="1" t="n">
        <x:f>Source!C3003</x:f>
        <x:v>80</x:v>
      </x:c>
      <x:c r="D3009" s="8" t="n">
        <x:f>Source!D3003/100</x:f>
        <x:v>169.04</x:v>
      </x:c>
      <x:c r="E3009" s="8" t="n">
        <x:f>Source!E3003/100</x:f>
        <x:v>184.04</x:v>
      </x:c>
      <x:c r="F3009" s="8" t="n">
        <x:f>Source!F3003/100</x:f>
        <x:v>0</x:v>
      </x:c>
      <x:c r="G3009" s="8" t="n">
        <x:f>Source!G3003/100</x:f>
        <x:v>184.04</x:v>
      </x:c>
      <x:c r="H3009" s="8" t="n">
        <x:f>G3009-D3009</x:f>
        <x:v>15</x:v>
      </x:c>
      <x:c r="I3009" s="1" t="str">
        <x:f>IF(H3009&gt;0,"Overbilled","Shortfall")</x:f>
        <x:v>Overbilled</x:v>
      </x:c>
      <x:c r="J3009" s="7"/>
      <x:c r="K3009" s="7" t="str">
        <x:v>Open</x:v>
      </x:c>
      <x:c r="L3009" s="7"/>
    </x:row>
    <x:row r="3010" ht="21" customHeight="1">
      <x:c r="A3010" s="1" t="str">
        <x:f>Source!A3004</x:f>
        <x:v>C0015250</x:v>
      </x:c>
      <x:c r="B3010" s="1" t="str">
        <x:f>_xlfn.IFNA(VLOOKUP(Source!B3004,Advertisers!$A$5:$B$34,2,FALSE),"Missing advertiser")</x:f>
        <x:v>Synthetic advertiser 19</x:v>
      </x:c>
      <x:c r="C3010" s="1" t="n">
        <x:f>Source!C3004</x:f>
        <x:v>79</x:v>
      </x:c>
      <x:c r="D3010" s="8" t="n">
        <x:f>Source!D3004/100</x:f>
        <x:v>218.54</x:v>
      </x:c>
      <x:c r="E3010" s="8" t="n">
        <x:f>Source!E3004/100</x:f>
        <x:v>233.54</x:v>
      </x:c>
      <x:c r="F3010" s="8" t="n">
        <x:f>Source!F3004/100</x:f>
        <x:v>0</x:v>
      </x:c>
      <x:c r="G3010" s="8" t="n">
        <x:f>Source!G3004/100</x:f>
        <x:v>233.54</x:v>
      </x:c>
      <x:c r="H3010" s="8" t="n">
        <x:f>G3010-D3010</x:f>
        <x:v>15</x:v>
      </x:c>
      <x:c r="I3010" s="1" t="str">
        <x:f>IF(H3010&gt;0,"Overbilled","Shortfall")</x:f>
        <x:v>Overbilled</x:v>
      </x:c>
      <x:c r="J3010" s="7"/>
      <x:c r="K3010" s="7" t="str">
        <x:v>Open</x:v>
      </x:c>
      <x:c r="L3010" s="7"/>
    </x:row>
    <x:row r="3011" ht="21" customHeight="1">
      <x:c r="A3011" s="1" t="str">
        <x:f>Source!A3005</x:f>
        <x:v>C0002585</x:v>
      </x:c>
      <x:c r="B3011" s="1" t="str">
        <x:f>_xlfn.IFNA(VLOOKUP(Source!B3005,Advertisers!$A$5:$B$34,2,FALSE),"Missing advertiser")</x:f>
        <x:v>Synthetic advertiser 12</x:v>
      </x:c>
      <x:c r="C3011" s="1" t="n">
        <x:f>Source!C3005</x:f>
        <x:v>72</x:v>
      </x:c>
      <x:c r="D3011" s="8" t="n">
        <x:f>Source!D3005/100</x:f>
        <x:v>180.82</x:v>
      </x:c>
      <x:c r="E3011" s="8" t="n">
        <x:f>Source!E3005/100</x:f>
        <x:v>195.82</x:v>
      </x:c>
      <x:c r="F3011" s="8" t="n">
        <x:f>Source!F3005/100</x:f>
        <x:v>0</x:v>
      </x:c>
      <x:c r="G3011" s="8" t="n">
        <x:f>Source!G3005/100</x:f>
        <x:v>195.82</x:v>
      </x:c>
      <x:c r="H3011" s="8" t="n">
        <x:f>G3011-D3011</x:f>
        <x:v>15</x:v>
      </x:c>
      <x:c r="I3011" s="1" t="str">
        <x:f>IF(H3011&gt;0,"Overbilled","Shortfall")</x:f>
        <x:v>Overbilled</x:v>
      </x:c>
      <x:c r="J3011" s="7"/>
      <x:c r="K3011" s="7" t="str">
        <x:v>Open</x:v>
      </x:c>
      <x:c r="L3011" s="7"/>
    </x:row>
    <x:row r="3012" ht="21" customHeight="1">
      <x:c r="A3012" s="1" t="str">
        <x:f>Source!A3006</x:f>
        <x:v>C0002589</x:v>
      </x:c>
      <x:c r="B3012" s="1" t="str">
        <x:f>_xlfn.IFNA(VLOOKUP(Source!B3006,Advertisers!$A$5:$B$34,2,FALSE),"Missing advertiser")</x:f>
        <x:v>Synthetic advertiser 6</x:v>
      </x:c>
      <x:c r="C3012" s="1" t="n">
        <x:f>Source!C3006</x:f>
        <x:v>6</x:v>
      </x:c>
      <x:c r="D3012" s="8" t="n">
        <x:f>Source!D3006/100</x:f>
        <x:v>97.91</x:v>
      </x:c>
      <x:c r="E3012" s="8" t="n">
        <x:f>Source!E3006/100</x:f>
        <x:v>112.91</x:v>
      </x:c>
      <x:c r="F3012" s="8" t="n">
        <x:f>Source!F3006/100</x:f>
        <x:v>0</x:v>
      </x:c>
      <x:c r="G3012" s="8" t="n">
        <x:f>Source!G3006/100</x:f>
        <x:v>112.91</x:v>
      </x:c>
      <x:c r="H3012" s="8" t="n">
        <x:f>G3012-D3012</x:f>
        <x:v>15</x:v>
      </x:c>
      <x:c r="I3012" s="1" t="str">
        <x:f>IF(H3012&gt;0,"Overbilled","Shortfall")</x:f>
        <x:v>Overbilled</x:v>
      </x:c>
      <x:c r="J3012" s="7"/>
      <x:c r="K3012" s="7" t="str">
        <x:v>Open</x:v>
      </x:c>
      <x:c r="L3012" s="7"/>
    </x:row>
    <x:row r="3013" ht="21" customHeight="1">
      <x:c r="A3013" s="1" t="str">
        <x:f>Source!A3007</x:f>
        <x:v>C0002653</x:v>
      </x:c>
      <x:c r="B3013" s="1" t="str">
        <x:f>_xlfn.IFNA(VLOOKUP(Source!B3007,Advertisers!$A$5:$B$34,2,FALSE),"Missing advertiser")</x:f>
        <x:v>Synthetic advertiser 14</x:v>
      </x:c>
      <x:c r="C3013" s="1" t="n">
        <x:f>Source!C3007</x:f>
        <x:v>104</x:v>
      </x:c>
      <x:c r="D3013" s="8" t="n">
        <x:f>Source!D3007/100</x:f>
        <x:v>171.75</x:v>
      </x:c>
      <x:c r="E3013" s="8" t="n">
        <x:f>Source!E3007/100</x:f>
        <x:v>186.75</x:v>
      </x:c>
      <x:c r="F3013" s="8" t="n">
        <x:f>Source!F3007/100</x:f>
        <x:v>0</x:v>
      </x:c>
      <x:c r="G3013" s="8" t="n">
        <x:f>Source!G3007/100</x:f>
        <x:v>186.75</x:v>
      </x:c>
      <x:c r="H3013" s="8" t="n">
        <x:f>G3013-D3013</x:f>
        <x:v>15</x:v>
      </x:c>
      <x:c r="I3013" s="1" t="str">
        <x:f>IF(H3013&gt;0,"Overbilled","Shortfall")</x:f>
        <x:v>Overbilled</x:v>
      </x:c>
      <x:c r="J3013" s="7"/>
      <x:c r="K3013" s="7" t="str">
        <x:v>Open</x:v>
      </x:c>
      <x:c r="L3013" s="7"/>
    </x:row>
    <x:row r="3014" ht="21" customHeight="1">
      <x:c r="A3014" s="1" t="str">
        <x:f>Source!A3008</x:f>
        <x:v>C0002693</x:v>
      </x:c>
      <x:c r="B3014" s="1" t="str">
        <x:f>_xlfn.IFNA(VLOOKUP(Source!B3008,Advertisers!$A$5:$B$34,2,FALSE),"Missing advertiser")</x:f>
        <x:v>Synthetic advertiser 28</x:v>
      </x:c>
      <x:c r="C3014" s="1" t="n">
        <x:f>Source!C3008</x:f>
        <x:v>28</x:v>
      </x:c>
      <x:c r="D3014" s="8" t="n">
        <x:f>Source!D3008/100</x:f>
        <x:v>243.25</x:v>
      </x:c>
      <x:c r="E3014" s="8" t="n">
        <x:f>Source!E3008/100</x:f>
        <x:v>258.25</x:v>
      </x:c>
      <x:c r="F3014" s="8" t="n">
        <x:f>Source!F3008/100</x:f>
        <x:v>0</x:v>
      </x:c>
      <x:c r="G3014" s="8" t="n">
        <x:f>Source!G3008/100</x:f>
        <x:v>258.25</x:v>
      </x:c>
      <x:c r="H3014" s="8" t="n">
        <x:f>G3014-D3014</x:f>
        <x:v>15</x:v>
      </x:c>
      <x:c r="I3014" s="1" t="str">
        <x:f>IF(H3014&gt;0,"Overbilled","Shortfall")</x:f>
        <x:v>Overbilled</x:v>
      </x:c>
      <x:c r="J3014" s="7"/>
      <x:c r="K3014" s="7" t="str">
        <x:v>Open</x:v>
      </x:c>
      <x:c r="L3014" s="7"/>
    </x:row>
    <x:row r="3015" ht="21" customHeight="1">
      <x:c r="A3015" s="1" t="str">
        <x:f>Source!A3009</x:f>
        <x:v>C0015068</x:v>
      </x:c>
      <x:c r="B3015" s="1" t="str">
        <x:f>_xlfn.IFNA(VLOOKUP(Source!B3009,Advertisers!$A$5:$B$34,2,FALSE),"Missing advertiser")</x:f>
        <x:v>Synthetic advertiser 19</x:v>
      </x:c>
      <x:c r="C3015" s="1" t="n">
        <x:f>Source!C3009</x:f>
        <x:v>49</x:v>
      </x:c>
      <x:c r="D3015" s="8" t="n">
        <x:f>Source!D3009/100</x:f>
        <x:v>229.41</x:v>
      </x:c>
      <x:c r="E3015" s="8" t="n">
        <x:f>Source!E3009/100</x:f>
        <x:v>244.41</x:v>
      </x:c>
      <x:c r="F3015" s="8" t="n">
        <x:f>Source!F3009/100</x:f>
        <x:v>0</x:v>
      </x:c>
      <x:c r="G3015" s="8" t="n">
        <x:f>Source!G3009/100</x:f>
        <x:v>244.41</x:v>
      </x:c>
      <x:c r="H3015" s="8" t="n">
        <x:f>G3015-D3015</x:f>
        <x:v>15</x:v>
      </x:c>
      <x:c r="I3015" s="1" t="str">
        <x:f>IF(H3015&gt;0,"Overbilled","Shortfall")</x:f>
        <x:v>Overbilled</x:v>
      </x:c>
      <x:c r="J3015" s="7"/>
      <x:c r="K3015" s="7" t="str">
        <x:v>Open</x:v>
      </x:c>
      <x:c r="L3015" s="7"/>
    </x:row>
    <x:row r="3016" ht="21" customHeight="1">
      <x:c r="A3016" s="1" t="str">
        <x:f>Source!A3010</x:f>
        <x:v>C0002978</x:v>
      </x:c>
      <x:c r="B3016" s="1" t="str">
        <x:f>_xlfn.IFNA(VLOOKUP(Source!B3010,Advertisers!$A$5:$B$34,2,FALSE),"Missing advertiser")</x:f>
        <x:v>Synthetic advertiser 9</x:v>
      </x:c>
      <x:c r="C3016" s="1" t="n">
        <x:f>Source!C3010</x:f>
        <x:v>69</x:v>
      </x:c>
      <x:c r="D3016" s="8" t="n">
        <x:f>Source!D3010/100</x:f>
        <x:v>128.3</x:v>
      </x:c>
      <x:c r="E3016" s="8" t="n">
        <x:f>Source!E3010/100</x:f>
        <x:v>143.3</x:v>
      </x:c>
      <x:c r="F3016" s="8" t="n">
        <x:f>Source!F3010/100</x:f>
        <x:v>0</x:v>
      </x:c>
      <x:c r="G3016" s="8" t="n">
        <x:f>Source!G3010/100</x:f>
        <x:v>143.3</x:v>
      </x:c>
      <x:c r="H3016" s="8" t="n">
        <x:f>G3016-D3016</x:f>
        <x:v>15</x:v>
      </x:c>
      <x:c r="I3016" s="1" t="str">
        <x:f>IF(H3016&gt;0,"Overbilled","Shortfall")</x:f>
        <x:v>Overbilled</x:v>
      </x:c>
      <x:c r="J3016" s="7"/>
      <x:c r="K3016" s="7" t="str">
        <x:v>Open</x:v>
      </x:c>
      <x:c r="L3016" s="7"/>
    </x:row>
    <x:row r="3017" ht="21" customHeight="1">
      <x:c r="A3017" s="1" t="str">
        <x:f>Source!A3011</x:f>
        <x:v>C0002986</x:v>
      </x:c>
      <x:c r="B3017" s="1" t="str">
        <x:f>_xlfn.IFNA(VLOOKUP(Source!B3011,Advertisers!$A$5:$B$34,2,FALSE),"Missing advertiser")</x:f>
        <x:v>Synthetic advertiser 10</x:v>
      </x:c>
      <x:c r="C3017" s="1" t="n">
        <x:f>Source!C3011</x:f>
        <x:v>100</x:v>
      </x:c>
      <x:c r="D3017" s="8" t="n">
        <x:f>Source!D3011/100</x:f>
        <x:v>68.81</x:v>
      </x:c>
      <x:c r="E3017" s="8" t="n">
        <x:f>Source!E3011/100</x:f>
        <x:v>83.81</x:v>
      </x:c>
      <x:c r="F3017" s="8" t="n">
        <x:f>Source!F3011/100</x:f>
        <x:v>0</x:v>
      </x:c>
      <x:c r="G3017" s="8" t="n">
        <x:f>Source!G3011/100</x:f>
        <x:v>83.81</x:v>
      </x:c>
      <x:c r="H3017" s="8" t="n">
        <x:f>G3017-D3017</x:f>
        <x:v>15</x:v>
      </x:c>
      <x:c r="I3017" s="1" t="str">
        <x:f>IF(H3017&gt;0,"Overbilled","Shortfall")</x:f>
        <x:v>Overbilled</x:v>
      </x:c>
      <x:c r="J3017" s="7"/>
      <x:c r="K3017" s="7" t="str">
        <x:v>Open</x:v>
      </x:c>
      <x:c r="L3017" s="7"/>
    </x:row>
    <x:row r="3018" ht="21" customHeight="1">
      <x:c r="A3018" s="1" t="str">
        <x:f>Source!A3012</x:f>
        <x:v>C0002988</x:v>
      </x:c>
      <x:c r="B3018" s="1" t="str">
        <x:f>_xlfn.IFNA(VLOOKUP(Source!B3012,Advertisers!$A$5:$B$34,2,FALSE),"Missing advertiser")</x:f>
        <x:v>Synthetic advertiser 17</x:v>
      </x:c>
      <x:c r="C3018" s="1" t="n">
        <x:f>Source!C3012</x:f>
        <x:v>17</x:v>
      </x:c>
      <x:c r="D3018" s="8" t="n">
        <x:f>Source!D3012/100</x:f>
        <x:v>148.14</x:v>
      </x:c>
      <x:c r="E3018" s="8" t="n">
        <x:f>Source!E3012/100</x:f>
        <x:v>163.14</x:v>
      </x:c>
      <x:c r="F3018" s="8" t="n">
        <x:f>Source!F3012/100</x:f>
        <x:v>0</x:v>
      </x:c>
      <x:c r="G3018" s="8" t="n">
        <x:f>Source!G3012/100</x:f>
        <x:v>163.14</x:v>
      </x:c>
      <x:c r="H3018" s="8" t="n">
        <x:f>G3018-D3018</x:f>
        <x:v>15</x:v>
      </x:c>
      <x:c r="I3018" s="1" t="str">
        <x:f>IF(H3018&gt;0,"Overbilled","Shortfall")</x:f>
        <x:v>Overbilled</x:v>
      </x:c>
      <x:c r="J3018" s="7"/>
      <x:c r="K3018" s="7" t="str">
        <x:v>Open</x:v>
      </x:c>
      <x:c r="L3018" s="7"/>
    </x:row>
    <x:row r="3019" ht="21" customHeight="1">
      <x:c r="A3019" s="1" t="str">
        <x:f>Source!A3013</x:f>
        <x:v>C0002996</x:v>
      </x:c>
      <x:c r="B3019" s="1" t="str">
        <x:f>_xlfn.IFNA(VLOOKUP(Source!B3013,Advertisers!$A$5:$B$34,2,FALSE),"Missing advertiser")</x:f>
        <x:v>Synthetic advertiser 15</x:v>
      </x:c>
      <x:c r="C3019" s="1" t="n">
        <x:f>Source!C3013</x:f>
        <x:v>45</x:v>
      </x:c>
      <x:c r="D3019" s="8" t="n">
        <x:f>Source!D3013/100</x:f>
        <x:v>195.94</x:v>
      </x:c>
      <x:c r="E3019" s="8" t="n">
        <x:f>Source!E3013/100</x:f>
        <x:v>210.94</x:v>
      </x:c>
      <x:c r="F3019" s="8" t="n">
        <x:f>Source!F3013/100</x:f>
        <x:v>0</x:v>
      </x:c>
      <x:c r="G3019" s="8" t="n">
        <x:f>Source!G3013/100</x:f>
        <x:v>210.94</x:v>
      </x:c>
      <x:c r="H3019" s="8" t="n">
        <x:f>G3019-D3019</x:f>
        <x:v>15</x:v>
      </x:c>
      <x:c r="I3019" s="1" t="str">
        <x:f>IF(H3019&gt;0,"Overbilled","Shortfall")</x:f>
        <x:v>Overbilled</x:v>
      </x:c>
      <x:c r="J3019" s="7"/>
      <x:c r="K3019" s="7" t="str">
        <x:v>Open</x:v>
      </x:c>
      <x:c r="L3019" s="7"/>
    </x:row>
    <x:row r="3020" ht="21" customHeight="1">
      <x:c r="A3020" s="1" t="str">
        <x:f>Source!A3014</x:f>
        <x:v>C0002999</x:v>
      </x:c>
      <x:c r="B3020" s="1" t="str">
        <x:f>_xlfn.IFNA(VLOOKUP(Source!B3014,Advertisers!$A$5:$B$34,2,FALSE),"Missing advertiser")</x:f>
        <x:v>Synthetic advertiser 19</x:v>
      </x:c>
      <x:c r="C3020" s="1" t="n">
        <x:f>Source!C3014</x:f>
        <x:v>79</x:v>
      </x:c>
      <x:c r="D3020" s="8" t="n">
        <x:f>Source!D3014/100</x:f>
        <x:v>218.54</x:v>
      </x:c>
      <x:c r="E3020" s="8" t="n">
        <x:f>Source!E3014/100</x:f>
        <x:v>233.54</x:v>
      </x:c>
      <x:c r="F3020" s="8" t="n">
        <x:f>Source!F3014/100</x:f>
        <x:v>0</x:v>
      </x:c>
      <x:c r="G3020" s="8" t="n">
        <x:f>Source!G3014/100</x:f>
        <x:v>233.54</x:v>
      </x:c>
      <x:c r="H3020" s="8" t="n">
        <x:f>G3020-D3020</x:f>
        <x:v>15</x:v>
      </x:c>
      <x:c r="I3020" s="1" t="str">
        <x:f>IF(H3020&gt;0,"Overbilled","Shortfall")</x:f>
        <x:v>Overbilled</x:v>
      </x:c>
      <x:c r="J3020" s="7"/>
      <x:c r="K3020" s="7" t="str">
        <x:v>Open</x:v>
      </x:c>
      <x:c r="L3020" s="7"/>
    </x:row>
    <x:row r="3021" ht="21" customHeight="1">
      <x:c r="A3021" s="1" t="str">
        <x:f>Source!A3015</x:f>
        <x:v>C0003012</x:v>
      </x:c>
      <x:c r="B3021" s="1" t="str">
        <x:f>_xlfn.IFNA(VLOOKUP(Source!B3015,Advertisers!$A$5:$B$34,2,FALSE),"Missing advertiser")</x:f>
        <x:v>Synthetic advertiser 8</x:v>
      </x:c>
      <x:c r="C3021" s="1" t="n">
        <x:f>Source!C3015</x:f>
        <x:v>8</x:v>
      </x:c>
      <x:c r="D3021" s="8" t="n">
        <x:f>Source!D3015/100</x:f>
        <x:v>110.79</x:v>
      </x:c>
      <x:c r="E3021" s="8" t="n">
        <x:f>Source!E3015/100</x:f>
        <x:v>125.79</x:v>
      </x:c>
      <x:c r="F3021" s="8" t="n">
        <x:f>Source!F3015/100</x:f>
        <x:v>0</x:v>
      </x:c>
      <x:c r="G3021" s="8" t="n">
        <x:f>Source!G3015/100</x:f>
        <x:v>125.79</x:v>
      </x:c>
      <x:c r="H3021" s="8" t="n">
        <x:f>G3021-D3021</x:f>
        <x:v>15</x:v>
      </x:c>
      <x:c r="I3021" s="1" t="str">
        <x:f>IF(H3021&gt;0,"Overbilled","Shortfall")</x:f>
        <x:v>Overbilled</x:v>
      </x:c>
      <x:c r="J3021" s="7"/>
      <x:c r="K3021" s="7" t="str">
        <x:v>Open</x:v>
      </x:c>
      <x:c r="L3021" s="7"/>
    </x:row>
    <x:row r="3022" ht="21" customHeight="1">
      <x:c r="A3022" s="1" t="str">
        <x:f>Source!A3016</x:f>
        <x:v>C0003027</x:v>
      </x:c>
      <x:c r="B3022" s="1" t="str">
        <x:f>_xlfn.IFNA(VLOOKUP(Source!B3016,Advertisers!$A$5:$B$34,2,FALSE),"Missing advertiser")</x:f>
        <x:v>Synthetic advertiser 27</x:v>
      </x:c>
      <x:c r="C3022" s="1" t="n">
        <x:f>Source!C3016</x:f>
        <x:v>57</x:v>
      </x:c>
      <x:c r="D3022" s="8" t="n">
        <x:f>Source!D3016/100</x:f>
        <x:v>93.52</x:v>
      </x:c>
      <x:c r="E3022" s="8" t="n">
        <x:f>Source!E3016/100</x:f>
        <x:v>108.52</x:v>
      </x:c>
      <x:c r="F3022" s="8" t="n">
        <x:f>Source!F3016/100</x:f>
        <x:v>0</x:v>
      </x:c>
      <x:c r="G3022" s="8" t="n">
        <x:f>Source!G3016/100</x:f>
        <x:v>108.52</x:v>
      </x:c>
      <x:c r="H3022" s="8" t="n">
        <x:f>G3022-D3022</x:f>
        <x:v>15</x:v>
      </x:c>
      <x:c r="I3022" s="1" t="str">
        <x:f>IF(H3022&gt;0,"Overbilled","Shortfall")</x:f>
        <x:v>Overbilled</x:v>
      </x:c>
      <x:c r="J3022" s="7"/>
      <x:c r="K3022" s="7" t="str">
        <x:v>Open</x:v>
      </x:c>
      <x:c r="L3022" s="7"/>
    </x:row>
    <x:row r="3023" ht="21" customHeight="1">
      <x:c r="A3023" s="1" t="str">
        <x:f>Source!A3017</x:f>
        <x:v>C0003051</x:v>
      </x:c>
      <x:c r="B3023" s="1" t="str">
        <x:f>_xlfn.IFNA(VLOOKUP(Source!B3017,Advertisers!$A$5:$B$34,2,FALSE),"Missing advertiser")</x:f>
        <x:v>Synthetic advertiser 21</x:v>
      </x:c>
      <x:c r="C3023" s="1" t="n">
        <x:f>Source!C3017</x:f>
        <x:v>111</x:v>
      </x:c>
      <x:c r="D3023" s="8" t="n">
        <x:f>Source!D3017/100</x:f>
        <x:v>96.58</x:v>
      </x:c>
      <x:c r="E3023" s="8" t="n">
        <x:f>Source!E3017/100</x:f>
        <x:v>111.58</x:v>
      </x:c>
      <x:c r="F3023" s="8" t="n">
        <x:f>Source!F3017/100</x:f>
        <x:v>0</x:v>
      </x:c>
      <x:c r="G3023" s="8" t="n">
        <x:f>Source!G3017/100</x:f>
        <x:v>111.58</x:v>
      </x:c>
      <x:c r="H3023" s="8" t="n">
        <x:f>G3023-D3023</x:f>
        <x:v>15</x:v>
      </x:c>
      <x:c r="I3023" s="1" t="str">
        <x:f>IF(H3023&gt;0,"Overbilled","Shortfall")</x:f>
        <x:v>Overbilled</x:v>
      </x:c>
      <x:c r="J3023" s="7"/>
      <x:c r="K3023" s="7" t="str">
        <x:v>Open</x:v>
      </x:c>
      <x:c r="L3023" s="7"/>
    </x:row>
    <x:row r="3024" ht="21" customHeight="1">
      <x:c r="A3024" s="1" t="str">
        <x:f>Source!A3018</x:f>
        <x:v>C0003073</x:v>
      </x:c>
      <x:c r="B3024" s="1" t="str">
        <x:f>_xlfn.IFNA(VLOOKUP(Source!B3018,Advertisers!$A$5:$B$34,2,FALSE),"Missing advertiser")</x:f>
        <x:v>Synthetic advertiser 7</x:v>
      </x:c>
      <x:c r="C3024" s="1" t="n">
        <x:f>Source!C3018</x:f>
        <x:v>97</x:v>
      </x:c>
      <x:c r="D3024" s="8" t="n">
        <x:f>Source!D3018/100</x:f>
        <x:v>245.35</x:v>
      </x:c>
      <x:c r="E3024" s="8" t="n">
        <x:f>Source!E3018/100</x:f>
        <x:v>260.35</x:v>
      </x:c>
      <x:c r="F3024" s="8" t="n">
        <x:f>Source!F3018/100</x:f>
        <x:v>0</x:v>
      </x:c>
      <x:c r="G3024" s="8" t="n">
        <x:f>Source!G3018/100</x:f>
        <x:v>260.35</x:v>
      </x:c>
      <x:c r="H3024" s="8" t="n">
        <x:f>G3024-D3024</x:f>
        <x:v>15.000000000000028</x:v>
      </x:c>
      <x:c r="I3024" s="1" t="str">
        <x:f>IF(H3024&gt;0,"Overbilled","Shortfall")</x:f>
        <x:v>Overbilled</x:v>
      </x:c>
      <x:c r="J3024" s="7"/>
      <x:c r="K3024" s="7" t="str">
        <x:v>Open</x:v>
      </x:c>
      <x:c r="L3024" s="7"/>
    </x:row>
    <x:row r="3025" ht="21" customHeight="1">
      <x:c r="A3025" s="1" t="str">
        <x:f>Source!A3019</x:f>
        <x:v>C0003089</x:v>
      </x:c>
      <x:c r="B3025" s="1" t="str">
        <x:f>_xlfn.IFNA(VLOOKUP(Source!B3019,Advertisers!$A$5:$B$34,2,FALSE),"Missing advertiser")</x:f>
        <x:v>Synthetic advertiser 14</x:v>
      </x:c>
      <x:c r="C3025" s="1" t="n">
        <x:f>Source!C3019</x:f>
        <x:v>14</x:v>
      </x:c>
      <x:c r="D3025" s="8" t="n">
        <x:f>Source!D3019/100</x:f>
        <x:v>107.8</x:v>
      </x:c>
      <x:c r="E3025" s="8" t="n">
        <x:f>Source!E3019/100</x:f>
        <x:v>122.8</x:v>
      </x:c>
      <x:c r="F3025" s="8" t="n">
        <x:f>Source!F3019/100</x:f>
        <x:v>0</x:v>
      </x:c>
      <x:c r="G3025" s="8" t="n">
        <x:f>Source!G3019/100</x:f>
        <x:v>122.8</x:v>
      </x:c>
      <x:c r="H3025" s="8" t="n">
        <x:f>G3025-D3025</x:f>
        <x:v>15</x:v>
      </x:c>
      <x:c r="I3025" s="1" t="str">
        <x:f>IF(H3025&gt;0,"Overbilled","Shortfall")</x:f>
        <x:v>Overbilled</x:v>
      </x:c>
      <x:c r="J3025" s="7"/>
      <x:c r="K3025" s="7" t="str">
        <x:v>Open</x:v>
      </x:c>
      <x:c r="L3025" s="7"/>
    </x:row>
    <x:row r="3026" ht="21" customHeight="1">
      <x:c r="A3026" s="1" t="str">
        <x:f>Source!A3020</x:f>
        <x:v>C0003106</x:v>
      </x:c>
      <x:c r="B3026" s="1" t="str">
        <x:f>_xlfn.IFNA(VLOOKUP(Source!B3020,Advertisers!$A$5:$B$34,2,FALSE),"Missing advertiser")</x:f>
        <x:v>Synthetic advertiser 14</x:v>
      </x:c>
      <x:c r="C3026" s="1" t="n">
        <x:f>Source!C3020</x:f>
        <x:v>44</x:v>
      </x:c>
      <x:c r="D3026" s="8" t="n">
        <x:f>Source!D3020/100</x:f>
        <x:v>116.73</x:v>
      </x:c>
      <x:c r="E3026" s="8" t="n">
        <x:f>Source!E3020/100</x:f>
        <x:v>131.73</x:v>
      </x:c>
      <x:c r="F3026" s="8" t="n">
        <x:f>Source!F3020/100</x:f>
        <x:v>0</x:v>
      </x:c>
      <x:c r="G3026" s="8" t="n">
        <x:f>Source!G3020/100</x:f>
        <x:v>131.73</x:v>
      </x:c>
      <x:c r="H3026" s="8" t="n">
        <x:f>G3026-D3026</x:f>
        <x:v>14.999999999999986</x:v>
      </x:c>
      <x:c r="I3026" s="1" t="str">
        <x:f>IF(H3026&gt;0,"Overbilled","Shortfall")</x:f>
        <x:v>Overbilled</x:v>
      </x:c>
      <x:c r="J3026" s="7"/>
      <x:c r="K3026" s="7" t="str">
        <x:v>Open</x:v>
      </x:c>
      <x:c r="L3026" s="7"/>
    </x:row>
    <x:row r="3027" ht="21" customHeight="1">
      <x:c r="A3027" s="1" t="str">
        <x:f>Source!A3021</x:f>
        <x:v>C0014885</x:v>
      </x:c>
      <x:c r="B3027" s="1" t="str">
        <x:f>_xlfn.IFNA(VLOOKUP(Source!B3021,Advertisers!$A$5:$B$34,2,FALSE),"Missing advertiser")</x:f>
        <x:v>Synthetic advertiser 23</x:v>
      </x:c>
      <x:c r="C3027" s="1" t="n">
        <x:f>Source!C3021</x:f>
        <x:v>53</x:v>
      </x:c>
      <x:c r="D3027" s="8" t="n">
        <x:f>Source!D3021/100</x:f>
        <x:v>344.62</x:v>
      </x:c>
      <x:c r="E3027" s="8" t="n">
        <x:f>Source!E3021/100</x:f>
        <x:v>359.62</x:v>
      </x:c>
      <x:c r="F3027" s="8" t="n">
        <x:f>Source!F3021/100</x:f>
        <x:v>0</x:v>
      </x:c>
      <x:c r="G3027" s="8" t="n">
        <x:f>Source!G3021/100</x:f>
        <x:v>359.62</x:v>
      </x:c>
      <x:c r="H3027" s="8" t="n">
        <x:f>G3027-D3027</x:f>
        <x:v>15</x:v>
      </x:c>
      <x:c r="I3027" s="1" t="str">
        <x:f>IF(H3027&gt;0,"Overbilled","Shortfall")</x:f>
        <x:v>Overbilled</x:v>
      </x:c>
      <x:c r="J3027" s="7"/>
      <x:c r="K3027" s="7" t="str">
        <x:v>Open</x:v>
      </x:c>
      <x:c r="L3027" s="7"/>
    </x:row>
    <x:row r="3028" ht="21" customHeight="1">
      <x:c r="A3028" s="1" t="str">
        <x:f>Source!A3022</x:f>
        <x:v>C0014902</x:v>
      </x:c>
      <x:c r="B3028" s="1" t="str">
        <x:f>_xlfn.IFNA(VLOOKUP(Source!B3022,Advertisers!$A$5:$B$34,2,FALSE),"Missing advertiser")</x:f>
        <x:v>Synthetic advertiser 30</x:v>
      </x:c>
      <x:c r="C3028" s="1" t="n">
        <x:f>Source!C3022</x:f>
        <x:v>90</x:v>
      </x:c>
      <x:c r="D3028" s="8" t="n">
        <x:f>Source!D3022/100</x:f>
        <x:v>142.15</x:v>
      </x:c>
      <x:c r="E3028" s="8" t="n">
        <x:f>Source!E3022/100</x:f>
        <x:v>157.15</x:v>
      </x:c>
      <x:c r="F3028" s="8" t="n">
        <x:f>Source!F3022/100</x:f>
        <x:v>0</x:v>
      </x:c>
      <x:c r="G3028" s="8" t="n">
        <x:f>Source!G3022/100</x:f>
        <x:v>157.15</x:v>
      </x:c>
      <x:c r="H3028" s="8" t="n">
        <x:f>G3028-D3028</x:f>
        <x:v>15</x:v>
      </x:c>
      <x:c r="I3028" s="1" t="str">
        <x:f>IF(H3028&gt;0,"Overbilled","Shortfall")</x:f>
        <x:v>Overbilled</x:v>
      </x:c>
      <x:c r="J3028" s="7"/>
      <x:c r="K3028" s="7" t="str">
        <x:v>Open</x:v>
      </x:c>
      <x:c r="L3028" s="7"/>
    </x:row>
    <x:row r="3029" ht="21" customHeight="1">
      <x:c r="A3029" s="1" t="str">
        <x:f>Source!A3023</x:f>
        <x:v>C0010553</x:v>
      </x:c>
      <x:c r="B3029" s="1" t="str">
        <x:f>_xlfn.IFNA(VLOOKUP(Source!B3023,Advertisers!$A$5:$B$34,2,FALSE),"Missing advertiser")</x:f>
        <x:v>Synthetic advertiser 27</x:v>
      </x:c>
      <x:c r="C3029" s="1" t="n">
        <x:f>Source!C3023</x:f>
        <x:v>57</x:v>
      </x:c>
      <x:c r="D3029" s="8" t="n">
        <x:f>Source!D3023/100</x:f>
        <x:v>234.1</x:v>
      </x:c>
      <x:c r="E3029" s="8" t="n">
        <x:f>Source!E3023/100</x:f>
        <x:v>249.1</x:v>
      </x:c>
      <x:c r="F3029" s="8" t="n">
        <x:f>Source!F3023/100</x:f>
        <x:v>0</x:v>
      </x:c>
      <x:c r="G3029" s="8" t="n">
        <x:f>Source!G3023/100</x:f>
        <x:v>249.1</x:v>
      </x:c>
      <x:c r="H3029" s="8" t="n">
        <x:f>G3029-D3029</x:f>
        <x:v>15</x:v>
      </x:c>
      <x:c r="I3029" s="1" t="str">
        <x:f>IF(H3029&gt;0,"Overbilled","Shortfall")</x:f>
        <x:v>Overbilled</x:v>
      </x:c>
      <x:c r="J3029" s="7"/>
      <x:c r="K3029" s="7" t="str">
        <x:v>Open</x:v>
      </x:c>
      <x:c r="L3029" s="7"/>
    </x:row>
    <x:row r="3030" ht="21" customHeight="1">
      <x:c r="A3030" s="1" t="str">
        <x:f>Source!A3024</x:f>
        <x:v>C0014969</x:v>
      </x:c>
      <x:c r="B3030" s="1" t="str">
        <x:f>_xlfn.IFNA(VLOOKUP(Source!B3024,Advertisers!$A$5:$B$34,2,FALSE),"Missing advertiser")</x:f>
        <x:v>Synthetic advertiser 29</x:v>
      </x:c>
      <x:c r="C3030" s="1" t="n">
        <x:f>Source!C3024</x:f>
        <x:v>59</x:v>
      </x:c>
      <x:c r="D3030" s="8" t="n">
        <x:f>Source!D3024/100</x:f>
        <x:v>122.13</x:v>
      </x:c>
      <x:c r="E3030" s="8" t="n">
        <x:f>Source!E3024/100</x:f>
        <x:v>137.13</x:v>
      </x:c>
      <x:c r="F3030" s="8" t="n">
        <x:f>Source!F3024/100</x:f>
        <x:v>0</x:v>
      </x:c>
      <x:c r="G3030" s="8" t="n">
        <x:f>Source!G3024/100</x:f>
        <x:v>137.13</x:v>
      </x:c>
      <x:c r="H3030" s="8" t="n">
        <x:f>G3030-D3030</x:f>
        <x:v>15</x:v>
      </x:c>
      <x:c r="I3030" s="1" t="str">
        <x:f>IF(H3030&gt;0,"Overbilled","Shortfall")</x:f>
        <x:v>Overbilled</x:v>
      </x:c>
      <x:c r="J3030" s="7"/>
      <x:c r="K3030" s="7" t="str">
        <x:v>Open</x:v>
      </x:c>
      <x:c r="L3030" s="7"/>
    </x:row>
    <x:row r="3031" ht="21" customHeight="1">
      <x:c r="A3031" s="1" t="str">
        <x:f>Source!A3025</x:f>
        <x:v>C0014976</x:v>
      </x:c>
      <x:c r="B3031" s="1" t="str">
        <x:f>_xlfn.IFNA(VLOOKUP(Source!B3025,Advertisers!$A$5:$B$34,2,FALSE),"Missing advertiser")</x:f>
        <x:v>Synthetic advertiser 9</x:v>
      </x:c>
      <x:c r="C3031" s="1" t="n">
        <x:f>Source!C3025</x:f>
        <x:v>69</x:v>
      </x:c>
      <x:c r="D3031" s="8" t="n">
        <x:f>Source!D3025/100</x:f>
        <x:v>219.6</x:v>
      </x:c>
      <x:c r="E3031" s="8" t="n">
        <x:f>Source!E3025/100</x:f>
        <x:v>234.6</x:v>
      </x:c>
      <x:c r="F3031" s="8" t="n">
        <x:f>Source!F3025/100</x:f>
        <x:v>0</x:v>
      </x:c>
      <x:c r="G3031" s="8" t="n">
        <x:f>Source!G3025/100</x:f>
        <x:v>234.6</x:v>
      </x:c>
      <x:c r="H3031" s="8" t="n">
        <x:f>G3031-D3031</x:f>
        <x:v>15</x:v>
      </x:c>
      <x:c r="I3031" s="1" t="str">
        <x:f>IF(H3031&gt;0,"Overbilled","Shortfall")</x:f>
        <x:v>Overbilled</x:v>
      </x:c>
      <x:c r="J3031" s="7"/>
      <x:c r="K3031" s="7" t="str">
        <x:v>Open</x:v>
      </x:c>
      <x:c r="L3031" s="7"/>
    </x:row>
    <x:row r="3032" ht="21" customHeight="1">
      <x:c r="A3032" s="1" t="str">
        <x:f>Source!A3026</x:f>
        <x:v>C0015006</x:v>
      </x:c>
      <x:c r="B3032" s="1" t="str">
        <x:f>_xlfn.IFNA(VLOOKUP(Source!B3026,Advertisers!$A$5:$B$34,2,FALSE),"Missing advertiser")</x:f>
        <x:v>Synthetic advertiser 21</x:v>
      </x:c>
      <x:c r="C3032" s="1" t="n">
        <x:f>Source!C3026</x:f>
        <x:v>81</x:v>
      </x:c>
      <x:c r="D3032" s="8" t="n">
        <x:f>Source!D3026/100</x:f>
        <x:v>118.66</x:v>
      </x:c>
      <x:c r="E3032" s="8" t="n">
        <x:f>Source!E3026/100</x:f>
        <x:v>133.66</x:v>
      </x:c>
      <x:c r="F3032" s="8" t="n">
        <x:f>Source!F3026/100</x:f>
        <x:v>0</x:v>
      </x:c>
      <x:c r="G3032" s="8" t="n">
        <x:f>Source!G3026/100</x:f>
        <x:v>133.66</x:v>
      </x:c>
      <x:c r="H3032" s="8" t="n">
        <x:f>G3032-D3032</x:f>
        <x:v>15</x:v>
      </x:c>
      <x:c r="I3032" s="1" t="str">
        <x:f>IF(H3032&gt;0,"Overbilled","Shortfall")</x:f>
        <x:v>Overbilled</x:v>
      </x:c>
      <x:c r="J3032" s="7"/>
      <x:c r="K3032" s="7" t="str">
        <x:v>Open</x:v>
      </x:c>
      <x:c r="L3032" s="7"/>
    </x:row>
    <x:row r="3033" ht="21" customHeight="1">
      <x:c r="A3033" s="1" t="str">
        <x:f>Source!A3027</x:f>
        <x:v>C0007919</x:v>
      </x:c>
      <x:c r="B3033" s="1" t="str">
        <x:f>_xlfn.IFNA(VLOOKUP(Source!B3027,Advertisers!$A$5:$B$34,2,FALSE),"Missing advertiser")</x:f>
        <x:v>Synthetic advertiser 7</x:v>
      </x:c>
      <x:c r="C3033" s="1" t="n">
        <x:f>Source!C3027</x:f>
        <x:v>67</x:v>
      </x:c>
      <x:c r="D3033" s="8" t="n">
        <x:f>Source!D3027/100</x:f>
        <x:v>198.74</x:v>
      </x:c>
      <x:c r="E3033" s="8" t="n">
        <x:f>Source!E3027/100</x:f>
        <x:v>213.74</x:v>
      </x:c>
      <x:c r="F3033" s="8" t="n">
        <x:f>Source!F3027/100</x:f>
        <x:v>0</x:v>
      </x:c>
      <x:c r="G3033" s="8" t="n">
        <x:f>Source!G3027/100</x:f>
        <x:v>213.74</x:v>
      </x:c>
      <x:c r="H3033" s="8" t="n">
        <x:f>G3033-D3033</x:f>
        <x:v>15</x:v>
      </x:c>
      <x:c r="I3033" s="1" t="str">
        <x:f>IF(H3033&gt;0,"Overbilled","Shortfall")</x:f>
        <x:v>Overbilled</x:v>
      </x:c>
      <x:c r="J3033" s="7"/>
      <x:c r="K3033" s="7" t="str">
        <x:v>Open</x:v>
      </x:c>
      <x:c r="L3033" s="7"/>
    </x:row>
    <x:row r="3034" ht="21" customHeight="1">
      <x:c r="A3034" s="1" t="str">
        <x:f>Source!A3028</x:f>
        <x:v>C0007940</x:v>
      </x:c>
      <x:c r="B3034" s="1" t="str">
        <x:f>_xlfn.IFNA(VLOOKUP(Source!B3028,Advertisers!$A$5:$B$34,2,FALSE),"Missing advertiser")</x:f>
        <x:v>Synthetic advertiser 10</x:v>
      </x:c>
      <x:c r="C3034" s="1" t="n">
        <x:f>Source!C3028</x:f>
        <x:v>70</x:v>
      </x:c>
      <x:c r="D3034" s="8" t="n">
        <x:f>Source!D3028/100</x:f>
        <x:v>134.05</x:v>
      </x:c>
      <x:c r="E3034" s="8" t="n">
        <x:f>Source!E3028/100</x:f>
        <x:v>149.05</x:v>
      </x:c>
      <x:c r="F3034" s="8" t="n">
        <x:f>Source!F3028/100</x:f>
        <x:v>0</x:v>
      </x:c>
      <x:c r="G3034" s="8" t="n">
        <x:f>Source!G3028/100</x:f>
        <x:v>149.05</x:v>
      </x:c>
      <x:c r="H3034" s="8" t="n">
        <x:f>G3034-D3034</x:f>
        <x:v>15</x:v>
      </x:c>
      <x:c r="I3034" s="1" t="str">
        <x:f>IF(H3034&gt;0,"Overbilled","Shortfall")</x:f>
        <x:v>Overbilled</x:v>
      </x:c>
      <x:c r="J3034" s="7"/>
      <x:c r="K3034" s="7" t="str">
        <x:v>Open</x:v>
      </x:c>
      <x:c r="L3034" s="7"/>
    </x:row>
    <x:row r="3035" ht="21" customHeight="1">
      <x:c r="A3035" s="1" t="str">
        <x:f>Source!A3029</x:f>
        <x:v>C0007972</x:v>
      </x:c>
      <x:c r="B3035" s="1" t="str">
        <x:f>_xlfn.IFNA(VLOOKUP(Source!B3029,Advertisers!$A$5:$B$34,2,FALSE),"Missing advertiser")</x:f>
        <x:v>Synthetic advertiser 19</x:v>
      </x:c>
      <x:c r="C3035" s="1" t="n">
        <x:f>Source!C3029</x:f>
        <x:v>49</x:v>
      </x:c>
      <x:c r="D3035" s="8" t="n">
        <x:f>Source!D3029/100</x:f>
        <x:v>77.3</x:v>
      </x:c>
      <x:c r="E3035" s="8" t="n">
        <x:f>Source!E3029/100</x:f>
        <x:v>92.3</x:v>
      </x:c>
      <x:c r="F3035" s="8" t="n">
        <x:f>Source!F3029/100</x:f>
        <x:v>0</x:v>
      </x:c>
      <x:c r="G3035" s="8" t="n">
        <x:f>Source!G3029/100</x:f>
        <x:v>92.3</x:v>
      </x:c>
      <x:c r="H3035" s="8" t="n">
        <x:f>G3035-D3035</x:f>
        <x:v>15</x:v>
      </x:c>
      <x:c r="I3035" s="1" t="str">
        <x:f>IF(H3035&gt;0,"Overbilled","Shortfall")</x:f>
        <x:v>Overbilled</x:v>
      </x:c>
      <x:c r="J3035" s="7"/>
      <x:c r="K3035" s="7" t="str">
        <x:v>Open</x:v>
      </x:c>
      <x:c r="L3035" s="7"/>
    </x:row>
    <x:row r="3036" ht="21" customHeight="1">
      <x:c r="A3036" s="1" t="str">
        <x:f>Source!A3030</x:f>
        <x:v>C0008013</x:v>
      </x:c>
      <x:c r="B3036" s="1" t="str">
        <x:f>_xlfn.IFNA(VLOOKUP(Source!B3030,Advertisers!$A$5:$B$34,2,FALSE),"Missing advertiser")</x:f>
        <x:v>Synthetic advertiser 11</x:v>
      </x:c>
      <x:c r="C3036" s="1" t="n">
        <x:f>Source!C3030</x:f>
        <x:v>71</x:v>
      </x:c>
      <x:c r="D3036" s="8" t="n">
        <x:f>Source!D3030/100</x:f>
        <x:v>306.04</x:v>
      </x:c>
      <x:c r="E3036" s="8" t="n">
        <x:f>Source!E3030/100</x:f>
        <x:v>321.04</x:v>
      </x:c>
      <x:c r="F3036" s="8" t="n">
        <x:f>Source!F3030/100</x:f>
        <x:v>0</x:v>
      </x:c>
      <x:c r="G3036" s="8" t="n">
        <x:f>Source!G3030/100</x:f>
        <x:v>321.04</x:v>
      </x:c>
      <x:c r="H3036" s="8" t="n">
        <x:f>G3036-D3036</x:f>
        <x:v>15</x:v>
      </x:c>
      <x:c r="I3036" s="1" t="str">
        <x:f>IF(H3036&gt;0,"Overbilled","Shortfall")</x:f>
        <x:v>Overbilled</x:v>
      </x:c>
      <x:c r="J3036" s="7"/>
      <x:c r="K3036" s="7" t="str">
        <x:v>Open</x:v>
      </x:c>
      <x:c r="L3036" s="7"/>
    </x:row>
    <x:row r="3037" ht="21" customHeight="1">
      <x:c r="A3037" s="1" t="str">
        <x:f>Source!A3031</x:f>
        <x:v>C0008014</x:v>
      </x:c>
      <x:c r="B3037" s="1" t="str">
        <x:f>_xlfn.IFNA(VLOOKUP(Source!B3031,Advertisers!$A$5:$B$34,2,FALSE),"Missing advertiser")</x:f>
        <x:v>Synthetic advertiser 17</x:v>
      </x:c>
      <x:c r="C3037" s="1" t="n">
        <x:f>Source!C3031</x:f>
        <x:v>17</x:v>
      </x:c>
      <x:c r="D3037" s="8" t="n">
        <x:f>Source!D3031/100</x:f>
        <x:v>148.14</x:v>
      </x:c>
      <x:c r="E3037" s="8" t="n">
        <x:f>Source!E3031/100</x:f>
        <x:v>163.14</x:v>
      </x:c>
      <x:c r="F3037" s="8" t="n">
        <x:f>Source!F3031/100</x:f>
        <x:v>0</x:v>
      </x:c>
      <x:c r="G3037" s="8" t="n">
        <x:f>Source!G3031/100</x:f>
        <x:v>163.14</x:v>
      </x:c>
      <x:c r="H3037" s="8" t="n">
        <x:f>G3037-D3037</x:f>
        <x:v>15</x:v>
      </x:c>
      <x:c r="I3037" s="1" t="str">
        <x:f>IF(H3037&gt;0,"Overbilled","Shortfall")</x:f>
        <x:v>Overbilled</x:v>
      </x:c>
      <x:c r="J3037" s="7"/>
      <x:c r="K3037" s="7" t="str">
        <x:v>Open</x:v>
      </x:c>
      <x:c r="L3037" s="7"/>
    </x:row>
    <x:row r="3038" ht="21" customHeight="1">
      <x:c r="A3038" s="1" t="str">
        <x:f>Source!A3032</x:f>
        <x:v>C0008037</x:v>
      </x:c>
      <x:c r="B3038" s="1" t="str">
        <x:f>_xlfn.IFNA(VLOOKUP(Source!B3032,Advertisers!$A$5:$B$34,2,FALSE),"Missing advertiser")</x:f>
        <x:v>Synthetic advertiser 14</x:v>
      </x:c>
      <x:c r="C3038" s="1" t="n">
        <x:f>Source!C3032</x:f>
        <x:v>74</x:v>
      </x:c>
      <x:c r="D3038" s="8" t="n">
        <x:f>Source!D3032/100</x:f>
        <x:v>64.8</x:v>
      </x:c>
      <x:c r="E3038" s="8" t="n">
        <x:f>Source!E3032/100</x:f>
        <x:v>79.8</x:v>
      </x:c>
      <x:c r="F3038" s="8" t="n">
        <x:f>Source!F3032/100</x:f>
        <x:v>0</x:v>
      </x:c>
      <x:c r="G3038" s="8" t="n">
        <x:f>Source!G3032/100</x:f>
        <x:v>79.8</x:v>
      </x:c>
      <x:c r="H3038" s="8" t="n">
        <x:f>G3038-D3038</x:f>
        <x:v>15</x:v>
      </x:c>
      <x:c r="I3038" s="1" t="str">
        <x:f>IF(H3038&gt;0,"Overbilled","Shortfall")</x:f>
        <x:v>Overbilled</x:v>
      </x:c>
      <x:c r="J3038" s="7"/>
      <x:c r="K3038" s="7" t="str">
        <x:v>Open</x:v>
      </x:c>
      <x:c r="L3038" s="7"/>
    </x:row>
    <x:row r="3039" ht="21" customHeight="1">
      <x:c r="A3039" s="1" t="str">
        <x:f>Source!A3033</x:f>
        <x:v>C0008067</x:v>
      </x:c>
      <x:c r="B3039" s="1" t="str">
        <x:f>_xlfn.IFNA(VLOOKUP(Source!B3033,Advertisers!$A$5:$B$34,2,FALSE),"Missing advertiser")</x:f>
        <x:v>Synthetic advertiser 30</x:v>
      </x:c>
      <x:c r="C3039" s="1" t="n">
        <x:f>Source!C3033</x:f>
        <x:v>30</x:v>
      </x:c>
      <x:c r="D3039" s="8" t="n">
        <x:f>Source!D3033/100</x:f>
        <x:v>135.18</x:v>
      </x:c>
      <x:c r="E3039" s="8" t="n">
        <x:f>Source!E3033/100</x:f>
        <x:v>150.18</x:v>
      </x:c>
      <x:c r="F3039" s="8" t="n">
        <x:f>Source!F3033/100</x:f>
        <x:v>0</x:v>
      </x:c>
      <x:c r="G3039" s="8" t="n">
        <x:f>Source!G3033/100</x:f>
        <x:v>150.18</x:v>
      </x:c>
      <x:c r="H3039" s="8" t="n">
        <x:f>G3039-D3039</x:f>
        <x:v>15</x:v>
      </x:c>
      <x:c r="I3039" s="1" t="str">
        <x:f>IF(H3039&gt;0,"Overbilled","Shortfall")</x:f>
        <x:v>Overbilled</x:v>
      </x:c>
      <x:c r="J3039" s="7"/>
      <x:c r="K3039" s="7" t="str">
        <x:v>Open</x:v>
      </x:c>
      <x:c r="L3039" s="7"/>
    </x:row>
    <x:row r="3040" ht="21" customHeight="1">
      <x:c r="A3040" s="1" t="str">
        <x:f>Source!A3034</x:f>
        <x:v>C0008071</x:v>
      </x:c>
      <x:c r="B3040" s="1" t="str">
        <x:f>_xlfn.IFNA(VLOOKUP(Source!B3034,Advertisers!$A$5:$B$34,2,FALSE),"Missing advertiser")</x:f>
        <x:v>Synthetic advertiser 6</x:v>
      </x:c>
      <x:c r="C3040" s="1" t="n">
        <x:f>Source!C3034</x:f>
        <x:v>36</x:v>
      </x:c>
      <x:c r="D3040" s="8" t="n">
        <x:f>Source!D3034/100</x:f>
        <x:v>205.8</x:v>
      </x:c>
      <x:c r="E3040" s="8" t="n">
        <x:f>Source!E3034/100</x:f>
        <x:v>220.8</x:v>
      </x:c>
      <x:c r="F3040" s="8" t="n">
        <x:f>Source!F3034/100</x:f>
        <x:v>0</x:v>
      </x:c>
      <x:c r="G3040" s="8" t="n">
        <x:f>Source!G3034/100</x:f>
        <x:v>220.8</x:v>
      </x:c>
      <x:c r="H3040" s="8" t="n">
        <x:f>G3040-D3040</x:f>
        <x:v>15</x:v>
      </x:c>
      <x:c r="I3040" s="1" t="str">
        <x:f>IF(H3040&gt;0,"Overbilled","Shortfall")</x:f>
        <x:v>Overbilled</x:v>
      </x:c>
      <x:c r="J3040" s="7"/>
      <x:c r="K3040" s="7" t="str">
        <x:v>Open</x:v>
      </x:c>
      <x:c r="L3040" s="7"/>
    </x:row>
    <x:row r="3041" ht="21" customHeight="1">
      <x:c r="A3041" s="1" t="str">
        <x:f>Source!A3035</x:f>
        <x:v>C0008084</x:v>
      </x:c>
      <x:c r="B3041" s="1" t="str">
        <x:f>_xlfn.IFNA(VLOOKUP(Source!B3035,Advertisers!$A$5:$B$34,2,FALSE),"Missing advertiser")</x:f>
        <x:v>Synthetic advertiser 12</x:v>
      </x:c>
      <x:c r="C3041" s="1" t="n">
        <x:f>Source!C3035</x:f>
        <x:v>72</x:v>
      </x:c>
      <x:c r="D3041" s="8" t="n">
        <x:f>Source!D3035/100</x:f>
        <x:v>211.85</x:v>
      </x:c>
      <x:c r="E3041" s="8" t="n">
        <x:f>Source!E3035/100</x:f>
        <x:v>226.85</x:v>
      </x:c>
      <x:c r="F3041" s="8" t="n">
        <x:f>Source!F3035/100</x:f>
        <x:v>0</x:v>
      </x:c>
      <x:c r="G3041" s="8" t="n">
        <x:f>Source!G3035/100</x:f>
        <x:v>226.85</x:v>
      </x:c>
      <x:c r="H3041" s="8" t="n">
        <x:f>G3041-D3041</x:f>
        <x:v>15</x:v>
      </x:c>
      <x:c r="I3041" s="1" t="str">
        <x:f>IF(H3041&gt;0,"Overbilled","Shortfall")</x:f>
        <x:v>Overbilled</x:v>
      </x:c>
      <x:c r="J3041" s="7"/>
      <x:c r="K3041" s="7" t="str">
        <x:v>Open</x:v>
      </x:c>
      <x:c r="L3041" s="7"/>
    </x:row>
    <x:row r="3042" ht="21" customHeight="1">
      <x:c r="A3042" s="1" t="str">
        <x:f>Source!A3036</x:f>
        <x:v>C0010530</x:v>
      </x:c>
      <x:c r="B3042" s="1" t="str">
        <x:f>_xlfn.IFNA(VLOOKUP(Source!B3036,Advertisers!$A$5:$B$34,2,FALSE),"Missing advertiser")</x:f>
        <x:v>Synthetic advertiser 22</x:v>
      </x:c>
      <x:c r="C3042" s="1" t="n">
        <x:f>Source!C3036</x:f>
        <x:v>52</x:v>
      </x:c>
      <x:c r="D3042" s="8" t="n">
        <x:f>Source!D3036/100</x:f>
        <x:v>159.65</x:v>
      </x:c>
      <x:c r="E3042" s="8" t="n">
        <x:f>Source!E3036/100</x:f>
        <x:v>174.65</x:v>
      </x:c>
      <x:c r="F3042" s="8" t="n">
        <x:f>Source!F3036/100</x:f>
        <x:v>0</x:v>
      </x:c>
      <x:c r="G3042" s="8" t="n">
        <x:f>Source!G3036/100</x:f>
        <x:v>174.65</x:v>
      </x:c>
      <x:c r="H3042" s="8" t="n">
        <x:f>G3042-D3042</x:f>
        <x:v>15</x:v>
      </x:c>
      <x:c r="I3042" s="1" t="str">
        <x:f>IF(H3042&gt;0,"Overbilled","Shortfall")</x:f>
        <x:v>Overbilled</x:v>
      </x:c>
      <x:c r="J3042" s="7"/>
      <x:c r="K3042" s="7" t="str">
        <x:v>Open</x:v>
      </x:c>
      <x:c r="L3042" s="7"/>
    </x:row>
    <x:row r="3043" ht="21" customHeight="1">
      <x:c r="A3043" s="1" t="str">
        <x:f>Source!A3037</x:f>
        <x:v>C0010550</x:v>
      </x:c>
      <x:c r="B3043" s="1" t="str">
        <x:f>_xlfn.IFNA(VLOOKUP(Source!B3037,Advertisers!$A$5:$B$34,2,FALSE),"Missing advertiser")</x:f>
        <x:v>Synthetic advertiser 20</x:v>
      </x:c>
      <x:c r="C3043" s="1" t="n">
        <x:f>Source!C3037</x:f>
        <x:v>50</x:v>
      </x:c>
      <x:c r="D3043" s="8" t="n">
        <x:f>Source!D3037/100</x:f>
        <x:v>51.09</x:v>
      </x:c>
      <x:c r="E3043" s="8" t="n">
        <x:f>Source!E3037/100</x:f>
        <x:v>66.09</x:v>
      </x:c>
      <x:c r="F3043" s="8" t="n">
        <x:f>Source!F3037/100</x:f>
        <x:v>0</x:v>
      </x:c>
      <x:c r="G3043" s="8" t="n">
        <x:f>Source!G3037/100</x:f>
        <x:v>66.09</x:v>
      </x:c>
      <x:c r="H3043" s="8" t="n">
        <x:f>G3043-D3043</x:f>
        <x:v>15</x:v>
      </x:c>
      <x:c r="I3043" s="1" t="str">
        <x:f>IF(H3043&gt;0,"Overbilled","Shortfall")</x:f>
        <x:v>Overbilled</x:v>
      </x:c>
      <x:c r="J3043" s="7"/>
      <x:c r="K3043" s="7" t="str">
        <x:v>Open</x:v>
      </x:c>
      <x:c r="L3043" s="7"/>
    </x:row>
    <x:row r="3044" ht="21" customHeight="1">
      <x:c r="A3044" s="1" t="str">
        <x:f>Source!A3038</x:f>
        <x:v>C0014949</x:v>
      </x:c>
      <x:c r="B3044" s="1" t="str">
        <x:f>_xlfn.IFNA(VLOOKUP(Source!B3038,Advertisers!$A$5:$B$34,2,FALSE),"Missing advertiser")</x:f>
        <x:v>Synthetic advertiser 29</x:v>
      </x:c>
      <x:c r="C3044" s="1" t="n">
        <x:f>Source!C3038</x:f>
        <x:v>119</x:v>
      </x:c>
      <x:c r="D3044" s="8" t="n">
        <x:f>Source!D3038/100</x:f>
        <x:v>195.24</x:v>
      </x:c>
      <x:c r="E3044" s="8" t="n">
        <x:f>Source!E3038/100</x:f>
        <x:v>210.24</x:v>
      </x:c>
      <x:c r="F3044" s="8" t="n">
        <x:f>Source!F3038/100</x:f>
        <x:v>0</x:v>
      </x:c>
      <x:c r="G3044" s="8" t="n">
        <x:f>Source!G3038/100</x:f>
        <x:v>210.24</x:v>
      </x:c>
      <x:c r="H3044" s="8" t="n">
        <x:f>G3044-D3044</x:f>
        <x:v>15</x:v>
      </x:c>
      <x:c r="I3044" s="1" t="str">
        <x:f>IF(H3044&gt;0,"Overbilled","Shortfall")</x:f>
        <x:v>Overbilled</x:v>
      </x:c>
      <x:c r="J3044" s="7"/>
      <x:c r="K3044" s="7" t="str">
        <x:v>Open</x:v>
      </x:c>
      <x:c r="L3044" s="7"/>
    </x:row>
    <x:row r="3045" ht="21" customHeight="1">
      <x:c r="A3045" s="1" t="str">
        <x:f>Source!A3039</x:f>
        <x:v>C0011003</x:v>
      </x:c>
      <x:c r="B3045" s="1" t="str">
        <x:f>_xlfn.IFNA(VLOOKUP(Source!B3039,Advertisers!$A$5:$B$34,2,FALSE),"Missing advertiser")</x:f>
        <x:v>Synthetic advertiser 30</x:v>
      </x:c>
      <x:c r="C3045" s="1" t="n">
        <x:f>Source!C3039</x:f>
        <x:v>120</x:v>
      </x:c>
      <x:c r="D3045" s="8" t="n">
        <x:f>Source!D3039/100</x:f>
        <x:v>247.24</x:v>
      </x:c>
      <x:c r="E3045" s="8" t="n">
        <x:f>Source!E3039/100</x:f>
        <x:v>262.24</x:v>
      </x:c>
      <x:c r="F3045" s="8" t="n">
        <x:f>Source!F3039/100</x:f>
        <x:v>0</x:v>
      </x:c>
      <x:c r="G3045" s="8" t="n">
        <x:f>Source!G3039/100</x:f>
        <x:v>262.24</x:v>
      </x:c>
      <x:c r="H3045" s="8" t="n">
        <x:f>G3045-D3045</x:f>
        <x:v>15</x:v>
      </x:c>
      <x:c r="I3045" s="1" t="str">
        <x:f>IF(H3045&gt;0,"Overbilled","Shortfall")</x:f>
        <x:v>Overbilled</x:v>
      </x:c>
      <x:c r="J3045" s="7"/>
      <x:c r="K3045" s="7" t="str">
        <x:v>Open</x:v>
      </x:c>
      <x:c r="L3045" s="7"/>
    </x:row>
    <x:row r="3046" ht="21" customHeight="1">
      <x:c r="A3046" s="1" t="str">
        <x:f>Source!A3040</x:f>
        <x:v>C0011109</x:v>
      </x:c>
      <x:c r="B3046" s="1" t="str">
        <x:f>_xlfn.IFNA(VLOOKUP(Source!B3040,Advertisers!$A$5:$B$34,2,FALSE),"Missing advertiser")</x:f>
        <x:v>Synthetic advertiser 16</x:v>
      </x:c>
      <x:c r="C3046" s="1" t="n">
        <x:f>Source!C3040</x:f>
        <x:v>46</x:v>
      </x:c>
      <x:c r="D3046" s="8" t="n">
        <x:f>Source!D3040/100</x:f>
        <x:v>247.33</x:v>
      </x:c>
      <x:c r="E3046" s="8" t="n">
        <x:f>Source!E3040/100</x:f>
        <x:v>262.33</x:v>
      </x:c>
      <x:c r="F3046" s="8" t="n">
        <x:f>Source!F3040/100</x:f>
        <x:v>0</x:v>
      </x:c>
      <x:c r="G3046" s="8" t="n">
        <x:f>Source!G3040/100</x:f>
        <x:v>262.33</x:v>
      </x:c>
      <x:c r="H3046" s="8" t="n">
        <x:f>G3046-D3046</x:f>
        <x:v>14.999999999999972</x:v>
      </x:c>
      <x:c r="I3046" s="1" t="str">
        <x:f>IF(H3046&gt;0,"Overbilled","Shortfall")</x:f>
        <x:v>Overbilled</x:v>
      </x:c>
      <x:c r="J3046" s="7"/>
      <x:c r="K3046" s="7" t="str">
        <x:v>Open</x:v>
      </x:c>
      <x:c r="L3046" s="7"/>
    </x:row>
    <x:row r="3047" ht="21" customHeight="1">
      <x:c r="A3047" s="1" t="str">
        <x:f>Source!A3041</x:f>
        <x:v>C0011122</x:v>
      </x:c>
      <x:c r="B3047" s="1" t="str">
        <x:f>_xlfn.IFNA(VLOOKUP(Source!B3041,Advertisers!$A$5:$B$34,2,FALSE),"Missing advertiser")</x:f>
        <x:v>Synthetic advertiser 20</x:v>
      </x:c>
      <x:c r="C3047" s="1" t="n">
        <x:f>Source!C3041</x:f>
        <x:v>20</x:v>
      </x:c>
      <x:c r="D3047" s="8" t="n">
        <x:f>Source!D3041/100</x:f>
        <x:v>160.97</x:v>
      </x:c>
      <x:c r="E3047" s="8" t="n">
        <x:f>Source!E3041/100</x:f>
        <x:v>175.97</x:v>
      </x:c>
      <x:c r="F3047" s="8" t="n">
        <x:f>Source!F3041/100</x:f>
        <x:v>0</x:v>
      </x:c>
      <x:c r="G3047" s="8" t="n">
        <x:f>Source!G3041/100</x:f>
        <x:v>175.97</x:v>
      </x:c>
      <x:c r="H3047" s="8" t="n">
        <x:f>G3047-D3047</x:f>
        <x:v>15</x:v>
      </x:c>
      <x:c r="I3047" s="1" t="str">
        <x:f>IF(H3047&gt;0,"Overbilled","Shortfall")</x:f>
        <x:v>Overbilled</x:v>
      </x:c>
      <x:c r="J3047" s="7"/>
      <x:c r="K3047" s="7" t="str">
        <x:v>Open</x:v>
      </x:c>
      <x:c r="L3047" s="7"/>
    </x:row>
    <x:row r="3048" ht="21" customHeight="1">
      <x:c r="A3048" s="1" t="str">
        <x:f>Source!A3042</x:f>
        <x:v>C0011196</x:v>
      </x:c>
      <x:c r="B3048" s="1" t="str">
        <x:f>_xlfn.IFNA(VLOOKUP(Source!B3042,Advertisers!$A$5:$B$34,2,FALSE),"Missing advertiser")</x:f>
        <x:v>Synthetic advertiser 8</x:v>
      </x:c>
      <x:c r="C3048" s="1" t="n">
        <x:f>Source!C3042</x:f>
        <x:v>38</x:v>
      </x:c>
      <x:c r="D3048" s="8" t="n">
        <x:f>Source!D3042/100</x:f>
        <x:v>115.67</x:v>
      </x:c>
      <x:c r="E3048" s="8" t="n">
        <x:f>Source!E3042/100</x:f>
        <x:v>130.67</x:v>
      </x:c>
      <x:c r="F3048" s="8" t="n">
        <x:f>Source!F3042/100</x:f>
        <x:v>0</x:v>
      </x:c>
      <x:c r="G3048" s="8" t="n">
        <x:f>Source!G3042/100</x:f>
        <x:v>130.67</x:v>
      </x:c>
      <x:c r="H3048" s="8" t="n">
        <x:f>G3048-D3048</x:f>
        <x:v>14.999999999999986</x:v>
      </x:c>
      <x:c r="I3048" s="1" t="str">
        <x:f>IF(H3048&gt;0,"Overbilled","Shortfall")</x:f>
        <x:v>Overbilled</x:v>
      </x:c>
      <x:c r="J3048" s="7"/>
      <x:c r="K3048" s="7" t="str">
        <x:v>Open</x:v>
      </x:c>
      <x:c r="L3048" s="7"/>
    </x:row>
    <x:row r="3049" ht="21" customHeight="1">
      <x:c r="A3049" s="1" t="str">
        <x:f>Source!A3043</x:f>
        <x:v>C0011218</x:v>
      </x:c>
      <x:c r="B3049" s="1" t="str">
        <x:f>_xlfn.IFNA(VLOOKUP(Source!B3043,Advertisers!$A$5:$B$34,2,FALSE),"Missing advertiser")</x:f>
        <x:v>Synthetic advertiser 23</x:v>
      </x:c>
      <x:c r="C3049" s="1" t="n">
        <x:f>Source!C3043</x:f>
        <x:v>83</x:v>
      </x:c>
      <x:c r="D3049" s="8" t="n">
        <x:f>Source!D3043/100</x:f>
        <x:v>220.93</x:v>
      </x:c>
      <x:c r="E3049" s="8" t="n">
        <x:f>Source!E3043/100</x:f>
        <x:v>235.93</x:v>
      </x:c>
      <x:c r="F3049" s="8" t="n">
        <x:f>Source!F3043/100</x:f>
        <x:v>0</x:v>
      </x:c>
      <x:c r="G3049" s="8" t="n">
        <x:f>Source!G3043/100</x:f>
        <x:v>235.93</x:v>
      </x:c>
      <x:c r="H3049" s="8" t="n">
        <x:f>G3049-D3049</x:f>
        <x:v>15</x:v>
      </x:c>
      <x:c r="I3049" s="1" t="str">
        <x:f>IF(H3049&gt;0,"Overbilled","Shortfall")</x:f>
        <x:v>Overbilled</x:v>
      </x:c>
      <x:c r="J3049" s="7"/>
      <x:c r="K3049" s="7" t="str">
        <x:v>Open</x:v>
      </x:c>
      <x:c r="L3049" s="7"/>
    </x:row>
    <x:row r="3050" ht="21" customHeight="1">
      <x:c r="A3050" s="1" t="str">
        <x:f>Source!A3044</x:f>
        <x:v>C0007124</x:v>
      </x:c>
      <x:c r="B3050" s="1" t="str">
        <x:f>_xlfn.IFNA(VLOOKUP(Source!B3044,Advertisers!$A$5:$B$34,2,FALSE),"Missing advertiser")</x:f>
        <x:v>Synthetic advertiser 30</x:v>
      </x:c>
      <x:c r="C3050" s="1" t="n">
        <x:f>Source!C3044</x:f>
        <x:v>90</x:v>
      </x:c>
      <x:c r="D3050" s="8" t="n">
        <x:f>Source!D3044/100</x:f>
        <x:v>170.72</x:v>
      </x:c>
      <x:c r="E3050" s="8" t="n">
        <x:f>Source!E3044/100</x:f>
        <x:v>185.72</x:v>
      </x:c>
      <x:c r="F3050" s="8" t="n">
        <x:f>Source!F3044/100</x:f>
        <x:v>0</x:v>
      </x:c>
      <x:c r="G3050" s="8" t="n">
        <x:f>Source!G3044/100</x:f>
        <x:v>185.72</x:v>
      </x:c>
      <x:c r="H3050" s="8" t="n">
        <x:f>G3050-D3050</x:f>
        <x:v>15</x:v>
      </x:c>
      <x:c r="I3050" s="1" t="str">
        <x:f>IF(H3050&gt;0,"Overbilled","Shortfall")</x:f>
        <x:v>Overbilled</x:v>
      </x:c>
      <x:c r="J3050" s="7"/>
      <x:c r="K3050" s="7" t="str">
        <x:v>Open</x:v>
      </x:c>
      <x:c r="L3050" s="7"/>
    </x:row>
    <x:row r="3051" ht="21" customHeight="1">
      <x:c r="A3051" s="1" t="str">
        <x:f>Source!A3045</x:f>
        <x:v>C0007173</x:v>
      </x:c>
      <x:c r="B3051" s="1" t="str">
        <x:f>_xlfn.IFNA(VLOOKUP(Source!B3045,Advertisers!$A$5:$B$34,2,FALSE),"Missing advertiser")</x:f>
        <x:v>Synthetic advertiser 6</x:v>
      </x:c>
      <x:c r="C3051" s="1" t="n">
        <x:f>Source!C3045</x:f>
        <x:v>66</x:v>
      </x:c>
      <x:c r="D3051" s="8" t="n">
        <x:f>Source!D3045/100</x:f>
        <x:v>96.57</x:v>
      </x:c>
      <x:c r="E3051" s="8" t="n">
        <x:f>Source!E3045/100</x:f>
        <x:v>111.57</x:v>
      </x:c>
      <x:c r="F3051" s="8" t="n">
        <x:f>Source!F3045/100</x:f>
        <x:v>0</x:v>
      </x:c>
      <x:c r="G3051" s="8" t="n">
        <x:f>Source!G3045/100</x:f>
        <x:v>111.57</x:v>
      </x:c>
      <x:c r="H3051" s="8" t="n">
        <x:f>G3051-D3051</x:f>
        <x:v>15</x:v>
      </x:c>
      <x:c r="I3051" s="1" t="str">
        <x:f>IF(H3051&gt;0,"Overbilled","Shortfall")</x:f>
        <x:v>Overbilled</x:v>
      </x:c>
      <x:c r="J3051" s="7"/>
      <x:c r="K3051" s="7" t="str">
        <x:v>Open</x:v>
      </x:c>
      <x:c r="L3051" s="7"/>
    </x:row>
    <x:row r="3052" ht="21" customHeight="1">
      <x:c r="A3052" s="1" t="str">
        <x:f>Source!A3046</x:f>
        <x:v>C0004096</x:v>
      </x:c>
      <x:c r="B3052" s="1" t="str">
        <x:f>_xlfn.IFNA(VLOOKUP(Source!B3046,Advertisers!$A$5:$B$34,2,FALSE),"Missing advertiser")</x:f>
        <x:v>Synthetic advertiser 23</x:v>
      </x:c>
      <x:c r="C3052" s="1" t="n">
        <x:f>Source!C3046</x:f>
        <x:v>113</x:v>
      </x:c>
      <x:c r="D3052" s="8" t="n">
        <x:f>Source!D3046/100</x:f>
        <x:v>128.66</x:v>
      </x:c>
      <x:c r="E3052" s="8" t="n">
        <x:f>Source!E3046/100</x:f>
        <x:v>143.66</x:v>
      </x:c>
      <x:c r="F3052" s="8" t="n">
        <x:f>Source!F3046/100</x:f>
        <x:v>0</x:v>
      </x:c>
      <x:c r="G3052" s="8" t="n">
        <x:f>Source!G3046/100</x:f>
        <x:v>143.66</x:v>
      </x:c>
      <x:c r="H3052" s="8" t="n">
        <x:f>G3052-D3052</x:f>
        <x:v>15</x:v>
      </x:c>
      <x:c r="I3052" s="1" t="str">
        <x:f>IF(H3052&gt;0,"Overbilled","Shortfall")</x:f>
        <x:v>Overbilled</x:v>
      </x:c>
      <x:c r="J3052" s="7"/>
      <x:c r="K3052" s="7" t="str">
        <x:v>Open</x:v>
      </x:c>
      <x:c r="L3052" s="7"/>
    </x:row>
    <x:row r="3053" ht="21" customHeight="1">
      <x:c r="A3053" s="1" t="str">
        <x:f>Source!A3047</x:f>
        <x:v>C0004125</x:v>
      </x:c>
      <x:c r="B3053" s="1" t="str">
        <x:f>_xlfn.IFNA(VLOOKUP(Source!B3047,Advertisers!$A$5:$B$34,2,FALSE),"Missing advertiser")</x:f>
        <x:v>Synthetic advertiser 7</x:v>
      </x:c>
      <x:c r="C3053" s="1" t="n">
        <x:f>Source!C3047</x:f>
        <x:v>37</x:v>
      </x:c>
      <x:c r="D3053" s="8" t="n">
        <x:f>Source!D3047/100</x:f>
        <x:v>151.01</x:v>
      </x:c>
      <x:c r="E3053" s="8" t="n">
        <x:f>Source!E3047/100</x:f>
        <x:v>166.01</x:v>
      </x:c>
      <x:c r="F3053" s="8" t="n">
        <x:f>Source!F3047/100</x:f>
        <x:v>0</x:v>
      </x:c>
      <x:c r="G3053" s="8" t="n">
        <x:f>Source!G3047/100</x:f>
        <x:v>166.01</x:v>
      </x:c>
      <x:c r="H3053" s="8" t="n">
        <x:f>G3053-D3053</x:f>
        <x:v>15</x:v>
      </x:c>
      <x:c r="I3053" s="1" t="str">
        <x:f>IF(H3053&gt;0,"Overbilled","Shortfall")</x:f>
        <x:v>Overbilled</x:v>
      </x:c>
      <x:c r="J3053" s="7"/>
      <x:c r="K3053" s="7" t="str">
        <x:v>Open</x:v>
      </x:c>
      <x:c r="L3053" s="7"/>
    </x:row>
    <x:row r="3054" ht="21" customHeight="1">
      <x:c r="A3054" s="1" t="str">
        <x:f>Source!A3048</x:f>
        <x:v>C0004147</x:v>
      </x:c>
      <x:c r="B3054" s="1" t="str">
        <x:f>_xlfn.IFNA(VLOOKUP(Source!B3048,Advertisers!$A$5:$B$34,2,FALSE),"Missing advertiser")</x:f>
        <x:v>Synthetic advertiser 19</x:v>
      </x:c>
      <x:c r="C3054" s="1" t="n">
        <x:f>Source!C3048</x:f>
        <x:v>19</x:v>
      </x:c>
      <x:c r="D3054" s="8" t="n">
        <x:f>Source!D3048/100</x:f>
        <x:v>73.77</x:v>
      </x:c>
      <x:c r="E3054" s="8" t="n">
        <x:f>Source!E3048/100</x:f>
        <x:v>88.77</x:v>
      </x:c>
      <x:c r="F3054" s="8" t="n">
        <x:f>Source!F3048/100</x:f>
        <x:v>0</x:v>
      </x:c>
      <x:c r="G3054" s="8" t="n">
        <x:f>Source!G3048/100</x:f>
        <x:v>88.77</x:v>
      </x:c>
      <x:c r="H3054" s="8" t="n">
        <x:f>G3054-D3054</x:f>
        <x:v>15</x:v>
      </x:c>
      <x:c r="I3054" s="1" t="str">
        <x:f>IF(H3054&gt;0,"Overbilled","Shortfall")</x:f>
        <x:v>Overbilled</x:v>
      </x:c>
      <x:c r="J3054" s="7"/>
      <x:c r="K3054" s="7" t="str">
        <x:v>Open</x:v>
      </x:c>
      <x:c r="L3054" s="7"/>
    </x:row>
    <x:row r="3055" ht="21" customHeight="1">
      <x:c r="A3055" s="1" t="str">
        <x:f>Source!A3049</x:f>
        <x:v>C0004188</x:v>
      </x:c>
      <x:c r="B3055" s="1" t="str">
        <x:f>_xlfn.IFNA(VLOOKUP(Source!B3049,Advertisers!$A$5:$B$34,2,FALSE),"Missing advertiser")</x:f>
        <x:v>Synthetic advertiser 16</x:v>
      </x:c>
      <x:c r="C3055" s="1" t="n">
        <x:f>Source!C3049</x:f>
        <x:v>106</x:v>
      </x:c>
      <x:c r="D3055" s="8" t="n">
        <x:f>Source!D3049/100</x:f>
        <x:v>143.68</x:v>
      </x:c>
      <x:c r="E3055" s="8" t="n">
        <x:f>Source!E3049/100</x:f>
        <x:v>158.68</x:v>
      </x:c>
      <x:c r="F3055" s="8" t="n">
        <x:f>Source!F3049/100</x:f>
        <x:v>0</x:v>
      </x:c>
      <x:c r="G3055" s="8" t="n">
        <x:f>Source!G3049/100</x:f>
        <x:v>158.68</x:v>
      </x:c>
      <x:c r="H3055" s="8" t="n">
        <x:f>G3055-D3055</x:f>
        <x:v>15</x:v>
      </x:c>
      <x:c r="I3055" s="1" t="str">
        <x:f>IF(H3055&gt;0,"Overbilled","Shortfall")</x:f>
        <x:v>Overbilled</x:v>
      </x:c>
      <x:c r="J3055" s="7"/>
      <x:c r="K3055" s="7" t="str">
        <x:v>Open</x:v>
      </x:c>
      <x:c r="L3055" s="7"/>
    </x:row>
    <x:row r="3056" ht="21" customHeight="1">
      <x:c r="A3056" s="1" t="str">
        <x:f>Source!A3050</x:f>
        <x:v>C0004234</x:v>
      </x:c>
      <x:c r="B3056" s="1" t="str">
        <x:f>_xlfn.IFNA(VLOOKUP(Source!B3050,Advertisers!$A$5:$B$34,2,FALSE),"Missing advertiser")</x:f>
        <x:v>Synthetic advertiser 19</x:v>
      </x:c>
      <x:c r="C3056" s="1" t="n">
        <x:f>Source!C3050</x:f>
        <x:v>19</x:v>
      </x:c>
      <x:c r="D3056" s="8" t="n">
        <x:f>Source!D3050/100</x:f>
        <x:v>172.93</x:v>
      </x:c>
      <x:c r="E3056" s="8" t="n">
        <x:f>Source!E3050/100</x:f>
        <x:v>187.93</x:v>
      </x:c>
      <x:c r="F3056" s="8" t="n">
        <x:f>Source!F3050/100</x:f>
        <x:v>0</x:v>
      </x:c>
      <x:c r="G3056" s="8" t="n">
        <x:f>Source!G3050/100</x:f>
        <x:v>187.93</x:v>
      </x:c>
      <x:c r="H3056" s="8" t="n">
        <x:f>G3056-D3056</x:f>
        <x:v>15</x:v>
      </x:c>
      <x:c r="I3056" s="1" t="str">
        <x:f>IF(H3056&gt;0,"Overbilled","Shortfall")</x:f>
        <x:v>Overbilled</x:v>
      </x:c>
      <x:c r="J3056" s="7"/>
      <x:c r="K3056" s="7" t="str">
        <x:v>Open</x:v>
      </x:c>
      <x:c r="L3056" s="7"/>
    </x:row>
    <x:row r="3057" ht="21" customHeight="1">
      <x:c r="A3057" s="1" t="str">
        <x:f>Source!A3051</x:f>
        <x:v>C0004250</x:v>
      </x:c>
      <x:c r="B3057" s="1" t="str">
        <x:f>_xlfn.IFNA(VLOOKUP(Source!B3051,Advertisers!$A$5:$B$34,2,FALSE),"Missing advertiser")</x:f>
        <x:v>Synthetic advertiser 1</x:v>
      </x:c>
      <x:c r="C3057" s="1" t="n">
        <x:f>Source!C3051</x:f>
        <x:v>31</x:v>
      </x:c>
      <x:c r="D3057" s="8" t="n">
        <x:f>Source!D3051/100</x:f>
        <x:v>234.68</x:v>
      </x:c>
      <x:c r="E3057" s="8" t="n">
        <x:f>Source!E3051/100</x:f>
        <x:v>249.68</x:v>
      </x:c>
      <x:c r="F3057" s="8" t="n">
        <x:f>Source!F3051/100</x:f>
        <x:v>0</x:v>
      </x:c>
      <x:c r="G3057" s="8" t="n">
        <x:f>Source!G3051/100</x:f>
        <x:v>249.68</x:v>
      </x:c>
      <x:c r="H3057" s="8" t="n">
        <x:f>G3057-D3057</x:f>
        <x:v>15</x:v>
      </x:c>
      <x:c r="I3057" s="1" t="str">
        <x:f>IF(H3057&gt;0,"Overbilled","Shortfall")</x:f>
        <x:v>Overbilled</x:v>
      </x:c>
      <x:c r="J3057" s="7"/>
      <x:c r="K3057" s="7" t="str">
        <x:v>Open</x:v>
      </x:c>
      <x:c r="L3057" s="7"/>
    </x:row>
    <x:row r="3058" ht="21" customHeight="1">
      <x:c r="A3058" s="1" t="str">
        <x:f>Source!A3052</x:f>
        <x:v>C0014498</x:v>
      </x:c>
      <x:c r="B3058" s="1" t="str">
        <x:f>_xlfn.IFNA(VLOOKUP(Source!B3052,Advertisers!$A$5:$B$34,2,FALSE),"Missing advertiser")</x:f>
        <x:v>Synthetic advertiser 26</x:v>
      </x:c>
      <x:c r="C3058" s="1" t="n">
        <x:f>Source!C3052</x:f>
        <x:v>56</x:v>
      </x:c>
      <x:c r="D3058" s="8" t="n">
        <x:f>Source!D3052/100</x:f>
        <x:v>244.69</x:v>
      </x:c>
      <x:c r="E3058" s="8" t="n">
        <x:f>Source!E3052/100</x:f>
        <x:v>259.69</x:v>
      </x:c>
      <x:c r="F3058" s="8" t="n">
        <x:f>Source!F3052/100</x:f>
        <x:v>0</x:v>
      </x:c>
      <x:c r="G3058" s="8" t="n">
        <x:f>Source!G3052/100</x:f>
        <x:v>259.69</x:v>
      </x:c>
      <x:c r="H3058" s="8" t="n">
        <x:f>G3058-D3058</x:f>
        <x:v>15</x:v>
      </x:c>
      <x:c r="I3058" s="1" t="str">
        <x:f>IF(H3058&gt;0,"Overbilled","Shortfall")</x:f>
        <x:v>Overbilled</x:v>
      </x:c>
      <x:c r="J3058" s="7"/>
      <x:c r="K3058" s="7" t="str">
        <x:v>Open</x:v>
      </x:c>
      <x:c r="L3058" s="7"/>
    </x:row>
    <x:row r="3059" ht="21" customHeight="1">
      <x:c r="A3059" s="1" t="str">
        <x:f>Source!A3053</x:f>
        <x:v>C0013783</x:v>
      </x:c>
      <x:c r="B3059" s="1" t="str">
        <x:f>_xlfn.IFNA(VLOOKUP(Source!B3053,Advertisers!$A$5:$B$34,2,FALSE),"Missing advertiser")</x:f>
        <x:v>Synthetic advertiser 13</x:v>
      </x:c>
      <x:c r="C3059" s="1" t="n">
        <x:f>Source!C3053</x:f>
        <x:v>103</x:v>
      </x:c>
      <x:c r="D3059" s="8" t="n">
        <x:f>Source!D3053/100</x:f>
        <x:v>245.85</x:v>
      </x:c>
      <x:c r="E3059" s="8" t="n">
        <x:f>Source!E3053/100</x:f>
        <x:v>260.85</x:v>
      </x:c>
      <x:c r="F3059" s="8" t="n">
        <x:f>Source!F3053/100</x:f>
        <x:v>0</x:v>
      </x:c>
      <x:c r="G3059" s="8" t="n">
        <x:f>Source!G3053/100</x:f>
        <x:v>260.85</x:v>
      </x:c>
      <x:c r="H3059" s="8" t="n">
        <x:f>G3059-D3059</x:f>
        <x:v>15.000000000000028</x:v>
      </x:c>
      <x:c r="I3059" s="1" t="str">
        <x:f>IF(H3059&gt;0,"Overbilled","Shortfall")</x:f>
        <x:v>Overbilled</x:v>
      </x:c>
      <x:c r="J3059" s="7"/>
      <x:c r="K3059" s="7" t="str">
        <x:v>Open</x:v>
      </x:c>
      <x:c r="L3059" s="7"/>
    </x:row>
    <x:row r="3060" ht="21" customHeight="1">
      <x:c r="A3060" s="1" t="str">
        <x:f>Source!A3054</x:f>
        <x:v>C0013787</x:v>
      </x:c>
      <x:c r="B3060" s="1" t="str">
        <x:f>_xlfn.IFNA(VLOOKUP(Source!B3054,Advertisers!$A$5:$B$34,2,FALSE),"Missing advertiser")</x:f>
        <x:v>Synthetic advertiser 15</x:v>
      </x:c>
      <x:c r="C3060" s="1" t="n">
        <x:f>Source!C3054</x:f>
        <x:v>75</x:v>
      </x:c>
      <x:c r="D3060" s="8" t="n">
        <x:f>Source!D3054/100</x:f>
        <x:v>59.74</x:v>
      </x:c>
      <x:c r="E3060" s="8" t="n">
        <x:f>Source!E3054/100</x:f>
        <x:v>74.74</x:v>
      </x:c>
      <x:c r="F3060" s="8" t="n">
        <x:f>Source!F3054/100</x:f>
        <x:v>0</x:v>
      </x:c>
      <x:c r="G3060" s="8" t="n">
        <x:f>Source!G3054/100</x:f>
        <x:v>74.74</x:v>
      </x:c>
      <x:c r="H3060" s="8" t="n">
        <x:f>G3060-D3060</x:f>
        <x:v>14.999999999999993</x:v>
      </x:c>
      <x:c r="I3060" s="1" t="str">
        <x:f>IF(H3060&gt;0,"Overbilled","Shortfall")</x:f>
        <x:v>Overbilled</x:v>
      </x:c>
      <x:c r="J3060" s="7"/>
      <x:c r="K3060" s="7" t="str">
        <x:v>Open</x:v>
      </x:c>
      <x:c r="L3060" s="7"/>
    </x:row>
    <x:row r="3061" ht="21" customHeight="1">
      <x:c r="A3061" s="1" t="str">
        <x:f>Source!A3055</x:f>
        <x:v>C0013811</x:v>
      </x:c>
      <x:c r="B3061" s="1" t="str">
        <x:f>_xlfn.IFNA(VLOOKUP(Source!B3055,Advertisers!$A$5:$B$34,2,FALSE),"Missing advertiser")</x:f>
        <x:v>Synthetic advertiser 24</x:v>
      </x:c>
      <x:c r="C3061" s="1" t="n">
        <x:f>Source!C3055</x:f>
        <x:v>84</x:v>
      </x:c>
      <x:c r="D3061" s="8" t="n">
        <x:f>Source!D3055/100</x:f>
        <x:v>335.62</x:v>
      </x:c>
      <x:c r="E3061" s="8" t="n">
        <x:f>Source!E3055/100</x:f>
        <x:v>350.62</x:v>
      </x:c>
      <x:c r="F3061" s="8" t="n">
        <x:f>Source!F3055/100</x:f>
        <x:v>0</x:v>
      </x:c>
      <x:c r="G3061" s="8" t="n">
        <x:f>Source!G3055/100</x:f>
        <x:v>350.62</x:v>
      </x:c>
      <x:c r="H3061" s="8" t="n">
        <x:f>G3061-D3061</x:f>
        <x:v>15</x:v>
      </x:c>
      <x:c r="I3061" s="1" t="str">
        <x:f>IF(H3061&gt;0,"Overbilled","Shortfall")</x:f>
        <x:v>Overbilled</x:v>
      </x:c>
      <x:c r="J3061" s="7"/>
      <x:c r="K3061" s="7" t="str">
        <x:v>Open</x:v>
      </x:c>
      <x:c r="L3061" s="7"/>
    </x:row>
    <x:row r="3062" ht="21" customHeight="1">
      <x:c r="A3062" s="1" t="str">
        <x:f>Source!A3056</x:f>
        <x:v>C0013858</x:v>
      </x:c>
      <x:c r="B3062" s="1" t="str">
        <x:f>_xlfn.IFNA(VLOOKUP(Source!B3056,Advertisers!$A$5:$B$34,2,FALSE),"Missing advertiser")</x:f>
        <x:v>Synthetic advertiser 28</x:v>
      </x:c>
      <x:c r="C3062" s="1" t="n">
        <x:f>Source!C3056</x:f>
        <x:v>118</x:v>
      </x:c>
      <x:c r="D3062" s="8" t="n">
        <x:f>Source!D3056/100</x:f>
        <x:v>50.46</x:v>
      </x:c>
      <x:c r="E3062" s="8" t="n">
        <x:f>Source!E3056/100</x:f>
        <x:v>65.46</x:v>
      </x:c>
      <x:c r="F3062" s="8" t="n">
        <x:f>Source!F3056/100</x:f>
        <x:v>0</x:v>
      </x:c>
      <x:c r="G3062" s="8" t="n">
        <x:f>Source!G3056/100</x:f>
        <x:v>65.46</x:v>
      </x:c>
      <x:c r="H3062" s="8" t="n">
        <x:f>G3062-D3062</x:f>
        <x:v>14.999999999999993</x:v>
      </x:c>
      <x:c r="I3062" s="1" t="str">
        <x:f>IF(H3062&gt;0,"Overbilled","Shortfall")</x:f>
        <x:v>Overbilled</x:v>
      </x:c>
      <x:c r="J3062" s="7"/>
      <x:c r="K3062" s="7" t="str">
        <x:v>Open</x:v>
      </x:c>
      <x:c r="L3062" s="7"/>
    </x:row>
    <x:row r="3063" ht="21" customHeight="1">
      <x:c r="A3063" s="1" t="str">
        <x:f>Source!A3057</x:f>
        <x:v>C0013903</x:v>
      </x:c>
      <x:c r="B3063" s="1" t="str">
        <x:f>_xlfn.IFNA(VLOOKUP(Source!B3057,Advertisers!$A$5:$B$34,2,FALSE),"Missing advertiser")</x:f>
        <x:v>Synthetic advertiser 3</x:v>
      </x:c>
      <x:c r="C3063" s="1" t="n">
        <x:f>Source!C3057</x:f>
        <x:v>3</x:v>
      </x:c>
      <x:c r="D3063" s="8" t="n">
        <x:f>Source!D3057/100</x:f>
        <x:v>244.14</x:v>
      </x:c>
      <x:c r="E3063" s="8" t="n">
        <x:f>Source!E3057/100</x:f>
        <x:v>259.14</x:v>
      </x:c>
      <x:c r="F3063" s="8" t="n">
        <x:f>Source!F3057/100</x:f>
        <x:v>0</x:v>
      </x:c>
      <x:c r="G3063" s="8" t="n">
        <x:f>Source!G3057/100</x:f>
        <x:v>259.14</x:v>
      </x:c>
      <x:c r="H3063" s="8" t="n">
        <x:f>G3063-D3063</x:f>
        <x:v>15</x:v>
      </x:c>
      <x:c r="I3063" s="1" t="str">
        <x:f>IF(H3063&gt;0,"Overbilled","Shortfall")</x:f>
        <x:v>Overbilled</x:v>
      </x:c>
      <x:c r="J3063" s="7"/>
      <x:c r="K3063" s="7" t="str">
        <x:v>Open</x:v>
      </x:c>
      <x:c r="L3063" s="7"/>
    </x:row>
    <x:row r="3064" ht="21" customHeight="1">
      <x:c r="A3064" s="1" t="str">
        <x:f>Source!A3058</x:f>
        <x:v>C0013904</x:v>
      </x:c>
      <x:c r="B3064" s="1" t="str">
        <x:f>_xlfn.IFNA(VLOOKUP(Source!B3058,Advertisers!$A$5:$B$34,2,FALSE),"Missing advertiser")</x:f>
        <x:v>Synthetic advertiser 1</x:v>
      </x:c>
      <x:c r="C3064" s="1" t="n">
        <x:f>Source!C3058</x:f>
        <x:v>61</x:v>
      </x:c>
      <x:c r="D3064" s="8" t="n">
        <x:f>Source!D3058/100</x:f>
        <x:v>65.52</x:v>
      </x:c>
      <x:c r="E3064" s="8" t="n">
        <x:f>Source!E3058/100</x:f>
        <x:v>80.52</x:v>
      </x:c>
      <x:c r="F3064" s="8" t="n">
        <x:f>Source!F3058/100</x:f>
        <x:v>0</x:v>
      </x:c>
      <x:c r="G3064" s="8" t="n">
        <x:f>Source!G3058/100</x:f>
        <x:v>80.52</x:v>
      </x:c>
      <x:c r="H3064" s="8" t="n">
        <x:f>G3064-D3064</x:f>
        <x:v>15</x:v>
      </x:c>
      <x:c r="I3064" s="1" t="str">
        <x:f>IF(H3064&gt;0,"Overbilled","Shortfall")</x:f>
        <x:v>Overbilled</x:v>
      </x:c>
      <x:c r="J3064" s="7"/>
      <x:c r="K3064" s="7" t="str">
        <x:v>Open</x:v>
      </x:c>
      <x:c r="L3064" s="7"/>
    </x:row>
    <x:row r="3065" ht="21" customHeight="1">
      <x:c r="A3065" s="1" t="str">
        <x:f>Source!A3059</x:f>
        <x:v>C0013911</x:v>
      </x:c>
      <x:c r="B3065" s="1" t="str">
        <x:f>_xlfn.IFNA(VLOOKUP(Source!B3059,Advertisers!$A$5:$B$34,2,FALSE),"Missing advertiser")</x:f>
        <x:v>Synthetic advertiser 19</x:v>
      </x:c>
      <x:c r="C3065" s="1" t="n">
        <x:f>Source!C3059</x:f>
        <x:v>19</x:v>
      </x:c>
      <x:c r="D3065" s="8" t="n">
        <x:f>Source!D3059/100</x:f>
        <x:v>172.93</x:v>
      </x:c>
      <x:c r="E3065" s="8" t="n">
        <x:f>Source!E3059/100</x:f>
        <x:v>187.93</x:v>
      </x:c>
      <x:c r="F3065" s="8" t="n">
        <x:f>Source!F3059/100</x:f>
        <x:v>0</x:v>
      </x:c>
      <x:c r="G3065" s="8" t="n">
        <x:f>Source!G3059/100</x:f>
        <x:v>187.93</x:v>
      </x:c>
      <x:c r="H3065" s="8" t="n">
        <x:f>G3065-D3065</x:f>
        <x:v>15</x:v>
      </x:c>
      <x:c r="I3065" s="1" t="str">
        <x:f>IF(H3065&gt;0,"Overbilled","Shortfall")</x:f>
        <x:v>Overbilled</x:v>
      </x:c>
      <x:c r="J3065" s="7"/>
      <x:c r="K3065" s="7" t="str">
        <x:v>Open</x:v>
      </x:c>
      <x:c r="L3065" s="7"/>
    </x:row>
    <x:row r="3066" ht="21" customHeight="1">
      <x:c r="A3066" s="1" t="str">
        <x:f>Source!A3060</x:f>
        <x:v>C0003918</x:v>
      </x:c>
      <x:c r="B3066" s="1" t="str">
        <x:f>_xlfn.IFNA(VLOOKUP(Source!B3060,Advertisers!$A$5:$B$34,2,FALSE),"Missing advertiser")</x:f>
        <x:v>Synthetic advertiser 22</x:v>
      </x:c>
      <x:c r="C3066" s="1" t="n">
        <x:f>Source!C3060</x:f>
        <x:v>82</x:v>
      </x:c>
      <x:c r="D3066" s="8" t="n">
        <x:f>Source!D3060/100</x:f>
        <x:v>228.18</x:v>
      </x:c>
      <x:c r="E3066" s="8" t="n">
        <x:f>Source!E3060/100</x:f>
        <x:v>243.18</x:v>
      </x:c>
      <x:c r="F3066" s="8" t="n">
        <x:f>Source!F3060/100</x:f>
        <x:v>0</x:v>
      </x:c>
      <x:c r="G3066" s="8" t="n">
        <x:f>Source!G3060/100</x:f>
        <x:v>243.18</x:v>
      </x:c>
      <x:c r="H3066" s="8" t="n">
        <x:f>G3066-D3066</x:f>
        <x:v>15</x:v>
      </x:c>
      <x:c r="I3066" s="1" t="str">
        <x:f>IF(H3066&gt;0,"Overbilled","Shortfall")</x:f>
        <x:v>Overbilled</x:v>
      </x:c>
      <x:c r="J3066" s="7"/>
      <x:c r="K3066" s="7" t="str">
        <x:v>Open</x:v>
      </x:c>
      <x:c r="L3066" s="7"/>
    </x:row>
    <x:row r="3067" ht="21" customHeight="1">
      <x:c r="A3067" s="1" t="str">
        <x:f>Source!A3061</x:f>
        <x:v>C0003919</x:v>
      </x:c>
      <x:c r="B3067" s="1" t="str">
        <x:f>_xlfn.IFNA(VLOOKUP(Source!B3061,Advertisers!$A$5:$B$34,2,FALSE),"Missing advertiser")</x:f>
        <x:v>Synthetic advertiser 1</x:v>
      </x:c>
      <x:c r="C3067" s="1" t="n">
        <x:f>Source!C3061</x:f>
        <x:v>91</x:v>
      </x:c>
      <x:c r="D3067" s="8" t="n">
        <x:f>Source!D3061/100</x:f>
        <x:v>98.33</x:v>
      </x:c>
      <x:c r="E3067" s="8" t="n">
        <x:f>Source!E3061/100</x:f>
        <x:v>113.33</x:v>
      </x:c>
      <x:c r="F3067" s="8" t="n">
        <x:f>Source!F3061/100</x:f>
        <x:v>0</x:v>
      </x:c>
      <x:c r="G3067" s="8" t="n">
        <x:f>Source!G3061/100</x:f>
        <x:v>113.33</x:v>
      </x:c>
      <x:c r="H3067" s="8" t="n">
        <x:f>G3067-D3067</x:f>
        <x:v>15</x:v>
      </x:c>
      <x:c r="I3067" s="1" t="str">
        <x:f>IF(H3067&gt;0,"Overbilled","Shortfall")</x:f>
        <x:v>Overbilled</x:v>
      </x:c>
      <x:c r="J3067" s="7"/>
      <x:c r="K3067" s="7" t="str">
        <x:v>Open</x:v>
      </x:c>
      <x:c r="L3067" s="7"/>
    </x:row>
    <x:row r="3068" ht="21" customHeight="1">
      <x:c r="A3068" s="1" t="str">
        <x:f>Source!A3062</x:f>
        <x:v>C0003928</x:v>
      </x:c>
      <x:c r="B3068" s="1" t="str">
        <x:f>_xlfn.IFNA(VLOOKUP(Source!B3062,Advertisers!$A$5:$B$34,2,FALSE),"Missing advertiser")</x:f>
        <x:v>Synthetic advertiser 12</x:v>
      </x:c>
      <x:c r="C3068" s="1" t="n">
        <x:f>Source!C3062</x:f>
        <x:v>72</x:v>
      </x:c>
      <x:c r="D3068" s="8" t="n">
        <x:f>Source!D3062/100</x:f>
        <x:v>211.85</x:v>
      </x:c>
      <x:c r="E3068" s="8" t="n">
        <x:f>Source!E3062/100</x:f>
        <x:v>226.85</x:v>
      </x:c>
      <x:c r="F3068" s="8" t="n">
        <x:f>Source!F3062/100</x:f>
        <x:v>0</x:v>
      </x:c>
      <x:c r="G3068" s="8" t="n">
        <x:f>Source!G3062/100</x:f>
        <x:v>226.85</x:v>
      </x:c>
      <x:c r="H3068" s="8" t="n">
        <x:f>G3068-D3068</x:f>
        <x:v>15</x:v>
      </x:c>
      <x:c r="I3068" s="1" t="str">
        <x:f>IF(H3068&gt;0,"Overbilled","Shortfall")</x:f>
        <x:v>Overbilled</x:v>
      </x:c>
      <x:c r="J3068" s="7"/>
      <x:c r="K3068" s="7" t="str">
        <x:v>Open</x:v>
      </x:c>
      <x:c r="L3068" s="7"/>
    </x:row>
    <x:row r="3069" ht="21" customHeight="1">
      <x:c r="A3069" s="1" t="str">
        <x:f>Source!A3063</x:f>
        <x:v>C0003933</x:v>
      </x:c>
      <x:c r="B3069" s="1" t="str">
        <x:f>_xlfn.IFNA(VLOOKUP(Source!B3063,Advertisers!$A$5:$B$34,2,FALSE),"Missing advertiser")</x:f>
        <x:v>Synthetic advertiser 17</x:v>
      </x:c>
      <x:c r="C3069" s="1" t="n">
        <x:f>Source!C3063</x:f>
        <x:v>77</x:v>
      </x:c>
      <x:c r="D3069" s="8" t="n">
        <x:f>Source!D3063/100</x:f>
        <x:v>133</x:v>
      </x:c>
      <x:c r="E3069" s="8" t="n">
        <x:f>Source!E3063/100</x:f>
        <x:v>148</x:v>
      </x:c>
      <x:c r="F3069" s="8" t="n">
        <x:f>Source!F3063/100</x:f>
        <x:v>0</x:v>
      </x:c>
      <x:c r="G3069" s="8" t="n">
        <x:f>Source!G3063/100</x:f>
        <x:v>148</x:v>
      </x:c>
      <x:c r="H3069" s="8" t="n">
        <x:f>G3069-D3069</x:f>
        <x:v>15</x:v>
      </x:c>
      <x:c r="I3069" s="1" t="str">
        <x:f>IF(H3069&gt;0,"Overbilled","Shortfall")</x:f>
        <x:v>Overbilled</x:v>
      </x:c>
      <x:c r="J3069" s="7"/>
      <x:c r="K3069" s="7" t="str">
        <x:v>Open</x:v>
      </x:c>
      <x:c r="L3069" s="7"/>
    </x:row>
    <x:row r="3070" ht="21" customHeight="1">
      <x:c r="A3070" s="1" t="str">
        <x:f>Source!A3064</x:f>
        <x:v>C0003951</x:v>
      </x:c>
      <x:c r="B3070" s="1" t="str">
        <x:f>_xlfn.IFNA(VLOOKUP(Source!B3064,Advertisers!$A$5:$B$34,2,FALSE),"Missing advertiser")</x:f>
        <x:v>Synthetic advertiser 28</x:v>
      </x:c>
      <x:c r="C3070" s="1" t="n">
        <x:f>Source!C3064</x:f>
        <x:v>58</x:v>
      </x:c>
      <x:c r="D3070" s="8" t="n">
        <x:f>Source!D3064/100</x:f>
        <x:v>95.12</x:v>
      </x:c>
      <x:c r="E3070" s="8" t="n">
        <x:f>Source!E3064/100</x:f>
        <x:v>110.12</x:v>
      </x:c>
      <x:c r="F3070" s="8" t="n">
        <x:f>Source!F3064/100</x:f>
        <x:v>0</x:v>
      </x:c>
      <x:c r="G3070" s="8" t="n">
        <x:f>Source!G3064/100</x:f>
        <x:v>110.12</x:v>
      </x:c>
      <x:c r="H3070" s="8" t="n">
        <x:f>G3070-D3070</x:f>
        <x:v>15</x:v>
      </x:c>
      <x:c r="I3070" s="1" t="str">
        <x:f>IF(H3070&gt;0,"Overbilled","Shortfall")</x:f>
        <x:v>Overbilled</x:v>
      </x:c>
      <x:c r="J3070" s="7"/>
      <x:c r="K3070" s="7" t="str">
        <x:v>Open</x:v>
      </x:c>
      <x:c r="L3070" s="7"/>
    </x:row>
    <x:row r="3071" ht="21" customHeight="1">
      <x:c r="A3071" s="1" t="str">
        <x:f>Source!A3065</x:f>
        <x:v>C0003983</x:v>
      </x:c>
      <x:c r="B3071" s="1" t="str">
        <x:f>_xlfn.IFNA(VLOOKUP(Source!B3065,Advertisers!$A$5:$B$34,2,FALSE),"Missing advertiser")</x:f>
        <x:v>Synthetic advertiser 14</x:v>
      </x:c>
      <x:c r="C3071" s="1" t="n">
        <x:f>Source!C3065</x:f>
        <x:v>104</x:v>
      </x:c>
      <x:c r="D3071" s="8" t="n">
        <x:f>Source!D3065/100</x:f>
        <x:v>171.75</x:v>
      </x:c>
      <x:c r="E3071" s="8" t="n">
        <x:f>Source!E3065/100</x:f>
        <x:v>186.75</x:v>
      </x:c>
      <x:c r="F3071" s="8" t="n">
        <x:f>Source!F3065/100</x:f>
        <x:v>0</x:v>
      </x:c>
      <x:c r="G3071" s="8" t="n">
        <x:f>Source!G3065/100</x:f>
        <x:v>186.75</x:v>
      </x:c>
      <x:c r="H3071" s="8" t="n">
        <x:f>G3071-D3071</x:f>
        <x:v>15</x:v>
      </x:c>
      <x:c r="I3071" s="1" t="str">
        <x:f>IF(H3071&gt;0,"Overbilled","Shortfall")</x:f>
        <x:v>Overbilled</x:v>
      </x:c>
      <x:c r="J3071" s="7"/>
      <x:c r="K3071" s="7" t="str">
        <x:v>Open</x:v>
      </x:c>
      <x:c r="L3071" s="7"/>
    </x:row>
    <x:row r="3072" ht="21" customHeight="1">
      <x:c r="A3072" s="1" t="str">
        <x:f>Source!A3066</x:f>
        <x:v>C0013734</x:v>
      </x:c>
      <x:c r="B3072" s="1" t="str">
        <x:f>_xlfn.IFNA(VLOOKUP(Source!B3066,Advertisers!$A$5:$B$34,2,FALSE),"Missing advertiser")</x:f>
        <x:v>Synthetic advertiser 22</x:v>
      </x:c>
      <x:c r="C3072" s="1" t="n">
        <x:f>Source!C3066</x:f>
        <x:v>22</x:v>
      </x:c>
      <x:c r="D3072" s="8" t="n">
        <x:f>Source!D3066/100</x:f>
        <x:v>124.73</x:v>
      </x:c>
      <x:c r="E3072" s="8" t="n">
        <x:f>Source!E3066/100</x:f>
        <x:v>139.73</x:v>
      </x:c>
      <x:c r="F3072" s="8" t="n">
        <x:f>Source!F3066/100</x:f>
        <x:v>0</x:v>
      </x:c>
      <x:c r="G3072" s="8" t="n">
        <x:f>Source!G3066/100</x:f>
        <x:v>139.73</x:v>
      </x:c>
      <x:c r="H3072" s="8" t="n">
        <x:f>G3072-D3072</x:f>
        <x:v>14.999999999999986</x:v>
      </x:c>
      <x:c r="I3072" s="1" t="str">
        <x:f>IF(H3072&gt;0,"Overbilled","Shortfall")</x:f>
        <x:v>Overbilled</x:v>
      </x:c>
      <x:c r="J3072" s="7"/>
      <x:c r="K3072" s="7" t="str">
        <x:v>Open</x:v>
      </x:c>
      <x:c r="L3072" s="7"/>
    </x:row>
    <x:row r="3073" ht="21" customHeight="1">
      <x:c r="A3073" s="1" t="str">
        <x:f>Source!A3067</x:f>
        <x:v>C0004366</x:v>
      </x:c>
      <x:c r="B3073" s="1" t="str">
        <x:f>_xlfn.IFNA(VLOOKUP(Source!B3067,Advertisers!$A$5:$B$34,2,FALSE),"Missing advertiser")</x:f>
        <x:v>Synthetic advertiser 27</x:v>
      </x:c>
      <x:c r="C3073" s="1" t="n">
        <x:f>Source!C3067</x:f>
        <x:v>57</x:v>
      </x:c>
      <x:c r="D3073" s="8" t="n">
        <x:f>Source!D3067/100</x:f>
        <x:v>234.1</x:v>
      </x:c>
      <x:c r="E3073" s="8" t="n">
        <x:f>Source!E3067/100</x:f>
        <x:v>249.1</x:v>
      </x:c>
      <x:c r="F3073" s="8" t="n">
        <x:f>Source!F3067/100</x:f>
        <x:v>0</x:v>
      </x:c>
      <x:c r="G3073" s="8" t="n">
        <x:f>Source!G3067/100</x:f>
        <x:v>249.1</x:v>
      </x:c>
      <x:c r="H3073" s="8" t="n">
        <x:f>G3073-D3073</x:f>
        <x:v>15</x:v>
      </x:c>
      <x:c r="I3073" s="1" t="str">
        <x:f>IF(H3073&gt;0,"Overbilled","Shortfall")</x:f>
        <x:v>Overbilled</x:v>
      </x:c>
      <x:c r="J3073" s="7"/>
      <x:c r="K3073" s="7" t="str">
        <x:v>Open</x:v>
      </x:c>
      <x:c r="L3073" s="7"/>
    </x:row>
    <x:row r="3074" ht="21" customHeight="1">
      <x:c r="A3074" s="1" t="str">
        <x:f>Source!A3068</x:f>
        <x:v>C0004379</x:v>
      </x:c>
      <x:c r="B3074" s="1" t="str">
        <x:f>_xlfn.IFNA(VLOOKUP(Source!B3068,Advertisers!$A$5:$B$34,2,FALSE),"Missing advertiser")</x:f>
        <x:v>Synthetic advertiser 17</x:v>
      </x:c>
      <x:c r="C3074" s="1" t="n">
        <x:f>Source!C3068</x:f>
        <x:v>77</x:v>
      </x:c>
      <x:c r="D3074" s="8" t="n">
        <x:f>Source!D3068/100</x:f>
        <x:v>133</x:v>
      </x:c>
      <x:c r="E3074" s="8" t="n">
        <x:f>Source!E3068/100</x:f>
        <x:v>148</x:v>
      </x:c>
      <x:c r="F3074" s="8" t="n">
        <x:f>Source!F3068/100</x:f>
        <x:v>0</x:v>
      </x:c>
      <x:c r="G3074" s="8" t="n">
        <x:f>Source!G3068/100</x:f>
        <x:v>148</x:v>
      </x:c>
      <x:c r="H3074" s="8" t="n">
        <x:f>G3074-D3074</x:f>
        <x:v>15</x:v>
      </x:c>
      <x:c r="I3074" s="1" t="str">
        <x:f>IF(H3074&gt;0,"Overbilled","Shortfall")</x:f>
        <x:v>Overbilled</x:v>
      </x:c>
      <x:c r="J3074" s="7"/>
      <x:c r="K3074" s="7" t="str">
        <x:v>Open</x:v>
      </x:c>
      <x:c r="L3074" s="7"/>
    </x:row>
    <x:row r="3075" ht="21" customHeight="1">
      <x:c r="A3075" s="1" t="str">
        <x:f>Source!A3069</x:f>
        <x:v>C0004426</x:v>
      </x:c>
      <x:c r="B3075" s="1" t="str">
        <x:f>_xlfn.IFNA(VLOOKUP(Source!B3069,Advertisers!$A$5:$B$34,2,FALSE),"Missing advertiser")</x:f>
        <x:v>Synthetic advertiser 18</x:v>
      </x:c>
      <x:c r="C3075" s="1" t="n">
        <x:f>Source!C3069</x:f>
        <x:v>78</x:v>
      </x:c>
      <x:c r="D3075" s="8" t="n">
        <x:f>Source!D3069/100</x:f>
        <x:v>175.04</x:v>
      </x:c>
      <x:c r="E3075" s="8" t="n">
        <x:f>Source!E3069/100</x:f>
        <x:v>190.04</x:v>
      </x:c>
      <x:c r="F3075" s="8" t="n">
        <x:f>Source!F3069/100</x:f>
        <x:v>0</x:v>
      </x:c>
      <x:c r="G3075" s="8" t="n">
        <x:f>Source!G3069/100</x:f>
        <x:v>190.04</x:v>
      </x:c>
      <x:c r="H3075" s="8" t="n">
        <x:f>G3075-D3075</x:f>
        <x:v>15</x:v>
      </x:c>
      <x:c r="I3075" s="1" t="str">
        <x:f>IF(H3075&gt;0,"Overbilled","Shortfall")</x:f>
        <x:v>Overbilled</x:v>
      </x:c>
      <x:c r="J3075" s="7"/>
      <x:c r="K3075" s="7" t="str">
        <x:v>Open</x:v>
      </x:c>
      <x:c r="L3075" s="7"/>
    </x:row>
    <x:row r="3076" ht="21" customHeight="1">
      <x:c r="A3076" s="1" t="str">
        <x:f>Source!A3070</x:f>
        <x:v>C0004427</x:v>
      </x:c>
      <x:c r="B3076" s="1" t="str">
        <x:f>_xlfn.IFNA(VLOOKUP(Source!B3070,Advertisers!$A$5:$B$34,2,FALSE),"Missing advertiser")</x:f>
        <x:v>Synthetic advertiser 4</x:v>
      </x:c>
      <x:c r="C3076" s="1" t="n">
        <x:f>Source!C3070</x:f>
        <x:v>4</x:v>
      </x:c>
      <x:c r="D3076" s="8" t="n">
        <x:f>Source!D3070/100</x:f>
        <x:v>80.85</x:v>
      </x:c>
      <x:c r="E3076" s="8" t="n">
        <x:f>Source!E3070/100</x:f>
        <x:v>95.85</x:v>
      </x:c>
      <x:c r="F3076" s="8" t="n">
        <x:f>Source!F3070/100</x:f>
        <x:v>0</x:v>
      </x:c>
      <x:c r="G3076" s="8" t="n">
        <x:f>Source!G3070/100</x:f>
        <x:v>95.85</x:v>
      </x:c>
      <x:c r="H3076" s="8" t="n">
        <x:f>G3076-D3076</x:f>
        <x:v>15</x:v>
      </x:c>
      <x:c r="I3076" s="1" t="str">
        <x:f>IF(H3076&gt;0,"Overbilled","Shortfall")</x:f>
        <x:v>Overbilled</x:v>
      </x:c>
      <x:c r="J3076" s="7"/>
      <x:c r="K3076" s="7" t="str">
        <x:v>Open</x:v>
      </x:c>
      <x:c r="L3076" s="7"/>
    </x:row>
    <x:row r="3077" ht="21" customHeight="1">
      <x:c r="A3077" s="1" t="str">
        <x:f>Source!A3071</x:f>
        <x:v>C0013621</x:v>
      </x:c>
      <x:c r="B3077" s="1" t="str">
        <x:f>_xlfn.IFNA(VLOOKUP(Source!B3071,Advertisers!$A$5:$B$34,2,FALSE),"Missing advertiser")</x:f>
        <x:v>Synthetic advertiser 24</x:v>
      </x:c>
      <x:c r="C3077" s="1" t="n">
        <x:f>Source!C3071</x:f>
        <x:v>84</x:v>
      </x:c>
      <x:c r="D3077" s="8" t="n">
        <x:f>Source!D3071/100</x:f>
        <x:v>137.68</x:v>
      </x:c>
      <x:c r="E3077" s="8" t="n">
        <x:f>Source!E3071/100</x:f>
        <x:v>152.68</x:v>
      </x:c>
      <x:c r="F3077" s="8" t="n">
        <x:f>Source!F3071/100</x:f>
        <x:v>0</x:v>
      </x:c>
      <x:c r="G3077" s="8" t="n">
        <x:f>Source!G3071/100</x:f>
        <x:v>152.68</x:v>
      </x:c>
      <x:c r="H3077" s="8" t="n">
        <x:f>G3077-D3077</x:f>
        <x:v>15</x:v>
      </x:c>
      <x:c r="I3077" s="1" t="str">
        <x:f>IF(H3077&gt;0,"Overbilled","Shortfall")</x:f>
        <x:v>Overbilled</x:v>
      </x:c>
      <x:c r="J3077" s="7"/>
      <x:c r="K3077" s="7" t="str">
        <x:v>Open</x:v>
      </x:c>
      <x:c r="L3077" s="7"/>
    </x:row>
    <x:row r="3078" ht="21" customHeight="1">
      <x:c r="A3078" s="1" t="str">
        <x:f>Source!A3072</x:f>
        <x:v>C0013676</x:v>
      </x:c>
      <x:c r="B3078" s="1" t="str">
        <x:f>_xlfn.IFNA(VLOOKUP(Source!B3072,Advertisers!$A$5:$B$34,2,FALSE),"Missing advertiser")</x:f>
        <x:v>Synthetic advertiser 26</x:v>
      </x:c>
      <x:c r="C3078" s="1" t="n">
        <x:f>Source!C3072</x:f>
        <x:v>116</x:v>
      </x:c>
      <x:c r="D3078" s="8" t="n">
        <x:f>Source!D3072/100</x:f>
        <x:v>124.17</x:v>
      </x:c>
      <x:c r="E3078" s="8" t="n">
        <x:f>Source!E3072/100</x:f>
        <x:v>139.17</x:v>
      </x:c>
      <x:c r="F3078" s="8" t="n">
        <x:f>Source!F3072/100</x:f>
        <x:v>0</x:v>
      </x:c>
      <x:c r="G3078" s="8" t="n">
        <x:f>Source!G3072/100</x:f>
        <x:v>139.17</x:v>
      </x:c>
      <x:c r="H3078" s="8" t="n">
        <x:f>G3078-D3078</x:f>
        <x:v>14.999999999999986</x:v>
      </x:c>
      <x:c r="I3078" s="1" t="str">
        <x:f>IF(H3078&gt;0,"Overbilled","Shortfall")</x:f>
        <x:v>Overbilled</x:v>
      </x:c>
      <x:c r="J3078" s="7"/>
      <x:c r="K3078" s="7" t="str">
        <x:v>Open</x:v>
      </x:c>
      <x:c r="L3078" s="7"/>
    </x:row>
    <x:row r="3079" ht="21" customHeight="1">
      <x:c r="A3079" s="1" t="str">
        <x:f>Source!A3073</x:f>
        <x:v>C0013679</x:v>
      </x:c>
      <x:c r="B3079" s="1" t="str">
        <x:f>_xlfn.IFNA(VLOOKUP(Source!B3073,Advertisers!$A$5:$B$34,2,FALSE),"Missing advertiser")</x:f>
        <x:v>Synthetic advertiser 3</x:v>
      </x:c>
      <x:c r="C3079" s="1" t="n">
        <x:f>Source!C3073</x:f>
        <x:v>63</x:v>
      </x:c>
      <x:c r="D3079" s="8" t="n">
        <x:f>Source!D3073/100</x:f>
        <x:v>204.12</x:v>
      </x:c>
      <x:c r="E3079" s="8" t="n">
        <x:f>Source!E3073/100</x:f>
        <x:v>219.12</x:v>
      </x:c>
      <x:c r="F3079" s="8" t="n">
        <x:f>Source!F3073/100</x:f>
        <x:v>0</x:v>
      </x:c>
      <x:c r="G3079" s="8" t="n">
        <x:f>Source!G3073/100</x:f>
        <x:v>219.12</x:v>
      </x:c>
      <x:c r="H3079" s="8" t="n">
        <x:f>G3079-D3079</x:f>
        <x:v>15</x:v>
      </x:c>
      <x:c r="I3079" s="1" t="str">
        <x:f>IF(H3079&gt;0,"Overbilled","Shortfall")</x:f>
        <x:v>Overbilled</x:v>
      </x:c>
      <x:c r="J3079" s="7"/>
      <x:c r="K3079" s="7" t="str">
        <x:v>Open</x:v>
      </x:c>
      <x:c r="L3079" s="7"/>
    </x:row>
    <x:row r="3080" ht="21" customHeight="1">
      <x:c r="A3080" s="1" t="str">
        <x:f>Source!A3074</x:f>
        <x:v>C0007183</x:v>
      </x:c>
      <x:c r="B3080" s="1" t="str">
        <x:f>_xlfn.IFNA(VLOOKUP(Source!B3074,Advertisers!$A$5:$B$34,2,FALSE),"Missing advertiser")</x:f>
        <x:v>Synthetic advertiser 7</x:v>
      </x:c>
      <x:c r="C3080" s="1" t="n">
        <x:f>Source!C3074</x:f>
        <x:v>97</x:v>
      </x:c>
      <x:c r="D3080" s="8" t="n">
        <x:f>Source!D3074/100</x:f>
        <x:v>168.91</x:v>
      </x:c>
      <x:c r="E3080" s="8" t="n">
        <x:f>Source!E3074/100</x:f>
        <x:v>183.91</x:v>
      </x:c>
      <x:c r="F3080" s="8" t="n">
        <x:f>Source!F3074/100</x:f>
        <x:v>0</x:v>
      </x:c>
      <x:c r="G3080" s="8" t="n">
        <x:f>Source!G3074/100</x:f>
        <x:v>183.91</x:v>
      </x:c>
      <x:c r="H3080" s="8" t="n">
        <x:f>G3080-D3080</x:f>
        <x:v>15</x:v>
      </x:c>
      <x:c r="I3080" s="1" t="str">
        <x:f>IF(H3080&gt;0,"Overbilled","Shortfall")</x:f>
        <x:v>Overbilled</x:v>
      </x:c>
      <x:c r="J3080" s="7"/>
      <x:c r="K3080" s="7" t="str">
        <x:v>Open</x:v>
      </x:c>
      <x:c r="L3080" s="7"/>
    </x:row>
    <x:row r="3081" ht="21" customHeight="1">
      <x:c r="A3081" s="1" t="str">
        <x:f>Source!A3075</x:f>
        <x:v>C0007184</x:v>
      </x:c>
      <x:c r="B3081" s="1" t="str">
        <x:f>_xlfn.IFNA(VLOOKUP(Source!B3075,Advertisers!$A$5:$B$34,2,FALSE),"Missing advertiser")</x:f>
        <x:v>Synthetic advertiser 19</x:v>
      </x:c>
      <x:c r="C3081" s="1" t="n">
        <x:f>Source!C3075</x:f>
        <x:v>109</x:v>
      </x:c>
      <x:c r="D3081" s="8" t="n">
        <x:f>Source!D3075/100</x:f>
        <x:v>213.3</x:v>
      </x:c>
      <x:c r="E3081" s="8" t="n">
        <x:f>Source!E3075/100</x:f>
        <x:v>228.3</x:v>
      </x:c>
      <x:c r="F3081" s="8" t="n">
        <x:f>Source!F3075/100</x:f>
        <x:v>0</x:v>
      </x:c>
      <x:c r="G3081" s="8" t="n">
        <x:f>Source!G3075/100</x:f>
        <x:v>228.3</x:v>
      </x:c>
      <x:c r="H3081" s="8" t="n">
        <x:f>G3081-D3081</x:f>
        <x:v>15</x:v>
      </x:c>
      <x:c r="I3081" s="1" t="str">
        <x:f>IF(H3081&gt;0,"Overbilled","Shortfall")</x:f>
        <x:v>Overbilled</x:v>
      </x:c>
      <x:c r="J3081" s="7"/>
      <x:c r="K3081" s="7" t="str">
        <x:v>Open</x:v>
      </x:c>
      <x:c r="L3081" s="7"/>
    </x:row>
    <x:row r="3082" ht="21" customHeight="1">
      <x:c r="A3082" s="1" t="str">
        <x:f>Source!A3076</x:f>
        <x:v>C0007188</x:v>
      </x:c>
      <x:c r="B3082" s="1" t="str">
        <x:f>_xlfn.IFNA(VLOOKUP(Source!B3076,Advertisers!$A$5:$B$34,2,FALSE),"Missing advertiser")</x:f>
        <x:v>Synthetic advertiser 15</x:v>
      </x:c>
      <x:c r="C3082" s="1" t="n">
        <x:f>Source!C3076</x:f>
        <x:v>45</x:v>
      </x:c>
      <x:c r="D3082" s="8" t="n">
        <x:f>Source!D3076/100</x:f>
        <x:v>195.94</x:v>
      </x:c>
      <x:c r="E3082" s="8" t="n">
        <x:f>Source!E3076/100</x:f>
        <x:v>210.94</x:v>
      </x:c>
      <x:c r="F3082" s="8" t="n">
        <x:f>Source!F3076/100</x:f>
        <x:v>0</x:v>
      </x:c>
      <x:c r="G3082" s="8" t="n">
        <x:f>Source!G3076/100</x:f>
        <x:v>210.94</x:v>
      </x:c>
      <x:c r="H3082" s="8" t="n">
        <x:f>G3082-D3082</x:f>
        <x:v>15</x:v>
      </x:c>
      <x:c r="I3082" s="1" t="str">
        <x:f>IF(H3082&gt;0,"Overbilled","Shortfall")</x:f>
        <x:v>Overbilled</x:v>
      </x:c>
      <x:c r="J3082" s="7"/>
      <x:c r="K3082" s="7" t="str">
        <x:v>Open</x:v>
      </x:c>
      <x:c r="L3082" s="7"/>
    </x:row>
    <x:row r="3083" ht="21" customHeight="1">
      <x:c r="A3083" s="1" t="str">
        <x:f>Source!A3077</x:f>
        <x:v>C0007207</x:v>
      </x:c>
      <x:c r="B3083" s="1" t="str">
        <x:f>_xlfn.IFNA(VLOOKUP(Source!B3077,Advertisers!$A$5:$B$34,2,FALSE),"Missing advertiser")</x:f>
        <x:v>Synthetic advertiser 22</x:v>
      </x:c>
      <x:c r="C3083" s="1" t="n">
        <x:f>Source!C3077</x:f>
        <x:v>82</x:v>
      </x:c>
      <x:c r="D3083" s="8" t="n">
        <x:f>Source!D3077/100</x:f>
        <x:v>229.4</x:v>
      </x:c>
      <x:c r="E3083" s="8" t="n">
        <x:f>Source!E3077/100</x:f>
        <x:v>244.4</x:v>
      </x:c>
      <x:c r="F3083" s="8" t="n">
        <x:f>Source!F3077/100</x:f>
        <x:v>0</x:v>
      </x:c>
      <x:c r="G3083" s="8" t="n">
        <x:f>Source!G3077/100</x:f>
        <x:v>244.4</x:v>
      </x:c>
      <x:c r="H3083" s="8" t="n">
        <x:f>G3083-D3083</x:f>
        <x:v>15</x:v>
      </x:c>
      <x:c r="I3083" s="1" t="str">
        <x:f>IF(H3083&gt;0,"Overbilled","Shortfall")</x:f>
        <x:v>Overbilled</x:v>
      </x:c>
      <x:c r="J3083" s="7"/>
      <x:c r="K3083" s="7" t="str">
        <x:v>Open</x:v>
      </x:c>
      <x:c r="L3083" s="7"/>
    </x:row>
    <x:row r="3084" ht="21" customHeight="1">
      <x:c r="A3084" s="1" t="str">
        <x:f>Source!A3078</x:f>
        <x:v>C0007210</x:v>
      </x:c>
      <x:c r="B3084" s="1" t="str">
        <x:f>_xlfn.IFNA(VLOOKUP(Source!B3078,Advertisers!$A$5:$B$34,2,FALSE),"Missing advertiser")</x:f>
        <x:v>Synthetic advertiser 14</x:v>
      </x:c>
      <x:c r="C3084" s="1" t="n">
        <x:f>Source!C3078</x:f>
        <x:v>14</x:v>
      </x:c>
      <x:c r="D3084" s="8" t="n">
        <x:f>Source!D3078/100</x:f>
        <x:v>165.84</x:v>
      </x:c>
      <x:c r="E3084" s="8" t="n">
        <x:f>Source!E3078/100</x:f>
        <x:v>180.84</x:v>
      </x:c>
      <x:c r="F3084" s="8" t="n">
        <x:f>Source!F3078/100</x:f>
        <x:v>0</x:v>
      </x:c>
      <x:c r="G3084" s="8" t="n">
        <x:f>Source!G3078/100</x:f>
        <x:v>180.84</x:v>
      </x:c>
      <x:c r="H3084" s="8" t="n">
        <x:f>G3084-D3084</x:f>
        <x:v>15</x:v>
      </x:c>
      <x:c r="I3084" s="1" t="str">
        <x:f>IF(H3084&gt;0,"Overbilled","Shortfall")</x:f>
        <x:v>Overbilled</x:v>
      </x:c>
      <x:c r="J3084" s="7"/>
      <x:c r="K3084" s="7" t="str">
        <x:v>Open</x:v>
      </x:c>
      <x:c r="L3084" s="7"/>
    </x:row>
    <x:row r="3085" ht="21" customHeight="1">
      <x:c r="A3085" s="1" t="str">
        <x:f>Source!A3079</x:f>
        <x:v>C0007217</x:v>
      </x:c>
      <x:c r="B3085" s="1" t="str">
        <x:f>_xlfn.IFNA(VLOOKUP(Source!B3079,Advertisers!$A$5:$B$34,2,FALSE),"Missing advertiser")</x:f>
        <x:v>Synthetic advertiser 5</x:v>
      </x:c>
      <x:c r="C3085" s="1" t="n">
        <x:f>Source!C3079</x:f>
        <x:v>35</x:v>
      </x:c>
      <x:c r="D3085" s="8" t="n">
        <x:f>Source!D3079/100</x:f>
        <x:v>130.82</x:v>
      </x:c>
      <x:c r="E3085" s="8" t="n">
        <x:f>Source!E3079/100</x:f>
        <x:v>145.82</x:v>
      </x:c>
      <x:c r="F3085" s="8" t="n">
        <x:f>Source!F3079/100</x:f>
        <x:v>0</x:v>
      </x:c>
      <x:c r="G3085" s="8" t="n">
        <x:f>Source!G3079/100</x:f>
        <x:v>145.82</x:v>
      </x:c>
      <x:c r="H3085" s="8" t="n">
        <x:f>G3085-D3085</x:f>
        <x:v>15</x:v>
      </x:c>
      <x:c r="I3085" s="1" t="str">
        <x:f>IF(H3085&gt;0,"Overbilled","Shortfall")</x:f>
        <x:v>Overbilled</x:v>
      </x:c>
      <x:c r="J3085" s="7"/>
      <x:c r="K3085" s="7" t="str">
        <x:v>Open</x:v>
      </x:c>
      <x:c r="L3085" s="7"/>
    </x:row>
    <x:row r="3086" ht="21" customHeight="1">
      <x:c r="A3086" s="1" t="str">
        <x:f>Source!A3080</x:f>
        <x:v>C0010983</x:v>
      </x:c>
      <x:c r="B3086" s="1" t="str">
        <x:f>_xlfn.IFNA(VLOOKUP(Source!B3080,Advertisers!$A$5:$B$34,2,FALSE),"Missing advertiser")</x:f>
        <x:v>Synthetic advertiser 10</x:v>
      </x:c>
      <x:c r="C3086" s="1" t="n">
        <x:f>Source!C3080</x:f>
        <x:v>10</x:v>
      </x:c>
      <x:c r="D3086" s="8" t="n">
        <x:f>Source!D3080/100</x:f>
        <x:v>133.59</x:v>
      </x:c>
      <x:c r="E3086" s="8" t="n">
        <x:f>Source!E3080/100</x:f>
        <x:v>148.59</x:v>
      </x:c>
      <x:c r="F3086" s="8" t="n">
        <x:f>Source!F3080/100</x:f>
        <x:v>0</x:v>
      </x:c>
      <x:c r="G3086" s="8" t="n">
        <x:f>Source!G3080/100</x:f>
        <x:v>148.59</x:v>
      </x:c>
      <x:c r="H3086" s="8" t="n">
        <x:f>G3086-D3086</x:f>
        <x:v>15</x:v>
      </x:c>
      <x:c r="I3086" s="1" t="str">
        <x:f>IF(H3086&gt;0,"Overbilled","Shortfall")</x:f>
        <x:v>Overbilled</x:v>
      </x:c>
      <x:c r="J3086" s="7"/>
      <x:c r="K3086" s="7" t="str">
        <x:v>Open</x:v>
      </x:c>
      <x:c r="L3086" s="7"/>
    </x:row>
    <x:row r="3087" ht="21" customHeight="1">
      <x:c r="A3087" s="1" t="str">
        <x:f>Source!A3081</x:f>
        <x:v>C0007235</x:v>
      </x:c>
      <x:c r="B3087" s="1" t="str">
        <x:f>_xlfn.IFNA(VLOOKUP(Source!B3081,Advertisers!$A$5:$B$34,2,FALSE),"Missing advertiser")</x:f>
        <x:v>Synthetic advertiser 21</x:v>
      </x:c>
      <x:c r="C3087" s="1" t="n">
        <x:f>Source!C3081</x:f>
        <x:v>81</x:v>
      </x:c>
      <x:c r="D3087" s="8" t="n">
        <x:f>Source!D3081/100</x:f>
        <x:v>118.66</x:v>
      </x:c>
      <x:c r="E3087" s="8" t="n">
        <x:f>Source!E3081/100</x:f>
        <x:v>133.66</x:v>
      </x:c>
      <x:c r="F3087" s="8" t="n">
        <x:f>Source!F3081/100</x:f>
        <x:v>0</x:v>
      </x:c>
      <x:c r="G3087" s="8" t="n">
        <x:f>Source!G3081/100</x:f>
        <x:v>133.66</x:v>
      </x:c>
      <x:c r="H3087" s="8" t="n">
        <x:f>G3087-D3087</x:f>
        <x:v>15</x:v>
      </x:c>
      <x:c r="I3087" s="1" t="str">
        <x:f>IF(H3087&gt;0,"Overbilled","Shortfall")</x:f>
        <x:v>Overbilled</x:v>
      </x:c>
      <x:c r="J3087" s="7"/>
      <x:c r="K3087" s="7" t="str">
        <x:v>Open</x:v>
      </x:c>
      <x:c r="L3087" s="7"/>
    </x:row>
    <x:row r="3088" ht="21" customHeight="1">
      <x:c r="A3088" s="1" t="str">
        <x:f>Source!A3082</x:f>
        <x:v>C0007275</x:v>
      </x:c>
      <x:c r="B3088" s="1" t="str">
        <x:f>_xlfn.IFNA(VLOOKUP(Source!B3082,Advertisers!$A$5:$B$34,2,FALSE),"Missing advertiser")</x:f>
        <x:v>Synthetic advertiser 18</x:v>
      </x:c>
      <x:c r="C3088" s="1" t="n">
        <x:f>Source!C3082</x:f>
        <x:v>108</x:v>
      </x:c>
      <x:c r="D3088" s="8" t="n">
        <x:f>Source!D3082/100</x:f>
        <x:v>77.56</x:v>
      </x:c>
      <x:c r="E3088" s="8" t="n">
        <x:f>Source!E3082/100</x:f>
        <x:v>92.56</x:v>
      </x:c>
      <x:c r="F3088" s="8" t="n">
        <x:f>Source!F3082/100</x:f>
        <x:v>0</x:v>
      </x:c>
      <x:c r="G3088" s="8" t="n">
        <x:f>Source!G3082/100</x:f>
        <x:v>92.56</x:v>
      </x:c>
      <x:c r="H3088" s="8" t="n">
        <x:f>G3088-D3088</x:f>
        <x:v>15</x:v>
      </x:c>
      <x:c r="I3088" s="1" t="str">
        <x:f>IF(H3088&gt;0,"Overbilled","Shortfall")</x:f>
        <x:v>Overbilled</x:v>
      </x:c>
      <x:c r="J3088" s="7"/>
      <x:c r="K3088" s="7" t="str">
        <x:v>Open</x:v>
      </x:c>
      <x:c r="L3088" s="7"/>
    </x:row>
    <x:row r="3089" ht="21" customHeight="1">
      <x:c r="A3089" s="1" t="str">
        <x:f>Source!A3083</x:f>
        <x:v>C0007304</x:v>
      </x:c>
      <x:c r="B3089" s="1" t="str">
        <x:f>_xlfn.IFNA(VLOOKUP(Source!B3083,Advertisers!$A$5:$B$34,2,FALSE),"Missing advertiser")</x:f>
        <x:v>Synthetic advertiser 13</x:v>
      </x:c>
      <x:c r="C3089" s="1" t="n">
        <x:f>Source!C3083</x:f>
        <x:v>103</x:v>
      </x:c>
      <x:c r="D3089" s="8" t="n">
        <x:f>Source!D3083/100</x:f>
        <x:v>136.2</x:v>
      </x:c>
      <x:c r="E3089" s="8" t="n">
        <x:f>Source!E3083/100</x:f>
        <x:v>151.2</x:v>
      </x:c>
      <x:c r="F3089" s="8" t="n">
        <x:f>Source!F3083/100</x:f>
        <x:v>0</x:v>
      </x:c>
      <x:c r="G3089" s="8" t="n">
        <x:f>Source!G3083/100</x:f>
        <x:v>151.2</x:v>
      </x:c>
      <x:c r="H3089" s="8" t="n">
        <x:f>G3089-D3089</x:f>
        <x:v>15</x:v>
      </x:c>
      <x:c r="I3089" s="1" t="str">
        <x:f>IF(H3089&gt;0,"Overbilled","Shortfall")</x:f>
        <x:v>Overbilled</x:v>
      </x:c>
      <x:c r="J3089" s="7"/>
      <x:c r="K3089" s="7" t="str">
        <x:v>Open</x:v>
      </x:c>
      <x:c r="L3089" s="7"/>
    </x:row>
    <x:row r="3090" ht="21" customHeight="1">
      <x:c r="A3090" s="1" t="str">
        <x:f>Source!A3084</x:f>
        <x:v>C0007313</x:v>
      </x:c>
      <x:c r="B3090" s="1" t="str">
        <x:f>_xlfn.IFNA(VLOOKUP(Source!B3084,Advertisers!$A$5:$B$34,2,FALSE),"Missing advertiser")</x:f>
        <x:v>Synthetic advertiser 30</x:v>
      </x:c>
      <x:c r="C3090" s="1" t="n">
        <x:f>Source!C3084</x:f>
        <x:v>120</x:v>
      </x:c>
      <x:c r="D3090" s="8" t="n">
        <x:f>Source!D3084/100</x:f>
        <x:v>247.24</x:v>
      </x:c>
      <x:c r="E3090" s="8" t="n">
        <x:f>Source!E3084/100</x:f>
        <x:v>262.24</x:v>
      </x:c>
      <x:c r="F3090" s="8" t="n">
        <x:f>Source!F3084/100</x:f>
        <x:v>0</x:v>
      </x:c>
      <x:c r="G3090" s="8" t="n">
        <x:f>Source!G3084/100</x:f>
        <x:v>262.24</x:v>
      </x:c>
      <x:c r="H3090" s="8" t="n">
        <x:f>G3090-D3090</x:f>
        <x:v>15</x:v>
      </x:c>
      <x:c r="I3090" s="1" t="str">
        <x:f>IF(H3090&gt;0,"Overbilled","Shortfall")</x:f>
        <x:v>Overbilled</x:v>
      </x:c>
      <x:c r="J3090" s="7"/>
      <x:c r="K3090" s="7" t="str">
        <x:v>Open</x:v>
      </x:c>
      <x:c r="L3090" s="7"/>
    </x:row>
    <x:row r="3091" ht="21" customHeight="1">
      <x:c r="A3091" s="1" t="str">
        <x:f>Source!A3085</x:f>
        <x:v>C0011233</x:v>
      </x:c>
      <x:c r="B3091" s="1" t="str">
        <x:f>_xlfn.IFNA(VLOOKUP(Source!B3085,Advertisers!$A$5:$B$34,2,FALSE),"Missing advertiser")</x:f>
        <x:v>Synthetic advertiser 29</x:v>
      </x:c>
      <x:c r="C3091" s="1" t="n">
        <x:f>Source!C3085</x:f>
        <x:v>89</x:v>
      </x:c>
      <x:c r="D3091" s="8" t="n">
        <x:f>Source!D3085/100</x:f>
        <x:v>145.97</x:v>
      </x:c>
      <x:c r="E3091" s="8" t="n">
        <x:f>Source!E3085/100</x:f>
        <x:v>160.97</x:v>
      </x:c>
      <x:c r="F3091" s="8" t="n">
        <x:f>Source!F3085/100</x:f>
        <x:v>0</x:v>
      </x:c>
      <x:c r="G3091" s="8" t="n">
        <x:f>Source!G3085/100</x:f>
        <x:v>160.97</x:v>
      </x:c>
      <x:c r="H3091" s="8" t="n">
        <x:f>G3091-D3091</x:f>
        <x:v>15</x:v>
      </x:c>
      <x:c r="I3091" s="1" t="str">
        <x:f>IF(H3091&gt;0,"Overbilled","Shortfall")</x:f>
        <x:v>Overbilled</x:v>
      </x:c>
      <x:c r="J3091" s="7"/>
      <x:c r="K3091" s="7" t="str">
        <x:v>Open</x:v>
      </x:c>
      <x:c r="L3091" s="7"/>
    </x:row>
    <x:row r="3092" ht="21" customHeight="1">
      <x:c r="A3092" s="1" t="str">
        <x:f>Source!A3086</x:f>
        <x:v>C0011234</x:v>
      </x:c>
      <x:c r="B3092" s="1" t="str">
        <x:f>_xlfn.IFNA(VLOOKUP(Source!B3086,Advertisers!$A$5:$B$34,2,FALSE),"Missing advertiser")</x:f>
        <x:v>Synthetic advertiser 27</x:v>
      </x:c>
      <x:c r="C3092" s="1" t="n">
        <x:f>Source!C3086</x:f>
        <x:v>57</x:v>
      </x:c>
      <x:c r="D3092" s="8" t="n">
        <x:f>Source!D3086/100</x:f>
        <x:v>93.52</x:v>
      </x:c>
      <x:c r="E3092" s="8" t="n">
        <x:f>Source!E3086/100</x:f>
        <x:v>108.52</x:v>
      </x:c>
      <x:c r="F3092" s="8" t="n">
        <x:f>Source!F3086/100</x:f>
        <x:v>0</x:v>
      </x:c>
      <x:c r="G3092" s="8" t="n">
        <x:f>Source!G3086/100</x:f>
        <x:v>108.52</x:v>
      </x:c>
      <x:c r="H3092" s="8" t="n">
        <x:f>G3092-D3092</x:f>
        <x:v>15</x:v>
      </x:c>
      <x:c r="I3092" s="1" t="str">
        <x:f>IF(H3092&gt;0,"Overbilled","Shortfall")</x:f>
        <x:v>Overbilled</x:v>
      </x:c>
      <x:c r="J3092" s="7"/>
      <x:c r="K3092" s="7" t="str">
        <x:v>Open</x:v>
      </x:c>
      <x:c r="L3092" s="7"/>
    </x:row>
    <x:row r="3093" ht="21" customHeight="1">
      <x:c r="A3093" s="1" t="str">
        <x:f>Source!A3087</x:f>
        <x:v>C0011247</x:v>
      </x:c>
      <x:c r="B3093" s="1" t="str">
        <x:f>_xlfn.IFNA(VLOOKUP(Source!B3087,Advertisers!$A$5:$B$34,2,FALSE),"Missing advertiser")</x:f>
        <x:v>Synthetic advertiser 25</x:v>
      </x:c>
      <x:c r="C3093" s="1" t="n">
        <x:f>Source!C3087</x:f>
        <x:v>85</x:v>
      </x:c>
      <x:c r="D3093" s="8" t="n">
        <x:f>Source!D3087/100</x:f>
        <x:v>241.07</x:v>
      </x:c>
      <x:c r="E3093" s="8" t="n">
        <x:f>Source!E3087/100</x:f>
        <x:v>256.07</x:v>
      </x:c>
      <x:c r="F3093" s="8" t="n">
        <x:f>Source!F3087/100</x:f>
        <x:v>0</x:v>
      </x:c>
      <x:c r="G3093" s="8" t="n">
        <x:f>Source!G3087/100</x:f>
        <x:v>256.07</x:v>
      </x:c>
      <x:c r="H3093" s="8" t="n">
        <x:f>G3093-D3093</x:f>
        <x:v>15</x:v>
      </x:c>
      <x:c r="I3093" s="1" t="str">
        <x:f>IF(H3093&gt;0,"Overbilled","Shortfall")</x:f>
        <x:v>Overbilled</x:v>
      </x:c>
      <x:c r="J3093" s="7"/>
      <x:c r="K3093" s="7" t="str">
        <x:v>Open</x:v>
      </x:c>
      <x:c r="L3093" s="7"/>
    </x:row>
    <x:row r="3094" ht="21" customHeight="1">
      <x:c r="A3094" s="1" t="str">
        <x:f>Source!A3088</x:f>
        <x:v>C0011255</x:v>
      </x:c>
      <x:c r="B3094" s="1" t="str">
        <x:f>_xlfn.IFNA(VLOOKUP(Source!B3088,Advertisers!$A$5:$B$34,2,FALSE),"Missing advertiser")</x:f>
        <x:v>Synthetic advertiser 14</x:v>
      </x:c>
      <x:c r="C3094" s="1" t="n">
        <x:f>Source!C3088</x:f>
        <x:v>104</x:v>
      </x:c>
      <x:c r="D3094" s="8" t="n">
        <x:f>Source!D3088/100</x:f>
        <x:v>171.75</x:v>
      </x:c>
      <x:c r="E3094" s="8" t="n">
        <x:f>Source!E3088/100</x:f>
        <x:v>186.75</x:v>
      </x:c>
      <x:c r="F3094" s="8" t="n">
        <x:f>Source!F3088/100</x:f>
        <x:v>0</x:v>
      </x:c>
      <x:c r="G3094" s="8" t="n">
        <x:f>Source!G3088/100</x:f>
        <x:v>186.75</x:v>
      </x:c>
      <x:c r="H3094" s="8" t="n">
        <x:f>G3094-D3094</x:f>
        <x:v>15</x:v>
      </x:c>
      <x:c r="I3094" s="1" t="str">
        <x:f>IF(H3094&gt;0,"Overbilled","Shortfall")</x:f>
        <x:v>Overbilled</x:v>
      </x:c>
      <x:c r="J3094" s="7"/>
      <x:c r="K3094" s="7" t="str">
        <x:v>Open</x:v>
      </x:c>
      <x:c r="L3094" s="7"/>
    </x:row>
    <x:row r="3095" ht="21" customHeight="1">
      <x:c r="A3095" s="1" t="str">
        <x:f>Source!A3089</x:f>
        <x:v>C0011282</x:v>
      </x:c>
      <x:c r="B3095" s="1" t="str">
        <x:f>_xlfn.IFNA(VLOOKUP(Source!B3089,Advertisers!$A$5:$B$34,2,FALSE),"Missing advertiser")</x:f>
        <x:v>Synthetic advertiser 1</x:v>
      </x:c>
      <x:c r="C3095" s="1" t="n">
        <x:f>Source!C3089</x:f>
        <x:v>91</x:v>
      </x:c>
      <x:c r="D3095" s="8" t="n">
        <x:f>Source!D3089/100</x:f>
        <x:v>187.5</x:v>
      </x:c>
      <x:c r="E3095" s="8" t="n">
        <x:f>Source!E3089/100</x:f>
        <x:v>202.5</x:v>
      </x:c>
      <x:c r="F3095" s="8" t="n">
        <x:f>Source!F3089/100</x:f>
        <x:v>0</x:v>
      </x:c>
      <x:c r="G3095" s="8" t="n">
        <x:f>Source!G3089/100</x:f>
        <x:v>202.5</x:v>
      </x:c>
      <x:c r="H3095" s="8" t="n">
        <x:f>G3095-D3095</x:f>
        <x:v>15</x:v>
      </x:c>
      <x:c r="I3095" s="1" t="str">
        <x:f>IF(H3095&gt;0,"Overbilled","Shortfall")</x:f>
        <x:v>Overbilled</x:v>
      </x:c>
      <x:c r="J3095" s="7"/>
      <x:c r="K3095" s="7" t="str">
        <x:v>Open</x:v>
      </x:c>
      <x:c r="L3095" s="7"/>
    </x:row>
    <x:row r="3096" ht="21" customHeight="1">
      <x:c r="A3096" s="1" t="str">
        <x:f>Source!A3090</x:f>
        <x:v>C0011366</x:v>
      </x:c>
      <x:c r="B3096" s="1" t="str">
        <x:f>_xlfn.IFNA(VLOOKUP(Source!B3090,Advertisers!$A$5:$B$34,2,FALSE),"Missing advertiser")</x:f>
        <x:v>Synthetic advertiser 6</x:v>
      </x:c>
      <x:c r="C3096" s="1" t="n">
        <x:f>Source!C3090</x:f>
        <x:v>6</x:v>
      </x:c>
      <x:c r="D3096" s="8" t="n">
        <x:f>Source!D3090/100</x:f>
        <x:v>97.91</x:v>
      </x:c>
      <x:c r="E3096" s="8" t="n">
        <x:f>Source!E3090/100</x:f>
        <x:v>112.91</x:v>
      </x:c>
      <x:c r="F3096" s="8" t="n">
        <x:f>Source!F3090/100</x:f>
        <x:v>0</x:v>
      </x:c>
      <x:c r="G3096" s="8" t="n">
        <x:f>Source!G3090/100</x:f>
        <x:v>112.91</x:v>
      </x:c>
      <x:c r="H3096" s="8" t="n">
        <x:f>G3096-D3096</x:f>
        <x:v>15</x:v>
      </x:c>
      <x:c r="I3096" s="1" t="str">
        <x:f>IF(H3096&gt;0,"Overbilled","Shortfall")</x:f>
        <x:v>Overbilled</x:v>
      </x:c>
      <x:c r="J3096" s="7"/>
      <x:c r="K3096" s="7" t="str">
        <x:v>Open</x:v>
      </x:c>
      <x:c r="L3096" s="7"/>
    </x:row>
    <x:row r="3097" ht="21" customHeight="1">
      <x:c r="A3097" s="1" t="str">
        <x:f>Source!A3091</x:f>
        <x:v>C0011411</x:v>
      </x:c>
      <x:c r="B3097" s="1" t="str">
        <x:f>_xlfn.IFNA(VLOOKUP(Source!B3091,Advertisers!$A$5:$B$34,2,FALSE),"Missing advertiser")</x:f>
        <x:v>Synthetic advertiser 9</x:v>
      </x:c>
      <x:c r="C3097" s="1" t="n">
        <x:f>Source!C3091</x:f>
        <x:v>9</x:v>
      </x:c>
      <x:c r="D3097" s="8" t="n">
        <x:f>Source!D3091/100</x:f>
        <x:v>193.58</x:v>
      </x:c>
      <x:c r="E3097" s="8" t="n">
        <x:f>Source!E3091/100</x:f>
        <x:v>208.58</x:v>
      </x:c>
      <x:c r="F3097" s="8" t="n">
        <x:f>Source!F3091/100</x:f>
        <x:v>0</x:v>
      </x:c>
      <x:c r="G3097" s="8" t="n">
        <x:f>Source!G3091/100</x:f>
        <x:v>208.58</x:v>
      </x:c>
      <x:c r="H3097" s="8" t="n">
        <x:f>G3097-D3097</x:f>
        <x:v>15</x:v>
      </x:c>
      <x:c r="I3097" s="1" t="str">
        <x:f>IF(H3097&gt;0,"Overbilled","Shortfall")</x:f>
        <x:v>Overbilled</x:v>
      </x:c>
      <x:c r="J3097" s="7"/>
      <x:c r="K3097" s="7" t="str">
        <x:v>Open</x:v>
      </x:c>
      <x:c r="L3097" s="7"/>
    </x:row>
    <x:row r="3098" ht="21" customHeight="1">
      <x:c r="A3098" s="1" t="str">
        <x:f>Source!A3092</x:f>
        <x:v>C0011414</x:v>
      </x:c>
      <x:c r="B3098" s="1" t="str">
        <x:f>_xlfn.IFNA(VLOOKUP(Source!B3092,Advertisers!$A$5:$B$34,2,FALSE),"Missing advertiser")</x:f>
        <x:v>Synthetic advertiser 5</x:v>
      </x:c>
      <x:c r="C3098" s="1" t="n">
        <x:f>Source!C3092</x:f>
        <x:v>5</x:v>
      </x:c>
      <x:c r="D3098" s="8" t="n">
        <x:f>Source!D3092/100</x:f>
        <x:v>187.3</x:v>
      </x:c>
      <x:c r="E3098" s="8" t="n">
        <x:f>Source!E3092/100</x:f>
        <x:v>202.3</x:v>
      </x:c>
      <x:c r="F3098" s="8" t="n">
        <x:f>Source!F3092/100</x:f>
        <x:v>0</x:v>
      </x:c>
      <x:c r="G3098" s="8" t="n">
        <x:f>Source!G3092/100</x:f>
        <x:v>202.3</x:v>
      </x:c>
      <x:c r="H3098" s="8" t="n">
        <x:f>G3098-D3098</x:f>
        <x:v>15</x:v>
      </x:c>
      <x:c r="I3098" s="1" t="str">
        <x:f>IF(H3098&gt;0,"Overbilled","Shortfall")</x:f>
        <x:v>Overbilled</x:v>
      </x:c>
      <x:c r="J3098" s="7"/>
      <x:c r="K3098" s="7" t="str">
        <x:v>Open</x:v>
      </x:c>
      <x:c r="L3098" s="7"/>
    </x:row>
    <x:row r="3099" ht="21" customHeight="1">
      <x:c r="A3099" s="1" t="str">
        <x:f>Source!A3093</x:f>
        <x:v>C0010919</x:v>
      </x:c>
      <x:c r="B3099" s="1" t="str">
        <x:f>_xlfn.IFNA(VLOOKUP(Source!B3093,Advertisers!$A$5:$B$34,2,FALSE),"Missing advertiser")</x:f>
        <x:v>Synthetic advertiser 23</x:v>
      </x:c>
      <x:c r="C3099" s="1" t="n">
        <x:f>Source!C3093</x:f>
        <x:v>53</x:v>
      </x:c>
      <x:c r="D3099" s="8" t="n">
        <x:f>Source!D3093/100</x:f>
        <x:v>69.99</x:v>
      </x:c>
      <x:c r="E3099" s="8" t="n">
        <x:f>Source!E3093/100</x:f>
        <x:v>84.99</x:v>
      </x:c>
      <x:c r="F3099" s="8" t="n">
        <x:f>Source!F3093/100</x:f>
        <x:v>0</x:v>
      </x:c>
      <x:c r="G3099" s="8" t="n">
        <x:f>Source!G3093/100</x:f>
        <x:v>84.99</x:v>
      </x:c>
      <x:c r="H3099" s="8" t="n">
        <x:f>G3099-D3099</x:f>
        <x:v>15</x:v>
      </x:c>
      <x:c r="I3099" s="1" t="str">
        <x:f>IF(H3099&gt;0,"Overbilled","Shortfall")</x:f>
        <x:v>Overbilled</x:v>
      </x:c>
      <x:c r="J3099" s="7"/>
      <x:c r="K3099" s="7" t="str">
        <x:v>Open</x:v>
      </x:c>
      <x:c r="L3099" s="7"/>
    </x:row>
    <x:row r="3100" ht="21" customHeight="1">
      <x:c r="A3100" s="1" t="str">
        <x:f>Source!A3094</x:f>
        <x:v>C0010940</x:v>
      </x:c>
      <x:c r="B3100" s="1" t="str">
        <x:f>_xlfn.IFNA(VLOOKUP(Source!B3094,Advertisers!$A$5:$B$34,2,FALSE),"Missing advertiser")</x:f>
        <x:v>Synthetic advertiser 26</x:v>
      </x:c>
      <x:c r="C3100" s="1" t="n">
        <x:f>Source!C3094</x:f>
        <x:v>86</x:v>
      </x:c>
      <x:c r="D3100" s="8" t="n">
        <x:f>Source!D3094/100</x:f>
        <x:v>58.21</x:v>
      </x:c>
      <x:c r="E3100" s="8" t="n">
        <x:f>Source!E3094/100</x:f>
        <x:v>73.21</x:v>
      </x:c>
      <x:c r="F3100" s="8" t="n">
        <x:f>Source!F3094/100</x:f>
        <x:v>0</x:v>
      </x:c>
      <x:c r="G3100" s="8" t="n">
        <x:f>Source!G3094/100</x:f>
        <x:v>73.21</x:v>
      </x:c>
      <x:c r="H3100" s="8" t="n">
        <x:f>G3100-D3100</x:f>
        <x:v>14.999999999999993</x:v>
      </x:c>
      <x:c r="I3100" s="1" t="str">
        <x:f>IF(H3100&gt;0,"Overbilled","Shortfall")</x:f>
        <x:v>Overbilled</x:v>
      </x:c>
      <x:c r="J3100" s="7"/>
      <x:c r="K3100" s="7" t="str">
        <x:v>Open</x:v>
      </x:c>
      <x:c r="L3100" s="7"/>
    </x:row>
    <x:row r="3101" ht="21" customHeight="1">
      <x:c r="A3101" s="1" t="str">
        <x:f>Source!A3095</x:f>
        <x:v>C0007232</x:v>
      </x:c>
      <x:c r="B3101" s="1" t="str">
        <x:f>_xlfn.IFNA(VLOOKUP(Source!B3095,Advertisers!$A$5:$B$34,2,FALSE),"Missing advertiser")</x:f>
        <x:v>Synthetic advertiser 11</x:v>
      </x:c>
      <x:c r="C3101" s="1" t="n">
        <x:f>Source!C3095</x:f>
        <x:v>41</x:v>
      </x:c>
      <x:c r="D3101" s="8" t="n">
        <x:f>Source!D3095/100</x:f>
        <x:v>262.68</x:v>
      </x:c>
      <x:c r="E3101" s="8" t="n">
        <x:f>Source!E3095/100</x:f>
        <x:v>277.68</x:v>
      </x:c>
      <x:c r="F3101" s="8" t="n">
        <x:f>Source!F3095/100</x:f>
        <x:v>0</x:v>
      </x:c>
      <x:c r="G3101" s="8" t="n">
        <x:f>Source!G3095/100</x:f>
        <x:v>277.68</x:v>
      </x:c>
      <x:c r="H3101" s="8" t="n">
        <x:f>G3101-D3101</x:f>
        <x:v>15</x:v>
      </x:c>
      <x:c r="I3101" s="1" t="str">
        <x:f>IF(H3101&gt;0,"Overbilled","Shortfall")</x:f>
        <x:v>Overbilled</x:v>
      </x:c>
      <x:c r="J3101" s="7"/>
      <x:c r="K3101" s="7" t="str">
        <x:v>Open</x:v>
      </x:c>
      <x:c r="L3101" s="7"/>
    </x:row>
    <x:row r="3102" ht="21" customHeight="1">
      <x:c r="A3102" s="1" t="str">
        <x:f>Source!A3096</x:f>
        <x:v>C0014265</x:v>
      </x:c>
      <x:c r="B3102" s="1" t="str">
        <x:f>_xlfn.IFNA(VLOOKUP(Source!B3096,Advertisers!$A$5:$B$34,2,FALSE),"Missing advertiser")</x:f>
        <x:v>Synthetic advertiser 29</x:v>
      </x:c>
      <x:c r="C3102" s="1" t="n">
        <x:f>Source!C3096</x:f>
        <x:v>59</x:v>
      </x:c>
      <x:c r="D3102" s="8" t="n">
        <x:f>Source!D3096/100</x:f>
        <x:v>161.66</x:v>
      </x:c>
      <x:c r="E3102" s="8" t="n">
        <x:f>Source!E3096/100</x:f>
        <x:v>176.66</x:v>
      </x:c>
      <x:c r="F3102" s="8" t="n">
        <x:f>Source!F3096/100</x:f>
        <x:v>0</x:v>
      </x:c>
      <x:c r="G3102" s="8" t="n">
        <x:f>Source!G3096/100</x:f>
        <x:v>176.66</x:v>
      </x:c>
      <x:c r="H3102" s="8" t="n">
        <x:f>G3102-D3102</x:f>
        <x:v>15</x:v>
      </x:c>
      <x:c r="I3102" s="1" t="str">
        <x:f>IF(H3102&gt;0,"Overbilled","Shortfall")</x:f>
        <x:v>Overbilled</x:v>
      </x:c>
      <x:c r="J3102" s="7"/>
      <x:c r="K3102" s="7" t="str">
        <x:v>Open</x:v>
      </x:c>
      <x:c r="L3102" s="7"/>
    </x:row>
    <x:row r="3103" ht="21" customHeight="1">
      <x:c r="A3103" s="1" t="str">
        <x:f>Source!A3097</x:f>
        <x:v>C0007595</x:v>
      </x:c>
      <x:c r="B3103" s="1" t="str">
        <x:f>_xlfn.IFNA(VLOOKUP(Source!B3097,Advertisers!$A$5:$B$34,2,FALSE),"Missing advertiser")</x:f>
        <x:v>Synthetic advertiser 8</x:v>
      </x:c>
      <x:c r="C3103" s="1" t="n">
        <x:f>Source!C3097</x:f>
        <x:v>8</x:v>
      </x:c>
      <x:c r="D3103" s="8" t="n">
        <x:f>Source!D3097/100</x:f>
        <x:v>110.79</x:v>
      </x:c>
      <x:c r="E3103" s="8" t="n">
        <x:f>Source!E3097/100</x:f>
        <x:v>125.79</x:v>
      </x:c>
      <x:c r="F3103" s="8" t="n">
        <x:f>Source!F3097/100</x:f>
        <x:v>0</x:v>
      </x:c>
      <x:c r="G3103" s="8" t="n">
        <x:f>Source!G3097/100</x:f>
        <x:v>125.79</x:v>
      </x:c>
      <x:c r="H3103" s="8" t="n">
        <x:f>G3103-D3103</x:f>
        <x:v>15</x:v>
      </x:c>
      <x:c r="I3103" s="1" t="str">
        <x:f>IF(H3103&gt;0,"Overbilled","Shortfall")</x:f>
        <x:v>Overbilled</x:v>
      </x:c>
      <x:c r="J3103" s="7"/>
      <x:c r="K3103" s="7" t="str">
        <x:v>Open</x:v>
      </x:c>
      <x:c r="L3103" s="7"/>
    </x:row>
    <x:row r="3104" ht="21" customHeight="1">
      <x:c r="A3104" s="1" t="str">
        <x:f>Source!A3098</x:f>
        <x:v>C0007607</x:v>
      </x:c>
      <x:c r="B3104" s="1" t="str">
        <x:f>_xlfn.IFNA(VLOOKUP(Source!B3098,Advertisers!$A$5:$B$34,2,FALSE),"Missing advertiser")</x:f>
        <x:v>Synthetic advertiser 23</x:v>
      </x:c>
      <x:c r="C3104" s="1" t="n">
        <x:f>Source!C3098</x:f>
        <x:v>53</x:v>
      </x:c>
      <x:c r="D3104" s="8" t="n">
        <x:f>Source!D3098/100</x:f>
        <x:v>69.99</x:v>
      </x:c>
      <x:c r="E3104" s="8" t="n">
        <x:f>Source!E3098/100</x:f>
        <x:v>84.99</x:v>
      </x:c>
      <x:c r="F3104" s="8" t="n">
        <x:f>Source!F3098/100</x:f>
        <x:v>0</x:v>
      </x:c>
      <x:c r="G3104" s="8" t="n">
        <x:f>Source!G3098/100</x:f>
        <x:v>84.99</x:v>
      </x:c>
      <x:c r="H3104" s="8" t="n">
        <x:f>G3104-D3104</x:f>
        <x:v>15</x:v>
      </x:c>
      <x:c r="I3104" s="1" t="str">
        <x:f>IF(H3104&gt;0,"Overbilled","Shortfall")</x:f>
        <x:v>Overbilled</x:v>
      </x:c>
      <x:c r="J3104" s="7"/>
      <x:c r="K3104" s="7" t="str">
        <x:v>Open</x:v>
      </x:c>
      <x:c r="L3104" s="7"/>
    </x:row>
    <x:row r="3105" ht="21" customHeight="1">
      <x:c r="A3105" s="1" t="str">
        <x:f>Source!A3099</x:f>
        <x:v>C0007635</x:v>
      </x:c>
      <x:c r="B3105" s="1" t="str">
        <x:f>_xlfn.IFNA(VLOOKUP(Source!B3099,Advertisers!$A$5:$B$34,2,FALSE),"Missing advertiser")</x:f>
        <x:v>Synthetic advertiser 14</x:v>
      </x:c>
      <x:c r="C3105" s="1" t="n">
        <x:f>Source!C3099</x:f>
        <x:v>14</x:v>
      </x:c>
      <x:c r="D3105" s="8" t="n">
        <x:f>Source!D3099/100</x:f>
        <x:v>165.84</x:v>
      </x:c>
      <x:c r="E3105" s="8" t="n">
        <x:f>Source!E3099/100</x:f>
        <x:v>180.84</x:v>
      </x:c>
      <x:c r="F3105" s="8" t="n">
        <x:f>Source!F3099/100</x:f>
        <x:v>0</x:v>
      </x:c>
      <x:c r="G3105" s="8" t="n">
        <x:f>Source!G3099/100</x:f>
        <x:v>180.84</x:v>
      </x:c>
      <x:c r="H3105" s="8" t="n">
        <x:f>G3105-D3105</x:f>
        <x:v>15</x:v>
      </x:c>
      <x:c r="I3105" s="1" t="str">
        <x:f>IF(H3105&gt;0,"Overbilled","Shortfall")</x:f>
        <x:v>Overbilled</x:v>
      </x:c>
      <x:c r="J3105" s="7"/>
      <x:c r="K3105" s="7" t="str">
        <x:v>Open</x:v>
      </x:c>
      <x:c r="L3105" s="7"/>
    </x:row>
    <x:row r="3106" ht="21" customHeight="1">
      <x:c r="A3106" s="1" t="str">
        <x:f>Source!A3100</x:f>
        <x:v>C0007641</x:v>
      </x:c>
      <x:c r="B3106" s="1" t="str">
        <x:f>_xlfn.IFNA(VLOOKUP(Source!B3100,Advertisers!$A$5:$B$34,2,FALSE),"Missing advertiser")</x:f>
        <x:v>Synthetic advertiser 5</x:v>
      </x:c>
      <x:c r="C3106" s="1" t="n">
        <x:f>Source!C3100</x:f>
        <x:v>35</x:v>
      </x:c>
      <x:c r="D3106" s="8" t="n">
        <x:f>Source!D3100/100</x:f>
        <x:v>228.28</x:v>
      </x:c>
      <x:c r="E3106" s="8" t="n">
        <x:f>Source!E3100/100</x:f>
        <x:v>243.28</x:v>
      </x:c>
      <x:c r="F3106" s="8" t="n">
        <x:f>Source!F3100/100</x:f>
        <x:v>0</x:v>
      </x:c>
      <x:c r="G3106" s="8" t="n">
        <x:f>Source!G3100/100</x:f>
        <x:v>243.28</x:v>
      </x:c>
      <x:c r="H3106" s="8" t="n">
        <x:f>G3106-D3106</x:f>
        <x:v>15</x:v>
      </x:c>
      <x:c r="I3106" s="1" t="str">
        <x:f>IF(H3106&gt;0,"Overbilled","Shortfall")</x:f>
        <x:v>Overbilled</x:v>
      </x:c>
      <x:c r="J3106" s="7"/>
      <x:c r="K3106" s="7" t="str">
        <x:v>Open</x:v>
      </x:c>
      <x:c r="L3106" s="7"/>
    </x:row>
    <x:row r="3107" ht="21" customHeight="1">
      <x:c r="A3107" s="1" t="str">
        <x:f>Source!A3101</x:f>
        <x:v>C0007380</x:v>
      </x:c>
      <x:c r="B3107" s="1" t="str">
        <x:f>_xlfn.IFNA(VLOOKUP(Source!B3101,Advertisers!$A$5:$B$34,2,FALSE),"Missing advertiser")</x:f>
        <x:v>Synthetic advertiser 7</x:v>
      </x:c>
      <x:c r="C3107" s="1" t="n">
        <x:f>Source!C3101</x:f>
        <x:v>67</x:v>
      </x:c>
      <x:c r="D3107" s="8" t="n">
        <x:f>Source!D3101/100</x:f>
        <x:v>161.24</x:v>
      </x:c>
      <x:c r="E3107" s="8" t="n">
        <x:f>Source!E3101/100</x:f>
        <x:v>176.24</x:v>
      </x:c>
      <x:c r="F3107" s="8" t="n">
        <x:f>Source!F3101/100</x:f>
        <x:v>0</x:v>
      </x:c>
      <x:c r="G3107" s="8" t="n">
        <x:f>Source!G3101/100</x:f>
        <x:v>176.24</x:v>
      </x:c>
      <x:c r="H3107" s="8" t="n">
        <x:f>G3107-D3107</x:f>
        <x:v>15</x:v>
      </x:c>
      <x:c r="I3107" s="1" t="str">
        <x:f>IF(H3107&gt;0,"Overbilled","Shortfall")</x:f>
        <x:v>Overbilled</x:v>
      </x:c>
      <x:c r="J3107" s="7"/>
      <x:c r="K3107" s="7" t="str">
        <x:v>Open</x:v>
      </x:c>
      <x:c r="L3107" s="7"/>
    </x:row>
    <x:row r="3108" ht="21" customHeight="1">
      <x:c r="A3108" s="1" t="str">
        <x:f>Source!A3102</x:f>
        <x:v>C0007400</x:v>
      </x:c>
      <x:c r="B3108" s="1" t="str">
        <x:f>_xlfn.IFNA(VLOOKUP(Source!B3102,Advertisers!$A$5:$B$34,2,FALSE),"Missing advertiser")</x:f>
        <x:v>Synthetic advertiser 14</x:v>
      </x:c>
      <x:c r="C3108" s="1" t="n">
        <x:f>Source!C3102</x:f>
        <x:v>44</x:v>
      </x:c>
      <x:c r="D3108" s="8" t="n">
        <x:f>Source!D3102/100</x:f>
        <x:v>112.89</x:v>
      </x:c>
      <x:c r="E3108" s="8" t="n">
        <x:f>Source!E3102/100</x:f>
        <x:v>127.89</x:v>
      </x:c>
      <x:c r="F3108" s="8" t="n">
        <x:f>Source!F3102/100</x:f>
        <x:v>0</x:v>
      </x:c>
      <x:c r="G3108" s="8" t="n">
        <x:f>Source!G3102/100</x:f>
        <x:v>127.89</x:v>
      </x:c>
      <x:c r="H3108" s="8" t="n">
        <x:f>G3108-D3108</x:f>
        <x:v>15</x:v>
      </x:c>
      <x:c r="I3108" s="1" t="str">
        <x:f>IF(H3108&gt;0,"Overbilled","Shortfall")</x:f>
        <x:v>Overbilled</x:v>
      </x:c>
      <x:c r="J3108" s="7"/>
      <x:c r="K3108" s="7" t="str">
        <x:v>Open</x:v>
      </x:c>
      <x:c r="L3108" s="7"/>
    </x:row>
    <x:row r="3109" ht="21" customHeight="1">
      <x:c r="A3109" s="1" t="str">
        <x:f>Source!A3103</x:f>
        <x:v>C0007415</x:v>
      </x:c>
      <x:c r="B3109" s="1" t="str">
        <x:f>_xlfn.IFNA(VLOOKUP(Source!B3103,Advertisers!$A$5:$B$34,2,FALSE),"Missing advertiser")</x:f>
        <x:v>Synthetic advertiser 25</x:v>
      </x:c>
      <x:c r="C3109" s="1" t="n">
        <x:f>Source!C3103</x:f>
        <x:v>25</x:v>
      </x:c>
      <x:c r="D3109" s="8" t="n">
        <x:f>Source!D3103/100</x:f>
        <x:v>133.41</x:v>
      </x:c>
      <x:c r="E3109" s="8" t="n">
        <x:f>Source!E3103/100</x:f>
        <x:v>148.41</x:v>
      </x:c>
      <x:c r="F3109" s="8" t="n">
        <x:f>Source!F3103/100</x:f>
        <x:v>0</x:v>
      </x:c>
      <x:c r="G3109" s="8" t="n">
        <x:f>Source!G3103/100</x:f>
        <x:v>148.41</x:v>
      </x:c>
      <x:c r="H3109" s="8" t="n">
        <x:f>G3109-D3109</x:f>
        <x:v>15</x:v>
      </x:c>
      <x:c r="I3109" s="1" t="str">
        <x:f>IF(H3109&gt;0,"Overbilled","Shortfall")</x:f>
        <x:v>Overbilled</x:v>
      </x:c>
      <x:c r="J3109" s="7"/>
      <x:c r="K3109" s="7" t="str">
        <x:v>Open</x:v>
      </x:c>
      <x:c r="L3109" s="7"/>
    </x:row>
    <x:row r="3110" ht="21" customHeight="1">
      <x:c r="A3110" s="1" t="str">
        <x:f>Source!A3104</x:f>
        <x:v>C0007422</x:v>
      </x:c>
      <x:c r="B3110" s="1" t="str">
        <x:f>_xlfn.IFNA(VLOOKUP(Source!B3104,Advertisers!$A$5:$B$34,2,FALSE),"Missing advertiser")</x:f>
        <x:v>Synthetic advertiser 9</x:v>
      </x:c>
      <x:c r="C3110" s="1" t="n">
        <x:f>Source!C3104</x:f>
        <x:v>9</x:v>
      </x:c>
      <x:c r="D3110" s="8" t="n">
        <x:f>Source!D3104/100</x:f>
        <x:v>193.58</x:v>
      </x:c>
      <x:c r="E3110" s="8" t="n">
        <x:f>Source!E3104/100</x:f>
        <x:v>208.58</x:v>
      </x:c>
      <x:c r="F3110" s="8" t="n">
        <x:f>Source!F3104/100</x:f>
        <x:v>0</x:v>
      </x:c>
      <x:c r="G3110" s="8" t="n">
        <x:f>Source!G3104/100</x:f>
        <x:v>208.58</x:v>
      </x:c>
      <x:c r="H3110" s="8" t="n">
        <x:f>G3110-D3110</x:f>
        <x:v>15</x:v>
      </x:c>
      <x:c r="I3110" s="1" t="str">
        <x:f>IF(H3110&gt;0,"Overbilled","Shortfall")</x:f>
        <x:v>Overbilled</x:v>
      </x:c>
      <x:c r="J3110" s="7"/>
      <x:c r="K3110" s="7" t="str">
        <x:v>Open</x:v>
      </x:c>
      <x:c r="L3110" s="7"/>
    </x:row>
    <x:row r="3111" ht="21" customHeight="1">
      <x:c r="A3111" s="1" t="str">
        <x:f>Source!A3105</x:f>
        <x:v>C0007427</x:v>
      </x:c>
      <x:c r="B3111" s="1" t="str">
        <x:f>_xlfn.IFNA(VLOOKUP(Source!B3105,Advertisers!$A$5:$B$34,2,FALSE),"Missing advertiser")</x:f>
        <x:v>Synthetic advertiser 27</x:v>
      </x:c>
      <x:c r="C3111" s="1" t="n">
        <x:f>Source!C3105</x:f>
        <x:v>57</x:v>
      </x:c>
      <x:c r="D3111" s="8" t="n">
        <x:f>Source!D3105/100</x:f>
        <x:v>234.1</x:v>
      </x:c>
      <x:c r="E3111" s="8" t="n">
        <x:f>Source!E3105/100</x:f>
        <x:v>249.1</x:v>
      </x:c>
      <x:c r="F3111" s="8" t="n">
        <x:f>Source!F3105/100</x:f>
        <x:v>0</x:v>
      </x:c>
      <x:c r="G3111" s="8" t="n">
        <x:f>Source!G3105/100</x:f>
        <x:v>249.1</x:v>
      </x:c>
      <x:c r="H3111" s="8" t="n">
        <x:f>G3111-D3111</x:f>
        <x:v>15</x:v>
      </x:c>
      <x:c r="I3111" s="1" t="str">
        <x:f>IF(H3111&gt;0,"Overbilled","Shortfall")</x:f>
        <x:v>Overbilled</x:v>
      </x:c>
      <x:c r="J3111" s="7"/>
      <x:c r="K3111" s="7" t="str">
        <x:v>Open</x:v>
      </x:c>
      <x:c r="L3111" s="7"/>
    </x:row>
    <x:row r="3112" ht="21" customHeight="1">
      <x:c r="A3112" s="1" t="str">
        <x:f>Source!A3106</x:f>
        <x:v>C0007494</x:v>
      </x:c>
      <x:c r="B3112" s="1" t="str">
        <x:f>_xlfn.IFNA(VLOOKUP(Source!B3106,Advertisers!$A$5:$B$34,2,FALSE),"Missing advertiser")</x:f>
        <x:v>Synthetic advertiser 1</x:v>
      </x:c>
      <x:c r="C3112" s="1" t="n">
        <x:f>Source!C3106</x:f>
        <x:v>61</x:v>
      </x:c>
      <x:c r="D3112" s="8" t="n">
        <x:f>Source!D3106/100</x:f>
        <x:v>230.56</x:v>
      </x:c>
      <x:c r="E3112" s="8" t="n">
        <x:f>Source!E3106/100</x:f>
        <x:v>245.56</x:v>
      </x:c>
      <x:c r="F3112" s="8" t="n">
        <x:f>Source!F3106/100</x:f>
        <x:v>0</x:v>
      </x:c>
      <x:c r="G3112" s="8" t="n">
        <x:f>Source!G3106/100</x:f>
        <x:v>245.56</x:v>
      </x:c>
      <x:c r="H3112" s="8" t="n">
        <x:f>G3112-D3112</x:f>
        <x:v>15</x:v>
      </x:c>
      <x:c r="I3112" s="1" t="str">
        <x:f>IF(H3112&gt;0,"Overbilled","Shortfall")</x:f>
        <x:v>Overbilled</x:v>
      </x:c>
      <x:c r="J3112" s="7"/>
      <x:c r="K3112" s="7" t="str">
        <x:v>Open</x:v>
      </x:c>
      <x:c r="L3112" s="7"/>
    </x:row>
    <x:row r="3113" ht="21" customHeight="1">
      <x:c r="A3113" s="1" t="str">
        <x:f>Source!A3107</x:f>
        <x:v>C0010869</x:v>
      </x:c>
      <x:c r="B3113" s="1" t="str">
        <x:f>_xlfn.IFNA(VLOOKUP(Source!B3107,Advertisers!$A$5:$B$34,2,FALSE),"Missing advertiser")</x:f>
        <x:v>Synthetic advertiser 9</x:v>
      </x:c>
      <x:c r="C3113" s="1" t="n">
        <x:f>Source!C3107</x:f>
        <x:v>9</x:v>
      </x:c>
      <x:c r="D3113" s="8" t="n">
        <x:f>Source!D3107/100</x:f>
        <x:v>105.31</x:v>
      </x:c>
      <x:c r="E3113" s="8" t="n">
        <x:f>Source!E3107/100</x:f>
        <x:v>120.31</x:v>
      </x:c>
      <x:c r="F3113" s="8" t="n">
        <x:f>Source!F3107/100</x:f>
        <x:v>0</x:v>
      </x:c>
      <x:c r="G3113" s="8" t="n">
        <x:f>Source!G3107/100</x:f>
        <x:v>120.31</x:v>
      </x:c>
      <x:c r="H3113" s="8" t="n">
        <x:f>G3113-D3113</x:f>
        <x:v>15</x:v>
      </x:c>
      <x:c r="I3113" s="1" t="str">
        <x:f>IF(H3113&gt;0,"Overbilled","Shortfall")</x:f>
        <x:v>Overbilled</x:v>
      </x:c>
      <x:c r="J3113" s="7"/>
      <x:c r="K3113" s="7" t="str">
        <x:v>Open</x:v>
      </x:c>
      <x:c r="L3113" s="7"/>
    </x:row>
    <x:row r="3114" ht="21" customHeight="1">
      <x:c r="A3114" s="1" t="str">
        <x:f>Source!A3108</x:f>
        <x:v>C0010892</x:v>
      </x:c>
      <x:c r="B3114" s="1" t="str">
        <x:f>_xlfn.IFNA(VLOOKUP(Source!B3108,Advertisers!$A$5:$B$34,2,FALSE),"Missing advertiser")</x:f>
        <x:v>Synthetic advertiser 8</x:v>
      </x:c>
      <x:c r="C3114" s="1" t="n">
        <x:f>Source!C3108</x:f>
        <x:v>68</x:v>
      </x:c>
      <x:c r="D3114" s="8" t="n">
        <x:f>Source!D3108/100</x:f>
        <x:v>293.02</x:v>
      </x:c>
      <x:c r="E3114" s="8" t="n">
        <x:f>Source!E3108/100</x:f>
        <x:v>308.02</x:v>
      </x:c>
      <x:c r="F3114" s="8" t="n">
        <x:f>Source!F3108/100</x:f>
        <x:v>0</x:v>
      </x:c>
      <x:c r="G3114" s="8" t="n">
        <x:f>Source!G3108/100</x:f>
        <x:v>308.02</x:v>
      </x:c>
      <x:c r="H3114" s="8" t="n">
        <x:f>G3114-D3114</x:f>
        <x:v>15</x:v>
      </x:c>
      <x:c r="I3114" s="1" t="str">
        <x:f>IF(H3114&gt;0,"Overbilled","Shortfall")</x:f>
        <x:v>Overbilled</x:v>
      </x:c>
      <x:c r="J3114" s="7"/>
      <x:c r="K3114" s="7" t="str">
        <x:v>Open</x:v>
      </x:c>
      <x:c r="L3114" s="7"/>
    </x:row>
    <x:row r="3115" ht="21" customHeight="1">
      <x:c r="A3115" s="1" t="str">
        <x:f>Source!A3109</x:f>
        <x:v>C0004001</x:v>
      </x:c>
      <x:c r="B3115" s="1" t="str">
        <x:f>_xlfn.IFNA(VLOOKUP(Source!B3109,Advertisers!$A$5:$B$34,2,FALSE),"Missing advertiser")</x:f>
        <x:v>Synthetic advertiser 23</x:v>
      </x:c>
      <x:c r="C3115" s="1" t="n">
        <x:f>Source!C3109</x:f>
        <x:v>23</x:v>
      </x:c>
      <x:c r="D3115" s="8" t="n">
        <x:f>Source!D3109/100</x:f>
        <x:v>199.35</x:v>
      </x:c>
      <x:c r="E3115" s="8" t="n">
        <x:f>Source!E3109/100</x:f>
        <x:v>214.35</x:v>
      </x:c>
      <x:c r="F3115" s="8" t="n">
        <x:f>Source!F3109/100</x:f>
        <x:v>0</x:v>
      </x:c>
      <x:c r="G3115" s="8" t="n">
        <x:f>Source!G3109/100</x:f>
        <x:v>214.35</x:v>
      </x:c>
      <x:c r="H3115" s="8" t="n">
        <x:f>G3115-D3115</x:f>
        <x:v>15</x:v>
      </x:c>
      <x:c r="I3115" s="1" t="str">
        <x:f>IF(H3115&gt;0,"Overbilled","Shortfall")</x:f>
        <x:v>Overbilled</x:v>
      </x:c>
      <x:c r="J3115" s="7"/>
      <x:c r="K3115" s="7" t="str">
        <x:v>Open</x:v>
      </x:c>
      <x:c r="L3115" s="7"/>
    </x:row>
    <x:row r="3116" ht="21" customHeight="1">
      <x:c r="A3116" s="1" t="str">
        <x:f>Source!A3110</x:f>
        <x:v>C0014316</x:v>
      </x:c>
      <x:c r="B3116" s="1" t="str">
        <x:f>_xlfn.IFNA(VLOOKUP(Source!B3110,Advertisers!$A$5:$B$34,2,FALSE),"Missing advertiser")</x:f>
        <x:v>Synthetic advertiser 28</x:v>
      </x:c>
      <x:c r="C3116" s="1" t="n">
        <x:f>Source!C3110</x:f>
        <x:v>58</x:v>
      </x:c>
      <x:c r="D3116" s="8" t="n">
        <x:f>Source!D3110/100</x:f>
        <x:v>167.94</x:v>
      </x:c>
      <x:c r="E3116" s="8" t="n">
        <x:f>Source!E3110/100</x:f>
        <x:v>182.94</x:v>
      </x:c>
      <x:c r="F3116" s="8" t="n">
        <x:f>Source!F3110/100</x:f>
        <x:v>0</x:v>
      </x:c>
      <x:c r="G3116" s="8" t="n">
        <x:f>Source!G3110/100</x:f>
        <x:v>182.94</x:v>
      </x:c>
      <x:c r="H3116" s="8" t="n">
        <x:f>G3116-D3116</x:f>
        <x:v>15</x:v>
      </x:c>
      <x:c r="I3116" s="1" t="str">
        <x:f>IF(H3116&gt;0,"Overbilled","Shortfall")</x:f>
        <x:v>Overbilled</x:v>
      </x:c>
      <x:c r="J3116" s="7"/>
      <x:c r="K3116" s="7" t="str">
        <x:v>Open</x:v>
      </x:c>
      <x:c r="L3116" s="7"/>
    </x:row>
    <x:row r="3117" ht="21" customHeight="1">
      <x:c r="A3117" s="1" t="str">
        <x:f>Source!A3111</x:f>
        <x:v>C0014322</x:v>
      </x:c>
      <x:c r="B3117" s="1" t="str">
        <x:f>_xlfn.IFNA(VLOOKUP(Source!B3111,Advertisers!$A$5:$B$34,2,FALSE),"Missing advertiser")</x:f>
        <x:v>Synthetic advertiser 8</x:v>
      </x:c>
      <x:c r="C3117" s="1" t="n">
        <x:f>Source!C3111</x:f>
        <x:v>68</x:v>
      </x:c>
      <x:c r="D3117" s="8" t="n">
        <x:f>Source!D3111/100</x:f>
        <x:v>293.02</x:v>
      </x:c>
      <x:c r="E3117" s="8" t="n">
        <x:f>Source!E3111/100</x:f>
        <x:v>308.02</x:v>
      </x:c>
      <x:c r="F3117" s="8" t="n">
        <x:f>Source!F3111/100</x:f>
        <x:v>0</x:v>
      </x:c>
      <x:c r="G3117" s="8" t="n">
        <x:f>Source!G3111/100</x:f>
        <x:v>308.02</x:v>
      </x:c>
      <x:c r="H3117" s="8" t="n">
        <x:f>G3117-D3117</x:f>
        <x:v>15</x:v>
      </x:c>
      <x:c r="I3117" s="1" t="str">
        <x:f>IF(H3117&gt;0,"Overbilled","Shortfall")</x:f>
        <x:v>Overbilled</x:v>
      </x:c>
      <x:c r="J3117" s="7"/>
      <x:c r="K3117" s="7" t="str">
        <x:v>Open</x:v>
      </x:c>
      <x:c r="L3117" s="7"/>
    </x:row>
    <x:row r="3118" ht="21" customHeight="1">
      <x:c r="A3118" s="1" t="str">
        <x:f>Source!A3112</x:f>
        <x:v>C0014326</x:v>
      </x:c>
      <x:c r="B3118" s="1" t="str">
        <x:f>_xlfn.IFNA(VLOOKUP(Source!B3112,Advertisers!$A$5:$B$34,2,FALSE),"Missing advertiser")</x:f>
        <x:v>Synthetic advertiser 4</x:v>
      </x:c>
      <x:c r="C3118" s="1" t="n">
        <x:f>Source!C3112</x:f>
        <x:v>34</x:v>
      </x:c>
      <x:c r="D3118" s="8" t="n">
        <x:f>Source!D3112/100</x:f>
        <x:v>106.45</x:v>
      </x:c>
      <x:c r="E3118" s="8" t="n">
        <x:f>Source!E3112/100</x:f>
        <x:v>121.45</x:v>
      </x:c>
      <x:c r="F3118" s="8" t="n">
        <x:f>Source!F3112/100</x:f>
        <x:v>0</x:v>
      </x:c>
      <x:c r="G3118" s="8" t="n">
        <x:f>Source!G3112/100</x:f>
        <x:v>121.45</x:v>
      </x:c>
      <x:c r="H3118" s="8" t="n">
        <x:f>G3118-D3118</x:f>
        <x:v>15</x:v>
      </x:c>
      <x:c r="I3118" s="1" t="str">
        <x:f>IF(H3118&gt;0,"Overbilled","Shortfall")</x:f>
        <x:v>Overbilled</x:v>
      </x:c>
      <x:c r="J3118" s="7"/>
      <x:c r="K3118" s="7" t="str">
        <x:v>Open</x:v>
      </x:c>
      <x:c r="L3118" s="7"/>
    </x:row>
    <x:row r="3119" ht="21" customHeight="1">
      <x:c r="A3119" s="1" t="str">
        <x:f>Source!A3113</x:f>
        <x:v>C0014346</x:v>
      </x:c>
      <x:c r="B3119" s="1" t="str">
        <x:f>_xlfn.IFNA(VLOOKUP(Source!B3113,Advertisers!$A$5:$B$34,2,FALSE),"Missing advertiser")</x:f>
        <x:v>Synthetic advertiser 22</x:v>
      </x:c>
      <x:c r="C3119" s="1" t="n">
        <x:f>Source!C3113</x:f>
        <x:v>82</x:v>
      </x:c>
      <x:c r="D3119" s="8" t="n">
        <x:f>Source!D3113/100</x:f>
        <x:v>229.4</x:v>
      </x:c>
      <x:c r="E3119" s="8" t="n">
        <x:f>Source!E3113/100</x:f>
        <x:v>244.4</x:v>
      </x:c>
      <x:c r="F3119" s="8" t="n">
        <x:f>Source!F3113/100</x:f>
        <x:v>0</x:v>
      </x:c>
      <x:c r="G3119" s="8" t="n">
        <x:f>Source!G3113/100</x:f>
        <x:v>244.4</x:v>
      </x:c>
      <x:c r="H3119" s="8" t="n">
        <x:f>G3119-D3119</x:f>
        <x:v>15</x:v>
      </x:c>
      <x:c r="I3119" s="1" t="str">
        <x:f>IF(H3119&gt;0,"Overbilled","Shortfall")</x:f>
        <x:v>Overbilled</x:v>
      </x:c>
      <x:c r="J3119" s="7"/>
      <x:c r="K3119" s="7" t="str">
        <x:v>Open</x:v>
      </x:c>
      <x:c r="L3119" s="7"/>
    </x:row>
    <x:row r="3120" ht="21" customHeight="1">
      <x:c r="A3120" s="1" t="str">
        <x:f>Source!A3114</x:f>
        <x:v>C0003567</x:v>
      </x:c>
      <x:c r="B3120" s="1" t="str">
        <x:f>_xlfn.IFNA(VLOOKUP(Source!B3114,Advertisers!$A$5:$B$34,2,FALSE),"Missing advertiser")</x:f>
        <x:v>Synthetic advertiser 11</x:v>
      </x:c>
      <x:c r="C3120" s="1" t="n">
        <x:f>Source!C3114</x:f>
        <x:v>71</x:v>
      </x:c>
      <x:c r="D3120" s="8" t="n">
        <x:f>Source!D3114/100</x:f>
        <x:v>192.7</x:v>
      </x:c>
      <x:c r="E3120" s="8" t="n">
        <x:f>Source!E3114/100</x:f>
        <x:v>207.7</x:v>
      </x:c>
      <x:c r="F3120" s="8" t="n">
        <x:f>Source!F3114/100</x:f>
        <x:v>0</x:v>
      </x:c>
      <x:c r="G3120" s="8" t="n">
        <x:f>Source!G3114/100</x:f>
        <x:v>207.7</x:v>
      </x:c>
      <x:c r="H3120" s="8" t="n">
        <x:f>G3120-D3120</x:f>
        <x:v>15</x:v>
      </x:c>
      <x:c r="I3120" s="1" t="str">
        <x:f>IF(H3120&gt;0,"Overbilled","Shortfall")</x:f>
        <x:v>Overbilled</x:v>
      </x:c>
      <x:c r="J3120" s="7"/>
      <x:c r="K3120" s="7" t="str">
        <x:v>Open</x:v>
      </x:c>
      <x:c r="L3120" s="7"/>
    </x:row>
    <x:row r="3121" ht="21" customHeight="1">
      <x:c r="A3121" s="1" t="str">
        <x:f>Source!A3115</x:f>
        <x:v>C0003617</x:v>
      </x:c>
      <x:c r="B3121" s="1" t="str">
        <x:f>_xlfn.IFNA(VLOOKUP(Source!B3115,Advertisers!$A$5:$B$34,2,FALSE),"Missing advertiser")</x:f>
        <x:v>Synthetic advertiser 1</x:v>
      </x:c>
      <x:c r="C3121" s="1" t="n">
        <x:f>Source!C3115</x:f>
        <x:v>1</x:v>
      </x:c>
      <x:c r="D3121" s="8" t="n">
        <x:f>Source!D3115/100</x:f>
        <x:v>245.13</x:v>
      </x:c>
      <x:c r="E3121" s="8" t="n">
        <x:f>Source!E3115/100</x:f>
        <x:v>260.13</x:v>
      </x:c>
      <x:c r="F3121" s="8" t="n">
        <x:f>Source!F3115/100</x:f>
        <x:v>0</x:v>
      </x:c>
      <x:c r="G3121" s="8" t="n">
        <x:f>Source!G3115/100</x:f>
        <x:v>260.13</x:v>
      </x:c>
      <x:c r="H3121" s="8" t="n">
        <x:f>G3121-D3121</x:f>
        <x:v>15</x:v>
      </x:c>
      <x:c r="I3121" s="1" t="str">
        <x:f>IF(H3121&gt;0,"Overbilled","Shortfall")</x:f>
        <x:v>Overbilled</x:v>
      </x:c>
      <x:c r="J3121" s="7"/>
      <x:c r="K3121" s="7" t="str">
        <x:v>Open</x:v>
      </x:c>
      <x:c r="L3121" s="7"/>
    </x:row>
    <x:row r="3122" ht="21" customHeight="1">
      <x:c r="A3122" s="1" t="str">
        <x:f>Source!A3116</x:f>
        <x:v>C0003649</x:v>
      </x:c>
      <x:c r="B3122" s="1" t="str">
        <x:f>_xlfn.IFNA(VLOOKUP(Source!B3116,Advertisers!$A$5:$B$34,2,FALSE),"Missing advertiser")</x:f>
        <x:v>Synthetic advertiser 22</x:v>
      </x:c>
      <x:c r="C3122" s="1" t="n">
        <x:f>Source!C3116</x:f>
        <x:v>22</x:v>
      </x:c>
      <x:c r="D3122" s="8" t="n">
        <x:f>Source!D3116/100</x:f>
        <x:v>124.73</x:v>
      </x:c>
      <x:c r="E3122" s="8" t="n">
        <x:f>Source!E3116/100</x:f>
        <x:v>139.73</x:v>
      </x:c>
      <x:c r="F3122" s="8" t="n">
        <x:f>Source!F3116/100</x:f>
        <x:v>0</x:v>
      </x:c>
      <x:c r="G3122" s="8" t="n">
        <x:f>Source!G3116/100</x:f>
        <x:v>139.73</x:v>
      </x:c>
      <x:c r="H3122" s="8" t="n">
        <x:f>G3122-D3122</x:f>
        <x:v>14.999999999999986</x:v>
      </x:c>
      <x:c r="I3122" s="1" t="str">
        <x:f>IF(H3122&gt;0,"Overbilled","Shortfall")</x:f>
        <x:v>Overbilled</x:v>
      </x:c>
      <x:c r="J3122" s="7"/>
      <x:c r="K3122" s="7" t="str">
        <x:v>Open</x:v>
      </x:c>
      <x:c r="L3122" s="7"/>
    </x:row>
    <x:row r="3123" ht="21" customHeight="1">
      <x:c r="A3123" s="1" t="str">
        <x:f>Source!A3117</x:f>
        <x:v>C0003698</x:v>
      </x:c>
      <x:c r="B3123" s="1" t="str">
        <x:f>_xlfn.IFNA(VLOOKUP(Source!B3117,Advertisers!$A$5:$B$34,2,FALSE),"Missing advertiser")</x:f>
        <x:v>Synthetic advertiser 1</x:v>
      </x:c>
      <x:c r="C3123" s="1" t="n">
        <x:f>Source!C3117</x:f>
        <x:v>31</x:v>
      </x:c>
      <x:c r="D3123" s="8" t="n">
        <x:f>Source!D3117/100</x:f>
        <x:v>79.23</x:v>
      </x:c>
      <x:c r="E3123" s="8" t="n">
        <x:f>Source!E3117/100</x:f>
        <x:v>94.23</x:v>
      </x:c>
      <x:c r="F3123" s="8" t="n">
        <x:f>Source!F3117/100</x:f>
        <x:v>0</x:v>
      </x:c>
      <x:c r="G3123" s="8" t="n">
        <x:f>Source!G3117/100</x:f>
        <x:v>94.23</x:v>
      </x:c>
      <x:c r="H3123" s="8" t="n">
        <x:f>G3123-D3123</x:f>
        <x:v>15</x:v>
      </x:c>
      <x:c r="I3123" s="1" t="str">
        <x:f>IF(H3123&gt;0,"Overbilled","Shortfall")</x:f>
        <x:v>Overbilled</x:v>
      </x:c>
      <x:c r="J3123" s="7"/>
      <x:c r="K3123" s="7" t="str">
        <x:v>Open</x:v>
      </x:c>
      <x:c r="L3123" s="7"/>
    </x:row>
    <x:row r="3124" ht="21" customHeight="1">
      <x:c r="A3124" s="1" t="str">
        <x:f>Source!A3118</x:f>
        <x:v>C0003701</x:v>
      </x:c>
      <x:c r="B3124" s="1" t="str">
        <x:f>_xlfn.IFNA(VLOOKUP(Source!B3118,Advertisers!$A$5:$B$34,2,FALSE),"Missing advertiser")</x:f>
        <x:v>Synthetic advertiser 20</x:v>
      </x:c>
      <x:c r="C3124" s="1" t="n">
        <x:f>Source!C3118</x:f>
        <x:v>20</x:v>
      </x:c>
      <x:c r="D3124" s="8" t="n">
        <x:f>Source!D3118/100</x:f>
        <x:v>240.58</x:v>
      </x:c>
      <x:c r="E3124" s="8" t="n">
        <x:f>Source!E3118/100</x:f>
        <x:v>255.58</x:v>
      </x:c>
      <x:c r="F3124" s="8" t="n">
        <x:f>Source!F3118/100</x:f>
        <x:v>0</x:v>
      </x:c>
      <x:c r="G3124" s="8" t="n">
        <x:f>Source!G3118/100</x:f>
        <x:v>255.58</x:v>
      </x:c>
      <x:c r="H3124" s="8" t="n">
        <x:f>G3124-D3124</x:f>
        <x:v>15</x:v>
      </x:c>
      <x:c r="I3124" s="1" t="str">
        <x:f>IF(H3124&gt;0,"Overbilled","Shortfall")</x:f>
        <x:v>Overbilled</x:v>
      </x:c>
      <x:c r="J3124" s="7"/>
      <x:c r="K3124" s="7" t="str">
        <x:v>Open</x:v>
      </x:c>
      <x:c r="L3124" s="7"/>
    </x:row>
    <x:row r="3125" ht="21" customHeight="1">
      <x:c r="A3125" s="1" t="str">
        <x:f>Source!A3119</x:f>
        <x:v>C0014385</x:v>
      </x:c>
      <x:c r="B3125" s="1" t="str">
        <x:f>_xlfn.IFNA(VLOOKUP(Source!B3119,Advertisers!$A$5:$B$34,2,FALSE),"Missing advertiser")</x:f>
        <x:v>Synthetic advertiser 18</x:v>
      </x:c>
      <x:c r="C3125" s="1" t="n">
        <x:f>Source!C3119</x:f>
        <x:v>18</x:v>
      </x:c>
      <x:c r="D3125" s="8" t="n">
        <x:f>Source!D3119/100</x:f>
        <x:v>154.13</x:v>
      </x:c>
      <x:c r="E3125" s="8" t="n">
        <x:f>Source!E3119/100</x:f>
        <x:v>169.13</x:v>
      </x:c>
      <x:c r="F3125" s="8" t="n">
        <x:f>Source!F3119/100</x:f>
        <x:v>0</x:v>
      </x:c>
      <x:c r="G3125" s="8" t="n">
        <x:f>Source!G3119/100</x:f>
        <x:v>169.13</x:v>
      </x:c>
      <x:c r="H3125" s="8" t="n">
        <x:f>G3125-D3125</x:f>
        <x:v>15</x:v>
      </x:c>
      <x:c r="I3125" s="1" t="str">
        <x:f>IF(H3125&gt;0,"Overbilled","Shortfall")</x:f>
        <x:v>Overbilled</x:v>
      </x:c>
      <x:c r="J3125" s="7"/>
      <x:c r="K3125" s="7" t="str">
        <x:v>Open</x:v>
      </x:c>
      <x:c r="L3125" s="7"/>
    </x:row>
    <x:row r="3126" ht="21" customHeight="1">
      <x:c r="A3126" s="1" t="str">
        <x:f>Source!A3120</x:f>
        <x:v>C0014390</x:v>
      </x:c>
      <x:c r="B3126" s="1" t="str">
        <x:f>_xlfn.IFNA(VLOOKUP(Source!B3120,Advertisers!$A$5:$B$34,2,FALSE),"Missing advertiser")</x:f>
        <x:v>Synthetic advertiser 1</x:v>
      </x:c>
      <x:c r="C3126" s="1" t="n">
        <x:f>Source!C3120</x:f>
        <x:v>1</x:v>
      </x:c>
      <x:c r="D3126" s="8" t="n">
        <x:f>Source!D3120/100</x:f>
        <x:v>134.36</x:v>
      </x:c>
      <x:c r="E3126" s="8" t="n">
        <x:f>Source!E3120/100</x:f>
        <x:v>149.36</x:v>
      </x:c>
      <x:c r="F3126" s="8" t="n">
        <x:f>Source!F3120/100</x:f>
        <x:v>0</x:v>
      </x:c>
      <x:c r="G3126" s="8" t="n">
        <x:f>Source!G3120/100</x:f>
        <x:v>149.36</x:v>
      </x:c>
      <x:c r="H3126" s="8" t="n">
        <x:f>G3126-D3126</x:f>
        <x:v>15</x:v>
      </x:c>
      <x:c r="I3126" s="1" t="str">
        <x:f>IF(H3126&gt;0,"Overbilled","Shortfall")</x:f>
        <x:v>Overbilled</x:v>
      </x:c>
      <x:c r="J3126" s="7"/>
      <x:c r="K3126" s="7" t="str">
        <x:v>Open</x:v>
      </x:c>
      <x:c r="L3126" s="7"/>
    </x:row>
    <x:row r="3127" ht="21" customHeight="1">
      <x:c r="A3127" s="1" t="str">
        <x:f>Source!A3121</x:f>
        <x:v>C0014419</x:v>
      </x:c>
      <x:c r="B3127" s="1" t="str">
        <x:f>_xlfn.IFNA(VLOOKUP(Source!B3121,Advertisers!$A$5:$B$34,2,FALSE),"Missing advertiser")</x:f>
        <x:v>Synthetic advertiser 30</x:v>
      </x:c>
      <x:c r="C3127" s="1" t="n">
        <x:f>Source!C3121</x:f>
        <x:v>60</x:v>
      </x:c>
      <x:c r="D3127" s="8" t="n">
        <x:f>Source!D3121/100</x:f>
        <x:v>154.06</x:v>
      </x:c>
      <x:c r="E3127" s="8" t="n">
        <x:f>Source!E3121/100</x:f>
        <x:v>169.06</x:v>
      </x:c>
      <x:c r="F3127" s="8" t="n">
        <x:f>Source!F3121/100</x:f>
        <x:v>0</x:v>
      </x:c>
      <x:c r="G3127" s="8" t="n">
        <x:f>Source!G3121/100</x:f>
        <x:v>169.06</x:v>
      </x:c>
      <x:c r="H3127" s="8" t="n">
        <x:f>G3127-D3127</x:f>
        <x:v>15</x:v>
      </x:c>
      <x:c r="I3127" s="1" t="str">
        <x:f>IF(H3127&gt;0,"Overbilled","Shortfall")</x:f>
        <x:v>Overbilled</x:v>
      </x:c>
      <x:c r="J3127" s="7"/>
      <x:c r="K3127" s="7" t="str">
        <x:v>Open</x:v>
      </x:c>
      <x:c r="L3127" s="7"/>
    </x:row>
    <x:row r="3128" ht="21" customHeight="1">
      <x:c r="A3128" s="1" t="str">
        <x:f>Source!A3122</x:f>
        <x:v>C0014459</x:v>
      </x:c>
      <x:c r="B3128" s="1" t="str">
        <x:f>_xlfn.IFNA(VLOOKUP(Source!B3122,Advertisers!$A$5:$B$34,2,FALSE),"Missing advertiser")</x:f>
        <x:v>Synthetic advertiser 2</x:v>
      </x:c>
      <x:c r="C3128" s="1" t="n">
        <x:f>Source!C3122</x:f>
        <x:v>32</x:v>
      </x:c>
      <x:c r="D3128" s="8" t="n">
        <x:f>Source!D3122/100</x:f>
        <x:v>158.06</x:v>
      </x:c>
      <x:c r="E3128" s="8" t="n">
        <x:f>Source!E3122/100</x:f>
        <x:v>173.06</x:v>
      </x:c>
      <x:c r="F3128" s="8" t="n">
        <x:f>Source!F3122/100</x:f>
        <x:v>0</x:v>
      </x:c>
      <x:c r="G3128" s="8" t="n">
        <x:f>Source!G3122/100</x:f>
        <x:v>173.06</x:v>
      </x:c>
      <x:c r="H3128" s="8" t="n">
        <x:f>G3128-D3128</x:f>
        <x:v>15</x:v>
      </x:c>
      <x:c r="I3128" s="1" t="str">
        <x:f>IF(H3128&gt;0,"Overbilled","Shortfall")</x:f>
        <x:v>Overbilled</x:v>
      </x:c>
      <x:c r="J3128" s="7"/>
      <x:c r="K3128" s="7" t="str">
        <x:v>Open</x:v>
      </x:c>
      <x:c r="L3128" s="7"/>
    </x:row>
    <x:row r="3129" ht="21" customHeight="1">
      <x:c r="A3129" s="1" t="str">
        <x:f>Source!A3123</x:f>
        <x:v>C0014304</x:v>
      </x:c>
      <x:c r="B3129" s="1" t="str">
        <x:f>_xlfn.IFNA(VLOOKUP(Source!B3123,Advertisers!$A$5:$B$34,2,FALSE),"Missing advertiser")</x:f>
        <x:v>Synthetic advertiser 24</x:v>
      </x:c>
      <x:c r="C3129" s="1" t="n">
        <x:f>Source!C3123</x:f>
        <x:v>114</x:v>
      </x:c>
      <x:c r="D3129" s="8" t="n">
        <x:f>Source!D3123/100</x:f>
        <x:v>75.13</x:v>
      </x:c>
      <x:c r="E3129" s="8" t="n">
        <x:f>Source!E3123/100</x:f>
        <x:v>90.13</x:v>
      </x:c>
      <x:c r="F3129" s="8" t="n">
        <x:f>Source!F3123/100</x:f>
        <x:v>0</x:v>
      </x:c>
      <x:c r="G3129" s="8" t="n">
        <x:f>Source!G3123/100</x:f>
        <x:v>90.13</x:v>
      </x:c>
      <x:c r="H3129" s="8" t="n">
        <x:f>G3129-D3129</x:f>
        <x:v>15</x:v>
      </x:c>
      <x:c r="I3129" s="1" t="str">
        <x:f>IF(H3129&gt;0,"Overbilled","Shortfall")</x:f>
        <x:v>Overbilled</x:v>
      </x:c>
      <x:c r="J3129" s="7"/>
      <x:c r="K3129" s="7" t="str">
        <x:v>Open</x:v>
      </x:c>
      <x:c r="L3129" s="7"/>
    </x:row>
    <x:row r="3130" ht="21" customHeight="1">
      <x:c r="A3130" s="1" t="str">
        <x:f>Source!A3124</x:f>
        <x:v>C0004007</x:v>
      </x:c>
      <x:c r="B3130" s="1" t="str">
        <x:f>_xlfn.IFNA(VLOOKUP(Source!B3124,Advertisers!$A$5:$B$34,2,FALSE),"Missing advertiser")</x:f>
        <x:v>Synthetic advertiser 2</x:v>
      </x:c>
      <x:c r="C3130" s="1" t="n">
        <x:f>Source!C3124</x:f>
        <x:v>92</x:v>
      </x:c>
      <x:c r="D3130" s="8" t="n">
        <x:f>Source!D3124/100</x:f>
        <x:v>347.66</x:v>
      </x:c>
      <x:c r="E3130" s="8" t="n">
        <x:f>Source!E3124/100</x:f>
        <x:v>362.66</x:v>
      </x:c>
      <x:c r="F3130" s="8" t="n">
        <x:f>Source!F3124/100</x:f>
        <x:v>0</x:v>
      </x:c>
      <x:c r="G3130" s="8" t="n">
        <x:f>Source!G3124/100</x:f>
        <x:v>362.66</x:v>
      </x:c>
      <x:c r="H3130" s="8" t="n">
        <x:f>G3130-D3130</x:f>
        <x:v>15</x:v>
      </x:c>
      <x:c r="I3130" s="1" t="str">
        <x:f>IF(H3130&gt;0,"Overbilled","Shortfall")</x:f>
        <x:v>Overbilled</x:v>
      </x:c>
      <x:c r="J3130" s="7"/>
      <x:c r="K3130" s="7" t="str">
        <x:v>Open</x:v>
      </x:c>
      <x:c r="L3130" s="7"/>
    </x:row>
    <x:row r="3131" ht="21" customHeight="1">
      <x:c r="A3131" s="1" t="str">
        <x:f>Source!A3125</x:f>
        <x:v>C0004039</x:v>
      </x:c>
      <x:c r="B3131" s="1" t="str">
        <x:f>_xlfn.IFNA(VLOOKUP(Source!B3125,Advertisers!$A$5:$B$34,2,FALSE),"Missing advertiser")</x:f>
        <x:v>Synthetic advertiser 1</x:v>
      </x:c>
      <x:c r="C3131" s="1" t="n">
        <x:f>Source!C3125</x:f>
        <x:v>1</x:v>
      </x:c>
      <x:c r="D3131" s="8" t="n">
        <x:f>Source!D3125/100</x:f>
        <x:v>152.65</x:v>
      </x:c>
      <x:c r="E3131" s="8" t="n">
        <x:f>Source!E3125/100</x:f>
        <x:v>167.65</x:v>
      </x:c>
      <x:c r="F3131" s="8" t="n">
        <x:f>Source!F3125/100</x:f>
        <x:v>0</x:v>
      </x:c>
      <x:c r="G3131" s="8" t="n">
        <x:f>Source!G3125/100</x:f>
        <x:v>167.65</x:v>
      </x:c>
      <x:c r="H3131" s="8" t="n">
        <x:f>G3131-D3131</x:f>
        <x:v>15</x:v>
      </x:c>
      <x:c r="I3131" s="1" t="str">
        <x:f>IF(H3131&gt;0,"Overbilled","Shortfall")</x:f>
        <x:v>Overbilled</x:v>
      </x:c>
      <x:c r="J3131" s="7"/>
      <x:c r="K3131" s="7" t="str">
        <x:v>Open</x:v>
      </x:c>
      <x:c r="L3131" s="7"/>
    </x:row>
    <x:row r="3132" ht="21" customHeight="1">
      <x:c r="A3132" s="1" t="str">
        <x:f>Source!A3126</x:f>
        <x:v>C0004055</x:v>
      </x:c>
      <x:c r="B3132" s="1" t="str">
        <x:f>_xlfn.IFNA(VLOOKUP(Source!B3126,Advertisers!$A$5:$B$34,2,FALSE),"Missing advertiser")</x:f>
        <x:v>Synthetic advertiser 19</x:v>
      </x:c>
      <x:c r="C3132" s="1" t="n">
        <x:f>Source!C3126</x:f>
        <x:v>79</x:v>
      </x:c>
      <x:c r="D3132" s="8" t="n">
        <x:f>Source!D3126/100</x:f>
        <x:v>134.98</x:v>
      </x:c>
      <x:c r="E3132" s="8" t="n">
        <x:f>Source!E3126/100</x:f>
        <x:v>149.98</x:v>
      </x:c>
      <x:c r="F3132" s="8" t="n">
        <x:f>Source!F3126/100</x:f>
        <x:v>0</x:v>
      </x:c>
      <x:c r="G3132" s="8" t="n">
        <x:f>Source!G3126/100</x:f>
        <x:v>149.98</x:v>
      </x:c>
      <x:c r="H3132" s="8" t="n">
        <x:f>G3132-D3132</x:f>
        <x:v>15</x:v>
      </x:c>
      <x:c r="I3132" s="1" t="str">
        <x:f>IF(H3132&gt;0,"Overbilled","Shortfall")</x:f>
        <x:v>Overbilled</x:v>
      </x:c>
      <x:c r="J3132" s="7"/>
      <x:c r="K3132" s="7" t="str">
        <x:v>Open</x:v>
      </x:c>
      <x:c r="L3132" s="7"/>
    </x:row>
    <x:row r="3133" ht="21" customHeight="1">
      <x:c r="A3133" s="1" t="str">
        <x:f>Source!A3127</x:f>
        <x:v>C0004074</x:v>
      </x:c>
      <x:c r="B3133" s="1" t="str">
        <x:f>_xlfn.IFNA(VLOOKUP(Source!B3127,Advertisers!$A$5:$B$34,2,FALSE),"Missing advertiser")</x:f>
        <x:v>Synthetic advertiser 3</x:v>
      </x:c>
      <x:c r="C3133" s="1" t="n">
        <x:f>Source!C3127</x:f>
        <x:v>33</x:v>
      </x:c>
      <x:c r="D3133" s="8" t="n">
        <x:f>Source!D3127/100</x:f>
        <x:v>314.6</x:v>
      </x:c>
      <x:c r="E3133" s="8" t="n">
        <x:f>Source!E3127/100</x:f>
        <x:v>329.6</x:v>
      </x:c>
      <x:c r="F3133" s="8" t="n">
        <x:f>Source!F3127/100</x:f>
        <x:v>0</x:v>
      </x:c>
      <x:c r="G3133" s="8" t="n">
        <x:f>Source!G3127/100</x:f>
        <x:v>329.6</x:v>
      </x:c>
      <x:c r="H3133" s="8" t="n">
        <x:f>G3133-D3133</x:f>
        <x:v>15</x:v>
      </x:c>
      <x:c r="I3133" s="1" t="str">
        <x:f>IF(H3133&gt;0,"Overbilled","Shortfall")</x:f>
        <x:v>Overbilled</x:v>
      </x:c>
      <x:c r="J3133" s="7"/>
      <x:c r="K3133" s="7" t="str">
        <x:v>Open</x:v>
      </x:c>
      <x:c r="L3133" s="7"/>
    </x:row>
    <x:row r="3134" ht="21" customHeight="1">
      <x:c r="A3134" s="1" t="str">
        <x:f>Source!A3128</x:f>
        <x:v>C0004078</x:v>
      </x:c>
      <x:c r="B3134" s="1" t="str">
        <x:f>_xlfn.IFNA(VLOOKUP(Source!B3128,Advertisers!$A$5:$B$34,2,FALSE),"Missing advertiser")</x:f>
        <x:v>Synthetic advertiser 4</x:v>
      </x:c>
      <x:c r="C3134" s="1" t="n">
        <x:f>Source!C3128</x:f>
        <x:v>64</x:v>
      </x:c>
      <x:c r="D3134" s="8" t="n">
        <x:f>Source!D3128/100</x:f>
        <x:v>483.22</x:v>
      </x:c>
      <x:c r="E3134" s="8" t="n">
        <x:f>Source!E3128/100</x:f>
        <x:v>498.22</x:v>
      </x:c>
      <x:c r="F3134" s="8" t="n">
        <x:f>Source!F3128/100</x:f>
        <x:v>0</x:v>
      </x:c>
      <x:c r="G3134" s="8" t="n">
        <x:f>Source!G3128/100</x:f>
        <x:v>498.22</x:v>
      </x:c>
      <x:c r="H3134" s="8" t="n">
        <x:f>G3134-D3134</x:f>
        <x:v>15</x:v>
      </x:c>
      <x:c r="I3134" s="1" t="str">
        <x:f>IF(H3134&gt;0,"Overbilled","Shortfall")</x:f>
        <x:v>Overbilled</x:v>
      </x:c>
      <x:c r="J3134" s="7"/>
      <x:c r="K3134" s="7" t="str">
        <x:v>Open</x:v>
      </x:c>
      <x:c r="L3134" s="7"/>
    </x:row>
    <x:row r="3135" ht="21" customHeight="1">
      <x:c r="A3135" s="1" t="str">
        <x:f>Source!A3129</x:f>
        <x:v>C0013947</x:v>
      </x:c>
      <x:c r="B3135" s="1" t="str">
        <x:f>_xlfn.IFNA(VLOOKUP(Source!B3129,Advertisers!$A$5:$B$34,2,FALSE),"Missing advertiser")</x:f>
        <x:v>Synthetic advertiser 13</x:v>
      </x:c>
      <x:c r="C3135" s="1" t="n">
        <x:f>Source!C3129</x:f>
        <x:v>73</x:v>
      </x:c>
      <x:c r="D3135" s="8" t="n">
        <x:f>Source!D3129/100</x:f>
        <x:v>119.3</x:v>
      </x:c>
      <x:c r="E3135" s="8" t="n">
        <x:f>Source!E3129/100</x:f>
        <x:v>134.3</x:v>
      </x:c>
      <x:c r="F3135" s="8" t="n">
        <x:f>Source!F3129/100</x:f>
        <x:v>0</x:v>
      </x:c>
      <x:c r="G3135" s="8" t="n">
        <x:f>Source!G3129/100</x:f>
        <x:v>134.3</x:v>
      </x:c>
      <x:c r="H3135" s="8" t="n">
        <x:f>G3135-D3135</x:f>
        <x:v>15.000000000000014</x:v>
      </x:c>
      <x:c r="I3135" s="1" t="str">
        <x:f>IF(H3135&gt;0,"Overbilled","Shortfall")</x:f>
        <x:v>Overbilled</x:v>
      </x:c>
      <x:c r="J3135" s="7"/>
      <x:c r="K3135" s="7" t="str">
        <x:v>Open</x:v>
      </x:c>
      <x:c r="L3135" s="7"/>
    </x:row>
    <x:row r="3136" ht="21" customHeight="1">
      <x:c r="A3136" s="1" t="str">
        <x:f>Source!A3130</x:f>
        <x:v>C0013964</x:v>
      </x:c>
      <x:c r="B3136" s="1" t="str">
        <x:f>_xlfn.IFNA(VLOOKUP(Source!B3130,Advertisers!$A$5:$B$34,2,FALSE),"Missing advertiser")</x:f>
        <x:v>Synthetic advertiser 10</x:v>
      </x:c>
      <x:c r="C3136" s="1" t="n">
        <x:f>Source!C3130</x:f>
        <x:v>70</x:v>
      </x:c>
      <x:c r="D3136" s="8" t="n">
        <x:f>Source!D3130/100</x:f>
        <x:v>134.05</x:v>
      </x:c>
      <x:c r="E3136" s="8" t="n">
        <x:f>Source!E3130/100</x:f>
        <x:v>149.05</x:v>
      </x:c>
      <x:c r="F3136" s="8" t="n">
        <x:f>Source!F3130/100</x:f>
        <x:v>0</x:v>
      </x:c>
      <x:c r="G3136" s="8" t="n">
        <x:f>Source!G3130/100</x:f>
        <x:v>149.05</x:v>
      </x:c>
      <x:c r="H3136" s="8" t="n">
        <x:f>G3136-D3136</x:f>
        <x:v>15</x:v>
      </x:c>
      <x:c r="I3136" s="1" t="str">
        <x:f>IF(H3136&gt;0,"Overbilled","Shortfall")</x:f>
        <x:v>Overbilled</x:v>
      </x:c>
      <x:c r="J3136" s="7"/>
      <x:c r="K3136" s="7" t="str">
        <x:v>Open</x:v>
      </x:c>
      <x:c r="L3136" s="7"/>
    </x:row>
    <x:row r="3137" ht="21" customHeight="1">
      <x:c r="A3137" s="1" t="str">
        <x:f>Source!A3131</x:f>
        <x:v>C0013974</x:v>
      </x:c>
      <x:c r="B3137" s="1" t="str">
        <x:f>_xlfn.IFNA(VLOOKUP(Source!B3131,Advertisers!$A$5:$B$34,2,FALSE),"Missing advertiser")</x:f>
        <x:v>Synthetic advertiser 5</x:v>
      </x:c>
      <x:c r="C3137" s="1" t="n">
        <x:f>Source!C3131</x:f>
        <x:v>95</x:v>
      </x:c>
      <x:c r="D3137" s="8" t="n">
        <x:f>Source!D3131/100</x:f>
        <x:v>62.04</x:v>
      </x:c>
      <x:c r="E3137" s="8" t="n">
        <x:f>Source!E3131/100</x:f>
        <x:v>77.04</x:v>
      </x:c>
      <x:c r="F3137" s="8" t="n">
        <x:f>Source!F3131/100</x:f>
        <x:v>0</x:v>
      </x:c>
      <x:c r="G3137" s="8" t="n">
        <x:f>Source!G3131/100</x:f>
        <x:v>77.04</x:v>
      </x:c>
      <x:c r="H3137" s="8" t="n">
        <x:f>G3137-D3137</x:f>
        <x:v>15.000000000000007</x:v>
      </x:c>
      <x:c r="I3137" s="1" t="str">
        <x:f>IF(H3137&gt;0,"Overbilled","Shortfall")</x:f>
        <x:v>Overbilled</x:v>
      </x:c>
      <x:c r="J3137" s="7"/>
      <x:c r="K3137" s="7" t="str">
        <x:v>Open</x:v>
      </x:c>
      <x:c r="L3137" s="7"/>
    </x:row>
    <x:row r="3138" ht="21" customHeight="1">
      <x:c r="A3138" s="1" t="str">
        <x:f>Source!A3132</x:f>
        <x:v>C0013975</x:v>
      </x:c>
      <x:c r="B3138" s="1" t="str">
        <x:f>_xlfn.IFNA(VLOOKUP(Source!B3132,Advertisers!$A$5:$B$34,2,FALSE),"Missing advertiser")</x:f>
        <x:v>Synthetic advertiser 23</x:v>
      </x:c>
      <x:c r="C3138" s="1" t="n">
        <x:f>Source!C3132</x:f>
        <x:v>53</x:v>
      </x:c>
      <x:c r="D3138" s="8" t="n">
        <x:f>Source!D3132/100</x:f>
        <x:v>50.87</x:v>
      </x:c>
      <x:c r="E3138" s="8" t="n">
        <x:f>Source!E3132/100</x:f>
        <x:v>65.87</x:v>
      </x:c>
      <x:c r="F3138" s="8" t="n">
        <x:f>Source!F3132/100</x:f>
        <x:v>0</x:v>
      </x:c>
      <x:c r="G3138" s="8" t="n">
        <x:f>Source!G3132/100</x:f>
        <x:v>65.87</x:v>
      </x:c>
      <x:c r="H3138" s="8" t="n">
        <x:f>G3138-D3138</x:f>
        <x:v>15.000000000000007</x:v>
      </x:c>
      <x:c r="I3138" s="1" t="str">
        <x:f>IF(H3138&gt;0,"Overbilled","Shortfall")</x:f>
        <x:v>Overbilled</x:v>
      </x:c>
      <x:c r="J3138" s="7"/>
      <x:c r="K3138" s="7" t="str">
        <x:v>Open</x:v>
      </x:c>
      <x:c r="L3138" s="7"/>
    </x:row>
    <x:row r="3139" ht="21" customHeight="1">
      <x:c r="A3139" s="1" t="str">
        <x:f>Source!A3133</x:f>
        <x:v>C0014032</x:v>
      </x:c>
      <x:c r="B3139" s="1" t="str">
        <x:f>_xlfn.IFNA(VLOOKUP(Source!B3133,Advertisers!$A$5:$B$34,2,FALSE),"Missing advertiser")</x:f>
        <x:v>Synthetic advertiser 6</x:v>
      </x:c>
      <x:c r="C3139" s="1" t="n">
        <x:f>Source!C3133</x:f>
        <x:v>96</x:v>
      </x:c>
      <x:c r="D3139" s="8" t="n">
        <x:f>Source!D3133/100</x:f>
        <x:v>101.6</x:v>
      </x:c>
      <x:c r="E3139" s="8" t="n">
        <x:f>Source!E3133/100</x:f>
        <x:v>116.6</x:v>
      </x:c>
      <x:c r="F3139" s="8" t="n">
        <x:f>Source!F3133/100</x:f>
        <x:v>0</x:v>
      </x:c>
      <x:c r="G3139" s="8" t="n">
        <x:f>Source!G3133/100</x:f>
        <x:v>116.6</x:v>
      </x:c>
      <x:c r="H3139" s="8" t="n">
        <x:f>G3139-D3139</x:f>
        <x:v>15</x:v>
      </x:c>
      <x:c r="I3139" s="1" t="str">
        <x:f>IF(H3139&gt;0,"Overbilled","Shortfall")</x:f>
        <x:v>Overbilled</x:v>
      </x:c>
      <x:c r="J3139" s="7"/>
      <x:c r="K3139" s="7" t="str">
        <x:v>Open</x:v>
      </x:c>
      <x:c r="L3139" s="7"/>
    </x:row>
    <x:row r="3140" ht="21" customHeight="1">
      <x:c r="A3140" s="1" t="str">
        <x:f>Source!A3134</x:f>
        <x:v>C0014043</x:v>
      </x:c>
      <x:c r="B3140" s="1" t="str">
        <x:f>_xlfn.IFNA(VLOOKUP(Source!B3134,Advertisers!$A$5:$B$34,2,FALSE),"Missing advertiser")</x:f>
        <x:v>Synthetic advertiser 15</x:v>
      </x:c>
      <x:c r="C3140" s="1" t="n">
        <x:f>Source!C3134</x:f>
        <x:v>105</x:v>
      </x:c>
      <x:c r="D3140" s="8" t="n">
        <x:f>Source!D3134/100</x:f>
        <x:v>186.91</x:v>
      </x:c>
      <x:c r="E3140" s="8" t="n">
        <x:f>Source!E3134/100</x:f>
        <x:v>201.91</x:v>
      </x:c>
      <x:c r="F3140" s="8" t="n">
        <x:f>Source!F3134/100</x:f>
        <x:v>0</x:v>
      </x:c>
      <x:c r="G3140" s="8" t="n">
        <x:f>Source!G3134/100</x:f>
        <x:v>201.91</x:v>
      </x:c>
      <x:c r="H3140" s="8" t="n">
        <x:f>G3140-D3140</x:f>
        <x:v>15</x:v>
      </x:c>
      <x:c r="I3140" s="1" t="str">
        <x:f>IF(H3140&gt;0,"Overbilled","Shortfall")</x:f>
        <x:v>Overbilled</x:v>
      </x:c>
      <x:c r="J3140" s="7"/>
      <x:c r="K3140" s="7" t="str">
        <x:v>Open</x:v>
      </x:c>
      <x:c r="L3140" s="7"/>
    </x:row>
    <x:row r="3141" ht="21" customHeight="1">
      <x:c r="A3141" s="1" t="str">
        <x:f>Source!A3135</x:f>
        <x:v>C0014092</x:v>
      </x:c>
      <x:c r="B3141" s="1" t="str">
        <x:f>_xlfn.IFNA(VLOOKUP(Source!B3135,Advertisers!$A$5:$B$34,2,FALSE),"Missing advertiser")</x:f>
        <x:v>Synthetic advertiser 14</x:v>
      </x:c>
      <x:c r="C3141" s="1" t="n">
        <x:f>Source!C3135</x:f>
        <x:v>44</x:v>
      </x:c>
      <x:c r="D3141" s="8" t="n">
        <x:f>Source!D3135/100</x:f>
        <x:v>116.73</x:v>
      </x:c>
      <x:c r="E3141" s="8" t="n">
        <x:f>Source!E3135/100</x:f>
        <x:v>131.73</x:v>
      </x:c>
      <x:c r="F3141" s="8" t="n">
        <x:f>Source!F3135/100</x:f>
        <x:v>0</x:v>
      </x:c>
      <x:c r="G3141" s="8" t="n">
        <x:f>Source!G3135/100</x:f>
        <x:v>131.73</x:v>
      </x:c>
      <x:c r="H3141" s="8" t="n">
        <x:f>G3141-D3141</x:f>
        <x:v>14.999999999999986</x:v>
      </x:c>
      <x:c r="I3141" s="1" t="str">
        <x:f>IF(H3141&gt;0,"Overbilled","Shortfall")</x:f>
        <x:v>Overbilled</x:v>
      </x:c>
      <x:c r="J3141" s="7"/>
      <x:c r="K3141" s="7" t="str">
        <x:v>Open</x:v>
      </x:c>
      <x:c r="L3141" s="7"/>
    </x:row>
    <x:row r="3142" ht="21" customHeight="1">
      <x:c r="A3142" s="1" t="str">
        <x:f>Source!A3136</x:f>
        <x:v>C0014103</x:v>
      </x:c>
      <x:c r="B3142" s="1" t="str">
        <x:f>_xlfn.IFNA(VLOOKUP(Source!B3136,Advertisers!$A$5:$B$34,2,FALSE),"Missing advertiser")</x:f>
        <x:v>Synthetic advertiser 26</x:v>
      </x:c>
      <x:c r="C3142" s="1" t="n">
        <x:f>Source!C3136</x:f>
        <x:v>56</x:v>
      </x:c>
      <x:c r="D3142" s="8" t="n">
        <x:f>Source!D3136/100</x:f>
        <x:v>130.81</x:v>
      </x:c>
      <x:c r="E3142" s="8" t="n">
        <x:f>Source!E3136/100</x:f>
        <x:v>145.81</x:v>
      </x:c>
      <x:c r="F3142" s="8" t="n">
        <x:f>Source!F3136/100</x:f>
        <x:v>0</x:v>
      </x:c>
      <x:c r="G3142" s="8" t="n">
        <x:f>Source!G3136/100</x:f>
        <x:v>145.81</x:v>
      </x:c>
      <x:c r="H3142" s="8" t="n">
        <x:f>G3142-D3142</x:f>
        <x:v>15</x:v>
      </x:c>
      <x:c r="I3142" s="1" t="str">
        <x:f>IF(H3142&gt;0,"Overbilled","Shortfall")</x:f>
        <x:v>Overbilled</x:v>
      </x:c>
      <x:c r="J3142" s="7"/>
      <x:c r="K3142" s="7" t="str">
        <x:v>Open</x:v>
      </x:c>
      <x:c r="L3142" s="7"/>
    </x:row>
    <x:row r="3143" ht="21" customHeight="1">
      <x:c r="A3143" s="1" t="str">
        <x:f>Source!A3137</x:f>
        <x:v>C0014257</x:v>
      </x:c>
      <x:c r="B3143" s="1" t="str">
        <x:f>_xlfn.IFNA(VLOOKUP(Source!B3137,Advertisers!$A$5:$B$34,2,FALSE),"Missing advertiser")</x:f>
        <x:v>Synthetic advertiser 8</x:v>
      </x:c>
      <x:c r="C3143" s="1" t="n">
        <x:f>Source!C3137</x:f>
        <x:v>98</x:v>
      </x:c>
      <x:c r="D3143" s="8" t="n">
        <x:f>Source!D3137/100</x:f>
        <x:v>173.94</x:v>
      </x:c>
      <x:c r="E3143" s="8" t="n">
        <x:f>Source!E3137/100</x:f>
        <x:v>188.94</x:v>
      </x:c>
      <x:c r="F3143" s="8" t="n">
        <x:f>Source!F3137/100</x:f>
        <x:v>0</x:v>
      </x:c>
      <x:c r="G3143" s="8" t="n">
        <x:f>Source!G3137/100</x:f>
        <x:v>188.94</x:v>
      </x:c>
      <x:c r="H3143" s="8" t="n">
        <x:f>G3143-D3143</x:f>
        <x:v>15</x:v>
      </x:c>
      <x:c r="I3143" s="1" t="str">
        <x:f>IF(H3143&gt;0,"Overbilled","Shortfall")</x:f>
        <x:v>Overbilled</x:v>
      </x:c>
      <x:c r="J3143" s="7"/>
      <x:c r="K3143" s="7" t="str">
        <x:v>Open</x:v>
      </x:c>
      <x:c r="L3143" s="7"/>
    </x:row>
    <x:row r="3144" ht="21" customHeight="1">
      <x:c r="A3144" s="1" t="str">
        <x:f>Source!A3138</x:f>
        <x:v>C0014140</x:v>
      </x:c>
      <x:c r="B3144" s="1" t="str">
        <x:f>_xlfn.IFNA(VLOOKUP(Source!B3138,Advertisers!$A$5:$B$34,2,FALSE),"Missing advertiser")</x:f>
        <x:v>Synthetic advertiser 14</x:v>
      </x:c>
      <x:c r="C3144" s="1" t="n">
        <x:f>Source!C3138</x:f>
        <x:v>44</x:v>
      </x:c>
      <x:c r="D3144" s="8" t="n">
        <x:f>Source!D3138/100</x:f>
        <x:v>176.9</x:v>
      </x:c>
      <x:c r="E3144" s="8" t="n">
        <x:f>Source!E3138/100</x:f>
        <x:v>191.9</x:v>
      </x:c>
      <x:c r="F3144" s="8" t="n">
        <x:f>Source!F3138/100</x:f>
        <x:v>0</x:v>
      </x:c>
      <x:c r="G3144" s="8" t="n">
        <x:f>Source!G3138/100</x:f>
        <x:v>191.9</x:v>
      </x:c>
      <x:c r="H3144" s="8" t="n">
        <x:f>G3144-D3144</x:f>
        <x:v>15</x:v>
      </x:c>
      <x:c r="I3144" s="1" t="str">
        <x:f>IF(H3144&gt;0,"Overbilled","Shortfall")</x:f>
        <x:v>Overbilled</x:v>
      </x:c>
      <x:c r="J3144" s="7"/>
      <x:c r="K3144" s="7" t="str">
        <x:v>Open</x:v>
      </x:c>
      <x:c r="L3144" s="7"/>
    </x:row>
    <x:row r="3145" ht="21" customHeight="1">
      <x:c r="A3145" s="1" t="str">
        <x:f>Source!A3139</x:f>
        <x:v>C0003757</x:v>
      </x:c>
      <x:c r="B3145" s="1" t="str">
        <x:f>_xlfn.IFNA(VLOOKUP(Source!B3139,Advertisers!$A$5:$B$34,2,FALSE),"Missing advertiser")</x:f>
        <x:v>Synthetic advertiser 19</x:v>
      </x:c>
      <x:c r="C3145" s="1" t="n">
        <x:f>Source!C3139</x:f>
        <x:v>49</x:v>
      </x:c>
      <x:c r="D3145" s="8" t="n">
        <x:f>Source!D3139/100</x:f>
        <x:v>229.41</x:v>
      </x:c>
      <x:c r="E3145" s="8" t="n">
        <x:f>Source!E3139/100</x:f>
        <x:v>244.41</x:v>
      </x:c>
      <x:c r="F3145" s="8" t="n">
        <x:f>Source!F3139/100</x:f>
        <x:v>0</x:v>
      </x:c>
      <x:c r="G3145" s="8" t="n">
        <x:f>Source!G3139/100</x:f>
        <x:v>244.41</x:v>
      </x:c>
      <x:c r="H3145" s="8" t="n">
        <x:f>G3145-D3145</x:f>
        <x:v>15</x:v>
      </x:c>
      <x:c r="I3145" s="1" t="str">
        <x:f>IF(H3145&gt;0,"Overbilled","Shortfall")</x:f>
        <x:v>Overbilled</x:v>
      </x:c>
      <x:c r="J3145" s="7"/>
      <x:c r="K3145" s="7" t="str">
        <x:v>Open</x:v>
      </x:c>
      <x:c r="L3145" s="7"/>
    </x:row>
    <x:row r="3146" ht="21" customHeight="1">
      <x:c r="A3146" s="1" t="str">
        <x:f>Source!A3140</x:f>
        <x:v>C0003758</x:v>
      </x:c>
      <x:c r="B3146" s="1" t="str">
        <x:f>_xlfn.IFNA(VLOOKUP(Source!B3140,Advertisers!$A$5:$B$34,2,FALSE),"Missing advertiser")</x:f>
        <x:v>Synthetic advertiser 2</x:v>
      </x:c>
      <x:c r="C3146" s="1" t="n">
        <x:f>Source!C3140</x:f>
        <x:v>2</x:v>
      </x:c>
      <x:c r="D3146" s="8" t="n">
        <x:f>Source!D3140/100</x:f>
        <x:v>318.18</x:v>
      </x:c>
      <x:c r="E3146" s="8" t="n">
        <x:f>Source!E3140/100</x:f>
        <x:v>333.18</x:v>
      </x:c>
      <x:c r="F3146" s="8" t="n">
        <x:f>Source!F3140/100</x:f>
        <x:v>0</x:v>
      </x:c>
      <x:c r="G3146" s="8" t="n">
        <x:f>Source!G3140/100</x:f>
        <x:v>333.18</x:v>
      </x:c>
      <x:c r="H3146" s="8" t="n">
        <x:f>G3146-D3146</x:f>
        <x:v>15</x:v>
      </x:c>
      <x:c r="I3146" s="1" t="str">
        <x:f>IF(H3146&gt;0,"Overbilled","Shortfall")</x:f>
        <x:v>Overbilled</x:v>
      </x:c>
      <x:c r="J3146" s="7"/>
      <x:c r="K3146" s="7" t="str">
        <x:v>Open</x:v>
      </x:c>
      <x:c r="L3146" s="7"/>
    </x:row>
    <x:row r="3147" ht="21" customHeight="1">
      <x:c r="A3147" s="1" t="str">
        <x:f>Source!A3141</x:f>
        <x:v>C0003775</x:v>
      </x:c>
      <x:c r="B3147" s="1" t="str">
        <x:f>_xlfn.IFNA(VLOOKUP(Source!B3141,Advertisers!$A$5:$B$34,2,FALSE),"Missing advertiser")</x:f>
        <x:v>Synthetic advertiser 7</x:v>
      </x:c>
      <x:c r="C3147" s="1" t="n">
        <x:f>Source!C3141</x:f>
        <x:v>37</x:v>
      </x:c>
      <x:c r="D3147" s="8" t="n">
        <x:f>Source!D3141/100</x:f>
        <x:v>151.01</x:v>
      </x:c>
      <x:c r="E3147" s="8" t="n">
        <x:f>Source!E3141/100</x:f>
        <x:v>166.01</x:v>
      </x:c>
      <x:c r="F3147" s="8" t="n">
        <x:f>Source!F3141/100</x:f>
        <x:v>0</x:v>
      </x:c>
      <x:c r="G3147" s="8" t="n">
        <x:f>Source!G3141/100</x:f>
        <x:v>166.01</x:v>
      </x:c>
      <x:c r="H3147" s="8" t="n">
        <x:f>G3147-D3147</x:f>
        <x:v>15</x:v>
      </x:c>
      <x:c r="I3147" s="1" t="str">
        <x:f>IF(H3147&gt;0,"Overbilled","Shortfall")</x:f>
        <x:v>Overbilled</x:v>
      </x:c>
      <x:c r="J3147" s="7"/>
      <x:c r="K3147" s="7" t="str">
        <x:v>Open</x:v>
      </x:c>
      <x:c r="L3147" s="7"/>
    </x:row>
    <x:row r="3148" ht="21" customHeight="1">
      <x:c r="A3148" s="1" t="str">
        <x:f>Source!A3142</x:f>
        <x:v>C0003834</x:v>
      </x:c>
      <x:c r="B3148" s="1" t="str">
        <x:f>_xlfn.IFNA(VLOOKUP(Source!B3142,Advertisers!$A$5:$B$34,2,FALSE),"Missing advertiser")</x:f>
        <x:v>Synthetic advertiser 15</x:v>
      </x:c>
      <x:c r="C3148" s="1" t="n">
        <x:f>Source!C3142</x:f>
        <x:v>105</x:v>
      </x:c>
      <x:c r="D3148" s="8" t="n">
        <x:f>Source!D3142/100</x:f>
        <x:v>186.91</x:v>
      </x:c>
      <x:c r="E3148" s="8" t="n">
        <x:f>Source!E3142/100</x:f>
        <x:v>201.91</x:v>
      </x:c>
      <x:c r="F3148" s="8" t="n">
        <x:f>Source!F3142/100</x:f>
        <x:v>0</x:v>
      </x:c>
      <x:c r="G3148" s="8" t="n">
        <x:f>Source!G3142/100</x:f>
        <x:v>201.91</x:v>
      </x:c>
      <x:c r="H3148" s="8" t="n">
        <x:f>G3148-D3148</x:f>
        <x:v>15</x:v>
      </x:c>
      <x:c r="I3148" s="1" t="str">
        <x:f>IF(H3148&gt;0,"Overbilled","Shortfall")</x:f>
        <x:v>Overbilled</x:v>
      </x:c>
      <x:c r="J3148" s="7"/>
      <x:c r="K3148" s="7" t="str">
        <x:v>Open</x:v>
      </x:c>
      <x:c r="L3148" s="7"/>
    </x:row>
    <x:row r="3149" ht="21" customHeight="1">
      <x:c r="A3149" s="1" t="str">
        <x:f>Source!A3143</x:f>
        <x:v>C0003835</x:v>
      </x:c>
      <x:c r="B3149" s="1" t="str">
        <x:f>_xlfn.IFNA(VLOOKUP(Source!B3143,Advertisers!$A$5:$B$34,2,FALSE),"Missing advertiser")</x:f>
        <x:v>Synthetic advertiser 2</x:v>
      </x:c>
      <x:c r="C3149" s="1" t="n">
        <x:f>Source!C3143</x:f>
        <x:v>62</x:v>
      </x:c>
      <x:c r="D3149" s="8" t="n">
        <x:f>Source!D3143/100</x:f>
        <x:v>248.9</x:v>
      </x:c>
      <x:c r="E3149" s="8" t="n">
        <x:f>Source!E3143/100</x:f>
        <x:v>263.9</x:v>
      </x:c>
      <x:c r="F3149" s="8" t="n">
        <x:f>Source!F3143/100</x:f>
        <x:v>0</x:v>
      </x:c>
      <x:c r="G3149" s="8" t="n">
        <x:f>Source!G3143/100</x:f>
        <x:v>263.9</x:v>
      </x:c>
      <x:c r="H3149" s="8" t="n">
        <x:f>G3149-D3149</x:f>
        <x:v>14.999999999999972</x:v>
      </x:c>
      <x:c r="I3149" s="1" t="str">
        <x:f>IF(H3149&gt;0,"Overbilled","Shortfall")</x:f>
        <x:v>Overbilled</x:v>
      </x:c>
      <x:c r="J3149" s="7"/>
      <x:c r="K3149" s="7" t="str">
        <x:v>Open</x:v>
      </x:c>
      <x:c r="L3149" s="7"/>
    </x:row>
    <x:row r="3150" ht="21" customHeight="1">
      <x:c r="A3150" s="1" t="str">
        <x:f>Source!A3144</x:f>
        <x:v>C0003849</x:v>
      </x:c>
      <x:c r="B3150" s="1" t="str">
        <x:f>_xlfn.IFNA(VLOOKUP(Source!B3144,Advertisers!$A$5:$B$34,2,FALSE),"Missing advertiser")</x:f>
        <x:v>Synthetic advertiser 4</x:v>
      </x:c>
      <x:c r="C3150" s="1" t="n">
        <x:f>Source!C3144</x:f>
        <x:v>4</x:v>
      </x:c>
      <x:c r="D3150" s="8" t="n">
        <x:f>Source!D3144/100</x:f>
        <x:v>80.85</x:v>
      </x:c>
      <x:c r="E3150" s="8" t="n">
        <x:f>Source!E3144/100</x:f>
        <x:v>95.85</x:v>
      </x:c>
      <x:c r="F3150" s="8" t="n">
        <x:f>Source!F3144/100</x:f>
        <x:v>0</x:v>
      </x:c>
      <x:c r="G3150" s="8" t="n">
        <x:f>Source!G3144/100</x:f>
        <x:v>95.85</x:v>
      </x:c>
      <x:c r="H3150" s="8" t="n">
        <x:f>G3150-D3150</x:f>
        <x:v>15</x:v>
      </x:c>
      <x:c r="I3150" s="1" t="str">
        <x:f>IF(H3150&gt;0,"Overbilled","Shortfall")</x:f>
        <x:v>Overbilled</x:v>
      </x:c>
      <x:c r="J3150" s="7"/>
      <x:c r="K3150" s="7" t="str">
        <x:v>Open</x:v>
      </x:c>
      <x:c r="L3150" s="7"/>
    </x:row>
    <x:row r="3151" ht="21" customHeight="1">
      <x:c r="A3151" s="1" t="str">
        <x:f>Source!A3145</x:f>
        <x:v>C0003852</x:v>
      </x:c>
      <x:c r="B3151" s="1" t="str">
        <x:f>_xlfn.IFNA(VLOOKUP(Source!B3145,Advertisers!$A$5:$B$34,2,FALSE),"Missing advertiser")</x:f>
        <x:v>Synthetic advertiser 24</x:v>
      </x:c>
      <x:c r="C3151" s="1" t="n">
        <x:f>Source!C3145</x:f>
        <x:v>114</x:v>
      </x:c>
      <x:c r="D3151" s="8" t="n">
        <x:f>Source!D3145/100</x:f>
        <x:v>216.86</x:v>
      </x:c>
      <x:c r="E3151" s="8" t="n">
        <x:f>Source!E3145/100</x:f>
        <x:v>231.86</x:v>
      </x:c>
      <x:c r="F3151" s="8" t="n">
        <x:f>Source!F3145/100</x:f>
        <x:v>0</x:v>
      </x:c>
      <x:c r="G3151" s="8" t="n">
        <x:f>Source!G3145/100</x:f>
        <x:v>231.86</x:v>
      </x:c>
      <x:c r="H3151" s="8" t="n">
        <x:f>G3151-D3151</x:f>
        <x:v>15</x:v>
      </x:c>
      <x:c r="I3151" s="1" t="str">
        <x:f>IF(H3151&gt;0,"Overbilled","Shortfall")</x:f>
        <x:v>Overbilled</x:v>
      </x:c>
      <x:c r="J3151" s="7"/>
      <x:c r="K3151" s="7" t="str">
        <x:v>Open</x:v>
      </x:c>
      <x:c r="L3151" s="7"/>
    </x:row>
    <x:row r="3152" ht="21" customHeight="1">
      <x:c r="A3152" s="1" t="str">
        <x:f>Source!A3146</x:f>
        <x:v>C0003897</x:v>
      </x:c>
      <x:c r="B3152" s="1" t="str">
        <x:f>_xlfn.IFNA(VLOOKUP(Source!B3146,Advertisers!$A$5:$B$34,2,FALSE),"Missing advertiser")</x:f>
        <x:v>Synthetic advertiser 10</x:v>
      </x:c>
      <x:c r="C3152" s="1" t="n">
        <x:f>Source!C3146</x:f>
        <x:v>70</x:v>
      </x:c>
      <x:c r="D3152" s="8" t="n">
        <x:f>Source!D3146/100</x:f>
        <x:v>134.05</x:v>
      </x:c>
      <x:c r="E3152" s="8" t="n">
        <x:f>Source!E3146/100</x:f>
        <x:v>149.05</x:v>
      </x:c>
      <x:c r="F3152" s="8" t="n">
        <x:f>Source!F3146/100</x:f>
        <x:v>0</x:v>
      </x:c>
      <x:c r="G3152" s="8" t="n">
        <x:f>Source!G3146/100</x:f>
        <x:v>149.05</x:v>
      </x:c>
      <x:c r="H3152" s="8" t="n">
        <x:f>G3152-D3152</x:f>
        <x:v>15</x:v>
      </x:c>
      <x:c r="I3152" s="1" t="str">
        <x:f>IF(H3152&gt;0,"Overbilled","Shortfall")</x:f>
        <x:v>Overbilled</x:v>
      </x:c>
      <x:c r="J3152" s="7"/>
      <x:c r="K3152" s="7" t="str">
        <x:v>Open</x:v>
      </x:c>
      <x:c r="L3152" s="7"/>
    </x:row>
    <x:row r="3153" ht="21" customHeight="1">
      <x:c r="A3153" s="1" t="str">
        <x:f>Source!A3147</x:f>
        <x:v>C0014188</x:v>
      </x:c>
      <x:c r="B3153" s="1" t="str">
        <x:f>_xlfn.IFNA(VLOOKUP(Source!B3147,Advertisers!$A$5:$B$34,2,FALSE),"Missing advertiser")</x:f>
        <x:v>Synthetic advertiser 21</x:v>
      </x:c>
      <x:c r="C3153" s="1" t="n">
        <x:f>Source!C3147</x:f>
        <x:v>21</x:v>
      </x:c>
      <x:c r="D3153" s="8" t="n">
        <x:f>Source!D3147/100</x:f>
        <x:v>58.98</x:v>
      </x:c>
      <x:c r="E3153" s="8" t="n">
        <x:f>Source!E3147/100</x:f>
        <x:v>73.98</x:v>
      </x:c>
      <x:c r="F3153" s="8" t="n">
        <x:f>Source!F3147/100</x:f>
        <x:v>0</x:v>
      </x:c>
      <x:c r="G3153" s="8" t="n">
        <x:f>Source!G3147/100</x:f>
        <x:v>73.98</x:v>
      </x:c>
      <x:c r="H3153" s="8" t="n">
        <x:f>G3153-D3153</x:f>
        <x:v>15.000000000000007</x:v>
      </x:c>
      <x:c r="I3153" s="1" t="str">
        <x:f>IF(H3153&gt;0,"Overbilled","Shortfall")</x:f>
        <x:v>Overbilled</x:v>
      </x:c>
      <x:c r="J3153" s="7"/>
      <x:c r="K3153" s="7" t="str">
        <x:v>Open</x:v>
      </x:c>
      <x:c r="L3153" s="7"/>
    </x:row>
    <x:row r="3154" ht="21" customHeight="1">
      <x:c r="A3154" s="1" t="str">
        <x:f>Source!A3148</x:f>
        <x:v>C0014195</x:v>
      </x:c>
      <x:c r="B3154" s="1" t="str">
        <x:f>_xlfn.IFNA(VLOOKUP(Source!B3148,Advertisers!$A$5:$B$34,2,FALSE),"Missing advertiser")</x:f>
        <x:v>Synthetic advertiser 3</x:v>
      </x:c>
      <x:c r="C3154" s="1" t="n">
        <x:f>Source!C3148</x:f>
        <x:v>93</x:v>
      </x:c>
      <x:c r="D3154" s="8" t="n">
        <x:f>Source!D3148/100</x:f>
        <x:v>109.29</x:v>
      </x:c>
      <x:c r="E3154" s="8" t="n">
        <x:f>Source!E3148/100</x:f>
        <x:v>124.29</x:v>
      </x:c>
      <x:c r="F3154" s="8" t="n">
        <x:f>Source!F3148/100</x:f>
        <x:v>0</x:v>
      </x:c>
      <x:c r="G3154" s="8" t="n">
        <x:f>Source!G3148/100</x:f>
        <x:v>124.29</x:v>
      </x:c>
      <x:c r="H3154" s="8" t="n">
        <x:f>G3154-D3154</x:f>
        <x:v>15</x:v>
      </x:c>
      <x:c r="I3154" s="1" t="str">
        <x:f>IF(H3154&gt;0,"Overbilled","Shortfall")</x:f>
        <x:v>Overbilled</x:v>
      </x:c>
      <x:c r="J3154" s="7"/>
      <x:c r="K3154" s="7" t="str">
        <x:v>Open</x:v>
      </x:c>
      <x:c r="L3154" s="7"/>
    </x:row>
    <x:row r="3155" ht="21" customHeight="1">
      <x:c r="A3155" s="1" t="str">
        <x:f>Source!A3149</x:f>
        <x:v>C0014200</x:v>
      </x:c>
      <x:c r="B3155" s="1" t="str">
        <x:f>_xlfn.IFNA(VLOOKUP(Source!B3149,Advertisers!$A$5:$B$34,2,FALSE),"Missing advertiser")</x:f>
        <x:v>Synthetic advertiser 15</x:v>
      </x:c>
      <x:c r="C3155" s="1" t="n">
        <x:f>Source!C3149</x:f>
        <x:v>75</x:v>
      </x:c>
      <x:c r="D3155" s="8" t="n">
        <x:f>Source!D3149/100</x:f>
        <x:v>202.54</x:v>
      </x:c>
      <x:c r="E3155" s="8" t="n">
        <x:f>Source!E3149/100</x:f>
        <x:v>217.54</x:v>
      </x:c>
      <x:c r="F3155" s="8" t="n">
        <x:f>Source!F3149/100</x:f>
        <x:v>0</x:v>
      </x:c>
      <x:c r="G3155" s="8" t="n">
        <x:f>Source!G3149/100</x:f>
        <x:v>217.54</x:v>
      </x:c>
      <x:c r="H3155" s="8" t="n">
        <x:f>G3155-D3155</x:f>
        <x:v>15</x:v>
      </x:c>
      <x:c r="I3155" s="1" t="str">
        <x:f>IF(H3155&gt;0,"Overbilled","Shortfall")</x:f>
        <x:v>Overbilled</x:v>
      </x:c>
      <x:c r="J3155" s="7"/>
      <x:c r="K3155" s="7" t="str">
        <x:v>Open</x:v>
      </x:c>
      <x:c r="L3155" s="7"/>
    </x:row>
    <x:row r="3156" ht="21" customHeight="1">
      <x:c r="A3156" s="1" t="str">
        <x:f>Source!A3150</x:f>
        <x:v>C0014220</x:v>
      </x:c>
      <x:c r="B3156" s="1" t="str">
        <x:f>_xlfn.IFNA(VLOOKUP(Source!B3150,Advertisers!$A$5:$B$34,2,FALSE),"Missing advertiser")</x:f>
        <x:v>Synthetic advertiser 19</x:v>
      </x:c>
      <x:c r="C3156" s="1" t="n">
        <x:f>Source!C3150</x:f>
        <x:v>109</x:v>
      </x:c>
      <x:c r="D3156" s="8" t="n">
        <x:f>Source!D3150/100</x:f>
        <x:v>158.47</x:v>
      </x:c>
      <x:c r="E3156" s="8" t="n">
        <x:f>Source!E3150/100</x:f>
        <x:v>173.47</x:v>
      </x:c>
      <x:c r="F3156" s="8" t="n">
        <x:f>Source!F3150/100</x:f>
        <x:v>0</x:v>
      </x:c>
      <x:c r="G3156" s="8" t="n">
        <x:f>Source!G3150/100</x:f>
        <x:v>173.47</x:v>
      </x:c>
      <x:c r="H3156" s="8" t="n">
        <x:f>G3156-D3156</x:f>
        <x:v>15</x:v>
      </x:c>
      <x:c r="I3156" s="1" t="str">
        <x:f>IF(H3156&gt;0,"Overbilled","Shortfall")</x:f>
        <x:v>Overbilled</x:v>
      </x:c>
      <x:c r="J3156" s="7"/>
      <x:c r="K3156" s="7" t="str">
        <x:v>Open</x:v>
      </x:c>
      <x:c r="L3156" s="7"/>
    </x:row>
    <x:row r="3157" ht="21" customHeight="1">
      <x:c r="A3157" s="1" t="str">
        <x:f>Source!A3151</x:f>
        <x:v>C0014254</x:v>
      </x:c>
      <x:c r="B3157" s="1" t="str">
        <x:f>_xlfn.IFNA(VLOOKUP(Source!B3151,Advertisers!$A$5:$B$34,2,FALSE),"Missing advertiser")</x:f>
        <x:v>Synthetic advertiser 2</x:v>
      </x:c>
      <x:c r="C3157" s="1" t="n">
        <x:f>Source!C3151</x:f>
        <x:v>62</x:v>
      </x:c>
      <x:c r="D3157" s="8" t="n">
        <x:f>Source!D3151/100</x:f>
        <x:v>248.9</x:v>
      </x:c>
      <x:c r="E3157" s="8" t="n">
        <x:f>Source!E3151/100</x:f>
        <x:v>263.9</x:v>
      </x:c>
      <x:c r="F3157" s="8" t="n">
        <x:f>Source!F3151/100</x:f>
        <x:v>0</x:v>
      </x:c>
      <x:c r="G3157" s="8" t="n">
        <x:f>Source!G3151/100</x:f>
        <x:v>263.9</x:v>
      </x:c>
      <x:c r="H3157" s="8" t="n">
        <x:f>G3157-D3157</x:f>
        <x:v>14.999999999999972</x:v>
      </x:c>
      <x:c r="I3157" s="1" t="str">
        <x:f>IF(H3157&gt;0,"Overbilled","Shortfall")</x:f>
        <x:v>Overbilled</x:v>
      </x:c>
      <x:c r="J3157" s="7"/>
      <x:c r="K3157" s="7" t="str">
        <x:v>Open</x:v>
      </x:c>
      <x:c r="L3157" s="7"/>
    </x:row>
    <x:row r="3158" ht="21" customHeight="1">
      <x:c r="A3158" s="1" t="str">
        <x:f>Source!A3152</x:f>
        <x:v>C0014109</x:v>
      </x:c>
      <x:c r="B3158" s="1" t="str">
        <x:f>_xlfn.IFNA(VLOOKUP(Source!B3152,Advertisers!$A$5:$B$34,2,FALSE),"Missing advertiser")</x:f>
        <x:v>Synthetic advertiser 20</x:v>
      </x:c>
      <x:c r="C3158" s="1" t="n">
        <x:f>Source!C3152</x:f>
        <x:v>110</x:v>
      </x:c>
      <x:c r="D3158" s="8" t="n">
        <x:f>Source!D3152/100</x:f>
        <x:v>197.03</x:v>
      </x:c>
      <x:c r="E3158" s="8" t="n">
        <x:f>Source!E3152/100</x:f>
        <x:v>212.03</x:v>
      </x:c>
      <x:c r="F3158" s="8" t="n">
        <x:f>Source!F3152/100</x:f>
        <x:v>0</x:v>
      </x:c>
      <x:c r="G3158" s="8" t="n">
        <x:f>Source!G3152/100</x:f>
        <x:v>212.03</x:v>
      </x:c>
      <x:c r="H3158" s="8" t="n">
        <x:f>G3158-D3158</x:f>
        <x:v>15</x:v>
      </x:c>
      <x:c r="I3158" s="1" t="str">
        <x:f>IF(H3158&gt;0,"Overbilled","Shortfall")</x:f>
        <x:v>Overbilled</x:v>
      </x:c>
      <x:c r="J3158" s="7"/>
      <x:c r="K3158" s="7" t="str">
        <x:v>Open</x:v>
      </x:c>
      <x:c r="L3158" s="7"/>
    </x:row>
  </x:sheetData>
  <x:dataValidations count="1">
    <x:dataValidation type="list" sqref="K11:K3158">
      <x:formula1>"Open,Investigating,Resolved"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17d396513a46f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2" t="str">
        <x:v>Commitment billing source</x:v>
      </x:c>
      <x:c r="B2" s="1"/>
      <x:c r="C2" s="1"/>
      <x:c r="D2" s="1"/>
      <x:c r="E2" s="1"/>
      <x:c r="F2" s="1"/>
      <x:c r="G2" s="1"/>
      <x:c r="H2" s="1"/>
    </x:row>
    <x:row r="3" ht="21" customHeight="1">
      <x:c r="A3" s="1" t="str">
        <x:v>Source: reconciled commitment fact, synthetic generation run. All money fields below are USD cents.</x:v>
      </x:c>
      <x:c r="B3" s="1"/>
      <x:c r="C3" s="1"/>
      <x:c r="D3" s="1"/>
      <x:c r="E3" s="1"/>
      <x:c r="F3" s="1"/>
      <x:c r="G3" s="1"/>
      <x:c r="H3" s="1"/>
    </x:row>
    <x:row r="4" ht="25" customHeight="1">
      <x:c r="A4" s="5" t="str">
        <x:v>Commitment</x:v>
      </x:c>
      <x:c r="B4" s="5" t="str">
        <x:v>Advertiser ID</x:v>
      </x:c>
      <x:c r="C4" s="5" t="str">
        <x:v>Campaign ID</x:v>
      </x:c>
      <x:c r="D4" s="5" t="str">
        <x:v>Expected cents</x:v>
      </x:c>
      <x:c r="E4" s="5" t="str">
        <x:v>Gross cents</x:v>
      </x:c>
      <x:c r="F4" s="5" t="str">
        <x:v>Credit cents</x:v>
      </x:c>
      <x:c r="G4" s="5" t="str">
        <x:v>Net cents</x:v>
      </x:c>
      <x:c r="H4" s="5" t="str">
        <x:v>Difference cents</x:v>
      </x:c>
    </x:row>
    <x:row r="5" ht="21" customHeight="1">
      <x:c r="A5" s="1" t="str">
        <x:v>C0016282</x:v>
      </x:c>
      <x:c r="B5" s="1" t="n">
        <x:v>4</x:v>
      </x:c>
      <x:c r="C5" s="1" t="n">
        <x:v>64</x:v>
      </x:c>
      <x:c r="D5" s="6" t="n">
        <x:v>49614</x:v>
      </x:c>
      <x:c r="E5" s="6" t="n">
        <x:v>0</x:v>
      </x:c>
      <x:c r="F5" s="6" t="n">
        <x:v>0</x:v>
      </x:c>
      <x:c r="G5" s="6" t="n">
        <x:v>0</x:v>
      </x:c>
      <x:c r="H5" s="6" t="n">
        <x:v>-49614</x:v>
      </x:c>
    </x:row>
    <x:row r="6" ht="21" customHeight="1">
      <x:c r="A6" s="1" t="str">
        <x:v>C0013661</x:v>
      </x:c>
      <x:c r="B6" s="1" t="n">
        <x:v>4</x:v>
      </x:c>
      <x:c r="C6" s="1" t="n">
        <x:v>64</x:v>
      </x:c>
      <x:c r="D6" s="6" t="n">
        <x:v>49614</x:v>
      </x:c>
      <x:c r="E6" s="6" t="n">
        <x:v>0</x:v>
      </x:c>
      <x:c r="F6" s="6" t="n">
        <x:v>0</x:v>
      </x:c>
      <x:c r="G6" s="6" t="n">
        <x:v>0</x:v>
      </x:c>
      <x:c r="H6" s="6" t="n">
        <x:v>-49614</x:v>
      </x:c>
    </x:row>
    <x:row r="7" ht="21" customHeight="1">
      <x:c r="A7" s="1" t="str">
        <x:v>C0012548</x:v>
      </x:c>
      <x:c r="B7" s="1" t="n">
        <x:v>4</x:v>
      </x:c>
      <x:c r="C7" s="1" t="n">
        <x:v>64</x:v>
      </x:c>
      <x:c r="D7" s="6" t="n">
        <x:v>49614</x:v>
      </x:c>
      <x:c r="E7" s="6" t="n">
        <x:v>0</x:v>
      </x:c>
      <x:c r="F7" s="6" t="n">
        <x:v>0</x:v>
      </x:c>
      <x:c r="G7" s="6" t="n">
        <x:v>0</x:v>
      </x:c>
      <x:c r="H7" s="6" t="n">
        <x:v>-49614</x:v>
      </x:c>
    </x:row>
    <x:row r="8" ht="21" customHeight="1">
      <x:c r="A8" s="1" t="str">
        <x:v>C0003724</x:v>
      </x:c>
      <x:c r="B8" s="1" t="n">
        <x:v>4</x:v>
      </x:c>
      <x:c r="C8" s="1" t="n">
        <x:v>64</x:v>
      </x:c>
      <x:c r="D8" s="6" t="n">
        <x:v>49614</x:v>
      </x:c>
      <x:c r="E8" s="6" t="n">
        <x:v>99228</x:v>
      </x:c>
      <x:c r="F8" s="6" t="n">
        <x:v>0</x:v>
      </x:c>
      <x:c r="G8" s="6" t="n">
        <x:v>99228</x:v>
      </x:c>
      <x:c r="H8" s="6" t="n">
        <x:v>49614</x:v>
      </x:c>
    </x:row>
    <x:row r="9" ht="21" customHeight="1">
      <x:c r="A9" s="1" t="str">
        <x:v>C0011736</x:v>
      </x:c>
      <x:c r="B9" s="1" t="n">
        <x:v>4</x:v>
      </x:c>
      <x:c r="C9" s="1" t="n">
        <x:v>64</x:v>
      </x:c>
      <x:c r="D9" s="6" t="n">
        <x:v>49614</x:v>
      </x:c>
      <x:c r="E9" s="6" t="n">
        <x:v>99228</x:v>
      </x:c>
      <x:c r="F9" s="6" t="n">
        <x:v>0</x:v>
      </x:c>
      <x:c r="G9" s="6" t="n">
        <x:v>99228</x:v>
      </x:c>
      <x:c r="H9" s="6" t="n">
        <x:v>49614</x:v>
      </x:c>
    </x:row>
    <x:row r="10" ht="21" customHeight="1">
      <x:c r="A10" s="1" t="str">
        <x:v>C0009556</x:v>
      </x:c>
      <x:c r="B10" s="1" t="n">
        <x:v>11</x:v>
      </x:c>
      <x:c r="C10" s="1" t="n">
        <x:v>101</x:v>
      </x:c>
      <x:c r="D10" s="6" t="n">
        <x:v>49342</x:v>
      </x:c>
      <x:c r="E10" s="6" t="n">
        <x:v>98684</x:v>
      </x:c>
      <x:c r="F10" s="6" t="n">
        <x:v>0</x:v>
      </x:c>
      <x:c r="G10" s="6" t="n">
        <x:v>98684</x:v>
      </x:c>
      <x:c r="H10" s="6" t="n">
        <x:v>49342</x:v>
      </x:c>
    </x:row>
    <x:row r="11" ht="21" customHeight="1">
      <x:c r="A11" s="1" t="str">
        <x:v>C0008612</x:v>
      </x:c>
      <x:c r="B11" s="1" t="n">
        <x:v>11</x:v>
      </x:c>
      <x:c r="C11" s="1" t="n">
        <x:v>101</x:v>
      </x:c>
      <x:c r="D11" s="6" t="n">
        <x:v>49342</x:v>
      </x:c>
      <x:c r="E11" s="6" t="n">
        <x:v>0</x:v>
      </x:c>
      <x:c r="F11" s="6" t="n">
        <x:v>0</x:v>
      </x:c>
      <x:c r="G11" s="6" t="n">
        <x:v>0</x:v>
      </x:c>
      <x:c r="H11" s="6" t="n">
        <x:v>-49342</x:v>
      </x:c>
    </x:row>
    <x:row r="12" ht="21" customHeight="1">
      <x:c r="A12" s="1" t="str">
        <x:v>C0004051</x:v>
      </x:c>
      <x:c r="B12" s="1" t="n">
        <x:v>11</x:v>
      </x:c>
      <x:c r="C12" s="1" t="n">
        <x:v>101</x:v>
      </x:c>
      <x:c r="D12" s="6" t="n">
        <x:v>49342</x:v>
      </x:c>
      <x:c r="E12" s="6" t="n">
        <x:v>98684</x:v>
      </x:c>
      <x:c r="F12" s="6" t="n">
        <x:v>0</x:v>
      </x:c>
      <x:c r="G12" s="6" t="n">
        <x:v>98684</x:v>
      </x:c>
      <x:c r="H12" s="6" t="n">
        <x:v>49342</x:v>
      </x:c>
    </x:row>
    <x:row r="13" ht="21" customHeight="1">
      <x:c r="A13" s="1" t="str">
        <x:v>C0016440</x:v>
      </x:c>
      <x:c r="B13" s="1" t="n">
        <x:v>11</x:v>
      </x:c>
      <x:c r="C13" s="1" t="n">
        <x:v>101</x:v>
      </x:c>
      <x:c r="D13" s="6" t="n">
        <x:v>49342</x:v>
      </x:c>
      <x:c r="E13" s="6" t="n">
        <x:v>98684</x:v>
      </x:c>
      <x:c r="F13" s="6" t="n">
        <x:v>0</x:v>
      </x:c>
      <x:c r="G13" s="6" t="n">
        <x:v>98684</x:v>
      </x:c>
      <x:c r="H13" s="6" t="n">
        <x:v>49342</x:v>
      </x:c>
    </x:row>
    <x:row r="14" ht="21" customHeight="1">
      <x:c r="A14" s="1" t="str">
        <x:v>C0014661</x:v>
      </x:c>
      <x:c r="B14" s="1" t="n">
        <x:v>11</x:v>
      </x:c>
      <x:c r="C14" s="1" t="n">
        <x:v>101</x:v>
      </x:c>
      <x:c r="D14" s="6" t="n">
        <x:v>49342</x:v>
      </x:c>
      <x:c r="E14" s="6" t="n">
        <x:v>98684</x:v>
      </x:c>
      <x:c r="F14" s="6" t="n">
        <x:v>0</x:v>
      </x:c>
      <x:c r="G14" s="6" t="n">
        <x:v>98684</x:v>
      </x:c>
      <x:c r="H14" s="6" t="n">
        <x:v>49342</x:v>
      </x:c>
    </x:row>
    <x:row r="15" ht="21" customHeight="1">
      <x:c r="A15" s="1" t="str">
        <x:v>C0005124</x:v>
      </x:c>
      <x:c r="B15" s="1" t="n">
        <x:v>11</x:v>
      </x:c>
      <x:c r="C15" s="1" t="n">
        <x:v>101</x:v>
      </x:c>
      <x:c r="D15" s="6" t="n">
        <x:v>49342</x:v>
      </x:c>
      <x:c r="E15" s="6" t="n">
        <x:v>98684</x:v>
      </x:c>
      <x:c r="F15" s="6" t="n">
        <x:v>0</x:v>
      </x:c>
      <x:c r="G15" s="6" t="n">
        <x:v>98684</x:v>
      </x:c>
      <x:c r="H15" s="6" t="n">
        <x:v>49342</x:v>
      </x:c>
    </x:row>
    <x:row r="16" ht="21" customHeight="1">
      <x:c r="A16" s="1" t="str">
        <x:v>C0008849</x:v>
      </x:c>
      <x:c r="B16" s="1" t="n">
        <x:v>11</x:v>
      </x:c>
      <x:c r="C16" s="1" t="n">
        <x:v>101</x:v>
      </x:c>
      <x:c r="D16" s="6" t="n">
        <x:v>49342</x:v>
      </x:c>
      <x:c r="E16" s="6" t="n">
        <x:v>0</x:v>
      </x:c>
      <x:c r="F16" s="6" t="n">
        <x:v>0</x:v>
      </x:c>
      <x:c r="G16" s="6" t="n">
        <x:v>0</x:v>
      </x:c>
      <x:c r="H16" s="6" t="n">
        <x:v>-49342</x:v>
      </x:c>
    </x:row>
    <x:row r="17" ht="21" customHeight="1">
      <x:c r="A17" s="1" t="str">
        <x:v>C0013055</x:v>
      </x:c>
      <x:c r="B17" s="1" t="n">
        <x:v>11</x:v>
      </x:c>
      <x:c r="C17" s="1" t="n">
        <x:v>101</x:v>
      </x:c>
      <x:c r="D17" s="6" t="n">
        <x:v>49342</x:v>
      </x:c>
      <x:c r="E17" s="6" t="n">
        <x:v>0</x:v>
      </x:c>
      <x:c r="F17" s="6" t="n">
        <x:v>0</x:v>
      </x:c>
      <x:c r="G17" s="6" t="n">
        <x:v>0</x:v>
      </x:c>
      <x:c r="H17" s="6" t="n">
        <x:v>-49342</x:v>
      </x:c>
    </x:row>
    <x:row r="18" ht="21" customHeight="1">
      <x:c r="A18" s="1" t="str">
        <x:v>C0003016</x:v>
      </x:c>
      <x:c r="B18" s="1" t="n">
        <x:v>11</x:v>
      </x:c>
      <x:c r="C18" s="1" t="n">
        <x:v>101</x:v>
      </x:c>
      <x:c r="D18" s="6" t="n">
        <x:v>49342</x:v>
      </x:c>
      <x:c r="E18" s="6" t="n">
        <x:v>0</x:v>
      </x:c>
      <x:c r="F18" s="6" t="n">
        <x:v>0</x:v>
      </x:c>
      <x:c r="G18" s="6" t="n">
        <x:v>0</x:v>
      </x:c>
      <x:c r="H18" s="6" t="n">
        <x:v>-49342</x:v>
      </x:c>
    </x:row>
    <x:row r="19" ht="21" customHeight="1">
      <x:c r="A19" s="1" t="str">
        <x:v>C0017903</x:v>
      </x:c>
      <x:c r="B19" s="1" t="n">
        <x:v>11</x:v>
      </x:c>
      <x:c r="C19" s="1" t="n">
        <x:v>101</x:v>
      </x:c>
      <x:c r="D19" s="6" t="n">
        <x:v>49342</x:v>
      </x:c>
      <x:c r="E19" s="6" t="n">
        <x:v>0</x:v>
      </x:c>
      <x:c r="F19" s="6" t="n">
        <x:v>0</x:v>
      </x:c>
      <x:c r="G19" s="6" t="n">
        <x:v>0</x:v>
      </x:c>
      <x:c r="H19" s="6" t="n">
        <x:v>-49342</x:v>
      </x:c>
    </x:row>
    <x:row r="20" ht="21" customHeight="1">
      <x:c r="A20" s="1" t="str">
        <x:v>C0006506</x:v>
      </x:c>
      <x:c r="B20" s="1" t="n">
        <x:v>11</x:v>
      </x:c>
      <x:c r="C20" s="1" t="n">
        <x:v>101</x:v>
      </x:c>
      <x:c r="D20" s="6" t="n">
        <x:v>49342</x:v>
      </x:c>
      <x:c r="E20" s="6" t="n">
        <x:v>98684</x:v>
      </x:c>
      <x:c r="F20" s="6" t="n">
        <x:v>0</x:v>
      </x:c>
      <x:c r="G20" s="6" t="n">
        <x:v>98684</x:v>
      </x:c>
      <x:c r="H20" s="6" t="n">
        <x:v>49342</x:v>
      </x:c>
    </x:row>
    <x:row r="21" ht="21" customHeight="1">
      <x:c r="A21" s="1" t="str">
        <x:v>C0006708</x:v>
      </x:c>
      <x:c r="B21" s="1" t="n">
        <x:v>11</x:v>
      </x:c>
      <x:c r="C21" s="1" t="n">
        <x:v>101</x:v>
      </x:c>
      <x:c r="D21" s="6" t="n">
        <x:v>49342</x:v>
      </x:c>
      <x:c r="E21" s="6" t="n">
        <x:v>98684</x:v>
      </x:c>
      <x:c r="F21" s="6" t="n">
        <x:v>0</x:v>
      </x:c>
      <x:c r="G21" s="6" t="n">
        <x:v>98684</x:v>
      </x:c>
      <x:c r="H21" s="6" t="n">
        <x:v>49342</x:v>
      </x:c>
    </x:row>
    <x:row r="22" ht="21" customHeight="1">
      <x:c r="A22" s="1" t="str">
        <x:v>C0007477</x:v>
      </x:c>
      <x:c r="B22" s="1" t="n">
        <x:v>11</x:v>
      </x:c>
      <x:c r="C22" s="1" t="n">
        <x:v>101</x:v>
      </x:c>
      <x:c r="D22" s="6" t="n">
        <x:v>49342</x:v>
      </x:c>
      <x:c r="E22" s="6" t="n">
        <x:v>0</x:v>
      </x:c>
      <x:c r="F22" s="6" t="n">
        <x:v>0</x:v>
      </x:c>
      <x:c r="G22" s="6" t="n">
        <x:v>0</x:v>
      </x:c>
      <x:c r="H22" s="6" t="n">
        <x:v>-49342</x:v>
      </x:c>
    </x:row>
    <x:row r="23" ht="21" customHeight="1">
      <x:c r="A23" s="1" t="str">
        <x:v>C0004148</x:v>
      </x:c>
      <x:c r="B23" s="1" t="n">
        <x:v>21</x:v>
      </x:c>
      <x:c r="C23" s="1" t="n">
        <x:v>81</x:v>
      </x:c>
      <x:c r="D23" s="6" t="n">
        <x:v>48494</x:v>
      </x:c>
      <x:c r="E23" s="6" t="n">
        <x:v>96988</x:v>
      </x:c>
      <x:c r="F23" s="6" t="n">
        <x:v>0</x:v>
      </x:c>
      <x:c r="G23" s="6" t="n">
        <x:v>96988</x:v>
      </x:c>
      <x:c r="H23" s="6" t="n">
        <x:v>48494</x:v>
      </x:c>
    </x:row>
    <x:row r="24" ht="21" customHeight="1">
      <x:c r="A24" s="1" t="str">
        <x:v>C0013696</x:v>
      </x:c>
      <x:c r="B24" s="1" t="n">
        <x:v>21</x:v>
      </x:c>
      <x:c r="C24" s="1" t="n">
        <x:v>81</x:v>
      </x:c>
      <x:c r="D24" s="6" t="n">
        <x:v>48494</x:v>
      </x:c>
      <x:c r="E24" s="6" t="n">
        <x:v>0</x:v>
      </x:c>
      <x:c r="F24" s="6" t="n">
        <x:v>0</x:v>
      </x:c>
      <x:c r="G24" s="6" t="n">
        <x:v>0</x:v>
      </x:c>
      <x:c r="H24" s="6" t="n">
        <x:v>-48494</x:v>
      </x:c>
    </x:row>
    <x:row r="25" ht="21" customHeight="1">
      <x:c r="A25" s="1" t="str">
        <x:v>C0002133</x:v>
      </x:c>
      <x:c r="B25" s="1" t="n">
        <x:v>21</x:v>
      </x:c>
      <x:c r="C25" s="1" t="n">
        <x:v>81</x:v>
      </x:c>
      <x:c r="D25" s="6" t="n">
        <x:v>48494</x:v>
      </x:c>
      <x:c r="E25" s="6" t="n">
        <x:v>0</x:v>
      </x:c>
      <x:c r="F25" s="6" t="n">
        <x:v>0</x:v>
      </x:c>
      <x:c r="G25" s="6" t="n">
        <x:v>0</x:v>
      </x:c>
      <x:c r="H25" s="6" t="n">
        <x:v>-48494</x:v>
      </x:c>
    </x:row>
    <x:row r="26" ht="21" customHeight="1">
      <x:c r="A26" s="1" t="str">
        <x:v>C0011075</x:v>
      </x:c>
      <x:c r="B26" s="1" t="n">
        <x:v>21</x:v>
      </x:c>
      <x:c r="C26" s="1" t="n">
        <x:v>81</x:v>
      </x:c>
      <x:c r="D26" s="6" t="n">
        <x:v>48494</x:v>
      </x:c>
      <x:c r="E26" s="6" t="n">
        <x:v>0</x:v>
      </x:c>
      <x:c r="F26" s="6" t="n">
        <x:v>0</x:v>
      </x:c>
      <x:c r="G26" s="6" t="n">
        <x:v>0</x:v>
      </x:c>
      <x:c r="H26" s="6" t="n">
        <x:v>-48494</x:v>
      </x:c>
    </x:row>
    <x:row r="27" ht="21" customHeight="1">
      <x:c r="A27" s="1" t="str">
        <x:v>C0004749</x:v>
      </x:c>
      <x:c r="B27" s="1" t="n">
        <x:v>21</x:v>
      </x:c>
      <x:c r="C27" s="1" t="n">
        <x:v>81</x:v>
      </x:c>
      <x:c r="D27" s="6" t="n">
        <x:v>48494</x:v>
      </x:c>
      <x:c r="E27" s="6" t="n">
        <x:v>96988</x:v>
      </x:c>
      <x:c r="F27" s="6" t="n">
        <x:v>0</x:v>
      </x:c>
      <x:c r="G27" s="6" t="n">
        <x:v>96988</x:v>
      </x:c>
      <x:c r="H27" s="6" t="n">
        <x:v>48494</x:v>
      </x:c>
    </x:row>
    <x:row r="28" ht="21" customHeight="1">
      <x:c r="A28" s="1" t="str">
        <x:v>C0017628</x:v>
      </x:c>
      <x:c r="B28" s="1" t="n">
        <x:v>21</x:v>
      </x:c>
      <x:c r="C28" s="1" t="n">
        <x:v>81</x:v>
      </x:c>
      <x:c r="D28" s="6" t="n">
        <x:v>48494</x:v>
      </x:c>
      <x:c r="E28" s="6" t="n">
        <x:v>0</x:v>
      </x:c>
      <x:c r="F28" s="6" t="n">
        <x:v>0</x:v>
      </x:c>
      <x:c r="G28" s="6" t="n">
        <x:v>0</x:v>
      </x:c>
      <x:c r="H28" s="6" t="n">
        <x:v>-48494</x:v>
      </x:c>
    </x:row>
    <x:row r="29" ht="21" customHeight="1">
      <x:c r="A29" s="1" t="str">
        <x:v>C0006604</x:v>
      </x:c>
      <x:c r="B29" s="1" t="n">
        <x:v>4</x:v>
      </x:c>
      <x:c r="C29" s="1" t="n">
        <x:v>64</x:v>
      </x:c>
      <x:c r="D29" s="6" t="n">
        <x:v>48322</x:v>
      </x:c>
      <x:c r="E29" s="6" t="n">
        <x:v>0</x:v>
      </x:c>
      <x:c r="F29" s="6" t="n">
        <x:v>0</x:v>
      </x:c>
      <x:c r="G29" s="6" t="n">
        <x:v>0</x:v>
      </x:c>
      <x:c r="H29" s="6" t="n">
        <x:v>-48322</x:v>
      </x:c>
    </x:row>
    <x:row r="30" ht="21" customHeight="1">
      <x:c r="A30" s="1" t="str">
        <x:v>C0013672</x:v>
      </x:c>
      <x:c r="B30" s="1" t="n">
        <x:v>4</x:v>
      </x:c>
      <x:c r="C30" s="1" t="n">
        <x:v>64</x:v>
      </x:c>
      <x:c r="D30" s="6" t="n">
        <x:v>48322</x:v>
      </x:c>
      <x:c r="E30" s="6" t="n">
        <x:v>96644</x:v>
      </x:c>
      <x:c r="F30" s="6" t="n">
        <x:v>0</x:v>
      </x:c>
      <x:c r="G30" s="6" t="n">
        <x:v>96644</x:v>
      </x:c>
      <x:c r="H30" s="6" t="n">
        <x:v>48322</x:v>
      </x:c>
    </x:row>
    <x:row r="31" ht="21" customHeight="1">
      <x:c r="A31" s="1" t="str">
        <x:v>C0009646</x:v>
      </x:c>
      <x:c r="B31" s="1" t="n">
        <x:v>4</x:v>
      </x:c>
      <x:c r="C31" s="1" t="n">
        <x:v>64</x:v>
      </x:c>
      <x:c r="D31" s="6" t="n">
        <x:v>48322</x:v>
      </x:c>
      <x:c r="E31" s="6" t="n">
        <x:v>96644</x:v>
      </x:c>
      <x:c r="F31" s="6" t="n">
        <x:v>0</x:v>
      </x:c>
      <x:c r="G31" s="6" t="n">
        <x:v>96644</x:v>
      </x:c>
      <x:c r="H31" s="6" t="n">
        <x:v>48322</x:v>
      </x:c>
    </x:row>
    <x:row r="32" ht="21" customHeight="1">
      <x:c r="A32" s="1" t="str">
        <x:v>C0007824</x:v>
      </x:c>
      <x:c r="B32" s="1" t="n">
        <x:v>4</x:v>
      </x:c>
      <x:c r="C32" s="1" t="n">
        <x:v>64</x:v>
      </x:c>
      <x:c r="D32" s="6" t="n">
        <x:v>48322</x:v>
      </x:c>
      <x:c r="E32" s="6" t="n">
        <x:v>96644</x:v>
      </x:c>
      <x:c r="F32" s="6" t="n">
        <x:v>0</x:v>
      </x:c>
      <x:c r="G32" s="6" t="n">
        <x:v>96644</x:v>
      </x:c>
      <x:c r="H32" s="6" t="n">
        <x:v>48322</x:v>
      </x:c>
    </x:row>
    <x:row r="33" ht="21" customHeight="1">
      <x:c r="A33" s="1" t="str">
        <x:v>C0015344</x:v>
      </x:c>
      <x:c r="B33" s="1" t="n">
        <x:v>4</x:v>
      </x:c>
      <x:c r="C33" s="1" t="n">
        <x:v>64</x:v>
      </x:c>
      <x:c r="D33" s="6" t="n">
        <x:v>48322</x:v>
      </x:c>
      <x:c r="E33" s="6" t="n">
        <x:v>96644</x:v>
      </x:c>
      <x:c r="F33" s="6" t="n">
        <x:v>0</x:v>
      </x:c>
      <x:c r="G33" s="6" t="n">
        <x:v>96644</x:v>
      </x:c>
      <x:c r="H33" s="6" t="n">
        <x:v>48322</x:v>
      </x:c>
    </x:row>
    <x:row r="34" ht="21" customHeight="1">
      <x:c r="A34" s="1" t="str">
        <x:v>C0006466</x:v>
      </x:c>
      <x:c r="B34" s="1" t="n">
        <x:v>21</x:v>
      </x:c>
      <x:c r="C34" s="1" t="n">
        <x:v>51</x:v>
      </x:c>
      <x:c r="D34" s="6" t="n">
        <x:v>47112</x:v>
      </x:c>
      <x:c r="E34" s="6" t="n">
        <x:v>94224</x:v>
      </x:c>
      <x:c r="F34" s="6" t="n">
        <x:v>0</x:v>
      </x:c>
      <x:c r="G34" s="6" t="n">
        <x:v>94224</x:v>
      </x:c>
      <x:c r="H34" s="6" t="n">
        <x:v>47112</x:v>
      </x:c>
    </x:row>
    <x:row r="35" ht="21" customHeight="1">
      <x:c r="A35" s="1" t="str">
        <x:v>C0009690</x:v>
      </x:c>
      <x:c r="B35" s="1" t="n">
        <x:v>21</x:v>
      </x:c>
      <x:c r="C35" s="1" t="n">
        <x:v>51</x:v>
      </x:c>
      <x:c r="D35" s="6" t="n">
        <x:v>0</x:v>
      </x:c>
      <x:c r="E35" s="6" t="n">
        <x:v>47112</x:v>
      </x:c>
      <x:c r="F35" s="6" t="n">
        <x:v>0</x:v>
      </x:c>
      <x:c r="G35" s="6" t="n">
        <x:v>47112</x:v>
      </x:c>
      <x:c r="H35" s="6" t="n">
        <x:v>47112</x:v>
      </x:c>
    </x:row>
    <x:row r="36" ht="21" customHeight="1">
      <x:c r="A36" s="1" t="str">
        <x:v>C0005652</x:v>
      </x:c>
      <x:c r="B36" s="1" t="n">
        <x:v>21</x:v>
      </x:c>
      <x:c r="C36" s="1" t="n">
        <x:v>51</x:v>
      </x:c>
      <x:c r="D36" s="6" t="n">
        <x:v>47112</x:v>
      </x:c>
      <x:c r="E36" s="6" t="n">
        <x:v>94224</x:v>
      </x:c>
      <x:c r="F36" s="6" t="n">
        <x:v>0</x:v>
      </x:c>
      <x:c r="G36" s="6" t="n">
        <x:v>94224</x:v>
      </x:c>
      <x:c r="H36" s="6" t="n">
        <x:v>47112</x:v>
      </x:c>
    </x:row>
    <x:row r="37" ht="21" customHeight="1">
      <x:c r="A37" s="1" t="str">
        <x:v>C0015194</x:v>
      </x:c>
      <x:c r="B37" s="1" t="n">
        <x:v>21</x:v>
      </x:c>
      <x:c r="C37" s="1" t="n">
        <x:v>51</x:v>
      </x:c>
      <x:c r="D37" s="6" t="n">
        <x:v>47112</x:v>
      </x:c>
      <x:c r="E37" s="6" t="n">
        <x:v>0</x:v>
      </x:c>
      <x:c r="F37" s="6" t="n">
        <x:v>0</x:v>
      </x:c>
      <x:c r="G37" s="6" t="n">
        <x:v>0</x:v>
      </x:c>
      <x:c r="H37" s="6" t="n">
        <x:v>-47112</x:v>
      </x:c>
    </x:row>
    <x:row r="38" ht="21" customHeight="1">
      <x:c r="A38" s="1" t="str">
        <x:v>C0013625</x:v>
      </x:c>
      <x:c r="B38" s="1" t="n">
        <x:v>21</x:v>
      </x:c>
      <x:c r="C38" s="1" t="n">
        <x:v>51</x:v>
      </x:c>
      <x:c r="D38" s="6" t="n">
        <x:v>47112</x:v>
      </x:c>
      <x:c r="E38" s="6" t="n">
        <x:v>94224</x:v>
      </x:c>
      <x:c r="F38" s="6" t="n">
        <x:v>0</x:v>
      </x:c>
      <x:c r="G38" s="6" t="n">
        <x:v>94224</x:v>
      </x:c>
      <x:c r="H38" s="6" t="n">
        <x:v>47112</x:v>
      </x:c>
    </x:row>
    <x:row r="39" ht="21" customHeight="1">
      <x:c r="A39" s="1" t="str">
        <x:v>C0001282</x:v>
      </x:c>
      <x:c r="B39" s="1" t="n">
        <x:v>21</x:v>
      </x:c>
      <x:c r="C39" s="1" t="n">
        <x:v>51</x:v>
      </x:c>
      <x:c r="D39" s="6" t="n">
        <x:v>47112</x:v>
      </x:c>
      <x:c r="E39" s="6" t="n">
        <x:v>0</x:v>
      </x:c>
      <x:c r="F39" s="6" t="n">
        <x:v>0</x:v>
      </x:c>
      <x:c r="G39" s="6" t="n">
        <x:v>0</x:v>
      </x:c>
      <x:c r="H39" s="6" t="n">
        <x:v>-47112</x:v>
      </x:c>
    </x:row>
    <x:row r="40" ht="21" customHeight="1">
      <x:c r="A40" s="1" t="str">
        <x:v>C0013049</x:v>
      </x:c>
      <x:c r="B40" s="1" t="n">
        <x:v>21</x:v>
      </x:c>
      <x:c r="C40" s="1" t="n">
        <x:v>51</x:v>
      </x:c>
      <x:c r="D40" s="6" t="n">
        <x:v>47112</x:v>
      </x:c>
      <x:c r="E40" s="6" t="n">
        <x:v>94224</x:v>
      </x:c>
      <x:c r="F40" s="6" t="n">
        <x:v>0</x:v>
      </x:c>
      <x:c r="G40" s="6" t="n">
        <x:v>94224</x:v>
      </x:c>
      <x:c r="H40" s="6" t="n">
        <x:v>47112</x:v>
      </x:c>
    </x:row>
    <x:row r="41" ht="21" customHeight="1">
      <x:c r="A41" s="1" t="str">
        <x:v>C0007037</x:v>
      </x:c>
      <x:c r="B41" s="1" t="n">
        <x:v>24</x:v>
      </x:c>
      <x:c r="C41" s="1" t="n">
        <x:v>84</x:v>
      </x:c>
      <x:c r="D41" s="6" t="n">
        <x:v>46102</x:v>
      </x:c>
      <x:c r="E41" s="6" t="n">
        <x:v>92204</x:v>
      </x:c>
      <x:c r="F41" s="6" t="n">
        <x:v>0</x:v>
      </x:c>
      <x:c r="G41" s="6" t="n">
        <x:v>92204</x:v>
      </x:c>
      <x:c r="H41" s="6" t="n">
        <x:v>46102</x:v>
      </x:c>
    </x:row>
    <x:row r="42" ht="21" customHeight="1">
      <x:c r="A42" s="1" t="str">
        <x:v>C0000501</x:v>
      </x:c>
      <x:c r="B42" s="1" t="n">
        <x:v>24</x:v>
      </x:c>
      <x:c r="C42" s="1" t="n">
        <x:v>84</x:v>
      </x:c>
      <x:c r="D42" s="6" t="n">
        <x:v>0</x:v>
      </x:c>
      <x:c r="E42" s="6" t="n">
        <x:v>46102</x:v>
      </x:c>
      <x:c r="F42" s="6" t="n">
        <x:v>0</x:v>
      </x:c>
      <x:c r="G42" s="6" t="n">
        <x:v>46102</x:v>
      </x:c>
      <x:c r="H42" s="6" t="n">
        <x:v>46102</x:v>
      </x:c>
    </x:row>
    <x:row r="43" ht="21" customHeight="1">
      <x:c r="A43" s="1" t="str">
        <x:v>C0011462</x:v>
      </x:c>
      <x:c r="B43" s="1" t="n">
        <x:v>24</x:v>
      </x:c>
      <x:c r="C43" s="1" t="n">
        <x:v>84</x:v>
      </x:c>
      <x:c r="D43" s="6" t="n">
        <x:v>46102</x:v>
      </x:c>
      <x:c r="E43" s="6" t="n">
        <x:v>92204</x:v>
      </x:c>
      <x:c r="F43" s="6" t="n">
        <x:v>0</x:v>
      </x:c>
      <x:c r="G43" s="6" t="n">
        <x:v>92204</x:v>
      </x:c>
      <x:c r="H43" s="6" t="n">
        <x:v>46102</x:v>
      </x:c>
    </x:row>
    <x:row r="44" ht="21" customHeight="1">
      <x:c r="A44" s="1" t="str">
        <x:v>C0010660</x:v>
      </x:c>
      <x:c r="B44" s="1" t="n">
        <x:v>24</x:v>
      </x:c>
      <x:c r="C44" s="1" t="n">
        <x:v>84</x:v>
      </x:c>
      <x:c r="D44" s="6" t="n">
        <x:v>46102</x:v>
      </x:c>
      <x:c r="E44" s="6" t="n">
        <x:v>0</x:v>
      </x:c>
      <x:c r="F44" s="6" t="n">
        <x:v>0</x:v>
      </x:c>
      <x:c r="G44" s="6" t="n">
        <x:v>0</x:v>
      </x:c>
      <x:c r="H44" s="6" t="n">
        <x:v>-46102</x:v>
      </x:c>
    </x:row>
    <x:row r="45" ht="21" customHeight="1">
      <x:c r="A45" s="1" t="str">
        <x:v>C0008819</x:v>
      </x:c>
      <x:c r="B45" s="1" t="n">
        <x:v>24</x:v>
      </x:c>
      <x:c r="C45" s="1" t="n">
        <x:v>84</x:v>
      </x:c>
      <x:c r="D45" s="6" t="n">
        <x:v>46102</x:v>
      </x:c>
      <x:c r="E45" s="6" t="n">
        <x:v>92204</x:v>
      </x:c>
      <x:c r="F45" s="6" t="n">
        <x:v>0</x:v>
      </x:c>
      <x:c r="G45" s="6" t="n">
        <x:v>92204</x:v>
      </x:c>
      <x:c r="H45" s="6" t="n">
        <x:v>46102</x:v>
      </x:c>
    </x:row>
    <x:row r="46" ht="21" customHeight="1">
      <x:c r="A46" s="1" t="str">
        <x:v>C0000252</x:v>
      </x:c>
      <x:c r="B46" s="1" t="n">
        <x:v>24</x:v>
      </x:c>
      <x:c r="C46" s="1" t="n">
        <x:v>84</x:v>
      </x:c>
      <x:c r="D46" s="6" t="n">
        <x:v>0</x:v>
      </x:c>
      <x:c r="E46" s="6" t="n">
        <x:v>46102</x:v>
      </x:c>
      <x:c r="F46" s="6" t="n">
        <x:v>0</x:v>
      </x:c>
      <x:c r="G46" s="6" t="n">
        <x:v>46102</x:v>
      </x:c>
      <x:c r="H46" s="6" t="n">
        <x:v>46102</x:v>
      </x:c>
    </x:row>
    <x:row r="47" ht="21" customHeight="1">
      <x:c r="A47" s="1" t="str">
        <x:v>C0000322</x:v>
      </x:c>
      <x:c r="B47" s="1" t="n">
        <x:v>18</x:v>
      </x:c>
      <x:c r="C47" s="1" t="n">
        <x:v>108</x:v>
      </x:c>
      <x:c r="D47" s="6" t="n">
        <x:v>46066</x:v>
      </x:c>
      <x:c r="E47" s="6" t="n">
        <x:v>92132</x:v>
      </x:c>
      <x:c r="F47" s="6" t="n">
        <x:v>0</x:v>
      </x:c>
      <x:c r="G47" s="6" t="n">
        <x:v>92132</x:v>
      </x:c>
      <x:c r="H47" s="6" t="n">
        <x:v>46066</x:v>
      </x:c>
    </x:row>
    <x:row r="48" ht="21" customHeight="1">
      <x:c r="A48" s="1" t="str">
        <x:v>C0000791</x:v>
      </x:c>
      <x:c r="B48" s="1" t="n">
        <x:v>18</x:v>
      </x:c>
      <x:c r="C48" s="1" t="n">
        <x:v>108</x:v>
      </x:c>
      <x:c r="D48" s="6" t="n">
        <x:v>0</x:v>
      </x:c>
      <x:c r="E48" s="6" t="n">
        <x:v>46066</x:v>
      </x:c>
      <x:c r="F48" s="6" t="n">
        <x:v>0</x:v>
      </x:c>
      <x:c r="G48" s="6" t="n">
        <x:v>46066</x:v>
      </x:c>
      <x:c r="H48" s="6" t="n">
        <x:v>46066</x:v>
      </x:c>
    </x:row>
    <x:row r="49" ht="21" customHeight="1">
      <x:c r="A49" s="1" t="str">
        <x:v>C0014790</x:v>
      </x:c>
      <x:c r="B49" s="1" t="n">
        <x:v>18</x:v>
      </x:c>
      <x:c r="C49" s="1" t="n">
        <x:v>108</x:v>
      </x:c>
      <x:c r="D49" s="6" t="n">
        <x:v>0</x:v>
      </x:c>
      <x:c r="E49" s="6" t="n">
        <x:v>46066</x:v>
      </x:c>
      <x:c r="F49" s="6" t="n">
        <x:v>0</x:v>
      </x:c>
      <x:c r="G49" s="6" t="n">
        <x:v>46066</x:v>
      </x:c>
      <x:c r="H49" s="6" t="n">
        <x:v>46066</x:v>
      </x:c>
    </x:row>
    <x:row r="50" ht="21" customHeight="1">
      <x:c r="A50" s="1" t="str">
        <x:v>C0005062</x:v>
      </x:c>
      <x:c r="B50" s="1" t="n">
        <x:v>18</x:v>
      </x:c>
      <x:c r="C50" s="1" t="n">
        <x:v>108</x:v>
      </x:c>
      <x:c r="D50" s="6" t="n">
        <x:v>46066</x:v>
      </x:c>
      <x:c r="E50" s="6" t="n">
        <x:v>92132</x:v>
      </x:c>
      <x:c r="F50" s="6" t="n">
        <x:v>0</x:v>
      </x:c>
      <x:c r="G50" s="6" t="n">
        <x:v>92132</x:v>
      </x:c>
      <x:c r="H50" s="6" t="n">
        <x:v>46066</x:v>
      </x:c>
    </x:row>
    <x:row r="51" ht="21" customHeight="1">
      <x:c r="A51" s="1" t="str">
        <x:v>C0013440</x:v>
      </x:c>
      <x:c r="B51" s="1" t="n">
        <x:v>18</x:v>
      </x:c>
      <x:c r="C51" s="1" t="n">
        <x:v>108</x:v>
      </x:c>
      <x:c r="D51" s="6" t="n">
        <x:v>46066</x:v>
      </x:c>
      <x:c r="E51" s="6" t="n">
        <x:v>0</x:v>
      </x:c>
      <x:c r="F51" s="6" t="n">
        <x:v>0</x:v>
      </x:c>
      <x:c r="G51" s="6" t="n">
        <x:v>0</x:v>
      </x:c>
      <x:c r="H51" s="6" t="n">
        <x:v>-46066</x:v>
      </x:c>
    </x:row>
    <x:row r="52" ht="21" customHeight="1">
      <x:c r="A52" s="1" t="str">
        <x:v>C0010364</x:v>
      </x:c>
      <x:c r="B52" s="1" t="n">
        <x:v>18</x:v>
      </x:c>
      <x:c r="C52" s="1" t="n">
        <x:v>108</x:v>
      </x:c>
      <x:c r="D52" s="6" t="n">
        <x:v>46066</x:v>
      </x:c>
      <x:c r="E52" s="6" t="n">
        <x:v>92132</x:v>
      </x:c>
      <x:c r="F52" s="6" t="n">
        <x:v>0</x:v>
      </x:c>
      <x:c r="G52" s="6" t="n">
        <x:v>92132</x:v>
      </x:c>
      <x:c r="H52" s="6" t="n">
        <x:v>46066</x:v>
      </x:c>
    </x:row>
    <x:row r="53" ht="21" customHeight="1">
      <x:c r="A53" s="1" t="str">
        <x:v>C0016019</x:v>
      </x:c>
      <x:c r="B53" s="1" t="n">
        <x:v>22</x:v>
      </x:c>
      <x:c r="C53" s="1" t="n">
        <x:v>22</x:v>
      </x:c>
      <x:c r="D53" s="6" t="n">
        <x:v>45738</x:v>
      </x:c>
      <x:c r="E53" s="6" t="n">
        <x:v>91476</x:v>
      </x:c>
      <x:c r="F53" s="6" t="n">
        <x:v>0</x:v>
      </x:c>
      <x:c r="G53" s="6" t="n">
        <x:v>91476</x:v>
      </x:c>
      <x:c r="H53" s="6" t="n">
        <x:v>45738</x:v>
      </x:c>
    </x:row>
    <x:row r="54" ht="21" customHeight="1">
      <x:c r="A54" s="1" t="str">
        <x:v>C0017350</x:v>
      </x:c>
      <x:c r="B54" s="1" t="n">
        <x:v>22</x:v>
      </x:c>
      <x:c r="C54" s="1" t="n">
        <x:v>22</x:v>
      </x:c>
      <x:c r="D54" s="6" t="n">
        <x:v>45738</x:v>
      </x:c>
      <x:c r="E54" s="6" t="n">
        <x:v>0</x:v>
      </x:c>
      <x:c r="F54" s="6" t="n">
        <x:v>0</x:v>
      </x:c>
      <x:c r="G54" s="6" t="n">
        <x:v>0</x:v>
      </x:c>
      <x:c r="H54" s="6" t="n">
        <x:v>-45738</x:v>
      </x:c>
    </x:row>
    <x:row r="55" ht="21" customHeight="1">
      <x:c r="A55" s="1" t="str">
        <x:v>C0015922</x:v>
      </x:c>
      <x:c r="B55" s="1" t="n">
        <x:v>22</x:v>
      </x:c>
      <x:c r="C55" s="1" t="n">
        <x:v>22</x:v>
      </x:c>
      <x:c r="D55" s="6" t="n">
        <x:v>45738</x:v>
      </x:c>
      <x:c r="E55" s="6" t="n">
        <x:v>0</x:v>
      </x:c>
      <x:c r="F55" s="6" t="n">
        <x:v>0</x:v>
      </x:c>
      <x:c r="G55" s="6" t="n">
        <x:v>0</x:v>
      </x:c>
      <x:c r="H55" s="6" t="n">
        <x:v>-45738</x:v>
      </x:c>
    </x:row>
    <x:row r="56" ht="21" customHeight="1">
      <x:c r="A56" s="1" t="str">
        <x:v>C0009428</x:v>
      </x:c>
      <x:c r="B56" s="1" t="n">
        <x:v>22</x:v>
      </x:c>
      <x:c r="C56" s="1" t="n">
        <x:v>22</x:v>
      </x:c>
      <x:c r="D56" s="6" t="n">
        <x:v>45738</x:v>
      </x:c>
      <x:c r="E56" s="6" t="n">
        <x:v>91476</x:v>
      </x:c>
      <x:c r="F56" s="6" t="n">
        <x:v>0</x:v>
      </x:c>
      <x:c r="G56" s="6" t="n">
        <x:v>91476</x:v>
      </x:c>
      <x:c r="H56" s="6" t="n">
        <x:v>45738</x:v>
      </x:c>
    </x:row>
    <x:row r="57" ht="21" customHeight="1">
      <x:c r="A57" s="1" t="str">
        <x:v>C0016120</x:v>
      </x:c>
      <x:c r="B57" s="1" t="n">
        <x:v>22</x:v>
      </x:c>
      <x:c r="C57" s="1" t="n">
        <x:v>22</x:v>
      </x:c>
      <x:c r="D57" s="6" t="n">
        <x:v>45738</x:v>
      </x:c>
      <x:c r="E57" s="6" t="n">
        <x:v>91476</x:v>
      </x:c>
      <x:c r="F57" s="6" t="n">
        <x:v>0</x:v>
      </x:c>
      <x:c r="G57" s="6" t="n">
        <x:v>91476</x:v>
      </x:c>
      <x:c r="H57" s="6" t="n">
        <x:v>45738</x:v>
      </x:c>
    </x:row>
    <x:row r="58" ht="21" customHeight="1">
      <x:c r="A58" s="1" t="str">
        <x:v>C0009009</x:v>
      </x:c>
      <x:c r="B58" s="1" t="n">
        <x:v>12</x:v>
      </x:c>
      <x:c r="C58" s="1" t="n">
        <x:v>102</x:v>
      </x:c>
      <x:c r="D58" s="6" t="n">
        <x:v>44624</x:v>
      </x:c>
      <x:c r="E58" s="6" t="n">
        <x:v>89248</x:v>
      </x:c>
      <x:c r="F58" s="6" t="n">
        <x:v>0</x:v>
      </x:c>
      <x:c r="G58" s="6" t="n">
        <x:v>89248</x:v>
      </x:c>
      <x:c r="H58" s="6" t="n">
        <x:v>44624</x:v>
      </x:c>
    </x:row>
    <x:row r="59" ht="21" customHeight="1">
      <x:c r="A59" s="1" t="str">
        <x:v>C0008173</x:v>
      </x:c>
      <x:c r="B59" s="1" t="n">
        <x:v>12</x:v>
      </x:c>
      <x:c r="C59" s="1" t="n">
        <x:v>102</x:v>
      </x:c>
      <x:c r="D59" s="6" t="n">
        <x:v>44624</x:v>
      </x:c>
      <x:c r="E59" s="6" t="n">
        <x:v>0</x:v>
      </x:c>
      <x:c r="F59" s="6" t="n">
        <x:v>0</x:v>
      </x:c>
      <x:c r="G59" s="6" t="n">
        <x:v>0</x:v>
      </x:c>
      <x:c r="H59" s="6" t="n">
        <x:v>-44624</x:v>
      </x:c>
    </x:row>
    <x:row r="60" ht="21" customHeight="1">
      <x:c r="A60" s="1" t="str">
        <x:v>C0014873</x:v>
      </x:c>
      <x:c r="B60" s="1" t="n">
        <x:v>12</x:v>
      </x:c>
      <x:c r="C60" s="1" t="n">
        <x:v>102</x:v>
      </x:c>
      <x:c r="D60" s="6" t="n">
        <x:v>44624</x:v>
      </x:c>
      <x:c r="E60" s="6" t="n">
        <x:v>89248</x:v>
      </x:c>
      <x:c r="F60" s="6" t="n">
        <x:v>0</x:v>
      </x:c>
      <x:c r="G60" s="6" t="n">
        <x:v>89248</x:v>
      </x:c>
      <x:c r="H60" s="6" t="n">
        <x:v>44624</x:v>
      </x:c>
    </x:row>
    <x:row r="61" ht="21" customHeight="1">
      <x:c r="A61" s="1" t="str">
        <x:v>C0006725</x:v>
      </x:c>
      <x:c r="B61" s="1" t="n">
        <x:v>12</x:v>
      </x:c>
      <x:c r="C61" s="1" t="n">
        <x:v>102</x:v>
      </x:c>
      <x:c r="D61" s="6" t="n">
        <x:v>44624</x:v>
      </x:c>
      <x:c r="E61" s="6" t="n">
        <x:v>89248</x:v>
      </x:c>
      <x:c r="F61" s="6" t="n">
        <x:v>0</x:v>
      </x:c>
      <x:c r="G61" s="6" t="n">
        <x:v>89248</x:v>
      </x:c>
      <x:c r="H61" s="6" t="n">
        <x:v>44624</x:v>
      </x:c>
    </x:row>
    <x:row r="62" ht="21" customHeight="1">
      <x:c r="A62" s="1" t="str">
        <x:v>C0010103</x:v>
      </x:c>
      <x:c r="B62" s="1" t="n">
        <x:v>12</x:v>
      </x:c>
      <x:c r="C62" s="1" t="n">
        <x:v>102</x:v>
      </x:c>
      <x:c r="D62" s="6" t="n">
        <x:v>44624</x:v>
      </x:c>
      <x:c r="E62" s="6" t="n">
        <x:v>89248</x:v>
      </x:c>
      <x:c r="F62" s="6" t="n">
        <x:v>0</x:v>
      </x:c>
      <x:c r="G62" s="6" t="n">
        <x:v>89248</x:v>
      </x:c>
      <x:c r="H62" s="6" t="n">
        <x:v>44624</x:v>
      </x:c>
    </x:row>
    <x:row r="63" ht="21" customHeight="1">
      <x:c r="A63" s="1" t="str">
        <x:v>C0007486</x:v>
      </x:c>
      <x:c r="B63" s="1" t="n">
        <x:v>12</x:v>
      </x:c>
      <x:c r="C63" s="1" t="n">
        <x:v>102</x:v>
      </x:c>
      <x:c r="D63" s="6" t="n">
        <x:v>44624</x:v>
      </x:c>
      <x:c r="E63" s="6" t="n">
        <x:v>89248</x:v>
      </x:c>
      <x:c r="F63" s="6" t="n">
        <x:v>0</x:v>
      </x:c>
      <x:c r="G63" s="6" t="n">
        <x:v>89248</x:v>
      </x:c>
      <x:c r="H63" s="6" t="n">
        <x:v>44624</x:v>
      </x:c>
    </x:row>
    <x:row r="64" ht="21" customHeight="1">
      <x:c r="A64" s="1" t="str">
        <x:v>C0004375</x:v>
      </x:c>
      <x:c r="B64" s="1" t="n">
        <x:v>12</x:v>
      </x:c>
      <x:c r="C64" s="1" t="n">
        <x:v>102</x:v>
      </x:c>
      <x:c r="D64" s="6" t="n">
        <x:v>44624</x:v>
      </x:c>
      <x:c r="E64" s="6" t="n">
        <x:v>89248</x:v>
      </x:c>
      <x:c r="F64" s="6" t="n">
        <x:v>0</x:v>
      </x:c>
      <x:c r="G64" s="6" t="n">
        <x:v>89248</x:v>
      </x:c>
      <x:c r="H64" s="6" t="n">
        <x:v>44624</x:v>
      </x:c>
    </x:row>
    <x:row r="65" ht="21" customHeight="1">
      <x:c r="A65" s="1" t="str">
        <x:v>C0007574</x:v>
      </x:c>
      <x:c r="B65" s="1" t="n">
        <x:v>12</x:v>
      </x:c>
      <x:c r="C65" s="1" t="n">
        <x:v>102</x:v>
      </x:c>
      <x:c r="D65" s="6" t="n">
        <x:v>44624</x:v>
      </x:c>
      <x:c r="E65" s="6" t="n">
        <x:v>89248</x:v>
      </x:c>
      <x:c r="F65" s="6" t="n">
        <x:v>0</x:v>
      </x:c>
      <x:c r="G65" s="6" t="n">
        <x:v>89248</x:v>
      </x:c>
      <x:c r="H65" s="6" t="n">
        <x:v>44624</x:v>
      </x:c>
    </x:row>
    <x:row r="66" ht="21" customHeight="1">
      <x:c r="A66" s="1" t="str">
        <x:v>C0003101</x:v>
      </x:c>
      <x:c r="B66" s="1" t="n">
        <x:v>12</x:v>
      </x:c>
      <x:c r="C66" s="1" t="n">
        <x:v>102</x:v>
      </x:c>
      <x:c r="D66" s="6" t="n">
        <x:v>44624</x:v>
      </x:c>
      <x:c r="E66" s="6" t="n">
        <x:v>0</x:v>
      </x:c>
      <x:c r="F66" s="6" t="n">
        <x:v>0</x:v>
      </x:c>
      <x:c r="G66" s="6" t="n">
        <x:v>0</x:v>
      </x:c>
      <x:c r="H66" s="6" t="n">
        <x:v>-44624</x:v>
      </x:c>
    </x:row>
    <x:row r="67" ht="21" customHeight="1">
      <x:c r="A67" s="1" t="str">
        <x:v>C0015989</x:v>
      </x:c>
      <x:c r="B67" s="1" t="n">
        <x:v>12</x:v>
      </x:c>
      <x:c r="C67" s="1" t="n">
        <x:v>102</x:v>
      </x:c>
      <x:c r="D67" s="6" t="n">
        <x:v>44624</x:v>
      </x:c>
      <x:c r="E67" s="6" t="n">
        <x:v>89248</x:v>
      </x:c>
      <x:c r="F67" s="6" t="n">
        <x:v>0</x:v>
      </x:c>
      <x:c r="G67" s="6" t="n">
        <x:v>89248</x:v>
      </x:c>
      <x:c r="H67" s="6" t="n">
        <x:v>44624</x:v>
      </x:c>
    </x:row>
    <x:row r="68" ht="21" customHeight="1">
      <x:c r="A68" s="1" t="str">
        <x:v>C0006399</x:v>
      </x:c>
      <x:c r="B68" s="1" t="n">
        <x:v>6</x:v>
      </x:c>
      <x:c r="C68" s="1" t="n">
        <x:v>6</x:v>
      </x:c>
      <x:c r="D68" s="6" t="n">
        <x:v>42192</x:v>
      </x:c>
      <x:c r="E68" s="6" t="n">
        <x:v>84384</x:v>
      </x:c>
      <x:c r="F68" s="6" t="n">
        <x:v>0</x:v>
      </x:c>
      <x:c r="G68" s="6" t="n">
        <x:v>84384</x:v>
      </x:c>
      <x:c r="H68" s="6" t="n">
        <x:v>42192</x:v>
      </x:c>
    </x:row>
    <x:row r="69" ht="21" customHeight="1">
      <x:c r="A69" s="1" t="str">
        <x:v>C0000016</x:v>
      </x:c>
      <x:c r="B69" s="1" t="n">
        <x:v>6</x:v>
      </x:c>
      <x:c r="C69" s="1" t="n">
        <x:v>6</x:v>
      </x:c>
      <x:c r="D69" s="6" t="n">
        <x:v>42192</x:v>
      </x:c>
      <x:c r="E69" s="6" t="n">
        <x:v>0</x:v>
      </x:c>
      <x:c r="F69" s="6" t="n">
        <x:v>0</x:v>
      </x:c>
      <x:c r="G69" s="6" t="n">
        <x:v>0</x:v>
      </x:c>
      <x:c r="H69" s="6" t="n">
        <x:v>-42192</x:v>
      </x:c>
    </x:row>
    <x:row r="70" ht="21" customHeight="1">
      <x:c r="A70" s="1" t="str">
        <x:v>C0014260</x:v>
      </x:c>
      <x:c r="B70" s="1" t="n">
        <x:v>6</x:v>
      </x:c>
      <x:c r="C70" s="1" t="n">
        <x:v>6</x:v>
      </x:c>
      <x:c r="D70" s="6" t="n">
        <x:v>42192</x:v>
      </x:c>
      <x:c r="E70" s="6" t="n">
        <x:v>0</x:v>
      </x:c>
      <x:c r="F70" s="6" t="n">
        <x:v>0</x:v>
      </x:c>
      <x:c r="G70" s="6" t="n">
        <x:v>0</x:v>
      </x:c>
      <x:c r="H70" s="6" t="n">
        <x:v>-42192</x:v>
      </x:c>
    </x:row>
    <x:row r="71" ht="21" customHeight="1">
      <x:c r="A71" s="1" t="str">
        <x:v>C0009057</x:v>
      </x:c>
      <x:c r="B71" s="1" t="n">
        <x:v>6</x:v>
      </x:c>
      <x:c r="C71" s="1" t="n">
        <x:v>6</x:v>
      </x:c>
      <x:c r="D71" s="6" t="n">
        <x:v>42192</x:v>
      </x:c>
      <x:c r="E71" s="6" t="n">
        <x:v>0</x:v>
      </x:c>
      <x:c r="F71" s="6" t="n">
        <x:v>0</x:v>
      </x:c>
      <x:c r="G71" s="6" t="n">
        <x:v>0</x:v>
      </x:c>
      <x:c r="H71" s="6" t="n">
        <x:v>-42192</x:v>
      </x:c>
    </x:row>
    <x:row r="72" ht="21" customHeight="1">
      <x:c r="A72" s="1" t="str">
        <x:v>C0004588</x:v>
      </x:c>
      <x:c r="B72" s="1" t="n">
        <x:v>6</x:v>
      </x:c>
      <x:c r="C72" s="1" t="n">
        <x:v>6</x:v>
      </x:c>
      <x:c r="D72" s="6" t="n">
        <x:v>42192</x:v>
      </x:c>
      <x:c r="E72" s="6" t="n">
        <x:v>0</x:v>
      </x:c>
      <x:c r="F72" s="6" t="n">
        <x:v>0</x:v>
      </x:c>
      <x:c r="G72" s="6" t="n">
        <x:v>0</x:v>
      </x:c>
      <x:c r="H72" s="6" t="n">
        <x:v>-42192</x:v>
      </x:c>
    </x:row>
    <x:row r="73" ht="21" customHeight="1">
      <x:c r="A73" s="1" t="str">
        <x:v>C0010710</x:v>
      </x:c>
      <x:c r="B73" s="1" t="n">
        <x:v>6</x:v>
      </x:c>
      <x:c r="C73" s="1" t="n">
        <x:v>6</x:v>
      </x:c>
      <x:c r="D73" s="6" t="n">
        <x:v>42192</x:v>
      </x:c>
      <x:c r="E73" s="6" t="n">
        <x:v>0</x:v>
      </x:c>
      <x:c r="F73" s="6" t="n">
        <x:v>0</x:v>
      </x:c>
      <x:c r="G73" s="6" t="n">
        <x:v>0</x:v>
      </x:c>
      <x:c r="H73" s="6" t="n">
        <x:v>-42192</x:v>
      </x:c>
    </x:row>
    <x:row r="74" ht="21" customHeight="1">
      <x:c r="A74" s="1" t="str">
        <x:v>C0010030</x:v>
      </x:c>
      <x:c r="B74" s="1" t="n">
        <x:v>6</x:v>
      </x:c>
      <x:c r="C74" s="1" t="n">
        <x:v>6</x:v>
      </x:c>
      <x:c r="D74" s="6" t="n">
        <x:v>0</x:v>
      </x:c>
      <x:c r="E74" s="6" t="n">
        <x:v>42192</x:v>
      </x:c>
      <x:c r="F74" s="6" t="n">
        <x:v>0</x:v>
      </x:c>
      <x:c r="G74" s="6" t="n">
        <x:v>42192</x:v>
      </x:c>
      <x:c r="H74" s="6" t="n">
        <x:v>42192</x:v>
      </x:c>
    </x:row>
    <x:row r="75" ht="21" customHeight="1">
      <x:c r="A75" s="1" t="str">
        <x:v>C0005318</x:v>
      </x:c>
      <x:c r="B75" s="1" t="n">
        <x:v>18</x:v>
      </x:c>
      <x:c r="C75" s="1" t="n">
        <x:v>48</x:v>
      </x:c>
      <x:c r="D75" s="6" t="n">
        <x:v>41252</x:v>
      </x:c>
      <x:c r="E75" s="6" t="n">
        <x:v>82504</x:v>
      </x:c>
      <x:c r="F75" s="6" t="n">
        <x:v>0</x:v>
      </x:c>
      <x:c r="G75" s="6" t="n">
        <x:v>82504</x:v>
      </x:c>
      <x:c r="H75" s="6" t="n">
        <x:v>41252</x:v>
      </x:c>
    </x:row>
    <x:row r="76" ht="21" customHeight="1">
      <x:c r="A76" s="1" t="str">
        <x:v>C0015929</x:v>
      </x:c>
      <x:c r="B76" s="1" t="n">
        <x:v>18</x:v>
      </x:c>
      <x:c r="C76" s="1" t="n">
        <x:v>48</x:v>
      </x:c>
      <x:c r="D76" s="6" t="n">
        <x:v>41252</x:v>
      </x:c>
      <x:c r="E76" s="6" t="n">
        <x:v>82504</x:v>
      </x:c>
      <x:c r="F76" s="6" t="n">
        <x:v>0</x:v>
      </x:c>
      <x:c r="G76" s="6" t="n">
        <x:v>82504</x:v>
      </x:c>
      <x:c r="H76" s="6" t="n">
        <x:v>41252</x:v>
      </x:c>
    </x:row>
    <x:row r="77" ht="21" customHeight="1">
      <x:c r="A77" s="1" t="str">
        <x:v>C0015350</x:v>
      </x:c>
      <x:c r="B77" s="1" t="n">
        <x:v>18</x:v>
      </x:c>
      <x:c r="C77" s="1" t="n">
        <x:v>48</x:v>
      </x:c>
      <x:c r="D77" s="6" t="n">
        <x:v>41252</x:v>
      </x:c>
      <x:c r="E77" s="6" t="n">
        <x:v>0</x:v>
      </x:c>
      <x:c r="F77" s="6" t="n">
        <x:v>0</x:v>
      </x:c>
      <x:c r="G77" s="6" t="n">
        <x:v>0</x:v>
      </x:c>
      <x:c r="H77" s="6" t="n">
        <x:v>-41252</x:v>
      </x:c>
    </x:row>
    <x:row r="78" ht="21" customHeight="1">
      <x:c r="A78" s="1" t="str">
        <x:v>C0002646</x:v>
      </x:c>
      <x:c r="B78" s="1" t="n">
        <x:v>18</x:v>
      </x:c>
      <x:c r="C78" s="1" t="n">
        <x:v>48</x:v>
      </x:c>
      <x:c r="D78" s="6" t="n">
        <x:v>41252</x:v>
      </x:c>
      <x:c r="E78" s="6" t="n">
        <x:v>82504</x:v>
      </x:c>
      <x:c r="F78" s="6" t="n">
        <x:v>0</x:v>
      </x:c>
      <x:c r="G78" s="6" t="n">
        <x:v>82504</x:v>
      </x:c>
      <x:c r="H78" s="6" t="n">
        <x:v>41252</x:v>
      </x:c>
    </x:row>
    <x:row r="79" ht="21" customHeight="1">
      <x:c r="A79" s="1" t="str">
        <x:v>C0016849</x:v>
      </x:c>
      <x:c r="B79" s="1" t="n">
        <x:v>18</x:v>
      </x:c>
      <x:c r="C79" s="1" t="n">
        <x:v>48</x:v>
      </x:c>
      <x:c r="D79" s="6" t="n">
        <x:v>41252</x:v>
      </x:c>
      <x:c r="E79" s="6" t="n">
        <x:v>82504</x:v>
      </x:c>
      <x:c r="F79" s="6" t="n">
        <x:v>0</x:v>
      </x:c>
      <x:c r="G79" s="6" t="n">
        <x:v>82504</x:v>
      </x:c>
      <x:c r="H79" s="6" t="n">
        <x:v>41252</x:v>
      </x:c>
    </x:row>
    <x:row r="80" ht="21" customHeight="1">
      <x:c r="A80" s="1" t="str">
        <x:v>C0012485</x:v>
      </x:c>
      <x:c r="B80" s="1" t="n">
        <x:v>18</x:v>
      </x:c>
      <x:c r="C80" s="1" t="n">
        <x:v>48</x:v>
      </x:c>
      <x:c r="D80" s="6" t="n">
        <x:v>41252</x:v>
      </x:c>
      <x:c r="E80" s="6" t="n">
        <x:v>0</x:v>
      </x:c>
      <x:c r="F80" s="6" t="n">
        <x:v>0</x:v>
      </x:c>
      <x:c r="G80" s="6" t="n">
        <x:v>0</x:v>
      </x:c>
      <x:c r="H80" s="6" t="n">
        <x:v>-41252</x:v>
      </x:c>
    </x:row>
    <x:row r="81" ht="21" customHeight="1">
      <x:c r="A81" s="1" t="str">
        <x:v>C0011765</x:v>
      </x:c>
      <x:c r="B81" s="1" t="n">
        <x:v>18</x:v>
      </x:c>
      <x:c r="C81" s="1" t="n">
        <x:v>48</x:v>
      </x:c>
      <x:c r="D81" s="6" t="n">
        <x:v>41252</x:v>
      </x:c>
      <x:c r="E81" s="6" t="n">
        <x:v>0</x:v>
      </x:c>
      <x:c r="F81" s="6" t="n">
        <x:v>0</x:v>
      </x:c>
      <x:c r="G81" s="6" t="n">
        <x:v>0</x:v>
      </x:c>
      <x:c r="H81" s="6" t="n">
        <x:v>-41252</x:v>
      </x:c>
    </x:row>
    <x:row r="82" ht="21" customHeight="1">
      <x:c r="A82" s="1" t="str">
        <x:v>C0017029</x:v>
      </x:c>
      <x:c r="B82" s="1" t="n">
        <x:v>29</x:v>
      </x:c>
      <x:c r="C82" s="1" t="n">
        <x:v>29</x:v>
      </x:c>
      <x:c r="D82" s="6" t="n">
        <x:v>40134</x:v>
      </x:c>
      <x:c r="E82" s="6" t="n">
        <x:v>0</x:v>
      </x:c>
      <x:c r="F82" s="6" t="n">
        <x:v>0</x:v>
      </x:c>
      <x:c r="G82" s="6" t="n">
        <x:v>0</x:v>
      </x:c>
      <x:c r="H82" s="6" t="n">
        <x:v>-40134</x:v>
      </x:c>
    </x:row>
    <x:row r="83" ht="21" customHeight="1">
      <x:c r="A83" s="1" t="str">
        <x:v>C0006328</x:v>
      </x:c>
      <x:c r="B83" s="1" t="n">
        <x:v>29</x:v>
      </x:c>
      <x:c r="C83" s="1" t="n">
        <x:v>29</x:v>
      </x:c>
      <x:c r="D83" s="6" t="n">
        <x:v>40134</x:v>
      </x:c>
      <x:c r="E83" s="6" t="n">
        <x:v>0</x:v>
      </x:c>
      <x:c r="F83" s="6" t="n">
        <x:v>0</x:v>
      </x:c>
      <x:c r="G83" s="6" t="n">
        <x:v>0</x:v>
      </x:c>
      <x:c r="H83" s="6" t="n">
        <x:v>-40134</x:v>
      </x:c>
    </x:row>
    <x:row r="84" ht="21" customHeight="1">
      <x:c r="A84" s="1" t="str">
        <x:v>C0012182</x:v>
      </x:c>
      <x:c r="B84" s="1" t="n">
        <x:v>29</x:v>
      </x:c>
      <x:c r="C84" s="1" t="n">
        <x:v>29</x:v>
      </x:c>
      <x:c r="D84" s="6" t="n">
        <x:v>40134</x:v>
      </x:c>
      <x:c r="E84" s="6" t="n">
        <x:v>0</x:v>
      </x:c>
      <x:c r="F84" s="6" t="n">
        <x:v>0</x:v>
      </x:c>
      <x:c r="G84" s="6" t="n">
        <x:v>0</x:v>
      </x:c>
      <x:c r="H84" s="6" t="n">
        <x:v>-40134</x:v>
      </x:c>
    </x:row>
    <x:row r="85" ht="21" customHeight="1">
      <x:c r="A85" s="1" t="str">
        <x:v>C0014352</x:v>
      </x:c>
      <x:c r="B85" s="1" t="n">
        <x:v>29</x:v>
      </x:c>
      <x:c r="C85" s="1" t="n">
        <x:v>29</x:v>
      </x:c>
      <x:c r="D85" s="6" t="n">
        <x:v>40134</x:v>
      </x:c>
      <x:c r="E85" s="6" t="n">
        <x:v>80268</x:v>
      </x:c>
      <x:c r="F85" s="6" t="n">
        <x:v>0</x:v>
      </x:c>
      <x:c r="G85" s="6" t="n">
        <x:v>80268</x:v>
      </x:c>
      <x:c r="H85" s="6" t="n">
        <x:v>40134</x:v>
      </x:c>
    </x:row>
    <x:row r="86" ht="21" customHeight="1">
      <x:c r="A86" s="1" t="str">
        <x:v>C0001963</x:v>
      </x:c>
      <x:c r="B86" s="1" t="n">
        <x:v>22</x:v>
      </x:c>
      <x:c r="C86" s="1" t="n">
        <x:v>112</x:v>
      </x:c>
      <x:c r="D86" s="6" t="n">
        <x:v>39884</x:v>
      </x:c>
      <x:c r="E86" s="6" t="n">
        <x:v>79768</x:v>
      </x:c>
      <x:c r="F86" s="6" t="n">
        <x:v>0</x:v>
      </x:c>
      <x:c r="G86" s="6" t="n">
        <x:v>79768</x:v>
      </x:c>
      <x:c r="H86" s="6" t="n">
        <x:v>39884</x:v>
      </x:c>
    </x:row>
    <x:row r="87" ht="21" customHeight="1">
      <x:c r="A87" s="1" t="str">
        <x:v>C0002700</x:v>
      </x:c>
      <x:c r="B87" s="1" t="n">
        <x:v>22</x:v>
      </x:c>
      <x:c r="C87" s="1" t="n">
        <x:v>112</x:v>
      </x:c>
      <x:c r="D87" s="6" t="n">
        <x:v>39884</x:v>
      </x:c>
      <x:c r="E87" s="6" t="n">
        <x:v>79768</x:v>
      </x:c>
      <x:c r="F87" s="6" t="n">
        <x:v>0</x:v>
      </x:c>
      <x:c r="G87" s="6" t="n">
        <x:v>79768</x:v>
      </x:c>
      <x:c r="H87" s="6" t="n">
        <x:v>39884</x:v>
      </x:c>
    </x:row>
    <x:row r="88" ht="21" customHeight="1">
      <x:c r="A88" s="1" t="str">
        <x:v>C0002588</x:v>
      </x:c>
      <x:c r="B88" s="1" t="n">
        <x:v>22</x:v>
      </x:c>
      <x:c r="C88" s="1" t="n">
        <x:v>112</x:v>
      </x:c>
      <x:c r="D88" s="6" t="n">
        <x:v>39884</x:v>
      </x:c>
      <x:c r="E88" s="6" t="n">
        <x:v>0</x:v>
      </x:c>
      <x:c r="F88" s="6" t="n">
        <x:v>0</x:v>
      </x:c>
      <x:c r="G88" s="6" t="n">
        <x:v>0</x:v>
      </x:c>
      <x:c r="H88" s="6" t="n">
        <x:v>-39884</x:v>
      </x:c>
    </x:row>
    <x:row r="89" ht="21" customHeight="1">
      <x:c r="A89" s="1" t="str">
        <x:v>C0002452</x:v>
      </x:c>
      <x:c r="B89" s="1" t="n">
        <x:v>22</x:v>
      </x:c>
      <x:c r="C89" s="1" t="n">
        <x:v>112</x:v>
      </x:c>
      <x:c r="D89" s="6" t="n">
        <x:v>39884</x:v>
      </x:c>
      <x:c r="E89" s="6" t="n">
        <x:v>0</x:v>
      </x:c>
      <x:c r="F89" s="6" t="n">
        <x:v>0</x:v>
      </x:c>
      <x:c r="G89" s="6" t="n">
        <x:v>0</x:v>
      </x:c>
      <x:c r="H89" s="6" t="n">
        <x:v>-39884</x:v>
      </x:c>
    </x:row>
    <x:row r="90" ht="21" customHeight="1">
      <x:c r="A90" s="1" t="str">
        <x:v>C0014692</x:v>
      </x:c>
      <x:c r="B90" s="1" t="n">
        <x:v>22</x:v>
      </x:c>
      <x:c r="C90" s="1" t="n">
        <x:v>112</x:v>
      </x:c>
      <x:c r="D90" s="6" t="n">
        <x:v>39884</x:v>
      </x:c>
      <x:c r="E90" s="6" t="n">
        <x:v>0</x:v>
      </x:c>
      <x:c r="F90" s="6" t="n">
        <x:v>0</x:v>
      </x:c>
      <x:c r="G90" s="6" t="n">
        <x:v>0</x:v>
      </x:c>
      <x:c r="H90" s="6" t="n">
        <x:v>-39884</x:v>
      </x:c>
    </x:row>
    <x:row r="91" ht="21" customHeight="1">
      <x:c r="A91" s="1" t="str">
        <x:v>C0002408</x:v>
      </x:c>
      <x:c r="B91" s="1" t="n">
        <x:v>22</x:v>
      </x:c>
      <x:c r="C91" s="1" t="n">
        <x:v>112</x:v>
      </x:c>
      <x:c r="D91" s="6" t="n">
        <x:v>39884</x:v>
      </x:c>
      <x:c r="E91" s="6" t="n">
        <x:v>79768</x:v>
      </x:c>
      <x:c r="F91" s="6" t="n">
        <x:v>0</x:v>
      </x:c>
      <x:c r="G91" s="6" t="n">
        <x:v>79768</x:v>
      </x:c>
      <x:c r="H91" s="6" t="n">
        <x:v>39884</x:v>
      </x:c>
    </x:row>
    <x:row r="92" ht="21" customHeight="1">
      <x:c r="A92" s="1" t="str">
        <x:v>C0009550</x:v>
      </x:c>
      <x:c r="B92" s="1" t="n">
        <x:v>16</x:v>
      </x:c>
      <x:c r="C92" s="1" t="n">
        <x:v>76</x:v>
      </x:c>
      <x:c r="D92" s="6" t="n">
        <x:v>39578</x:v>
      </x:c>
      <x:c r="E92" s="6" t="n">
        <x:v>0</x:v>
      </x:c>
      <x:c r="F92" s="6" t="n">
        <x:v>0</x:v>
      </x:c>
      <x:c r="G92" s="6" t="n">
        <x:v>0</x:v>
      </x:c>
      <x:c r="H92" s="6" t="n">
        <x:v>-39578</x:v>
      </x:c>
    </x:row>
    <x:row r="93" ht="21" customHeight="1">
      <x:c r="A93" s="1" t="str">
        <x:v>C0003323</x:v>
      </x:c>
      <x:c r="B93" s="1" t="n">
        <x:v>16</x:v>
      </x:c>
      <x:c r="C93" s="1" t="n">
        <x:v>76</x:v>
      </x:c>
      <x:c r="D93" s="6" t="n">
        <x:v>39578</x:v>
      </x:c>
      <x:c r="E93" s="6" t="n">
        <x:v>79156</x:v>
      </x:c>
      <x:c r="F93" s="6" t="n">
        <x:v>0</x:v>
      </x:c>
      <x:c r="G93" s="6" t="n">
        <x:v>79156</x:v>
      </x:c>
      <x:c r="H93" s="6" t="n">
        <x:v>39578</x:v>
      </x:c>
    </x:row>
    <x:row r="94" ht="21" customHeight="1">
      <x:c r="A94" s="1" t="str">
        <x:v>C0006940</x:v>
      </x:c>
      <x:c r="B94" s="1" t="n">
        <x:v>16</x:v>
      </x:c>
      <x:c r="C94" s="1" t="n">
        <x:v>76</x:v>
      </x:c>
      <x:c r="D94" s="6" t="n">
        <x:v>39578</x:v>
      </x:c>
      <x:c r="E94" s="6" t="n">
        <x:v>79156</x:v>
      </x:c>
      <x:c r="F94" s="6" t="n">
        <x:v>0</x:v>
      </x:c>
      <x:c r="G94" s="6" t="n">
        <x:v>79156</x:v>
      </x:c>
      <x:c r="H94" s="6" t="n">
        <x:v>39578</x:v>
      </x:c>
    </x:row>
    <x:row r="95" ht="21" customHeight="1">
      <x:c r="A95" s="1" t="str">
        <x:v>C0011753</x:v>
      </x:c>
      <x:c r="B95" s="1" t="n">
        <x:v>16</x:v>
      </x:c>
      <x:c r="C95" s="1" t="n">
        <x:v>76</x:v>
      </x:c>
      <x:c r="D95" s="6" t="n">
        <x:v>39578</x:v>
      </x:c>
      <x:c r="E95" s="6" t="n">
        <x:v>0</x:v>
      </x:c>
      <x:c r="F95" s="6" t="n">
        <x:v>0</x:v>
      </x:c>
      <x:c r="G95" s="6" t="n">
        <x:v>0</x:v>
      </x:c>
      <x:c r="H95" s="6" t="n">
        <x:v>-39578</x:v>
      </x:c>
    </x:row>
    <x:row r="96" ht="21" customHeight="1">
      <x:c r="A96" s="1" t="str">
        <x:v>C0008262</x:v>
      </x:c>
      <x:c r="B96" s="1" t="n">
        <x:v>16</x:v>
      </x:c>
      <x:c r="C96" s="1" t="n">
        <x:v>76</x:v>
      </x:c>
      <x:c r="D96" s="6" t="n">
        <x:v>0</x:v>
      </x:c>
      <x:c r="E96" s="6" t="n">
        <x:v>39578</x:v>
      </x:c>
      <x:c r="F96" s="6" t="n">
        <x:v>0</x:v>
      </x:c>
      <x:c r="G96" s="6" t="n">
        <x:v>39578</x:v>
      </x:c>
      <x:c r="H96" s="6" t="n">
        <x:v>39578</x:v>
      </x:c>
    </x:row>
    <x:row r="97" ht="21" customHeight="1">
      <x:c r="A97" s="1" t="str">
        <x:v>C0007149</x:v>
      </x:c>
      <x:c r="B97" s="1" t="n">
        <x:v>16</x:v>
      </x:c>
      <x:c r="C97" s="1" t="n">
        <x:v>76</x:v>
      </x:c>
      <x:c r="D97" s="6" t="n">
        <x:v>39578</x:v>
      </x:c>
      <x:c r="E97" s="6" t="n">
        <x:v>79156</x:v>
      </x:c>
      <x:c r="F97" s="6" t="n">
        <x:v>0</x:v>
      </x:c>
      <x:c r="G97" s="6" t="n">
        <x:v>79156</x:v>
      </x:c>
      <x:c r="H97" s="6" t="n">
        <x:v>39578</x:v>
      </x:c>
    </x:row>
    <x:row r="98" ht="21" customHeight="1">
      <x:c r="A98" s="1" t="str">
        <x:v>C0013107</x:v>
      </x:c>
      <x:c r="B98" s="1" t="n">
        <x:v>28</x:v>
      </x:c>
      <x:c r="C98" s="1" t="n">
        <x:v>28</x:v>
      </x:c>
      <x:c r="D98" s="6" t="n">
        <x:v>39534</x:v>
      </x:c>
      <x:c r="E98" s="6" t="n">
        <x:v>79068</x:v>
      </x:c>
      <x:c r="F98" s="6" t="n">
        <x:v>0</x:v>
      </x:c>
      <x:c r="G98" s="6" t="n">
        <x:v>79068</x:v>
      </x:c>
      <x:c r="H98" s="6" t="n">
        <x:v>39534</x:v>
      </x:c>
    </x:row>
    <x:row r="99" ht="21" customHeight="1">
      <x:c r="A99" s="1" t="str">
        <x:v>C0008414</x:v>
      </x:c>
      <x:c r="B99" s="1" t="n">
        <x:v>28</x:v>
      </x:c>
      <x:c r="C99" s="1" t="n">
        <x:v>28</x:v>
      </x:c>
      <x:c r="D99" s="6" t="n">
        <x:v>39534</x:v>
      </x:c>
      <x:c r="E99" s="6" t="n">
        <x:v>0</x:v>
      </x:c>
      <x:c r="F99" s="6" t="n">
        <x:v>0</x:v>
      </x:c>
      <x:c r="G99" s="6" t="n">
        <x:v>0</x:v>
      </x:c>
      <x:c r="H99" s="6" t="n">
        <x:v>-39534</x:v>
      </x:c>
    </x:row>
    <x:row r="100" ht="21" customHeight="1">
      <x:c r="A100" s="1" t="str">
        <x:v>C0006979</x:v>
      </x:c>
      <x:c r="B100" s="1" t="n">
        <x:v>28</x:v>
      </x:c>
      <x:c r="C100" s="1" t="n">
        <x:v>28</x:v>
      </x:c>
      <x:c r="D100" s="6" t="n">
        <x:v>39534</x:v>
      </x:c>
      <x:c r="E100" s="6" t="n">
        <x:v>0</x:v>
      </x:c>
      <x:c r="F100" s="6" t="n">
        <x:v>0</x:v>
      </x:c>
      <x:c r="G100" s="6" t="n">
        <x:v>0</x:v>
      </x:c>
      <x:c r="H100" s="6" t="n">
        <x:v>-39534</x:v>
      </x:c>
    </x:row>
    <x:row r="101" ht="21" customHeight="1">
      <x:c r="A101" s="1" t="str">
        <x:v>C0013372</x:v>
      </x:c>
      <x:c r="B101" s="1" t="n">
        <x:v>28</x:v>
      </x:c>
      <x:c r="C101" s="1" t="n">
        <x:v>28</x:v>
      </x:c>
      <x:c r="D101" s="6" t="n">
        <x:v>39534</x:v>
      </x:c>
      <x:c r="E101" s="6" t="n">
        <x:v>79068</x:v>
      </x:c>
      <x:c r="F101" s="6" t="n">
        <x:v>0</x:v>
      </x:c>
      <x:c r="G101" s="6" t="n">
        <x:v>79068</x:v>
      </x:c>
      <x:c r="H101" s="6" t="n">
        <x:v>39534</x:v>
      </x:c>
    </x:row>
    <x:row r="102" ht="21" customHeight="1">
      <x:c r="A102" s="1" t="str">
        <x:v>C0007680</x:v>
      </x:c>
      <x:c r="B102" s="1" t="n">
        <x:v>15</x:v>
      </x:c>
      <x:c r="C102" s="1" t="n">
        <x:v>105</x:v>
      </x:c>
      <x:c r="D102" s="6" t="n">
        <x:v>39090</x:v>
      </x:c>
      <x:c r="E102" s="6" t="n">
        <x:v>78180</x:v>
      </x:c>
      <x:c r="F102" s="6" t="n">
        <x:v>0</x:v>
      </x:c>
      <x:c r="G102" s="6" t="n">
        <x:v>78180</x:v>
      </x:c>
      <x:c r="H102" s="6" t="n">
        <x:v>39090</x:v>
      </x:c>
    </x:row>
    <x:row r="103" ht="21" customHeight="1">
      <x:c r="A103" s="1" t="str">
        <x:v>C0002225</x:v>
      </x:c>
      <x:c r="B103" s="1" t="n">
        <x:v>15</x:v>
      </x:c>
      <x:c r="C103" s="1" t="n">
        <x:v>105</x:v>
      </x:c>
      <x:c r="D103" s="6" t="n">
        <x:v>39090</x:v>
      </x:c>
      <x:c r="E103" s="6" t="n">
        <x:v>78180</x:v>
      </x:c>
      <x:c r="F103" s="6" t="n">
        <x:v>0</x:v>
      </x:c>
      <x:c r="G103" s="6" t="n">
        <x:v>78180</x:v>
      </x:c>
      <x:c r="H103" s="6" t="n">
        <x:v>39090</x:v>
      </x:c>
    </x:row>
    <x:row r="104" ht="21" customHeight="1">
      <x:c r="A104" s="1" t="str">
        <x:v>C0004502</x:v>
      </x:c>
      <x:c r="B104" s="1" t="n">
        <x:v>15</x:v>
      </x:c>
      <x:c r="C104" s="1" t="n">
        <x:v>105</x:v>
      </x:c>
      <x:c r="D104" s="6" t="n">
        <x:v>0</x:v>
      </x:c>
      <x:c r="E104" s="6" t="n">
        <x:v>39090</x:v>
      </x:c>
      <x:c r="F104" s="6" t="n">
        <x:v>0</x:v>
      </x:c>
      <x:c r="G104" s="6" t="n">
        <x:v>39090</x:v>
      </x:c>
      <x:c r="H104" s="6" t="n">
        <x:v>39090</x:v>
      </x:c>
    </x:row>
    <x:row r="105" ht="21" customHeight="1">
      <x:c r="A105" s="1" t="str">
        <x:v>C0015435</x:v>
      </x:c>
      <x:c r="B105" s="1" t="n">
        <x:v>15</x:v>
      </x:c>
      <x:c r="C105" s="1" t="n">
        <x:v>105</x:v>
      </x:c>
      <x:c r="D105" s="6" t="n">
        <x:v>39090</x:v>
      </x:c>
      <x:c r="E105" s="6" t="n">
        <x:v>0</x:v>
      </x:c>
      <x:c r="F105" s="6" t="n">
        <x:v>0</x:v>
      </x:c>
      <x:c r="G105" s="6" t="n">
        <x:v>0</x:v>
      </x:c>
      <x:c r="H105" s="6" t="n">
        <x:v>-39090</x:v>
      </x:c>
    </x:row>
    <x:row r="106" ht="21" customHeight="1">
      <x:c r="A106" s="1" t="str">
        <x:v>C0011002</x:v>
      </x:c>
      <x:c r="B106" s="1" t="n">
        <x:v>15</x:v>
      </x:c>
      <x:c r="C106" s="1" t="n">
        <x:v>105</x:v>
      </x:c>
      <x:c r="D106" s="6" t="n">
        <x:v>39090</x:v>
      </x:c>
      <x:c r="E106" s="6" t="n">
        <x:v>78180</x:v>
      </x:c>
      <x:c r="F106" s="6" t="n">
        <x:v>0</x:v>
      </x:c>
      <x:c r="G106" s="6" t="n">
        <x:v>78180</x:v>
      </x:c>
      <x:c r="H106" s="6" t="n">
        <x:v>39090</x:v>
      </x:c>
    </x:row>
    <x:row r="107" ht="21" customHeight="1">
      <x:c r="A107" s="1" t="str">
        <x:v>C0008847</x:v>
      </x:c>
      <x:c r="B107" s="1" t="n">
        <x:v>15</x:v>
      </x:c>
      <x:c r="C107" s="1" t="n">
        <x:v>105</x:v>
      </x:c>
      <x:c r="D107" s="6" t="n">
        <x:v>39090</x:v>
      </x:c>
      <x:c r="E107" s="6" t="n">
        <x:v>78180</x:v>
      </x:c>
      <x:c r="F107" s="6" t="n">
        <x:v>0</x:v>
      </x:c>
      <x:c r="G107" s="6" t="n">
        <x:v>78180</x:v>
      </x:c>
      <x:c r="H107" s="6" t="n">
        <x:v>39090</x:v>
      </x:c>
    </x:row>
    <x:row r="108" ht="21" customHeight="1">
      <x:c r="A108" s="1" t="str">
        <x:v>C0017403</x:v>
      </x:c>
      <x:c r="B108" s="1" t="n">
        <x:v>15</x:v>
      </x:c>
      <x:c r="C108" s="1" t="n">
        <x:v>105</x:v>
      </x:c>
      <x:c r="D108" s="6" t="n">
        <x:v>0</x:v>
      </x:c>
      <x:c r="E108" s="6" t="n">
        <x:v>39090</x:v>
      </x:c>
      <x:c r="F108" s="6" t="n">
        <x:v>0</x:v>
      </x:c>
      <x:c r="G108" s="6" t="n">
        <x:v>39090</x:v>
      </x:c>
      <x:c r="H108" s="6" t="n">
        <x:v>39090</x:v>
      </x:c>
    </x:row>
    <x:row r="109" ht="21" customHeight="1">
      <x:c r="A109" s="1" t="str">
        <x:v>C0011612</x:v>
      </x:c>
      <x:c r="B109" s="1" t="n">
        <x:v>12</x:v>
      </x:c>
      <x:c r="C109" s="1" t="n">
        <x:v>12</x:v>
      </x:c>
      <x:c r="D109" s="6" t="n">
        <x:v>37988</x:v>
      </x:c>
      <x:c r="E109" s="6" t="n">
        <x:v>75976</x:v>
      </x:c>
      <x:c r="F109" s="6" t="n">
        <x:v>0</x:v>
      </x:c>
      <x:c r="G109" s="6" t="n">
        <x:v>75976</x:v>
      </x:c>
      <x:c r="H109" s="6" t="n">
        <x:v>37988</x:v>
      </x:c>
    </x:row>
    <x:row r="110" ht="21" customHeight="1">
      <x:c r="A110" s="1" t="str">
        <x:v>C0002634</x:v>
      </x:c>
      <x:c r="B110" s="1" t="n">
        <x:v>12</x:v>
      </x:c>
      <x:c r="C110" s="1" t="n">
        <x:v>12</x:v>
      </x:c>
      <x:c r="D110" s="6" t="n">
        <x:v>37988</x:v>
      </x:c>
      <x:c r="E110" s="6" t="n">
        <x:v>0</x:v>
      </x:c>
      <x:c r="F110" s="6" t="n">
        <x:v>0</x:v>
      </x:c>
      <x:c r="G110" s="6" t="n">
        <x:v>0</x:v>
      </x:c>
      <x:c r="H110" s="6" t="n">
        <x:v>-37988</x:v>
      </x:c>
    </x:row>
    <x:row r="111" ht="21" customHeight="1">
      <x:c r="A111" s="1" t="str">
        <x:v>C0007449</x:v>
      </x:c>
      <x:c r="B111" s="1" t="n">
        <x:v>12</x:v>
      </x:c>
      <x:c r="C111" s="1" t="n">
        <x:v>12</x:v>
      </x:c>
      <x:c r="D111" s="6" t="n">
        <x:v>37988</x:v>
      </x:c>
      <x:c r="E111" s="6" t="n">
        <x:v>0</x:v>
      </x:c>
      <x:c r="F111" s="6" t="n">
        <x:v>0</x:v>
      </x:c>
      <x:c r="G111" s="6" t="n">
        <x:v>0</x:v>
      </x:c>
      <x:c r="H111" s="6" t="n">
        <x:v>-37988</x:v>
      </x:c>
    </x:row>
    <x:row r="112" ht="21" customHeight="1">
      <x:c r="A112" s="1" t="str">
        <x:v>C0001277</x:v>
      </x:c>
      <x:c r="B112" s="1" t="n">
        <x:v>12</x:v>
      </x:c>
      <x:c r="C112" s="1" t="n">
        <x:v>12</x:v>
      </x:c>
      <x:c r="D112" s="6" t="n">
        <x:v>37988</x:v>
      </x:c>
      <x:c r="E112" s="6" t="n">
        <x:v>0</x:v>
      </x:c>
      <x:c r="F112" s="6" t="n">
        <x:v>0</x:v>
      </x:c>
      <x:c r="G112" s="6" t="n">
        <x:v>0</x:v>
      </x:c>
      <x:c r="H112" s="6" t="n">
        <x:v>-37988</x:v>
      </x:c>
    </x:row>
    <x:row r="113" ht="21" customHeight="1">
      <x:c r="A113" s="1" t="str">
        <x:v>C0001604</x:v>
      </x:c>
      <x:c r="B113" s="1" t="n">
        <x:v>12</x:v>
      </x:c>
      <x:c r="C113" s="1" t="n">
        <x:v>12</x:v>
      </x:c>
      <x:c r="D113" s="6" t="n">
        <x:v>37988</x:v>
      </x:c>
      <x:c r="E113" s="6" t="n">
        <x:v>0</x:v>
      </x:c>
      <x:c r="F113" s="6" t="n">
        <x:v>0</x:v>
      </x:c>
      <x:c r="G113" s="6" t="n">
        <x:v>0</x:v>
      </x:c>
      <x:c r="H113" s="6" t="n">
        <x:v>-37988</x:v>
      </x:c>
    </x:row>
    <x:row r="114" ht="21" customHeight="1">
      <x:c r="A114" s="1" t="str">
        <x:v>C0001355</x:v>
      </x:c>
      <x:c r="B114" s="1" t="n">
        <x:v>12</x:v>
      </x:c>
      <x:c r="C114" s="1" t="n">
        <x:v>12</x:v>
      </x:c>
      <x:c r="D114" s="6" t="n">
        <x:v>37988</x:v>
      </x:c>
      <x:c r="E114" s="6" t="n">
        <x:v>75976</x:v>
      </x:c>
      <x:c r="F114" s="6" t="n">
        <x:v>0</x:v>
      </x:c>
      <x:c r="G114" s="6" t="n">
        <x:v>75976</x:v>
      </x:c>
      <x:c r="H114" s="6" t="n">
        <x:v>37988</x:v>
      </x:c>
    </x:row>
    <x:row r="115" ht="21" customHeight="1">
      <x:c r="A115" s="1" t="str">
        <x:v>C0001418</x:v>
      </x:c>
      <x:c r="B115" s="1" t="n">
        <x:v>8</x:v>
      </x:c>
      <x:c r="C115" s="1" t="n">
        <x:v>38</x:v>
      </x:c>
      <x:c r="D115" s="6" t="n">
        <x:v>36834</x:v>
      </x:c>
      <x:c r="E115" s="6" t="n">
        <x:v>73668</x:v>
      </x:c>
      <x:c r="F115" s="6" t="n">
        <x:v>0</x:v>
      </x:c>
      <x:c r="G115" s="6" t="n">
        <x:v>73668</x:v>
      </x:c>
      <x:c r="H115" s="6" t="n">
        <x:v>36834</x:v>
      </x:c>
    </x:row>
    <x:row r="116" ht="21" customHeight="1">
      <x:c r="A116" s="1" t="str">
        <x:v>C0011620</x:v>
      </x:c>
      <x:c r="B116" s="1" t="n">
        <x:v>8</x:v>
      </x:c>
      <x:c r="C116" s="1" t="n">
        <x:v>38</x:v>
      </x:c>
      <x:c r="D116" s="6" t="n">
        <x:v>36834</x:v>
      </x:c>
      <x:c r="E116" s="6" t="n">
        <x:v>73668</x:v>
      </x:c>
      <x:c r="F116" s="6" t="n">
        <x:v>0</x:v>
      </x:c>
      <x:c r="G116" s="6" t="n">
        <x:v>73668</x:v>
      </x:c>
      <x:c r="H116" s="6" t="n">
        <x:v>36834</x:v>
      </x:c>
    </x:row>
    <x:row r="117" ht="21" customHeight="1">
      <x:c r="A117" s="1" t="str">
        <x:v>C0000113</x:v>
      </x:c>
      <x:c r="B117" s="1" t="n">
        <x:v>8</x:v>
      </x:c>
      <x:c r="C117" s="1" t="n">
        <x:v>38</x:v>
      </x:c>
      <x:c r="D117" s="6" t="n">
        <x:v>36834</x:v>
      </x:c>
      <x:c r="E117" s="6" t="n">
        <x:v>0</x:v>
      </x:c>
      <x:c r="F117" s="6" t="n">
        <x:v>0</x:v>
      </x:c>
      <x:c r="G117" s="6" t="n">
        <x:v>0</x:v>
      </x:c>
      <x:c r="H117" s="6" t="n">
        <x:v>-36834</x:v>
      </x:c>
    </x:row>
    <x:row r="118" ht="21" customHeight="1">
      <x:c r="A118" s="1" t="str">
        <x:v>C0010585</x:v>
      </x:c>
      <x:c r="B118" s="1" t="n">
        <x:v>8</x:v>
      </x:c>
      <x:c r="C118" s="1" t="n">
        <x:v>38</x:v>
      </x:c>
      <x:c r="D118" s="6" t="n">
        <x:v>36834</x:v>
      </x:c>
      <x:c r="E118" s="6" t="n">
        <x:v>0</x:v>
      </x:c>
      <x:c r="F118" s="6" t="n">
        <x:v>0</x:v>
      </x:c>
      <x:c r="G118" s="6" t="n">
        <x:v>0</x:v>
      </x:c>
      <x:c r="H118" s="6" t="n">
        <x:v>-36834</x:v>
      </x:c>
    </x:row>
    <x:row r="119" ht="21" customHeight="1">
      <x:c r="A119" s="1" t="str">
        <x:v>C0007036</x:v>
      </x:c>
      <x:c r="B119" s="1" t="n">
        <x:v>8</x:v>
      </x:c>
      <x:c r="C119" s="1" t="n">
        <x:v>38</x:v>
      </x:c>
      <x:c r="D119" s="6" t="n">
        <x:v>36834</x:v>
      </x:c>
      <x:c r="E119" s="6" t="n">
        <x:v>73668</x:v>
      </x:c>
      <x:c r="F119" s="6" t="n">
        <x:v>0</x:v>
      </x:c>
      <x:c r="G119" s="6" t="n">
        <x:v>73668</x:v>
      </x:c>
      <x:c r="H119" s="6" t="n">
        <x:v>36834</x:v>
      </x:c>
    </x:row>
    <x:row r="120" ht="21" customHeight="1">
      <x:c r="A120" s="1" t="str">
        <x:v>C0011761</x:v>
      </x:c>
      <x:c r="B120" s="1" t="n">
        <x:v>11</x:v>
      </x:c>
      <x:c r="C120" s="1" t="n">
        <x:v>101</x:v>
      </x:c>
      <x:c r="D120" s="6" t="n">
        <x:v>35836</x:v>
      </x:c>
      <x:c r="E120" s="6" t="n">
        <x:v>71672</x:v>
      </x:c>
      <x:c r="F120" s="6" t="n">
        <x:v>0</x:v>
      </x:c>
      <x:c r="G120" s="6" t="n">
        <x:v>71672</x:v>
      </x:c>
      <x:c r="H120" s="6" t="n">
        <x:v>35836</x:v>
      </x:c>
    </x:row>
    <x:row r="121" ht="21" customHeight="1">
      <x:c r="A121" s="1" t="str">
        <x:v>C0012627</x:v>
      </x:c>
      <x:c r="B121" s="1" t="n">
        <x:v>11</x:v>
      </x:c>
      <x:c r="C121" s="1" t="n">
        <x:v>101</x:v>
      </x:c>
      <x:c r="D121" s="6" t="n">
        <x:v>35836</x:v>
      </x:c>
      <x:c r="E121" s="6" t="n">
        <x:v>0</x:v>
      </x:c>
      <x:c r="F121" s="6" t="n">
        <x:v>0</x:v>
      </x:c>
      <x:c r="G121" s="6" t="n">
        <x:v>0</x:v>
      </x:c>
      <x:c r="H121" s="6" t="n">
        <x:v>-35836</x:v>
      </x:c>
    </x:row>
    <x:row r="122" ht="21" customHeight="1">
      <x:c r="A122" s="1" t="str">
        <x:v>C0012484</x:v>
      </x:c>
      <x:c r="B122" s="1" t="n">
        <x:v>11</x:v>
      </x:c>
      <x:c r="C122" s="1" t="n">
        <x:v>101</x:v>
      </x:c>
      <x:c r="D122" s="6" t="n">
        <x:v>35836</x:v>
      </x:c>
      <x:c r="E122" s="6" t="n">
        <x:v>71672</x:v>
      </x:c>
      <x:c r="F122" s="6" t="n">
        <x:v>0</x:v>
      </x:c>
      <x:c r="G122" s="6" t="n">
        <x:v>71672</x:v>
      </x:c>
      <x:c r="H122" s="6" t="n">
        <x:v>35836</x:v>
      </x:c>
    </x:row>
    <x:row r="123" ht="21" customHeight="1">
      <x:c r="A123" s="1" t="str">
        <x:v>C0009736</x:v>
      </x:c>
      <x:c r="B123" s="1" t="n">
        <x:v>11</x:v>
      </x:c>
      <x:c r="C123" s="1" t="n">
        <x:v>101</x:v>
      </x:c>
      <x:c r="D123" s="6" t="n">
        <x:v>35836</x:v>
      </x:c>
      <x:c r="E123" s="6" t="n">
        <x:v>71672</x:v>
      </x:c>
      <x:c r="F123" s="6" t="n">
        <x:v>0</x:v>
      </x:c>
      <x:c r="G123" s="6" t="n">
        <x:v>71672</x:v>
      </x:c>
      <x:c r="H123" s="6" t="n">
        <x:v>35836</x:v>
      </x:c>
    </x:row>
    <x:row r="124" ht="21" customHeight="1">
      <x:c r="A124" s="1" t="str">
        <x:v>C0011426</x:v>
      </x:c>
      <x:c r="B124" s="1" t="n">
        <x:v>11</x:v>
      </x:c>
      <x:c r="C124" s="1" t="n">
        <x:v>101</x:v>
      </x:c>
      <x:c r="D124" s="6" t="n">
        <x:v>35836</x:v>
      </x:c>
      <x:c r="E124" s="6" t="n">
        <x:v>71672</x:v>
      </x:c>
      <x:c r="F124" s="6" t="n">
        <x:v>0</x:v>
      </x:c>
      <x:c r="G124" s="6" t="n">
        <x:v>71672</x:v>
      </x:c>
      <x:c r="H124" s="6" t="n">
        <x:v>35836</x:v>
      </x:c>
    </x:row>
    <x:row r="125" ht="21" customHeight="1">
      <x:c r="A125" s="1" t="str">
        <x:v>C0015683</x:v>
      </x:c>
      <x:c r="B125" s="1" t="n">
        <x:v>16</x:v>
      </x:c>
      <x:c r="C125" s="1" t="n">
        <x:v>46</x:v>
      </x:c>
      <x:c r="D125" s="6" t="n">
        <x:v>35484</x:v>
      </x:c>
      <x:c r="E125" s="6" t="n">
        <x:v>70968</x:v>
      </x:c>
      <x:c r="F125" s="6" t="n">
        <x:v>0</x:v>
      </x:c>
      <x:c r="G125" s="6" t="n">
        <x:v>70968</x:v>
      </x:c>
      <x:c r="H125" s="6" t="n">
        <x:v>35484</x:v>
      </x:c>
    </x:row>
    <x:row r="126" ht="21" customHeight="1">
      <x:c r="A126" s="1" t="str">
        <x:v>C0013378</x:v>
      </x:c>
      <x:c r="B126" s="1" t="n">
        <x:v>16</x:v>
      </x:c>
      <x:c r="C126" s="1" t="n">
        <x:v>46</x:v>
      </x:c>
      <x:c r="D126" s="6" t="n">
        <x:v>0</x:v>
      </x:c>
      <x:c r="E126" s="6" t="n">
        <x:v>35484</x:v>
      </x:c>
      <x:c r="F126" s="6" t="n">
        <x:v>0</x:v>
      </x:c>
      <x:c r="G126" s="6" t="n">
        <x:v>35484</x:v>
      </x:c>
      <x:c r="H126" s="6" t="n">
        <x:v>35484</x:v>
      </x:c>
    </x:row>
    <x:row r="127" ht="21" customHeight="1">
      <x:c r="A127" s="1" t="str">
        <x:v>C0017239</x:v>
      </x:c>
      <x:c r="B127" s="1" t="n">
        <x:v>16</x:v>
      </x:c>
      <x:c r="C127" s="1" t="n">
        <x:v>46</x:v>
      </x:c>
      <x:c r="D127" s="6" t="n">
        <x:v>35484</x:v>
      </x:c>
      <x:c r="E127" s="6" t="n">
        <x:v>70968</x:v>
      </x:c>
      <x:c r="F127" s="6" t="n">
        <x:v>0</x:v>
      </x:c>
      <x:c r="G127" s="6" t="n">
        <x:v>70968</x:v>
      </x:c>
      <x:c r="H127" s="6" t="n">
        <x:v>35484</x:v>
      </x:c>
    </x:row>
    <x:row r="128" ht="21" customHeight="1">
      <x:c r="A128" s="1" t="str">
        <x:v>C0011882</x:v>
      </x:c>
      <x:c r="B128" s="1" t="n">
        <x:v>16</x:v>
      </x:c>
      <x:c r="C128" s="1" t="n">
        <x:v>46</x:v>
      </x:c>
      <x:c r="D128" s="6" t="n">
        <x:v>35484</x:v>
      </x:c>
      <x:c r="E128" s="6" t="n">
        <x:v>0</x:v>
      </x:c>
      <x:c r="F128" s="6" t="n">
        <x:v>0</x:v>
      </x:c>
      <x:c r="G128" s="6" t="n">
        <x:v>0</x:v>
      </x:c>
      <x:c r="H128" s="6" t="n">
        <x:v>-35484</x:v>
      </x:c>
    </x:row>
    <x:row r="129" ht="21" customHeight="1">
      <x:c r="A129" s="1" t="str">
        <x:v>C0010746</x:v>
      </x:c>
      <x:c r="B129" s="1" t="n">
        <x:v>16</x:v>
      </x:c>
      <x:c r="C129" s="1" t="n">
        <x:v>46</x:v>
      </x:c>
      <x:c r="D129" s="6" t="n">
        <x:v>35484</x:v>
      </x:c>
      <x:c r="E129" s="6" t="n">
        <x:v>70968</x:v>
      </x:c>
      <x:c r="F129" s="6" t="n">
        <x:v>0</x:v>
      </x:c>
      <x:c r="G129" s="6" t="n">
        <x:v>70968</x:v>
      </x:c>
      <x:c r="H129" s="6" t="n">
        <x:v>35484</x:v>
      </x:c>
    </x:row>
    <x:row r="130" ht="21" customHeight="1">
      <x:c r="A130" s="1" t="str">
        <x:v>C0010519</x:v>
      </x:c>
      <x:c r="B130" s="1" t="n">
        <x:v>16</x:v>
      </x:c>
      <x:c r="C130" s="1" t="n">
        <x:v>46</x:v>
      </x:c>
      <x:c r="D130" s="6" t="n">
        <x:v>35484</x:v>
      </x:c>
      <x:c r="E130" s="6" t="n">
        <x:v>0</x:v>
      </x:c>
      <x:c r="F130" s="6" t="n">
        <x:v>0</x:v>
      </x:c>
      <x:c r="G130" s="6" t="n">
        <x:v>0</x:v>
      </x:c>
      <x:c r="H130" s="6" t="n">
        <x:v>-35484</x:v>
      </x:c>
    </x:row>
    <x:row r="131" ht="21" customHeight="1">
      <x:c r="A131" s="1" t="str">
        <x:v>C0011687</x:v>
      </x:c>
      <x:c r="B131" s="1" t="n">
        <x:v>5</x:v>
      </x:c>
      <x:c r="C131" s="1" t="n">
        <x:v>5</x:v>
      </x:c>
      <x:c r="D131" s="6" t="n">
        <x:v>35190</x:v>
      </x:c>
      <x:c r="E131" s="6" t="n">
        <x:v>70380</x:v>
      </x:c>
      <x:c r="F131" s="6" t="n">
        <x:v>0</x:v>
      </x:c>
      <x:c r="G131" s="6" t="n">
        <x:v>70380</x:v>
      </x:c>
      <x:c r="H131" s="6" t="n">
        <x:v>35190</x:v>
      </x:c>
    </x:row>
    <x:row r="132" ht="21" customHeight="1">
      <x:c r="A132" s="1" t="str">
        <x:v>C0001092</x:v>
      </x:c>
      <x:c r="B132" s="1" t="n">
        <x:v>5</x:v>
      </x:c>
      <x:c r="C132" s="1" t="n">
        <x:v>5</x:v>
      </x:c>
      <x:c r="D132" s="6" t="n">
        <x:v>35190</x:v>
      </x:c>
      <x:c r="E132" s="6" t="n">
        <x:v>0</x:v>
      </x:c>
      <x:c r="F132" s="6" t="n">
        <x:v>0</x:v>
      </x:c>
      <x:c r="G132" s="6" t="n">
        <x:v>0</x:v>
      </x:c>
      <x:c r="H132" s="6" t="n">
        <x:v>-35190</x:v>
      </x:c>
    </x:row>
    <x:row r="133" ht="21" customHeight="1">
      <x:c r="A133" s="1" t="str">
        <x:v>C0005431</x:v>
      </x:c>
      <x:c r="B133" s="1" t="n">
        <x:v>5</x:v>
      </x:c>
      <x:c r="C133" s="1" t="n">
        <x:v>5</x:v>
      </x:c>
      <x:c r="D133" s="6" t="n">
        <x:v>35190</x:v>
      </x:c>
      <x:c r="E133" s="6" t="n">
        <x:v>0</x:v>
      </x:c>
      <x:c r="F133" s="6" t="n">
        <x:v>0</x:v>
      </x:c>
      <x:c r="G133" s="6" t="n">
        <x:v>0</x:v>
      </x:c>
      <x:c r="H133" s="6" t="n">
        <x:v>-35190</x:v>
      </x:c>
    </x:row>
    <x:row r="134" ht="21" customHeight="1">
      <x:c r="A134" s="1" t="str">
        <x:v>C0011861</x:v>
      </x:c>
      <x:c r="B134" s="1" t="n">
        <x:v>5</x:v>
      </x:c>
      <x:c r="C134" s="1" t="n">
        <x:v>5</x:v>
      </x:c>
      <x:c r="D134" s="6" t="n">
        <x:v>35190</x:v>
      </x:c>
      <x:c r="E134" s="6" t="n">
        <x:v>70380</x:v>
      </x:c>
      <x:c r="F134" s="6" t="n">
        <x:v>0</x:v>
      </x:c>
      <x:c r="G134" s="6" t="n">
        <x:v>70380</x:v>
      </x:c>
      <x:c r="H134" s="6" t="n">
        <x:v>35190</x:v>
      </x:c>
    </x:row>
    <x:row r="135" ht="21" customHeight="1">
      <x:c r="A135" s="1" t="str">
        <x:v>C0016309</x:v>
      </x:c>
      <x:c r="B135" s="1" t="n">
        <x:v>5</x:v>
      </x:c>
      <x:c r="C135" s="1" t="n">
        <x:v>5</x:v>
      </x:c>
      <x:c r="D135" s="6" t="n">
        <x:v>35190</x:v>
      </x:c>
      <x:c r="E135" s="6" t="n">
        <x:v>0</x:v>
      </x:c>
      <x:c r="F135" s="6" t="n">
        <x:v>0</x:v>
      </x:c>
      <x:c r="G135" s="6" t="n">
        <x:v>0</x:v>
      </x:c>
      <x:c r="H135" s="6" t="n">
        <x:v>-35190</x:v>
      </x:c>
    </x:row>
    <x:row r="136" ht="21" customHeight="1">
      <x:c r="A136" s="1" t="str">
        <x:v>C0008827</x:v>
      </x:c>
      <x:c r="B136" s="1" t="n">
        <x:v>5</x:v>
      </x:c>
      <x:c r="C136" s="1" t="n">
        <x:v>5</x:v>
      </x:c>
      <x:c r="D136" s="6" t="n">
        <x:v>35190</x:v>
      </x:c>
      <x:c r="E136" s="6" t="n">
        <x:v>70380</x:v>
      </x:c>
      <x:c r="F136" s="6" t="n">
        <x:v>0</x:v>
      </x:c>
      <x:c r="G136" s="6" t="n">
        <x:v>70380</x:v>
      </x:c>
      <x:c r="H136" s="6" t="n">
        <x:v>35190</x:v>
      </x:c>
    </x:row>
    <x:row r="137" ht="21" customHeight="1">
      <x:c r="A137" s="1" t="str">
        <x:v>C0006125</x:v>
      </x:c>
      <x:c r="B137" s="1" t="n">
        <x:v>2</x:v>
      </x:c>
      <x:c r="C137" s="1" t="n">
        <x:v>92</x:v>
      </x:c>
      <x:c r="D137" s="6" t="n">
        <x:v>0</x:v>
      </x:c>
      <x:c r="E137" s="6" t="n">
        <x:v>34766</x:v>
      </x:c>
      <x:c r="F137" s="6" t="n">
        <x:v>0</x:v>
      </x:c>
      <x:c r="G137" s="6" t="n">
        <x:v>34766</x:v>
      </x:c>
      <x:c r="H137" s="6" t="n">
        <x:v>34766</x:v>
      </x:c>
    </x:row>
    <x:row r="138" ht="21" customHeight="1">
      <x:c r="A138" s="1" t="str">
        <x:v>C0011144</x:v>
      </x:c>
      <x:c r="B138" s="1" t="n">
        <x:v>2</x:v>
      </x:c>
      <x:c r="C138" s="1" t="n">
        <x:v>92</x:v>
      </x:c>
      <x:c r="D138" s="6" t="n">
        <x:v>34766</x:v>
      </x:c>
      <x:c r="E138" s="6" t="n">
        <x:v>0</x:v>
      </x:c>
      <x:c r="F138" s="6" t="n">
        <x:v>0</x:v>
      </x:c>
      <x:c r="G138" s="6" t="n">
        <x:v>0</x:v>
      </x:c>
      <x:c r="H138" s="6" t="n">
        <x:v>-34766</x:v>
      </x:c>
    </x:row>
    <x:row r="139" ht="21" customHeight="1">
      <x:c r="A139" s="1" t="str">
        <x:v>C0001666</x:v>
      </x:c>
      <x:c r="B139" s="1" t="n">
        <x:v>2</x:v>
      </x:c>
      <x:c r="C139" s="1" t="n">
        <x:v>92</x:v>
      </x:c>
      <x:c r="D139" s="6" t="n">
        <x:v>34766</x:v>
      </x:c>
      <x:c r="E139" s="6" t="n">
        <x:v>0</x:v>
      </x:c>
      <x:c r="F139" s="6" t="n">
        <x:v>0</x:v>
      </x:c>
      <x:c r="G139" s="6" t="n">
        <x:v>0</x:v>
      </x:c>
      <x:c r="H139" s="6" t="n">
        <x:v>-34766</x:v>
      </x:c>
    </x:row>
    <x:row r="140" ht="21" customHeight="1">
      <x:c r="A140" s="1" t="str">
        <x:v>C0011341</x:v>
      </x:c>
      <x:c r="B140" s="1" t="n">
        <x:v>2</x:v>
      </x:c>
      <x:c r="C140" s="1" t="n">
        <x:v>92</x:v>
      </x:c>
      <x:c r="D140" s="6" t="n">
        <x:v>34766</x:v>
      </x:c>
      <x:c r="E140" s="6" t="n">
        <x:v>0</x:v>
      </x:c>
      <x:c r="F140" s="6" t="n">
        <x:v>0</x:v>
      </x:c>
      <x:c r="G140" s="6" t="n">
        <x:v>0</x:v>
      </x:c>
      <x:c r="H140" s="6" t="n">
        <x:v>-34766</x:v>
      </x:c>
    </x:row>
    <x:row r="141" ht="21" customHeight="1">
      <x:c r="A141" s="1" t="str">
        <x:v>C0017644</x:v>
      </x:c>
      <x:c r="B141" s="1" t="n">
        <x:v>2</x:v>
      </x:c>
      <x:c r="C141" s="1" t="n">
        <x:v>92</x:v>
      </x:c>
      <x:c r="D141" s="6" t="n">
        <x:v>34766</x:v>
      </x:c>
      <x:c r="E141" s="6" t="n">
        <x:v>69532</x:v>
      </x:c>
      <x:c r="F141" s="6" t="n">
        <x:v>0</x:v>
      </x:c>
      <x:c r="G141" s="6" t="n">
        <x:v>69532</x:v>
      </x:c>
      <x:c r="H141" s="6" t="n">
        <x:v>34766</x:v>
      </x:c>
    </x:row>
    <x:row r="142" ht="21" customHeight="1">
      <x:c r="A142" s="1" t="str">
        <x:v>C0005691</x:v>
      </x:c>
      <x:c r="B142" s="1" t="n">
        <x:v>2</x:v>
      </x:c>
      <x:c r="C142" s="1" t="n">
        <x:v>92</x:v>
      </x:c>
      <x:c r="D142" s="6" t="n">
        <x:v>0</x:v>
      </x:c>
      <x:c r="E142" s="6" t="n">
        <x:v>34766</x:v>
      </x:c>
      <x:c r="F142" s="6" t="n">
        <x:v>0</x:v>
      </x:c>
      <x:c r="G142" s="6" t="n">
        <x:v>34766</x:v>
      </x:c>
      <x:c r="H142" s="6" t="n">
        <x:v>34766</x:v>
      </x:c>
    </x:row>
    <x:row r="143" ht="21" customHeight="1">
      <x:c r="A143" s="1" t="str">
        <x:v>C0001236</x:v>
      </x:c>
      <x:c r="B143" s="1" t="n">
        <x:v>23</x:v>
      </x:c>
      <x:c r="C143" s="1" t="n">
        <x:v>53</x:v>
      </x:c>
      <x:c r="D143" s="6" t="n">
        <x:v>34462</x:v>
      </x:c>
      <x:c r="E143" s="6" t="n">
        <x:v>68924</x:v>
      </x:c>
      <x:c r="F143" s="6" t="n">
        <x:v>0</x:v>
      </x:c>
      <x:c r="G143" s="6" t="n">
        <x:v>68924</x:v>
      </x:c>
      <x:c r="H143" s="6" t="n">
        <x:v>34462</x:v>
      </x:c>
    </x:row>
    <x:row r="144" ht="21" customHeight="1">
      <x:c r="A144" s="1" t="str">
        <x:v>C0008360</x:v>
      </x:c>
      <x:c r="B144" s="1" t="n">
        <x:v>23</x:v>
      </x:c>
      <x:c r="C144" s="1" t="n">
        <x:v>53</x:v>
      </x:c>
      <x:c r="D144" s="6" t="n">
        <x:v>34462</x:v>
      </x:c>
      <x:c r="E144" s="6" t="n">
        <x:v>68924</x:v>
      </x:c>
      <x:c r="F144" s="6" t="n">
        <x:v>0</x:v>
      </x:c>
      <x:c r="G144" s="6" t="n">
        <x:v>68924</x:v>
      </x:c>
      <x:c r="H144" s="6" t="n">
        <x:v>34462</x:v>
      </x:c>
    </x:row>
    <x:row r="145" ht="21" customHeight="1">
      <x:c r="A145" s="1" t="str">
        <x:v>C0012141</x:v>
      </x:c>
      <x:c r="B145" s="1" t="n">
        <x:v>23</x:v>
      </x:c>
      <x:c r="C145" s="1" t="n">
        <x:v>53</x:v>
      </x:c>
      <x:c r="D145" s="6" t="n">
        <x:v>34462</x:v>
      </x:c>
      <x:c r="E145" s="6" t="n">
        <x:v>0</x:v>
      </x:c>
      <x:c r="F145" s="6" t="n">
        <x:v>0</x:v>
      </x:c>
      <x:c r="G145" s="6" t="n">
        <x:v>0</x:v>
      </x:c>
      <x:c r="H145" s="6" t="n">
        <x:v>-34462</x:v>
      </x:c>
    </x:row>
    <x:row r="146" ht="21" customHeight="1">
      <x:c r="A146" s="1" t="str">
        <x:v>C0002930</x:v>
      </x:c>
      <x:c r="B146" s="1" t="n">
        <x:v>23</x:v>
      </x:c>
      <x:c r="C146" s="1" t="n">
        <x:v>53</x:v>
      </x:c>
      <x:c r="D146" s="6" t="n">
        <x:v>34462</x:v>
      </x:c>
      <x:c r="E146" s="6" t="n">
        <x:v>0</x:v>
      </x:c>
      <x:c r="F146" s="6" t="n">
        <x:v>0</x:v>
      </x:c>
      <x:c r="G146" s="6" t="n">
        <x:v>0</x:v>
      </x:c>
      <x:c r="H146" s="6" t="n">
        <x:v>-34462</x:v>
      </x:c>
    </x:row>
    <x:row r="147" ht="21" customHeight="1">
      <x:c r="A147" s="1" t="str">
        <x:v>C0007649</x:v>
      </x:c>
      <x:c r="B147" s="1" t="n">
        <x:v>23</x:v>
      </x:c>
      <x:c r="C147" s="1" t="n">
        <x:v>53</x:v>
      </x:c>
      <x:c r="D147" s="6" t="n">
        <x:v>34462</x:v>
      </x:c>
      <x:c r="E147" s="6" t="n">
        <x:v>68924</x:v>
      </x:c>
      <x:c r="F147" s="6" t="n">
        <x:v>0</x:v>
      </x:c>
      <x:c r="G147" s="6" t="n">
        <x:v>68924</x:v>
      </x:c>
      <x:c r="H147" s="6" t="n">
        <x:v>34462</x:v>
      </x:c>
    </x:row>
    <x:row r="148" ht="21" customHeight="1">
      <x:c r="A148" s="1" t="str">
        <x:v>C0010789</x:v>
      </x:c>
      <x:c r="B148" s="1" t="n">
        <x:v>23</x:v>
      </x:c>
      <x:c r="C148" s="1" t="n">
        <x:v>53</x:v>
      </x:c>
      <x:c r="D148" s="6" t="n">
        <x:v>34462</x:v>
      </x:c>
      <x:c r="E148" s="6" t="n">
        <x:v>0</x:v>
      </x:c>
      <x:c r="F148" s="6" t="n">
        <x:v>0</x:v>
      </x:c>
      <x:c r="G148" s="6" t="n">
        <x:v>0</x:v>
      </x:c>
      <x:c r="H148" s="6" t="n">
        <x:v>-34462</x:v>
      </x:c>
    </x:row>
    <x:row r="149" ht="21" customHeight="1">
      <x:c r="A149" s="1" t="str">
        <x:v>C0015443</x:v>
      </x:c>
      <x:c r="B149" s="1" t="n">
        <x:v>23</x:v>
      </x:c>
      <x:c r="C149" s="1" t="n">
        <x:v>53</x:v>
      </x:c>
      <x:c r="D149" s="6" t="n">
        <x:v>34462</x:v>
      </x:c>
      <x:c r="E149" s="6" t="n">
        <x:v>68924</x:v>
      </x:c>
      <x:c r="F149" s="6" t="n">
        <x:v>0</x:v>
      </x:c>
      <x:c r="G149" s="6" t="n">
        <x:v>68924</x:v>
      </x:c>
      <x:c r="H149" s="6" t="n">
        <x:v>34462</x:v>
      </x:c>
    </x:row>
    <x:row r="150" ht="21" customHeight="1">
      <x:c r="A150" s="1" t="str">
        <x:v>C0015813</x:v>
      </x:c>
      <x:c r="B150" s="1" t="n">
        <x:v>24</x:v>
      </x:c>
      <x:c r="C150" s="1" t="n">
        <x:v>84</x:v>
      </x:c>
      <x:c r="D150" s="6" t="n">
        <x:v>33562</x:v>
      </x:c>
      <x:c r="E150" s="6" t="n">
        <x:v>0</x:v>
      </x:c>
      <x:c r="F150" s="6" t="n">
        <x:v>0</x:v>
      </x:c>
      <x:c r="G150" s="6" t="n">
        <x:v>0</x:v>
      </x:c>
      <x:c r="H150" s="6" t="n">
        <x:v>-33562</x:v>
      </x:c>
    </x:row>
    <x:row r="151" ht="21" customHeight="1">
      <x:c r="A151" s="1" t="str">
        <x:v>C0015291</x:v>
      </x:c>
      <x:c r="B151" s="1" t="n">
        <x:v>24</x:v>
      </x:c>
      <x:c r="C151" s="1" t="n">
        <x:v>84</x:v>
      </x:c>
      <x:c r="D151" s="6" t="n">
        <x:v>33562</x:v>
      </x:c>
      <x:c r="E151" s="6" t="n">
        <x:v>67124</x:v>
      </x:c>
      <x:c r="F151" s="6" t="n">
        <x:v>0</x:v>
      </x:c>
      <x:c r="G151" s="6" t="n">
        <x:v>67124</x:v>
      </x:c>
      <x:c r="H151" s="6" t="n">
        <x:v>33562</x:v>
      </x:c>
    </x:row>
    <x:row r="152" ht="21" customHeight="1">
      <x:c r="A152" s="1" t="str">
        <x:v>C0003474</x:v>
      </x:c>
      <x:c r="B152" s="1" t="n">
        <x:v>24</x:v>
      </x:c>
      <x:c r="C152" s="1" t="n">
        <x:v>84</x:v>
      </x:c>
      <x:c r="D152" s="6" t="n">
        <x:v>33562</x:v>
      </x:c>
      <x:c r="E152" s="6" t="n">
        <x:v>67124</x:v>
      </x:c>
      <x:c r="F152" s="6" t="n">
        <x:v>0</x:v>
      </x:c>
      <x:c r="G152" s="6" t="n">
        <x:v>67124</x:v>
      </x:c>
      <x:c r="H152" s="6" t="n">
        <x:v>33562</x:v>
      </x:c>
    </x:row>
    <x:row r="153" ht="21" customHeight="1">
      <x:c r="A153" s="1" t="str">
        <x:v>C0009003</x:v>
      </x:c>
      <x:c r="B153" s="1" t="n">
        <x:v>24</x:v>
      </x:c>
      <x:c r="C153" s="1" t="n">
        <x:v>84</x:v>
      </x:c>
      <x:c r="D153" s="6" t="n">
        <x:v>0</x:v>
      </x:c>
      <x:c r="E153" s="6" t="n">
        <x:v>33562</x:v>
      </x:c>
      <x:c r="F153" s="6" t="n">
        <x:v>0</x:v>
      </x:c>
      <x:c r="G153" s="6" t="n">
        <x:v>33562</x:v>
      </x:c>
      <x:c r="H153" s="6" t="n">
        <x:v>33562</x:v>
      </x:c>
    </x:row>
    <x:row r="154" ht="21" customHeight="1">
      <x:c r="A154" s="1" t="str">
        <x:v>C0016237</x:v>
      </x:c>
      <x:c r="B154" s="1" t="n">
        <x:v>8</x:v>
      </x:c>
      <x:c r="C154" s="1" t="n">
        <x:v>68</x:v>
      </x:c>
      <x:c r="D154" s="6" t="n">
        <x:v>33486</x:v>
      </x:c>
      <x:c r="E154" s="6" t="n">
        <x:v>66972</x:v>
      </x:c>
      <x:c r="F154" s="6" t="n">
        <x:v>0</x:v>
      </x:c>
      <x:c r="G154" s="6" t="n">
        <x:v>66972</x:v>
      </x:c>
      <x:c r="H154" s="6" t="n">
        <x:v>33486</x:v>
      </x:c>
    </x:row>
    <x:row r="155" ht="21" customHeight="1">
      <x:c r="A155" s="1" t="str">
        <x:v>C0010766</x:v>
      </x:c>
      <x:c r="B155" s="1" t="n">
        <x:v>8</x:v>
      </x:c>
      <x:c r="C155" s="1" t="n">
        <x:v>68</x:v>
      </x:c>
      <x:c r="D155" s="6" t="n">
        <x:v>33486</x:v>
      </x:c>
      <x:c r="E155" s="6" t="n">
        <x:v>66972</x:v>
      </x:c>
      <x:c r="F155" s="6" t="n">
        <x:v>0</x:v>
      </x:c>
      <x:c r="G155" s="6" t="n">
        <x:v>66972</x:v>
      </x:c>
      <x:c r="H155" s="6" t="n">
        <x:v>33486</x:v>
      </x:c>
    </x:row>
    <x:row r="156" ht="21" customHeight="1">
      <x:c r="A156" s="1" t="str">
        <x:v>C0004838</x:v>
      </x:c>
      <x:c r="B156" s="1" t="n">
        <x:v>8</x:v>
      </x:c>
      <x:c r="C156" s="1" t="n">
        <x:v>68</x:v>
      </x:c>
      <x:c r="D156" s="6" t="n">
        <x:v>0</x:v>
      </x:c>
      <x:c r="E156" s="6" t="n">
        <x:v>33486</x:v>
      </x:c>
      <x:c r="F156" s="6" t="n">
        <x:v>0</x:v>
      </x:c>
      <x:c r="G156" s="6" t="n">
        <x:v>33486</x:v>
      </x:c>
      <x:c r="H156" s="6" t="n">
        <x:v>33486</x:v>
      </x:c>
    </x:row>
    <x:row r="157" ht="21" customHeight="1">
      <x:c r="A157" s="1" t="str">
        <x:v>C0002672</x:v>
      </x:c>
      <x:c r="B157" s="1" t="n">
        <x:v>8</x:v>
      </x:c>
      <x:c r="C157" s="1" t="n">
        <x:v>68</x:v>
      </x:c>
      <x:c r="D157" s="6" t="n">
        <x:v>33486</x:v>
      </x:c>
      <x:c r="E157" s="6" t="n">
        <x:v>0</x:v>
      </x:c>
      <x:c r="F157" s="6" t="n">
        <x:v>0</x:v>
      </x:c>
      <x:c r="G157" s="6" t="n">
        <x:v>0</x:v>
      </x:c>
      <x:c r="H157" s="6" t="n">
        <x:v>-33486</x:v>
      </x:c>
    </x:row>
    <x:row r="158" ht="21" customHeight="1">
      <x:c r="A158" s="1" t="str">
        <x:v>C0001008</x:v>
      </x:c>
      <x:c r="B158" s="1" t="n">
        <x:v>8</x:v>
      </x:c>
      <x:c r="C158" s="1" t="n">
        <x:v>68</x:v>
      </x:c>
      <x:c r="D158" s="6" t="n">
        <x:v>33486</x:v>
      </x:c>
      <x:c r="E158" s="6" t="n">
        <x:v>0</x:v>
      </x:c>
      <x:c r="F158" s="6" t="n">
        <x:v>0</x:v>
      </x:c>
      <x:c r="G158" s="6" t="n">
        <x:v>0</x:v>
      </x:c>
      <x:c r="H158" s="6" t="n">
        <x:v>-33486</x:v>
      </x:c>
    </x:row>
    <x:row r="159" ht="21" customHeight="1">
      <x:c r="A159" s="1" t="str">
        <x:v>C0005763</x:v>
      </x:c>
      <x:c r="B159" s="1" t="n">
        <x:v>8</x:v>
      </x:c>
      <x:c r="C159" s="1" t="n">
        <x:v>68</x:v>
      </x:c>
      <x:c r="D159" s="6" t="n">
        <x:v>33486</x:v>
      </x:c>
      <x:c r="E159" s="6" t="n">
        <x:v>66972</x:v>
      </x:c>
      <x:c r="F159" s="6" t="n">
        <x:v>0</x:v>
      </x:c>
      <x:c r="G159" s="6" t="n">
        <x:v>66972</x:v>
      </x:c>
      <x:c r="H159" s="6" t="n">
        <x:v>33486</x:v>
      </x:c>
    </x:row>
    <x:row r="160" ht="21" customHeight="1">
      <x:c r="A160" s="1" t="str">
        <x:v>C0006771</x:v>
      </x:c>
      <x:c r="B160" s="1" t="n">
        <x:v>8</x:v>
      </x:c>
      <x:c r="C160" s="1" t="n">
        <x:v>68</x:v>
      </x:c>
      <x:c r="D160" s="6" t="n">
        <x:v>33486</x:v>
      </x:c>
      <x:c r="E160" s="6" t="n">
        <x:v>66972</x:v>
      </x:c>
      <x:c r="F160" s="6" t="n">
        <x:v>0</x:v>
      </x:c>
      <x:c r="G160" s="6" t="n">
        <x:v>66972</x:v>
      </x:c>
      <x:c r="H160" s="6" t="n">
        <x:v>33486</x:v>
      </x:c>
    </x:row>
    <x:row r="161" ht="21" customHeight="1">
      <x:c r="A161" s="1" t="str">
        <x:v>C0005798</x:v>
      </x:c>
      <x:c r="B161" s="1" t="n">
        <x:v>6</x:v>
      </x:c>
      <x:c r="C161" s="1" t="n">
        <x:v>96</x:v>
      </x:c>
      <x:c r="D161" s="6" t="n">
        <x:v>0</x:v>
      </x:c>
      <x:c r="E161" s="6" t="n">
        <x:v>33112</x:v>
      </x:c>
      <x:c r="F161" s="6" t="n">
        <x:v>0</x:v>
      </x:c>
      <x:c r="G161" s="6" t="n">
        <x:v>33112</x:v>
      </x:c>
      <x:c r="H161" s="6" t="n">
        <x:v>33112</x:v>
      </x:c>
    </x:row>
    <x:row r="162" ht="21" customHeight="1">
      <x:c r="A162" s="1" t="str">
        <x:v>C0001716</x:v>
      </x:c>
      <x:c r="B162" s="1" t="n">
        <x:v>6</x:v>
      </x:c>
      <x:c r="C162" s="1" t="n">
        <x:v>96</x:v>
      </x:c>
      <x:c r="D162" s="6" t="n">
        <x:v>33112</x:v>
      </x:c>
      <x:c r="E162" s="6" t="n">
        <x:v>66224</x:v>
      </x:c>
      <x:c r="F162" s="6" t="n">
        <x:v>0</x:v>
      </x:c>
      <x:c r="G162" s="6" t="n">
        <x:v>66224</x:v>
      </x:c>
      <x:c r="H162" s="6" t="n">
        <x:v>33112</x:v>
      </x:c>
    </x:row>
    <x:row r="163" ht="21" customHeight="1">
      <x:c r="A163" s="1" t="str">
        <x:v>C0000577</x:v>
      </x:c>
      <x:c r="B163" s="1" t="n">
        <x:v>6</x:v>
      </x:c>
      <x:c r="C163" s="1" t="n">
        <x:v>96</x:v>
      </x:c>
      <x:c r="D163" s="6" t="n">
        <x:v>33112</x:v>
      </x:c>
      <x:c r="E163" s="6" t="n">
        <x:v>66224</x:v>
      </x:c>
      <x:c r="F163" s="6" t="n">
        <x:v>0</x:v>
      </x:c>
      <x:c r="G163" s="6" t="n">
        <x:v>66224</x:v>
      </x:c>
      <x:c r="H163" s="6" t="n">
        <x:v>33112</x:v>
      </x:c>
    </x:row>
    <x:row r="164" ht="21" customHeight="1">
      <x:c r="A164" s="1" t="str">
        <x:v>C0006605</x:v>
      </x:c>
      <x:c r="B164" s="1" t="n">
        <x:v>6</x:v>
      </x:c>
      <x:c r="C164" s="1" t="n">
        <x:v>96</x:v>
      </x:c>
      <x:c r="D164" s="6" t="n">
        <x:v>33112</x:v>
      </x:c>
      <x:c r="E164" s="6" t="n">
        <x:v>66224</x:v>
      </x:c>
      <x:c r="F164" s="6" t="n">
        <x:v>0</x:v>
      </x:c>
      <x:c r="G164" s="6" t="n">
        <x:v>66224</x:v>
      </x:c>
      <x:c r="H164" s="6" t="n">
        <x:v>33112</x:v>
      </x:c>
    </x:row>
    <x:row r="165" ht="21" customHeight="1">
      <x:c r="A165" s="1" t="str">
        <x:v>C0010157</x:v>
      </x:c>
      <x:c r="B165" s="1" t="n">
        <x:v>6</x:v>
      </x:c>
      <x:c r="C165" s="1" t="n">
        <x:v>96</x:v>
      </x:c>
      <x:c r="D165" s="6" t="n">
        <x:v>33112</x:v>
      </x:c>
      <x:c r="E165" s="6" t="n">
        <x:v>0</x:v>
      </x:c>
      <x:c r="F165" s="6" t="n">
        <x:v>0</x:v>
      </x:c>
      <x:c r="G165" s="6" t="n">
        <x:v>0</x:v>
      </x:c>
      <x:c r="H165" s="6" t="n">
        <x:v>-33112</x:v>
      </x:c>
    </x:row>
    <x:row r="166" ht="21" customHeight="1">
      <x:c r="A166" s="1" t="str">
        <x:v>C0010912</x:v>
      </x:c>
      <x:c r="B166" s="1" t="n">
        <x:v>6</x:v>
      </x:c>
      <x:c r="C166" s="1" t="n">
        <x:v>96</x:v>
      </x:c>
      <x:c r="D166" s="6" t="n">
        <x:v>33112</x:v>
      </x:c>
      <x:c r="E166" s="6" t="n">
        <x:v>0</x:v>
      </x:c>
      <x:c r="F166" s="6" t="n">
        <x:v>0</x:v>
      </x:c>
      <x:c r="G166" s="6" t="n">
        <x:v>0</x:v>
      </x:c>
      <x:c r="H166" s="6" t="n">
        <x:v>-33112</x:v>
      </x:c>
    </x:row>
    <x:row r="167" ht="21" customHeight="1">
      <x:c r="A167" s="1" t="str">
        <x:v>C0007439</x:v>
      </x:c>
      <x:c r="B167" s="1" t="n">
        <x:v>15</x:v>
      </x:c>
      <x:c r="C167" s="1" t="n">
        <x:v>45</x:v>
      </x:c>
      <x:c r="D167" s="6" t="n">
        <x:v>32200</x:v>
      </x:c>
      <x:c r="E167" s="6" t="n">
        <x:v>64400</x:v>
      </x:c>
      <x:c r="F167" s="6" t="n">
        <x:v>0</x:v>
      </x:c>
      <x:c r="G167" s="6" t="n">
        <x:v>64400</x:v>
      </x:c>
      <x:c r="H167" s="6" t="n">
        <x:v>32200</x:v>
      </x:c>
    </x:row>
    <x:row r="168" ht="21" customHeight="1">
      <x:c r="A168" s="1" t="str">
        <x:v>C0003366</x:v>
      </x:c>
      <x:c r="B168" s="1" t="n">
        <x:v>15</x:v>
      </x:c>
      <x:c r="C168" s="1" t="n">
        <x:v>45</x:v>
      </x:c>
      <x:c r="D168" s="6" t="n">
        <x:v>32200</x:v>
      </x:c>
      <x:c r="E168" s="6" t="n">
        <x:v>64400</x:v>
      </x:c>
      <x:c r="F168" s="6" t="n">
        <x:v>0</x:v>
      </x:c>
      <x:c r="G168" s="6" t="n">
        <x:v>64400</x:v>
      </x:c>
      <x:c r="H168" s="6" t="n">
        <x:v>32200</x:v>
      </x:c>
    </x:row>
    <x:row r="169" ht="21" customHeight="1">
      <x:c r="A169" s="1" t="str">
        <x:v>C0016618</x:v>
      </x:c>
      <x:c r="B169" s="1" t="n">
        <x:v>15</x:v>
      </x:c>
      <x:c r="C169" s="1" t="n">
        <x:v>45</x:v>
      </x:c>
      <x:c r="D169" s="6" t="n">
        <x:v>32200</x:v>
      </x:c>
      <x:c r="E169" s="6" t="n">
        <x:v>0</x:v>
      </x:c>
      <x:c r="F169" s="6" t="n">
        <x:v>0</x:v>
      </x:c>
      <x:c r="G169" s="6" t="n">
        <x:v>0</x:v>
      </x:c>
      <x:c r="H169" s="6" t="n">
        <x:v>-32200</x:v>
      </x:c>
    </x:row>
    <x:row r="170" ht="21" customHeight="1">
      <x:c r="A170" s="1" t="str">
        <x:v>C0010218</x:v>
      </x:c>
      <x:c r="B170" s="1" t="n">
        <x:v>15</x:v>
      </x:c>
      <x:c r="C170" s="1" t="n">
        <x:v>45</x:v>
      </x:c>
      <x:c r="D170" s="6" t="n">
        <x:v>0</x:v>
      </x:c>
      <x:c r="E170" s="6" t="n">
        <x:v>32200</x:v>
      </x:c>
      <x:c r="F170" s="6" t="n">
        <x:v>0</x:v>
      </x:c>
      <x:c r="G170" s="6" t="n">
        <x:v>32200</x:v>
      </x:c>
      <x:c r="H170" s="6" t="n">
        <x:v>32200</x:v>
      </x:c>
    </x:row>
    <x:row r="171" ht="21" customHeight="1">
      <x:c r="A171" s="1" t="str">
        <x:v>C0013215</x:v>
      </x:c>
      <x:c r="B171" s="1" t="n">
        <x:v>15</x:v>
      </x:c>
      <x:c r="C171" s="1" t="n">
        <x:v>45</x:v>
      </x:c>
      <x:c r="D171" s="6" t="n">
        <x:v>32200</x:v>
      </x:c>
      <x:c r="E171" s="6" t="n">
        <x:v>64400</x:v>
      </x:c>
      <x:c r="F171" s="6" t="n">
        <x:v>0</x:v>
      </x:c>
      <x:c r="G171" s="6" t="n">
        <x:v>64400</x:v>
      </x:c>
      <x:c r="H171" s="6" t="n">
        <x:v>32200</x:v>
      </x:c>
    </x:row>
    <x:row r="172" ht="21" customHeight="1">
      <x:c r="A172" s="1" t="str">
        <x:v>C0010391</x:v>
      </x:c>
      <x:c r="B172" s="1" t="n">
        <x:v>15</x:v>
      </x:c>
      <x:c r="C172" s="1" t="n">
        <x:v>45</x:v>
      </x:c>
      <x:c r="D172" s="6" t="n">
        <x:v>32200</x:v>
      </x:c>
      <x:c r="E172" s="6" t="n">
        <x:v>64400</x:v>
      </x:c>
      <x:c r="F172" s="6" t="n">
        <x:v>0</x:v>
      </x:c>
      <x:c r="G172" s="6" t="n">
        <x:v>64400</x:v>
      </x:c>
      <x:c r="H172" s="6" t="n">
        <x:v>32200</x:v>
      </x:c>
    </x:row>
    <x:row r="173" ht="21" customHeight="1">
      <x:c r="A173" s="1" t="str">
        <x:v>C0007527</x:v>
      </x:c>
      <x:c r="B173" s="1" t="n">
        <x:v>15</x:v>
      </x:c>
      <x:c r="C173" s="1" t="n">
        <x:v>45</x:v>
      </x:c>
      <x:c r="D173" s="6" t="n">
        <x:v>32200</x:v>
      </x:c>
      <x:c r="E173" s="6" t="n">
        <x:v>64400</x:v>
      </x:c>
      <x:c r="F173" s="6" t="n">
        <x:v>0</x:v>
      </x:c>
      <x:c r="G173" s="6" t="n">
        <x:v>64400</x:v>
      </x:c>
      <x:c r="H173" s="6" t="n">
        <x:v>32200</x:v>
      </x:c>
    </x:row>
    <x:row r="174" ht="21" customHeight="1">
      <x:c r="A174" s="1" t="str">
        <x:v>C0000676</x:v>
      </x:c>
      <x:c r="B174" s="1" t="n">
        <x:v>15</x:v>
      </x:c>
      <x:c r="C174" s="1" t="n">
        <x:v>45</x:v>
      </x:c>
      <x:c r="D174" s="6" t="n">
        <x:v>32200</x:v>
      </x:c>
      <x:c r="E174" s="6" t="n">
        <x:v>0</x:v>
      </x:c>
      <x:c r="F174" s="6" t="n">
        <x:v>0</x:v>
      </x:c>
      <x:c r="G174" s="6" t="n">
        <x:v>0</x:v>
      </x:c>
      <x:c r="H174" s="6" t="n">
        <x:v>-32200</x:v>
      </x:c>
    </x:row>
    <x:row r="175" ht="21" customHeight="1">
      <x:c r="A175" s="1" t="str">
        <x:v>C0010279</x:v>
      </x:c>
      <x:c r="B175" s="1" t="n">
        <x:v>2</x:v>
      </x:c>
      <x:c r="C175" s="1" t="n">
        <x:v>2</x:v>
      </x:c>
      <x:c r="D175" s="6" t="n">
        <x:v>31818</x:v>
      </x:c>
      <x:c r="E175" s="6" t="n">
        <x:v>63636</x:v>
      </x:c>
      <x:c r="F175" s="6" t="n">
        <x:v>0</x:v>
      </x:c>
      <x:c r="G175" s="6" t="n">
        <x:v>63636</x:v>
      </x:c>
      <x:c r="H175" s="6" t="n">
        <x:v>31818</x:v>
      </x:c>
    </x:row>
    <x:row r="176" ht="21" customHeight="1">
      <x:c r="A176" s="1" t="str">
        <x:v>C0008253</x:v>
      </x:c>
      <x:c r="B176" s="1" t="n">
        <x:v>2</x:v>
      </x:c>
      <x:c r="C176" s="1" t="n">
        <x:v>2</x:v>
      </x:c>
      <x:c r="D176" s="6" t="n">
        <x:v>31818</x:v>
      </x:c>
      <x:c r="E176" s="6" t="n">
        <x:v>0</x:v>
      </x:c>
      <x:c r="F176" s="6" t="n">
        <x:v>0</x:v>
      </x:c>
      <x:c r="G176" s="6" t="n">
        <x:v>0</x:v>
      </x:c>
      <x:c r="H176" s="6" t="n">
        <x:v>-31818</x:v>
      </x:c>
    </x:row>
    <x:row r="177" ht="21" customHeight="1">
      <x:c r="A177" s="1" t="str">
        <x:v>C0011295</x:v>
      </x:c>
      <x:c r="B177" s="1" t="n">
        <x:v>2</x:v>
      </x:c>
      <x:c r="C177" s="1" t="n">
        <x:v>2</x:v>
      </x:c>
      <x:c r="D177" s="6" t="n">
        <x:v>31818</x:v>
      </x:c>
      <x:c r="E177" s="6" t="n">
        <x:v>0</x:v>
      </x:c>
      <x:c r="F177" s="6" t="n">
        <x:v>0</x:v>
      </x:c>
      <x:c r="G177" s="6" t="n">
        <x:v>0</x:v>
      </x:c>
      <x:c r="H177" s="6" t="n">
        <x:v>-31818</x:v>
      </x:c>
    </x:row>
    <x:row r="178" ht="21" customHeight="1">
      <x:c r="A178" s="1" t="str">
        <x:v>C0004236</x:v>
      </x:c>
      <x:c r="B178" s="1" t="n">
        <x:v>2</x:v>
      </x:c>
      <x:c r="C178" s="1" t="n">
        <x:v>2</x:v>
      </x:c>
      <x:c r="D178" s="6" t="n">
        <x:v>31818</x:v>
      </x:c>
      <x:c r="E178" s="6" t="n">
        <x:v>0</x:v>
      </x:c>
      <x:c r="F178" s="6" t="n">
        <x:v>0</x:v>
      </x:c>
      <x:c r="G178" s="6" t="n">
        <x:v>0</x:v>
      </x:c>
      <x:c r="H178" s="6" t="n">
        <x:v>-31818</x:v>
      </x:c>
    </x:row>
    <x:row r="179" ht="21" customHeight="1">
      <x:c r="A179" s="1" t="str">
        <x:v>C0014511</x:v>
      </x:c>
      <x:c r="B179" s="1" t="n">
        <x:v>2</x:v>
      </x:c>
      <x:c r="C179" s="1" t="n">
        <x:v>2</x:v>
      </x:c>
      <x:c r="D179" s="6" t="n">
        <x:v>31818</x:v>
      </x:c>
      <x:c r="E179" s="6" t="n">
        <x:v>0</x:v>
      </x:c>
      <x:c r="F179" s="6" t="n">
        <x:v>0</x:v>
      </x:c>
      <x:c r="G179" s="6" t="n">
        <x:v>0</x:v>
      </x:c>
      <x:c r="H179" s="6" t="n">
        <x:v>-31818</x:v>
      </x:c>
    </x:row>
    <x:row r="180" ht="21" customHeight="1">
      <x:c r="A180" s="1" t="str">
        <x:v>C0017100</x:v>
      </x:c>
      <x:c r="B180" s="1" t="n">
        <x:v>2</x:v>
      </x:c>
      <x:c r="C180" s="1" t="n">
        <x:v>2</x:v>
      </x:c>
      <x:c r="D180" s="6" t="n">
        <x:v>31818</x:v>
      </x:c>
      <x:c r="E180" s="6" t="n">
        <x:v>63636</x:v>
      </x:c>
      <x:c r="F180" s="6" t="n">
        <x:v>0</x:v>
      </x:c>
      <x:c r="G180" s="6" t="n">
        <x:v>63636</x:v>
      </x:c>
      <x:c r="H180" s="6" t="n">
        <x:v>31818</x:v>
      </x:c>
    </x:row>
    <x:row r="181" ht="21" customHeight="1">
      <x:c r="A181" s="1" t="str">
        <x:v>C0007906</x:v>
      </x:c>
      <x:c r="B181" s="1" t="n">
        <x:v>3</x:v>
      </x:c>
      <x:c r="C181" s="1" t="n">
        <x:v>33</x:v>
      </x:c>
      <x:c r="D181" s="6" t="n">
        <x:v>31460</x:v>
      </x:c>
      <x:c r="E181" s="6" t="n">
        <x:v>0</x:v>
      </x:c>
      <x:c r="F181" s="6" t="n">
        <x:v>0</x:v>
      </x:c>
      <x:c r="G181" s="6" t="n">
        <x:v>0</x:v>
      </x:c>
      <x:c r="H181" s="6" t="n">
        <x:v>-31460</x:v>
      </x:c>
    </x:row>
    <x:row r="182" ht="21" customHeight="1">
      <x:c r="A182" s="1" t="str">
        <x:v>C0004762</x:v>
      </x:c>
      <x:c r="B182" s="1" t="n">
        <x:v>3</x:v>
      </x:c>
      <x:c r="C182" s="1" t="n">
        <x:v>33</x:v>
      </x:c>
      <x:c r="D182" s="6" t="n">
        <x:v>31460</x:v>
      </x:c>
      <x:c r="E182" s="6" t="n">
        <x:v>62920</x:v>
      </x:c>
      <x:c r="F182" s="6" t="n">
        <x:v>0</x:v>
      </x:c>
      <x:c r="G182" s="6" t="n">
        <x:v>62920</x:v>
      </x:c>
      <x:c r="H182" s="6" t="n">
        <x:v>31460</x:v>
      </x:c>
    </x:row>
    <x:row r="183" ht="21" customHeight="1">
      <x:c r="A183" s="1" t="str">
        <x:v>C0011228</x:v>
      </x:c>
      <x:c r="B183" s="1" t="n">
        <x:v>3</x:v>
      </x:c>
      <x:c r="C183" s="1" t="n">
        <x:v>33</x:v>
      </x:c>
      <x:c r="D183" s="6" t="n">
        <x:v>0</x:v>
      </x:c>
      <x:c r="E183" s="6" t="n">
        <x:v>31460</x:v>
      </x:c>
      <x:c r="F183" s="6" t="n">
        <x:v>0</x:v>
      </x:c>
      <x:c r="G183" s="6" t="n">
        <x:v>31460</x:v>
      </x:c>
      <x:c r="H183" s="6" t="n">
        <x:v>31460</x:v>
      </x:c>
    </x:row>
    <x:row r="184" ht="21" customHeight="1">
      <x:c r="A184" s="1" t="str">
        <x:v>C0013750</x:v>
      </x:c>
      <x:c r="B184" s="1" t="n">
        <x:v>3</x:v>
      </x:c>
      <x:c r="C184" s="1" t="n">
        <x:v>33</x:v>
      </x:c>
      <x:c r="D184" s="6" t="n">
        <x:v>31460</x:v>
      </x:c>
      <x:c r="E184" s="6" t="n">
        <x:v>62920</x:v>
      </x:c>
      <x:c r="F184" s="6" t="n">
        <x:v>0</x:v>
      </x:c>
      <x:c r="G184" s="6" t="n">
        <x:v>62920</x:v>
      </x:c>
      <x:c r="H184" s="6" t="n">
        <x:v>31460</x:v>
      </x:c>
    </x:row>
    <x:row r="185" ht="21" customHeight="1">
      <x:c r="A185" s="1" t="str">
        <x:v>C0004589</x:v>
      </x:c>
      <x:c r="B185" s="1" t="n">
        <x:v>3</x:v>
      </x:c>
      <x:c r="C185" s="1" t="n">
        <x:v>33</x:v>
      </x:c>
      <x:c r="D185" s="6" t="n">
        <x:v>31460</x:v>
      </x:c>
      <x:c r="E185" s="6" t="n">
        <x:v>62920</x:v>
      </x:c>
      <x:c r="F185" s="6" t="n">
        <x:v>0</x:v>
      </x:c>
      <x:c r="G185" s="6" t="n">
        <x:v>62920</x:v>
      </x:c>
      <x:c r="H185" s="6" t="n">
        <x:v>31460</x:v>
      </x:c>
    </x:row>
    <x:row r="186" ht="21" customHeight="1">
      <x:c r="A186" s="1" t="str">
        <x:v>C0011564</x:v>
      </x:c>
      <x:c r="B186" s="1" t="n">
        <x:v>3</x:v>
      </x:c>
      <x:c r="C186" s="1" t="n">
        <x:v>33</x:v>
      </x:c>
      <x:c r="D186" s="6" t="n">
        <x:v>31460</x:v>
      </x:c>
      <x:c r="E186" s="6" t="n">
        <x:v>62920</x:v>
      </x:c>
      <x:c r="F186" s="6" t="n">
        <x:v>0</x:v>
      </x:c>
      <x:c r="G186" s="6" t="n">
        <x:v>62920</x:v>
      </x:c>
      <x:c r="H186" s="6" t="n">
        <x:v>31460</x:v>
      </x:c>
    </x:row>
    <x:row r="187" ht="21" customHeight="1">
      <x:c r="A187" s="1" t="str">
        <x:v>C0012464</x:v>
      </x:c>
      <x:c r="B187" s="1" t="n">
        <x:v>27</x:v>
      </x:c>
      <x:c r="C187" s="1" t="n">
        <x:v>27</x:v>
      </x:c>
      <x:c r="D187" s="6" t="n">
        <x:v>30840</x:v>
      </x:c>
      <x:c r="E187" s="6" t="n">
        <x:v>61680</x:v>
      </x:c>
      <x:c r="F187" s="6" t="n">
        <x:v>0</x:v>
      </x:c>
      <x:c r="G187" s="6" t="n">
        <x:v>61680</x:v>
      </x:c>
      <x:c r="H187" s="6" t="n">
        <x:v>30840</x:v>
      </x:c>
    </x:row>
    <x:row r="188" ht="21" customHeight="1">
      <x:c r="A188" s="1" t="str">
        <x:v>C0015605</x:v>
      </x:c>
      <x:c r="B188" s="1" t="n">
        <x:v>27</x:v>
      </x:c>
      <x:c r="C188" s="1" t="n">
        <x:v>27</x:v>
      </x:c>
      <x:c r="D188" s="6" t="n">
        <x:v>30840</x:v>
      </x:c>
      <x:c r="E188" s="6" t="n">
        <x:v>61680</x:v>
      </x:c>
      <x:c r="F188" s="6" t="n">
        <x:v>0</x:v>
      </x:c>
      <x:c r="G188" s="6" t="n">
        <x:v>61680</x:v>
      </x:c>
      <x:c r="H188" s="6" t="n">
        <x:v>30840</x:v>
      </x:c>
    </x:row>
    <x:row r="189" ht="21" customHeight="1">
      <x:c r="A189" s="1" t="str">
        <x:v>C0000079</x:v>
      </x:c>
      <x:c r="B189" s="1" t="n">
        <x:v>27</x:v>
      </x:c>
      <x:c r="C189" s="1" t="n">
        <x:v>27</x:v>
      </x:c>
      <x:c r="D189" s="6" t="n">
        <x:v>30840</x:v>
      </x:c>
      <x:c r="E189" s="6" t="n">
        <x:v>0</x:v>
      </x:c>
      <x:c r="F189" s="6" t="n">
        <x:v>0</x:v>
      </x:c>
      <x:c r="G189" s="6" t="n">
        <x:v>0</x:v>
      </x:c>
      <x:c r="H189" s="6" t="n">
        <x:v>-30840</x:v>
      </x:c>
    </x:row>
    <x:row r="190" ht="21" customHeight="1">
      <x:c r="A190" s="1" t="str">
        <x:v>C0005293</x:v>
      </x:c>
      <x:c r="B190" s="1" t="n">
        <x:v>27</x:v>
      </x:c>
      <x:c r="C190" s="1" t="n">
        <x:v>27</x:v>
      </x:c>
      <x:c r="D190" s="6" t="n">
        <x:v>30840</x:v>
      </x:c>
      <x:c r="E190" s="6" t="n">
        <x:v>0</x:v>
      </x:c>
      <x:c r="F190" s="6" t="n">
        <x:v>0</x:v>
      </x:c>
      <x:c r="G190" s="6" t="n">
        <x:v>0</x:v>
      </x:c>
      <x:c r="H190" s="6" t="n">
        <x:v>-30840</x:v>
      </x:c>
    </x:row>
    <x:row r="191" ht="21" customHeight="1">
      <x:c r="A191" s="1" t="str">
        <x:v>C0017725</x:v>
      </x:c>
      <x:c r="B191" s="1" t="n">
        <x:v>27</x:v>
      </x:c>
      <x:c r="C191" s="1" t="n">
        <x:v>27</x:v>
      </x:c>
      <x:c r="D191" s="6" t="n">
        <x:v>30840</x:v>
      </x:c>
      <x:c r="E191" s="6" t="n">
        <x:v>61680</x:v>
      </x:c>
      <x:c r="F191" s="6" t="n">
        <x:v>0</x:v>
      </x:c>
      <x:c r="G191" s="6" t="n">
        <x:v>61680</x:v>
      </x:c>
      <x:c r="H191" s="6" t="n">
        <x:v>30840</x:v>
      </x:c>
    </x:row>
    <x:row r="192" ht="21" customHeight="1">
      <x:c r="A192" s="1" t="str">
        <x:v>C0016951</x:v>
      </x:c>
      <x:c r="B192" s="1" t="n">
        <x:v>27</x:v>
      </x:c>
      <x:c r="C192" s="1" t="n">
        <x:v>27</x:v>
      </x:c>
      <x:c r="D192" s="6" t="n">
        <x:v>30840</x:v>
      </x:c>
      <x:c r="E192" s="6" t="n">
        <x:v>61680</x:v>
      </x:c>
      <x:c r="F192" s="6" t="n">
        <x:v>0</x:v>
      </x:c>
      <x:c r="G192" s="6" t="n">
        <x:v>61680</x:v>
      </x:c>
      <x:c r="H192" s="6" t="n">
        <x:v>30840</x:v>
      </x:c>
    </x:row>
    <x:row r="193" ht="21" customHeight="1">
      <x:c r="A193" s="1" t="str">
        <x:v>C0016909</x:v>
      </x:c>
      <x:c r="B193" s="1" t="n">
        <x:v>27</x:v>
      </x:c>
      <x:c r="C193" s="1" t="n">
        <x:v>27</x:v>
      </x:c>
      <x:c r="D193" s="6" t="n">
        <x:v>30840</x:v>
      </x:c>
      <x:c r="E193" s="6" t="n">
        <x:v>0</x:v>
      </x:c>
      <x:c r="F193" s="6" t="n">
        <x:v>0</x:v>
      </x:c>
      <x:c r="G193" s="6" t="n">
        <x:v>0</x:v>
      </x:c>
      <x:c r="H193" s="6" t="n">
        <x:v>-30840</x:v>
      </x:c>
    </x:row>
    <x:row r="194" ht="21" customHeight="1">
      <x:c r="A194" s="1" t="str">
        <x:v>C0016349</x:v>
      </x:c>
      <x:c r="B194" s="1" t="n">
        <x:v>27</x:v>
      </x:c>
      <x:c r="C194" s="1" t="n">
        <x:v>27</x:v>
      </x:c>
      <x:c r="D194" s="6" t="n">
        <x:v>0</x:v>
      </x:c>
      <x:c r="E194" s="6" t="n">
        <x:v>30840</x:v>
      </x:c>
      <x:c r="F194" s="6" t="n">
        <x:v>0</x:v>
      </x:c>
      <x:c r="G194" s="6" t="n">
        <x:v>30840</x:v>
      </x:c>
      <x:c r="H194" s="6" t="n">
        <x:v>30840</x:v>
      </x:c>
    </x:row>
    <x:row r="195" ht="21" customHeight="1">
      <x:c r="A195" s="1" t="str">
        <x:v>C0006770</x:v>
      </x:c>
      <x:c r="B195" s="1" t="n">
        <x:v>27</x:v>
      </x:c>
      <x:c r="C195" s="1" t="n">
        <x:v>27</x:v>
      </x:c>
      <x:c r="D195" s="6" t="n">
        <x:v>30840</x:v>
      </x:c>
      <x:c r="E195" s="6" t="n">
        <x:v>0</x:v>
      </x:c>
      <x:c r="F195" s="6" t="n">
        <x:v>0</x:v>
      </x:c>
      <x:c r="G195" s="6" t="n">
        <x:v>0</x:v>
      </x:c>
      <x:c r="H195" s="6" t="n">
        <x:v>-30840</x:v>
      </x:c>
    </x:row>
    <x:row r="196" ht="21" customHeight="1">
      <x:c r="A196" s="1" t="str">
        <x:v>C0008322</x:v>
      </x:c>
      <x:c r="B196" s="1" t="n">
        <x:v>27</x:v>
      </x:c>
      <x:c r="C196" s="1" t="n">
        <x:v>27</x:v>
      </x:c>
      <x:c r="D196" s="6" t="n">
        <x:v>30840</x:v>
      </x:c>
      <x:c r="E196" s="6" t="n">
        <x:v>61680</x:v>
      </x:c>
      <x:c r="F196" s="6" t="n">
        <x:v>0</x:v>
      </x:c>
      <x:c r="G196" s="6" t="n">
        <x:v>61680</x:v>
      </x:c>
      <x:c r="H196" s="6" t="n">
        <x:v>30840</x:v>
      </x:c>
    </x:row>
    <x:row r="197" ht="21" customHeight="1">
      <x:c r="A197" s="1" t="str">
        <x:v>C0006162</x:v>
      </x:c>
      <x:c r="B197" s="1" t="n">
        <x:v>27</x:v>
      </x:c>
      <x:c r="C197" s="1" t="n">
        <x:v>27</x:v>
      </x:c>
      <x:c r="D197" s="6" t="n">
        <x:v>30840</x:v>
      </x:c>
      <x:c r="E197" s="6" t="n">
        <x:v>0</x:v>
      </x:c>
      <x:c r="F197" s="6" t="n">
        <x:v>0</x:v>
      </x:c>
      <x:c r="G197" s="6" t="n">
        <x:v>0</x:v>
      </x:c>
      <x:c r="H197" s="6" t="n">
        <x:v>-30840</x:v>
      </x:c>
    </x:row>
    <x:row r="198" ht="21" customHeight="1">
      <x:c r="A198" s="1" t="str">
        <x:v>C0012569</x:v>
      </x:c>
      <x:c r="B198" s="1" t="n">
        <x:v>27</x:v>
      </x:c>
      <x:c r="C198" s="1" t="n">
        <x:v>27</x:v>
      </x:c>
      <x:c r="D198" s="6" t="n">
        <x:v>30840</x:v>
      </x:c>
      <x:c r="E198" s="6" t="n">
        <x:v>61680</x:v>
      </x:c>
      <x:c r="F198" s="6" t="n">
        <x:v>0</x:v>
      </x:c>
      <x:c r="G198" s="6" t="n">
        <x:v>61680</x:v>
      </x:c>
      <x:c r="H198" s="6" t="n">
        <x:v>30840</x:v>
      </x:c>
    </x:row>
    <x:row r="199" ht="21" customHeight="1">
      <x:c r="A199" s="1" t="str">
        <x:v>C0010459</x:v>
      </x:c>
      <x:c r="B199" s="1" t="n">
        <x:v>11</x:v>
      </x:c>
      <x:c r="C199" s="1" t="n">
        <x:v>71</x:v>
      </x:c>
      <x:c r="D199" s="6" t="n">
        <x:v>0</x:v>
      </x:c>
      <x:c r="E199" s="6" t="n">
        <x:v>30604</x:v>
      </x:c>
      <x:c r="F199" s="6" t="n">
        <x:v>0</x:v>
      </x:c>
      <x:c r="G199" s="6" t="n">
        <x:v>30604</x:v>
      </x:c>
      <x:c r="H199" s="6" t="n">
        <x:v>30604</x:v>
      </x:c>
    </x:row>
    <x:row r="200" ht="21" customHeight="1">
      <x:c r="A200" s="1" t="str">
        <x:v>C0010675</x:v>
      </x:c>
      <x:c r="B200" s="1" t="n">
        <x:v>11</x:v>
      </x:c>
      <x:c r="C200" s="1" t="n">
        <x:v>71</x:v>
      </x:c>
      <x:c r="D200" s="6" t="n">
        <x:v>30604</x:v>
      </x:c>
      <x:c r="E200" s="6" t="n">
        <x:v>61208</x:v>
      </x:c>
      <x:c r="F200" s="6" t="n">
        <x:v>0</x:v>
      </x:c>
      <x:c r="G200" s="6" t="n">
        <x:v>61208</x:v>
      </x:c>
      <x:c r="H200" s="6" t="n">
        <x:v>30604</x:v>
      </x:c>
    </x:row>
    <x:row r="201" ht="21" customHeight="1">
      <x:c r="A201" s="1" t="str">
        <x:v>C0007070</x:v>
      </x:c>
      <x:c r="B201" s="1" t="n">
        <x:v>11</x:v>
      </x:c>
      <x:c r="C201" s="1" t="n">
        <x:v>71</x:v>
      </x:c>
      <x:c r="D201" s="6" t="n">
        <x:v>30604</x:v>
      </x:c>
      <x:c r="E201" s="6" t="n">
        <x:v>0</x:v>
      </x:c>
      <x:c r="F201" s="6" t="n">
        <x:v>0</x:v>
      </x:c>
      <x:c r="G201" s="6" t="n">
        <x:v>0</x:v>
      </x:c>
      <x:c r="H201" s="6" t="n">
        <x:v>-30604</x:v>
      </x:c>
    </x:row>
    <x:row r="202" ht="21" customHeight="1">
      <x:c r="A202" s="1" t="str">
        <x:v>C0009435</x:v>
      </x:c>
      <x:c r="B202" s="1" t="n">
        <x:v>8</x:v>
      </x:c>
      <x:c r="C202" s="1" t="n">
        <x:v>68</x:v>
      </x:c>
      <x:c r="D202" s="6" t="n">
        <x:v>29302</x:v>
      </x:c>
      <x:c r="E202" s="6" t="n">
        <x:v>58604</x:v>
      </x:c>
      <x:c r="F202" s="6" t="n">
        <x:v>0</x:v>
      </x:c>
      <x:c r="G202" s="6" t="n">
        <x:v>58604</x:v>
      </x:c>
      <x:c r="H202" s="6" t="n">
        <x:v>29302</x:v>
      </x:c>
    </x:row>
    <x:row r="203" ht="21" customHeight="1">
      <x:c r="A203" s="1" t="str">
        <x:v>C0006835</x:v>
      </x:c>
      <x:c r="B203" s="1" t="n">
        <x:v>8</x:v>
      </x:c>
      <x:c r="C203" s="1" t="n">
        <x:v>68</x:v>
      </x:c>
      <x:c r="D203" s="6" t="n">
        <x:v>29302</x:v>
      </x:c>
      <x:c r="E203" s="6" t="n">
        <x:v>58604</x:v>
      </x:c>
      <x:c r="F203" s="6" t="n">
        <x:v>0</x:v>
      </x:c>
      <x:c r="G203" s="6" t="n">
        <x:v>58604</x:v>
      </x:c>
      <x:c r="H203" s="6" t="n">
        <x:v>29302</x:v>
      </x:c>
    </x:row>
    <x:row r="204" ht="21" customHeight="1">
      <x:c r="A204" s="1" t="str">
        <x:v>C0008764</x:v>
      </x:c>
      <x:c r="B204" s="1" t="n">
        <x:v>8</x:v>
      </x:c>
      <x:c r="C204" s="1" t="n">
        <x:v>68</x:v>
      </x:c>
      <x:c r="D204" s="6" t="n">
        <x:v>29302</x:v>
      </x:c>
      <x:c r="E204" s="6" t="n">
        <x:v>0</x:v>
      </x:c>
      <x:c r="F204" s="6" t="n">
        <x:v>0</x:v>
      </x:c>
      <x:c r="G204" s="6" t="n">
        <x:v>0</x:v>
      </x:c>
      <x:c r="H204" s="6" t="n">
        <x:v>-29302</x:v>
      </x:c>
    </x:row>
    <x:row r="205" ht="21" customHeight="1">
      <x:c r="A205" s="1" t="str">
        <x:v>C0003739</x:v>
      </x:c>
      <x:c r="B205" s="1" t="n">
        <x:v>8</x:v>
      </x:c>
      <x:c r="C205" s="1" t="n">
        <x:v>68</x:v>
      </x:c>
      <x:c r="D205" s="6" t="n">
        <x:v>29302</x:v>
      </x:c>
      <x:c r="E205" s="6" t="n">
        <x:v>0</x:v>
      </x:c>
      <x:c r="F205" s="6" t="n">
        <x:v>0</x:v>
      </x:c>
      <x:c r="G205" s="6" t="n">
        <x:v>0</x:v>
      </x:c>
      <x:c r="H205" s="6" t="n">
        <x:v>-29302</x:v>
      </x:c>
    </x:row>
    <x:row r="206" ht="21" customHeight="1">
      <x:c r="A206" s="1" t="str">
        <x:v>C0015688</x:v>
      </x:c>
      <x:c r="B206" s="1" t="n">
        <x:v>14</x:v>
      </x:c>
      <x:c r="C206" s="1" t="n">
        <x:v>104</x:v>
      </x:c>
      <x:c r="D206" s="6" t="n">
        <x:v>28706</x:v>
      </x:c>
      <x:c r="E206" s="6" t="n">
        <x:v>0</x:v>
      </x:c>
      <x:c r="F206" s="6" t="n">
        <x:v>0</x:v>
      </x:c>
      <x:c r="G206" s="6" t="n">
        <x:v>0</x:v>
      </x:c>
      <x:c r="H206" s="6" t="n">
        <x:v>-28706</x:v>
      </x:c>
    </x:row>
    <x:row r="207" ht="21" customHeight="1">
      <x:c r="A207" s="1" t="str">
        <x:v>C0015053</x:v>
      </x:c>
      <x:c r="B207" s="1" t="n">
        <x:v>14</x:v>
      </x:c>
      <x:c r="C207" s="1" t="n">
        <x:v>104</x:v>
      </x:c>
      <x:c r="D207" s="6" t="n">
        <x:v>28706</x:v>
      </x:c>
      <x:c r="E207" s="6" t="n">
        <x:v>57412</x:v>
      </x:c>
      <x:c r="F207" s="6" t="n">
        <x:v>0</x:v>
      </x:c>
      <x:c r="G207" s="6" t="n">
        <x:v>57412</x:v>
      </x:c>
      <x:c r="H207" s="6" t="n">
        <x:v>28706</x:v>
      </x:c>
    </x:row>
    <x:row r="208" ht="21" customHeight="1">
      <x:c r="A208" s="1" t="str">
        <x:v>C0009888</x:v>
      </x:c>
      <x:c r="B208" s="1" t="n">
        <x:v>14</x:v>
      </x:c>
      <x:c r="C208" s="1" t="n">
        <x:v>104</x:v>
      </x:c>
      <x:c r="D208" s="6" t="n">
        <x:v>28706</x:v>
      </x:c>
      <x:c r="E208" s="6" t="n">
        <x:v>57412</x:v>
      </x:c>
      <x:c r="F208" s="6" t="n">
        <x:v>0</x:v>
      </x:c>
      <x:c r="G208" s="6" t="n">
        <x:v>57412</x:v>
      </x:c>
      <x:c r="H208" s="6" t="n">
        <x:v>28706</x:v>
      </x:c>
    </x:row>
    <x:row r="209" ht="21" customHeight="1">
      <x:c r="A209" s="1" t="str">
        <x:v>C0015521</x:v>
      </x:c>
      <x:c r="B209" s="1" t="n">
        <x:v>14</x:v>
      </x:c>
      <x:c r="C209" s="1" t="n">
        <x:v>104</x:v>
      </x:c>
      <x:c r="D209" s="6" t="n">
        <x:v>28706</x:v>
      </x:c>
      <x:c r="E209" s="6" t="n">
        <x:v>0</x:v>
      </x:c>
      <x:c r="F209" s="6" t="n">
        <x:v>0</x:v>
      </x:c>
      <x:c r="G209" s="6" t="n">
        <x:v>0</x:v>
      </x:c>
      <x:c r="H209" s="6" t="n">
        <x:v>-28706</x:v>
      </x:c>
    </x:row>
    <x:row r="210" ht="21" customHeight="1">
      <x:c r="A210" s="1" t="str">
        <x:v>C0000312</x:v>
      </x:c>
      <x:c r="B210" s="1" t="n">
        <x:v>14</x:v>
      </x:c>
      <x:c r="C210" s="1" t="n">
        <x:v>104</x:v>
      </x:c>
      <x:c r="D210" s="6" t="n">
        <x:v>28706</x:v>
      </x:c>
      <x:c r="E210" s="6" t="n">
        <x:v>0</x:v>
      </x:c>
      <x:c r="F210" s="6" t="n">
        <x:v>0</x:v>
      </x:c>
      <x:c r="G210" s="6" t="n">
        <x:v>0</x:v>
      </x:c>
      <x:c r="H210" s="6" t="n">
        <x:v>-28706</x:v>
      </x:c>
    </x:row>
    <x:row r="211" ht="21" customHeight="1">
      <x:c r="A211" s="1" t="str">
        <x:v>C0005327</x:v>
      </x:c>
      <x:c r="B211" s="1" t="n">
        <x:v>14</x:v>
      </x:c>
      <x:c r="C211" s="1" t="n">
        <x:v>74</x:v>
      </x:c>
      <x:c r="D211" s="6" t="n">
        <x:v>28598</x:v>
      </x:c>
      <x:c r="E211" s="6" t="n">
        <x:v>57196</x:v>
      </x:c>
      <x:c r="F211" s="6" t="n">
        <x:v>0</x:v>
      </x:c>
      <x:c r="G211" s="6" t="n">
        <x:v>57196</x:v>
      </x:c>
      <x:c r="H211" s="6" t="n">
        <x:v>28598</x:v>
      </x:c>
    </x:row>
    <x:row r="212" ht="21" customHeight="1">
      <x:c r="A212" s="1" t="str">
        <x:v>C0008755</x:v>
      </x:c>
      <x:c r="B212" s="1" t="n">
        <x:v>14</x:v>
      </x:c>
      <x:c r="C212" s="1" t="n">
        <x:v>74</x:v>
      </x:c>
      <x:c r="D212" s="6" t="n">
        <x:v>28598</x:v>
      </x:c>
      <x:c r="E212" s="6" t="n">
        <x:v>57196</x:v>
      </x:c>
      <x:c r="F212" s="6" t="n">
        <x:v>0</x:v>
      </x:c>
      <x:c r="G212" s="6" t="n">
        <x:v>57196</x:v>
      </x:c>
      <x:c r="H212" s="6" t="n">
        <x:v>28598</x:v>
      </x:c>
    </x:row>
    <x:row r="213" ht="21" customHeight="1">
      <x:c r="A213" s="1" t="str">
        <x:v>C0014853</x:v>
      </x:c>
      <x:c r="B213" s="1" t="n">
        <x:v>14</x:v>
      </x:c>
      <x:c r="C213" s="1" t="n">
        <x:v>74</x:v>
      </x:c>
      <x:c r="D213" s="6" t="n">
        <x:v>28598</x:v>
      </x:c>
      <x:c r="E213" s="6" t="n">
        <x:v>57196</x:v>
      </x:c>
      <x:c r="F213" s="6" t="n">
        <x:v>0</x:v>
      </x:c>
      <x:c r="G213" s="6" t="n">
        <x:v>57196</x:v>
      </x:c>
      <x:c r="H213" s="6" t="n">
        <x:v>28598</x:v>
      </x:c>
    </x:row>
    <x:row r="214" ht="21" customHeight="1">
      <x:c r="A214" s="1" t="str">
        <x:v>C0016576</x:v>
      </x:c>
      <x:c r="B214" s="1" t="n">
        <x:v>14</x:v>
      </x:c>
      <x:c r="C214" s="1" t="n">
        <x:v>74</x:v>
      </x:c>
      <x:c r="D214" s="6" t="n">
        <x:v>0</x:v>
      </x:c>
      <x:c r="E214" s="6" t="n">
        <x:v>28598</x:v>
      </x:c>
      <x:c r="F214" s="6" t="n">
        <x:v>0</x:v>
      </x:c>
      <x:c r="G214" s="6" t="n">
        <x:v>28598</x:v>
      </x:c>
      <x:c r="H214" s="6" t="n">
        <x:v>28598</x:v>
      </x:c>
    </x:row>
    <x:row r="215" ht="21" customHeight="1">
      <x:c r="A215" s="1" t="str">
        <x:v>C0015422</x:v>
      </x:c>
      <x:c r="B215" s="1" t="n">
        <x:v>14</x:v>
      </x:c>
      <x:c r="C215" s="1" t="n">
        <x:v>74</x:v>
      </x:c>
      <x:c r="D215" s="6" t="n">
        <x:v>28598</x:v>
      </x:c>
      <x:c r="E215" s="6" t="n">
        <x:v>57196</x:v>
      </x:c>
      <x:c r="F215" s="6" t="n">
        <x:v>0</x:v>
      </x:c>
      <x:c r="G215" s="6" t="n">
        <x:v>57196</x:v>
      </x:c>
      <x:c r="H215" s="6" t="n">
        <x:v>28598</x:v>
      </x:c>
    </x:row>
    <x:row r="216" ht="21" customHeight="1">
      <x:c r="A216" s="1" t="str">
        <x:v>C0008372</x:v>
      </x:c>
      <x:c r="B216" s="1" t="n">
        <x:v>14</x:v>
      </x:c>
      <x:c r="C216" s="1" t="n">
        <x:v>74</x:v>
      </x:c>
      <x:c r="D216" s="6" t="n">
        <x:v>28598</x:v>
      </x:c>
      <x:c r="E216" s="6" t="n">
        <x:v>0</x:v>
      </x:c>
      <x:c r="F216" s="6" t="n">
        <x:v>0</x:v>
      </x:c>
      <x:c r="G216" s="6" t="n">
        <x:v>0</x:v>
      </x:c>
      <x:c r="H216" s="6" t="n">
        <x:v>-28598</x:v>
      </x:c>
    </x:row>
    <x:row r="217" ht="21" customHeight="1">
      <x:c r="A217" s="1" t="str">
        <x:v>C0004300</x:v>
      </x:c>
      <x:c r="B217" s="1" t="n">
        <x:v>14</x:v>
      </x:c>
      <x:c r="C217" s="1" t="n">
        <x:v>74</x:v>
      </x:c>
      <x:c r="D217" s="6" t="n">
        <x:v>0</x:v>
      </x:c>
      <x:c r="E217" s="6" t="n">
        <x:v>28598</x:v>
      </x:c>
      <x:c r="F217" s="6" t="n">
        <x:v>0</x:v>
      </x:c>
      <x:c r="G217" s="6" t="n">
        <x:v>28598</x:v>
      </x:c>
      <x:c r="H217" s="6" t="n">
        <x:v>28598</x:v>
      </x:c>
    </x:row>
    <x:row r="218" ht="21" customHeight="1">
      <x:c r="A218" s="1" t="str">
        <x:v>C0010969</x:v>
      </x:c>
      <x:c r="B218" s="1" t="n">
        <x:v>14</x:v>
      </x:c>
      <x:c r="C218" s="1" t="n">
        <x:v>74</x:v>
      </x:c>
      <x:c r="D218" s="6" t="n">
        <x:v>28598</x:v>
      </x:c>
      <x:c r="E218" s="6" t="n">
        <x:v>57196</x:v>
      </x:c>
      <x:c r="F218" s="6" t="n">
        <x:v>0</x:v>
      </x:c>
      <x:c r="G218" s="6" t="n">
        <x:v>57196</x:v>
      </x:c>
      <x:c r="H218" s="6" t="n">
        <x:v>28598</x:v>
      </x:c>
    </x:row>
    <x:row r="219" ht="21" customHeight="1">
      <x:c r="A219" s="1" t="str">
        <x:v>C0010700</x:v>
      </x:c>
      <x:c r="B219" s="1" t="n">
        <x:v>14</x:v>
      </x:c>
      <x:c r="C219" s="1" t="n">
        <x:v>74</x:v>
      </x:c>
      <x:c r="D219" s="6" t="n">
        <x:v>28598</x:v>
      </x:c>
      <x:c r="E219" s="6" t="n">
        <x:v>57196</x:v>
      </x:c>
      <x:c r="F219" s="6" t="n">
        <x:v>0</x:v>
      </x:c>
      <x:c r="G219" s="6" t="n">
        <x:v>57196</x:v>
      </x:c>
      <x:c r="H219" s="6" t="n">
        <x:v>28598</x:v>
      </x:c>
    </x:row>
    <x:row r="220" ht="21" customHeight="1">
      <x:c r="A220" s="1" t="str">
        <x:v>C0005363</x:v>
      </x:c>
      <x:c r="B220" s="1" t="n">
        <x:v>14</x:v>
      </x:c>
      <x:c r="C220" s="1" t="n">
        <x:v>74</x:v>
      </x:c>
      <x:c r="D220" s="6" t="n">
        <x:v>28598</x:v>
      </x:c>
      <x:c r="E220" s="6" t="n">
        <x:v>0</x:v>
      </x:c>
      <x:c r="F220" s="6" t="n">
        <x:v>0</x:v>
      </x:c>
      <x:c r="G220" s="6" t="n">
        <x:v>0</x:v>
      </x:c>
      <x:c r="H220" s="6" t="n">
        <x:v>-28598</x:v>
      </x:c>
    </x:row>
    <x:row r="221" ht="21" customHeight="1">
      <x:c r="A221" s="1" t="str">
        <x:v>C0014981</x:v>
      </x:c>
      <x:c r="B221" s="1" t="n">
        <x:v>6</x:v>
      </x:c>
      <x:c r="C221" s="1" t="n">
        <x:v>36</x:v>
      </x:c>
      <x:c r="D221" s="6" t="n">
        <x:v>28512</x:v>
      </x:c>
      <x:c r="E221" s="6" t="n">
        <x:v>57024</x:v>
      </x:c>
      <x:c r="F221" s="6" t="n">
        <x:v>0</x:v>
      </x:c>
      <x:c r="G221" s="6" t="n">
        <x:v>57024</x:v>
      </x:c>
      <x:c r="H221" s="6" t="n">
        <x:v>28512</x:v>
      </x:c>
    </x:row>
    <x:row r="222" ht="21" customHeight="1">
      <x:c r="A222" s="1" t="str">
        <x:v>C0015149</x:v>
      </x:c>
      <x:c r="B222" s="1" t="n">
        <x:v>6</x:v>
      </x:c>
      <x:c r="C222" s="1" t="n">
        <x:v>36</x:v>
      </x:c>
      <x:c r="D222" s="6" t="n">
        <x:v>28512</x:v>
      </x:c>
      <x:c r="E222" s="6" t="n">
        <x:v>57024</x:v>
      </x:c>
      <x:c r="F222" s="6" t="n">
        <x:v>0</x:v>
      </x:c>
      <x:c r="G222" s="6" t="n">
        <x:v>57024</x:v>
      </x:c>
      <x:c r="H222" s="6" t="n">
        <x:v>28512</x:v>
      </x:c>
    </x:row>
    <x:row r="223" ht="21" customHeight="1">
      <x:c r="A223" s="1" t="str">
        <x:v>C0009394</x:v>
      </x:c>
      <x:c r="B223" s="1" t="n">
        <x:v>6</x:v>
      </x:c>
      <x:c r="C223" s="1" t="n">
        <x:v>36</x:v>
      </x:c>
      <x:c r="D223" s="6" t="n">
        <x:v>28512</x:v>
      </x:c>
      <x:c r="E223" s="6" t="n">
        <x:v>57024</x:v>
      </x:c>
      <x:c r="F223" s="6" t="n">
        <x:v>0</x:v>
      </x:c>
      <x:c r="G223" s="6" t="n">
        <x:v>57024</x:v>
      </x:c>
      <x:c r="H223" s="6" t="n">
        <x:v>28512</x:v>
      </x:c>
    </x:row>
    <x:row r="224" ht="21" customHeight="1">
      <x:c r="A224" s="1" t="str">
        <x:v>C0003863</x:v>
      </x:c>
      <x:c r="B224" s="1" t="n">
        <x:v>6</x:v>
      </x:c>
      <x:c r="C224" s="1" t="n">
        <x:v>36</x:v>
      </x:c>
      <x:c r="D224" s="6" t="n">
        <x:v>28512</x:v>
      </x:c>
      <x:c r="E224" s="6" t="n">
        <x:v>0</x:v>
      </x:c>
      <x:c r="F224" s="6" t="n">
        <x:v>0</x:v>
      </x:c>
      <x:c r="G224" s="6" t="n">
        <x:v>0</x:v>
      </x:c>
      <x:c r="H224" s="6" t="n">
        <x:v>-28512</x:v>
      </x:c>
    </x:row>
    <x:row r="225" ht="21" customHeight="1">
      <x:c r="A225" s="1" t="str">
        <x:v>C0015133</x:v>
      </x:c>
      <x:c r="B225" s="1" t="n">
        <x:v>6</x:v>
      </x:c>
      <x:c r="C225" s="1" t="n">
        <x:v>36</x:v>
      </x:c>
      <x:c r="D225" s="6" t="n">
        <x:v>28512</x:v>
      </x:c>
      <x:c r="E225" s="6" t="n">
        <x:v>0</x:v>
      </x:c>
      <x:c r="F225" s="6" t="n">
        <x:v>0</x:v>
      </x:c>
      <x:c r="G225" s="6" t="n">
        <x:v>0</x:v>
      </x:c>
      <x:c r="H225" s="6" t="n">
        <x:v>-28512</x:v>
      </x:c>
    </x:row>
    <x:row r="226" ht="21" customHeight="1">
      <x:c r="A226" s="1" t="str">
        <x:v>C0014094</x:v>
      </x:c>
      <x:c r="B226" s="1" t="n">
        <x:v>6</x:v>
      </x:c>
      <x:c r="C226" s="1" t="n">
        <x:v>36</x:v>
      </x:c>
      <x:c r="D226" s="6" t="n">
        <x:v>28512</x:v>
      </x:c>
      <x:c r="E226" s="6" t="n">
        <x:v>0</x:v>
      </x:c>
      <x:c r="F226" s="6" t="n">
        <x:v>0</x:v>
      </x:c>
      <x:c r="G226" s="6" t="n">
        <x:v>0</x:v>
      </x:c>
      <x:c r="H226" s="6" t="n">
        <x:v>-28512</x:v>
      </x:c>
    </x:row>
    <x:row r="227" ht="21" customHeight="1">
      <x:c r="A227" s="1" t="str">
        <x:v>C0013711</x:v>
      </x:c>
      <x:c r="B227" s="1" t="n">
        <x:v>6</x:v>
      </x:c>
      <x:c r="C227" s="1" t="n">
        <x:v>36</x:v>
      </x:c>
      <x:c r="D227" s="6" t="n">
        <x:v>28512</x:v>
      </x:c>
      <x:c r="E227" s="6" t="n">
        <x:v>0</x:v>
      </x:c>
      <x:c r="F227" s="6" t="n">
        <x:v>0</x:v>
      </x:c>
      <x:c r="G227" s="6" t="n">
        <x:v>0</x:v>
      </x:c>
      <x:c r="H227" s="6" t="n">
        <x:v>-28512</x:v>
      </x:c>
    </x:row>
    <x:row r="228" ht="21" customHeight="1">
      <x:c r="A228" s="1" t="str">
        <x:v>C0001795</x:v>
      </x:c>
      <x:c r="B228" s="1" t="n">
        <x:v>6</x:v>
      </x:c>
      <x:c r="C228" s="1" t="n">
        <x:v>36</x:v>
      </x:c>
      <x:c r="D228" s="6" t="n">
        <x:v>28512</x:v>
      </x:c>
      <x:c r="E228" s="6" t="n">
        <x:v>0</x:v>
      </x:c>
      <x:c r="F228" s="6" t="n">
        <x:v>0</x:v>
      </x:c>
      <x:c r="G228" s="6" t="n">
        <x:v>0</x:v>
      </x:c>
      <x:c r="H228" s="6" t="n">
        <x:v>-28512</x:v>
      </x:c>
    </x:row>
    <x:row r="229" ht="21" customHeight="1">
      <x:c r="A229" s="1" t="str">
        <x:v>C0014993</x:v>
      </x:c>
      <x:c r="B229" s="1" t="n">
        <x:v>6</x:v>
      </x:c>
      <x:c r="C229" s="1" t="n">
        <x:v>36</x:v>
      </x:c>
      <x:c r="D229" s="6" t="n">
        <x:v>28512</x:v>
      </x:c>
      <x:c r="E229" s="6" t="n">
        <x:v>57024</x:v>
      </x:c>
      <x:c r="F229" s="6" t="n">
        <x:v>0</x:v>
      </x:c>
      <x:c r="G229" s="6" t="n">
        <x:v>57024</x:v>
      </x:c>
      <x:c r="H229" s="6" t="n">
        <x:v>28512</x:v>
      </x:c>
    </x:row>
    <x:row r="230" ht="21" customHeight="1">
      <x:c r="A230" s="1" t="str">
        <x:v>C0005622</x:v>
      </x:c>
      <x:c r="B230" s="1" t="n">
        <x:v>6</x:v>
      </x:c>
      <x:c r="C230" s="1" t="n">
        <x:v>36</x:v>
      </x:c>
      <x:c r="D230" s="6" t="n">
        <x:v>28512</x:v>
      </x:c>
      <x:c r="E230" s="6" t="n">
        <x:v>0</x:v>
      </x:c>
      <x:c r="F230" s="6" t="n">
        <x:v>0</x:v>
      </x:c>
      <x:c r="G230" s="6" t="n">
        <x:v>0</x:v>
      </x:c>
      <x:c r="H230" s="6" t="n">
        <x:v>-28512</x:v>
      </x:c>
    </x:row>
    <x:row r="231" ht="21" customHeight="1">
      <x:c r="A231" s="1" t="str">
        <x:v>C0015235</x:v>
      </x:c>
      <x:c r="B231" s="1" t="n">
        <x:v>6</x:v>
      </x:c>
      <x:c r="C231" s="1" t="n">
        <x:v>36</x:v>
      </x:c>
      <x:c r="D231" s="6" t="n">
        <x:v>28512</x:v>
      </x:c>
      <x:c r="E231" s="6" t="n">
        <x:v>0</x:v>
      </x:c>
      <x:c r="F231" s="6" t="n">
        <x:v>0</x:v>
      </x:c>
      <x:c r="G231" s="6" t="n">
        <x:v>0</x:v>
      </x:c>
      <x:c r="H231" s="6" t="n">
        <x:v>-28512</x:v>
      </x:c>
    </x:row>
    <x:row r="232" ht="21" customHeight="1">
      <x:c r="A232" s="1" t="str">
        <x:v>C0013514</x:v>
      </x:c>
      <x:c r="B232" s="1" t="n">
        <x:v>6</x:v>
      </x:c>
      <x:c r="C232" s="1" t="n">
        <x:v>36</x:v>
      </x:c>
      <x:c r="D232" s="6" t="n">
        <x:v>28512</x:v>
      </x:c>
      <x:c r="E232" s="6" t="n">
        <x:v>57024</x:v>
      </x:c>
      <x:c r="F232" s="6" t="n">
        <x:v>0</x:v>
      </x:c>
      <x:c r="G232" s="6" t="n">
        <x:v>57024</x:v>
      </x:c>
      <x:c r="H232" s="6" t="n">
        <x:v>28512</x:v>
      </x:c>
    </x:row>
    <x:row r="233" ht="21" customHeight="1">
      <x:c r="A233" s="1" t="str">
        <x:v>C0007849</x:v>
      </x:c>
      <x:c r="B233" s="1" t="n">
        <x:v>20</x:v>
      </x:c>
      <x:c r="C233" s="1" t="n">
        <x:v>20</x:v>
      </x:c>
      <x:c r="D233" s="6" t="n">
        <x:v>28402</x:v>
      </x:c>
      <x:c r="E233" s="6" t="n">
        <x:v>56804</x:v>
      </x:c>
      <x:c r="F233" s="6" t="n">
        <x:v>0</x:v>
      </x:c>
      <x:c r="G233" s="6" t="n">
        <x:v>56804</x:v>
      </x:c>
      <x:c r="H233" s="6" t="n">
        <x:v>28402</x:v>
      </x:c>
    </x:row>
    <x:row r="234" ht="21" customHeight="1">
      <x:c r="A234" s="1" t="str">
        <x:v>C0002205</x:v>
      </x:c>
      <x:c r="B234" s="1" t="n">
        <x:v>20</x:v>
      </x:c>
      <x:c r="C234" s="1" t="n">
        <x:v>20</x:v>
      </x:c>
      <x:c r="D234" s="6" t="n">
        <x:v>28402</x:v>
      </x:c>
      <x:c r="E234" s="6" t="n">
        <x:v>56804</x:v>
      </x:c>
      <x:c r="F234" s="6" t="n">
        <x:v>0</x:v>
      </x:c>
      <x:c r="G234" s="6" t="n">
        <x:v>56804</x:v>
      </x:c>
      <x:c r="H234" s="6" t="n">
        <x:v>28402</x:v>
      </x:c>
    </x:row>
    <x:row r="235" ht="21" customHeight="1">
      <x:c r="A235" s="1" t="str">
        <x:v>C0006649</x:v>
      </x:c>
      <x:c r="B235" s="1" t="n">
        <x:v>20</x:v>
      </x:c>
      <x:c r="C235" s="1" t="n">
        <x:v>20</x:v>
      </x:c>
      <x:c r="D235" s="6" t="n">
        <x:v>28402</x:v>
      </x:c>
      <x:c r="E235" s="6" t="n">
        <x:v>56804</x:v>
      </x:c>
      <x:c r="F235" s="6" t="n">
        <x:v>0</x:v>
      </x:c>
      <x:c r="G235" s="6" t="n">
        <x:v>56804</x:v>
      </x:c>
      <x:c r="H235" s="6" t="n">
        <x:v>28402</x:v>
      </x:c>
    </x:row>
    <x:row r="236" ht="21" customHeight="1">
      <x:c r="A236" s="1" t="str">
        <x:v>C0014776</x:v>
      </x:c>
      <x:c r="B236" s="1" t="n">
        <x:v>20</x:v>
      </x:c>
      <x:c r="C236" s="1" t="n">
        <x:v>20</x:v>
      </x:c>
      <x:c r="D236" s="6" t="n">
        <x:v>28402</x:v>
      </x:c>
      <x:c r="E236" s="6" t="n">
        <x:v>0</x:v>
      </x:c>
      <x:c r="F236" s="6" t="n">
        <x:v>0</x:v>
      </x:c>
      <x:c r="G236" s="6" t="n">
        <x:v>0</x:v>
      </x:c>
      <x:c r="H236" s="6" t="n">
        <x:v>-28402</x:v>
      </x:c>
    </x:row>
    <x:row r="237" ht="21" customHeight="1">
      <x:c r="A237" s="1" t="str">
        <x:v>C0013176</x:v>
      </x:c>
      <x:c r="B237" s="1" t="n">
        <x:v>20</x:v>
      </x:c>
      <x:c r="C237" s="1" t="n">
        <x:v>20</x:v>
      </x:c>
      <x:c r="D237" s="6" t="n">
        <x:v>28402</x:v>
      </x:c>
      <x:c r="E237" s="6" t="n">
        <x:v>0</x:v>
      </x:c>
      <x:c r="F237" s="6" t="n">
        <x:v>0</x:v>
      </x:c>
      <x:c r="G237" s="6" t="n">
        <x:v>0</x:v>
      </x:c>
      <x:c r="H237" s="6" t="n">
        <x:v>-28402</x:v>
      </x:c>
    </x:row>
    <x:row r="238" ht="21" customHeight="1">
      <x:c r="A238" s="1" t="str">
        <x:v>C0006065</x:v>
      </x:c>
      <x:c r="B238" s="1" t="n">
        <x:v>20</x:v>
      </x:c>
      <x:c r="C238" s="1" t="n">
        <x:v>20</x:v>
      </x:c>
      <x:c r="D238" s="6" t="n">
        <x:v>28402</x:v>
      </x:c>
      <x:c r="E238" s="6" t="n">
        <x:v>56804</x:v>
      </x:c>
      <x:c r="F238" s="6" t="n">
        <x:v>0</x:v>
      </x:c>
      <x:c r="G238" s="6" t="n">
        <x:v>56804</x:v>
      </x:c>
      <x:c r="H238" s="6" t="n">
        <x:v>28402</x:v>
      </x:c>
    </x:row>
    <x:row r="239" ht="21" customHeight="1">
      <x:c r="A239" s="1" t="str">
        <x:v>C0016991</x:v>
      </x:c>
      <x:c r="B239" s="1" t="n">
        <x:v>20</x:v>
      </x:c>
      <x:c r="C239" s="1" t="n">
        <x:v>20</x:v>
      </x:c>
      <x:c r="D239" s="6" t="n">
        <x:v>28402</x:v>
      </x:c>
      <x:c r="E239" s="6" t="n">
        <x:v>56804</x:v>
      </x:c>
      <x:c r="F239" s="6" t="n">
        <x:v>0</x:v>
      </x:c>
      <x:c r="G239" s="6" t="n">
        <x:v>56804</x:v>
      </x:c>
      <x:c r="H239" s="6" t="n">
        <x:v>28402</x:v>
      </x:c>
    </x:row>
    <x:row r="240" ht="21" customHeight="1">
      <x:c r="A240" s="1" t="str">
        <x:v>C0016635</x:v>
      </x:c>
      <x:c r="B240" s="1" t="n">
        <x:v>20</x:v>
      </x:c>
      <x:c r="C240" s="1" t="n">
        <x:v>20</x:v>
      </x:c>
      <x:c r="D240" s="6" t="n">
        <x:v>28402</x:v>
      </x:c>
      <x:c r="E240" s="6" t="n">
        <x:v>56804</x:v>
      </x:c>
      <x:c r="F240" s="6" t="n">
        <x:v>0</x:v>
      </x:c>
      <x:c r="G240" s="6" t="n">
        <x:v>56804</x:v>
      </x:c>
      <x:c r="H240" s="6" t="n">
        <x:v>28402</x:v>
      </x:c>
    </x:row>
    <x:row r="241" ht="21" customHeight="1">
      <x:c r="A241" s="1" t="str">
        <x:v>C0007647</x:v>
      </x:c>
      <x:c r="B241" s="1" t="n">
        <x:v>20</x:v>
      </x:c>
      <x:c r="C241" s="1" t="n">
        <x:v>20</x:v>
      </x:c>
      <x:c r="D241" s="6" t="n">
        <x:v>28402</x:v>
      </x:c>
      <x:c r="E241" s="6" t="n">
        <x:v>56804</x:v>
      </x:c>
      <x:c r="F241" s="6" t="n">
        <x:v>0</x:v>
      </x:c>
      <x:c r="G241" s="6" t="n">
        <x:v>56804</x:v>
      </x:c>
      <x:c r="H241" s="6" t="n">
        <x:v>28402</x:v>
      </x:c>
    </x:row>
    <x:row r="242" ht="21" customHeight="1">
      <x:c r="A242" s="1" t="str">
        <x:v>C0004082</x:v>
      </x:c>
      <x:c r="B242" s="1" t="n">
        <x:v>20</x:v>
      </x:c>
      <x:c r="C242" s="1" t="n">
        <x:v>20</x:v>
      </x:c>
      <x:c r="D242" s="6" t="n">
        <x:v>28402</x:v>
      </x:c>
      <x:c r="E242" s="6" t="n">
        <x:v>0</x:v>
      </x:c>
      <x:c r="F242" s="6" t="n">
        <x:v>0</x:v>
      </x:c>
      <x:c r="G242" s="6" t="n">
        <x:v>0</x:v>
      </x:c>
      <x:c r="H242" s="6" t="n">
        <x:v>-28402</x:v>
      </x:c>
    </x:row>
    <x:row r="243" ht="21" customHeight="1">
      <x:c r="A243" s="1" t="str">
        <x:v>C0015049</x:v>
      </x:c>
      <x:c r="B243" s="1" t="n">
        <x:v>16</x:v>
      </x:c>
      <x:c r="C243" s="1" t="n">
        <x:v>46</x:v>
      </x:c>
      <x:c r="D243" s="6" t="n">
        <x:v>26952</x:v>
      </x:c>
      <x:c r="E243" s="6" t="n">
        <x:v>53904</x:v>
      </x:c>
      <x:c r="F243" s="6" t="n">
        <x:v>0</x:v>
      </x:c>
      <x:c r="G243" s="6" t="n">
        <x:v>53904</x:v>
      </x:c>
      <x:c r="H243" s="6" t="n">
        <x:v>26952</x:v>
      </x:c>
    </x:row>
    <x:row r="244" ht="21" customHeight="1">
      <x:c r="A244" s="1" t="str">
        <x:v>C0016769</x:v>
      </x:c>
      <x:c r="B244" s="1" t="n">
        <x:v>16</x:v>
      </x:c>
      <x:c r="C244" s="1" t="n">
        <x:v>46</x:v>
      </x:c>
      <x:c r="D244" s="6" t="n">
        <x:v>26952</x:v>
      </x:c>
      <x:c r="E244" s="6" t="n">
        <x:v>53904</x:v>
      </x:c>
      <x:c r="F244" s="6" t="n">
        <x:v>0</x:v>
      </x:c>
      <x:c r="G244" s="6" t="n">
        <x:v>53904</x:v>
      </x:c>
      <x:c r="H244" s="6" t="n">
        <x:v>26952</x:v>
      </x:c>
    </x:row>
    <x:row r="245" ht="21" customHeight="1">
      <x:c r="A245" s="1" t="str">
        <x:v>C0002284</x:v>
      </x:c>
      <x:c r="B245" s="1" t="n">
        <x:v>16</x:v>
      </x:c>
      <x:c r="C245" s="1" t="n">
        <x:v>46</x:v>
      </x:c>
      <x:c r="D245" s="6" t="n">
        <x:v>26952</x:v>
      </x:c>
      <x:c r="E245" s="6" t="n">
        <x:v>0</x:v>
      </x:c>
      <x:c r="F245" s="6" t="n">
        <x:v>0</x:v>
      </x:c>
      <x:c r="G245" s="6" t="n">
        <x:v>0</x:v>
      </x:c>
      <x:c r="H245" s="6" t="n">
        <x:v>-26952</x:v>
      </x:c>
    </x:row>
    <x:row r="246" ht="21" customHeight="1">
      <x:c r="A246" s="1" t="str">
        <x:v>C0003201</x:v>
      </x:c>
      <x:c r="B246" s="1" t="n">
        <x:v>16</x:v>
      </x:c>
      <x:c r="C246" s="1" t="n">
        <x:v>46</x:v>
      </x:c>
      <x:c r="D246" s="6" t="n">
        <x:v>26952</x:v>
      </x:c>
      <x:c r="E246" s="6" t="n">
        <x:v>53904</x:v>
      </x:c>
      <x:c r="F246" s="6" t="n">
        <x:v>0</x:v>
      </x:c>
      <x:c r="G246" s="6" t="n">
        <x:v>53904</x:v>
      </x:c>
      <x:c r="H246" s="6" t="n">
        <x:v>26952</x:v>
      </x:c>
    </x:row>
    <x:row r="247" ht="21" customHeight="1">
      <x:c r="A247" s="1" t="str">
        <x:v>C0011764</x:v>
      </x:c>
      <x:c r="B247" s="1" t="n">
        <x:v>16</x:v>
      </x:c>
      <x:c r="C247" s="1" t="n">
        <x:v>46</x:v>
      </x:c>
      <x:c r="D247" s="6" t="n">
        <x:v>26952</x:v>
      </x:c>
      <x:c r="E247" s="6" t="n">
        <x:v>0</x:v>
      </x:c>
      <x:c r="F247" s="6" t="n">
        <x:v>0</x:v>
      </x:c>
      <x:c r="G247" s="6" t="n">
        <x:v>0</x:v>
      </x:c>
      <x:c r="H247" s="6" t="n">
        <x:v>-26952</x:v>
      </x:c>
    </x:row>
    <x:row r="248" ht="21" customHeight="1">
      <x:c r="A248" s="1" t="str">
        <x:v>C0006398</x:v>
      </x:c>
      <x:c r="B248" s="1" t="n">
        <x:v>16</x:v>
      </x:c>
      <x:c r="C248" s="1" t="n">
        <x:v>46</x:v>
      </x:c>
      <x:c r="D248" s="6" t="n">
        <x:v>26952</x:v>
      </x:c>
      <x:c r="E248" s="6" t="n">
        <x:v>0</x:v>
      </x:c>
      <x:c r="F248" s="6" t="n">
        <x:v>0</x:v>
      </x:c>
      <x:c r="G248" s="6" t="n">
        <x:v>0</x:v>
      </x:c>
      <x:c r="H248" s="6" t="n">
        <x:v>-26952</x:v>
      </x:c>
    </x:row>
    <x:row r="249" ht="21" customHeight="1">
      <x:c r="A249" s="1" t="str">
        <x:v>C0000912</x:v>
      </x:c>
      <x:c r="B249" s="1" t="n">
        <x:v>16</x:v>
      </x:c>
      <x:c r="C249" s="1" t="n">
        <x:v>46</x:v>
      </x:c>
      <x:c r="D249" s="6" t="n">
        <x:v>26952</x:v>
      </x:c>
      <x:c r="E249" s="6" t="n">
        <x:v>53904</x:v>
      </x:c>
      <x:c r="F249" s="6" t="n">
        <x:v>0</x:v>
      </x:c>
      <x:c r="G249" s="6" t="n">
        <x:v>53904</x:v>
      </x:c>
      <x:c r="H249" s="6" t="n">
        <x:v>26952</x:v>
      </x:c>
    </x:row>
    <x:row r="250" ht="21" customHeight="1">
      <x:c r="A250" s="1" t="str">
        <x:v>C0005377</x:v>
      </x:c>
      <x:c r="B250" s="1" t="n">
        <x:v>16</x:v>
      </x:c>
      <x:c r="C250" s="1" t="n">
        <x:v>46</x:v>
      </x:c>
      <x:c r="D250" s="6" t="n">
        <x:v>26952</x:v>
      </x:c>
      <x:c r="E250" s="6" t="n">
        <x:v>0</x:v>
      </x:c>
      <x:c r="F250" s="6" t="n">
        <x:v>0</x:v>
      </x:c>
      <x:c r="G250" s="6" t="n">
        <x:v>0</x:v>
      </x:c>
      <x:c r="H250" s="6" t="n">
        <x:v>-26952</x:v>
      </x:c>
    </x:row>
    <x:row r="251" ht="21" customHeight="1">
      <x:c r="A251" s="1" t="str">
        <x:v>C0010407</x:v>
      </x:c>
      <x:c r="B251" s="1" t="n">
        <x:v>9</x:v>
      </x:c>
      <x:c r="C251" s="1" t="n">
        <x:v>99</x:v>
      </x:c>
      <x:c r="D251" s="6" t="n">
        <x:v>26770</x:v>
      </x:c>
      <x:c r="E251" s="6" t="n">
        <x:v>53540</x:v>
      </x:c>
      <x:c r="F251" s="6" t="n">
        <x:v>0</x:v>
      </x:c>
      <x:c r="G251" s="6" t="n">
        <x:v>53540</x:v>
      </x:c>
      <x:c r="H251" s="6" t="n">
        <x:v>26770</x:v>
      </x:c>
    </x:row>
    <x:row r="252" ht="21" customHeight="1">
      <x:c r="A252" s="1" t="str">
        <x:v>C0016496</x:v>
      </x:c>
      <x:c r="B252" s="1" t="n">
        <x:v>9</x:v>
      </x:c>
      <x:c r="C252" s="1" t="n">
        <x:v>99</x:v>
      </x:c>
      <x:c r="D252" s="6" t="n">
        <x:v>26770</x:v>
      </x:c>
      <x:c r="E252" s="6" t="n">
        <x:v>0</x:v>
      </x:c>
      <x:c r="F252" s="6" t="n">
        <x:v>0</x:v>
      </x:c>
      <x:c r="G252" s="6" t="n">
        <x:v>0</x:v>
      </x:c>
      <x:c r="H252" s="6" t="n">
        <x:v>-26770</x:v>
      </x:c>
    </x:row>
    <x:row r="253" ht="21" customHeight="1">
      <x:c r="A253" s="1" t="str">
        <x:v>C0001265</x:v>
      </x:c>
      <x:c r="B253" s="1" t="n">
        <x:v>9</x:v>
      </x:c>
      <x:c r="C253" s="1" t="n">
        <x:v>99</x:v>
      </x:c>
      <x:c r="D253" s="6" t="n">
        <x:v>0</x:v>
      </x:c>
      <x:c r="E253" s="6" t="n">
        <x:v>26770</x:v>
      </x:c>
      <x:c r="F253" s="6" t="n">
        <x:v>0</x:v>
      </x:c>
      <x:c r="G253" s="6" t="n">
        <x:v>26770</x:v>
      </x:c>
      <x:c r="H253" s="6" t="n">
        <x:v>26770</x:v>
      </x:c>
    </x:row>
    <x:row r="254" ht="21" customHeight="1">
      <x:c r="A254" s="1" t="str">
        <x:v>C0003714</x:v>
      </x:c>
      <x:c r="B254" s="1" t="n">
        <x:v>9</x:v>
      </x:c>
      <x:c r="C254" s="1" t="n">
        <x:v>99</x:v>
      </x:c>
      <x:c r="D254" s="6" t="n">
        <x:v>26770</x:v>
      </x:c>
      <x:c r="E254" s="6" t="n">
        <x:v>0</x:v>
      </x:c>
      <x:c r="F254" s="6" t="n">
        <x:v>0</x:v>
      </x:c>
      <x:c r="G254" s="6" t="n">
        <x:v>0</x:v>
      </x:c>
      <x:c r="H254" s="6" t="n">
        <x:v>-26770</x:v>
      </x:c>
    </x:row>
    <x:row r="255" ht="21" customHeight="1">
      <x:c r="A255" s="1" t="str">
        <x:v>C0008820</x:v>
      </x:c>
      <x:c r="B255" s="1" t="n">
        <x:v>9</x:v>
      </x:c>
      <x:c r="C255" s="1" t="n">
        <x:v>99</x:v>
      </x:c>
      <x:c r="D255" s="6" t="n">
        <x:v>26770</x:v>
      </x:c>
      <x:c r="E255" s="6" t="n">
        <x:v>53540</x:v>
      </x:c>
      <x:c r="F255" s="6" t="n">
        <x:v>0</x:v>
      </x:c>
      <x:c r="G255" s="6" t="n">
        <x:v>53540</x:v>
      </x:c>
      <x:c r="H255" s="6" t="n">
        <x:v>26770</x:v>
      </x:c>
    </x:row>
    <x:row r="256" ht="21" customHeight="1">
      <x:c r="A256" s="1" t="str">
        <x:v>C0006766</x:v>
      </x:c>
      <x:c r="B256" s="1" t="n">
        <x:v>11</x:v>
      </x:c>
      <x:c r="C256" s="1" t="n">
        <x:v>41</x:v>
      </x:c>
      <x:c r="D256" s="6" t="n">
        <x:v>26268</x:v>
      </x:c>
      <x:c r="E256" s="6" t="n">
        <x:v>0</x:v>
      </x:c>
      <x:c r="F256" s="6" t="n">
        <x:v>0</x:v>
      </x:c>
      <x:c r="G256" s="6" t="n">
        <x:v>0</x:v>
      </x:c>
      <x:c r="H256" s="6" t="n">
        <x:v>-26268</x:v>
      </x:c>
    </x:row>
    <x:row r="257" ht="21" customHeight="1">
      <x:c r="A257" s="1" t="str">
        <x:v>C0015158</x:v>
      </x:c>
      <x:c r="B257" s="1" t="n">
        <x:v>11</x:v>
      </x:c>
      <x:c r="C257" s="1" t="n">
        <x:v>41</x:v>
      </x:c>
      <x:c r="D257" s="6" t="n">
        <x:v>26268</x:v>
      </x:c>
      <x:c r="E257" s="6" t="n">
        <x:v>52536</x:v>
      </x:c>
      <x:c r="F257" s="6" t="n">
        <x:v>0</x:v>
      </x:c>
      <x:c r="G257" s="6" t="n">
        <x:v>52536</x:v>
      </x:c>
      <x:c r="H257" s="6" t="n">
        <x:v>26268</x:v>
      </x:c>
    </x:row>
    <x:row r="258" ht="21" customHeight="1">
      <x:c r="A258" s="1" t="str">
        <x:v>C0008735</x:v>
      </x:c>
      <x:c r="B258" s="1" t="n">
        <x:v>11</x:v>
      </x:c>
      <x:c r="C258" s="1" t="n">
        <x:v>41</x:v>
      </x:c>
      <x:c r="D258" s="6" t="n">
        <x:v>26268</x:v>
      </x:c>
      <x:c r="E258" s="6" t="n">
        <x:v>0</x:v>
      </x:c>
      <x:c r="F258" s="6" t="n">
        <x:v>0</x:v>
      </x:c>
      <x:c r="G258" s="6" t="n">
        <x:v>0</x:v>
      </x:c>
      <x:c r="H258" s="6" t="n">
        <x:v>-26268</x:v>
      </x:c>
    </x:row>
    <x:row r="259" ht="21" customHeight="1">
      <x:c r="A259" s="1" t="str">
        <x:v>C0013695</x:v>
      </x:c>
      <x:c r="B259" s="1" t="n">
        <x:v>11</x:v>
      </x:c>
      <x:c r="C259" s="1" t="n">
        <x:v>41</x:v>
      </x:c>
      <x:c r="D259" s="6" t="n">
        <x:v>26268</x:v>
      </x:c>
      <x:c r="E259" s="6" t="n">
        <x:v>52536</x:v>
      </x:c>
      <x:c r="F259" s="6" t="n">
        <x:v>0</x:v>
      </x:c>
      <x:c r="G259" s="6" t="n">
        <x:v>52536</x:v>
      </x:c>
      <x:c r="H259" s="6" t="n">
        <x:v>26268</x:v>
      </x:c>
    </x:row>
    <x:row r="260" ht="21" customHeight="1">
      <x:c r="A260" s="1" t="str">
        <x:v>C0013989</x:v>
      </x:c>
      <x:c r="B260" s="1" t="n">
        <x:v>11</x:v>
      </x:c>
      <x:c r="C260" s="1" t="n">
        <x:v>41</x:v>
      </x:c>
      <x:c r="D260" s="6" t="n">
        <x:v>26268</x:v>
      </x:c>
      <x:c r="E260" s="6" t="n">
        <x:v>0</x:v>
      </x:c>
      <x:c r="F260" s="6" t="n">
        <x:v>0</x:v>
      </x:c>
      <x:c r="G260" s="6" t="n">
        <x:v>0</x:v>
      </x:c>
      <x:c r="H260" s="6" t="n">
        <x:v>-26268</x:v>
      </x:c>
    </x:row>
    <x:row r="261" ht="21" customHeight="1">
      <x:c r="A261" s="1" t="str">
        <x:v>C0001979</x:v>
      </x:c>
      <x:c r="B261" s="1" t="n">
        <x:v>11</x:v>
      </x:c>
      <x:c r="C261" s="1" t="n">
        <x:v>41</x:v>
      </x:c>
      <x:c r="D261" s="6" t="n">
        <x:v>26268</x:v>
      </x:c>
      <x:c r="E261" s="6" t="n">
        <x:v>0</x:v>
      </x:c>
      <x:c r="F261" s="6" t="n">
        <x:v>0</x:v>
      </x:c>
      <x:c r="G261" s="6" t="n">
        <x:v>0</x:v>
      </x:c>
      <x:c r="H261" s="6" t="n">
        <x:v>-26268</x:v>
      </x:c>
    </x:row>
    <x:row r="262" ht="21" customHeight="1">
      <x:c r="A262" s="1" t="str">
        <x:v>C0017868</x:v>
      </x:c>
      <x:c r="B262" s="1" t="n">
        <x:v>6</x:v>
      </x:c>
      <x:c r="C262" s="1" t="n">
        <x:v>66</x:v>
      </x:c>
      <x:c r="D262" s="6" t="n">
        <x:v>24913</x:v>
      </x:c>
      <x:c r="E262" s="6" t="n">
        <x:v>49826</x:v>
      </x:c>
      <x:c r="F262" s="6" t="n">
        <x:v>0</x:v>
      </x:c>
      <x:c r="G262" s="6" t="n">
        <x:v>49826</x:v>
      </x:c>
      <x:c r="H262" s="6" t="n">
        <x:v>24913</x:v>
      </x:c>
    </x:row>
    <x:row r="263" ht="21" customHeight="1">
      <x:c r="A263" s="1" t="str">
        <x:v>C0013951</x:v>
      </x:c>
      <x:c r="B263" s="1" t="n">
        <x:v>6</x:v>
      </x:c>
      <x:c r="C263" s="1" t="n">
        <x:v>66</x:v>
      </x:c>
      <x:c r="D263" s="6" t="n">
        <x:v>24913</x:v>
      </x:c>
      <x:c r="E263" s="6" t="n">
        <x:v>49826</x:v>
      </x:c>
      <x:c r="F263" s="6" t="n">
        <x:v>0</x:v>
      </x:c>
      <x:c r="G263" s="6" t="n">
        <x:v>49826</x:v>
      </x:c>
      <x:c r="H263" s="6" t="n">
        <x:v>24913</x:v>
      </x:c>
    </x:row>
    <x:row r="264" ht="21" customHeight="1">
      <x:c r="A264" s="1" t="str">
        <x:v>C0001952</x:v>
      </x:c>
      <x:c r="B264" s="1" t="n">
        <x:v>6</x:v>
      </x:c>
      <x:c r="C264" s="1" t="n">
        <x:v>66</x:v>
      </x:c>
      <x:c r="D264" s="6" t="n">
        <x:v>24913</x:v>
      </x:c>
      <x:c r="E264" s="6" t="n">
        <x:v>49826</x:v>
      </x:c>
      <x:c r="F264" s="6" t="n">
        <x:v>0</x:v>
      </x:c>
      <x:c r="G264" s="6" t="n">
        <x:v>49826</x:v>
      </x:c>
      <x:c r="H264" s="6" t="n">
        <x:v>24913</x:v>
      </x:c>
    </x:row>
    <x:row r="265" ht="21" customHeight="1">
      <x:c r="A265" s="1" t="str">
        <x:v>C0004946</x:v>
      </x:c>
      <x:c r="B265" s="1" t="n">
        <x:v>6</x:v>
      </x:c>
      <x:c r="C265" s="1" t="n">
        <x:v>66</x:v>
      </x:c>
      <x:c r="D265" s="6" t="n">
        <x:v>24913</x:v>
      </x:c>
      <x:c r="E265" s="6" t="n">
        <x:v>49826</x:v>
      </x:c>
      <x:c r="F265" s="6" t="n">
        <x:v>0</x:v>
      </x:c>
      <x:c r="G265" s="6" t="n">
        <x:v>49826</x:v>
      </x:c>
      <x:c r="H265" s="6" t="n">
        <x:v>24913</x:v>
      </x:c>
    </x:row>
    <x:row r="266" ht="21" customHeight="1">
      <x:c r="A266" s="1" t="str">
        <x:v>C0003470</x:v>
      </x:c>
      <x:c r="B266" s="1" t="n">
        <x:v>6</x:v>
      </x:c>
      <x:c r="C266" s="1" t="n">
        <x:v>66</x:v>
      </x:c>
      <x:c r="D266" s="6" t="n">
        <x:v>24913</x:v>
      </x:c>
      <x:c r="E266" s="6" t="n">
        <x:v>49826</x:v>
      </x:c>
      <x:c r="F266" s="6" t="n">
        <x:v>0</x:v>
      </x:c>
      <x:c r="G266" s="6" t="n">
        <x:v>49826</x:v>
      </x:c>
      <x:c r="H266" s="6" t="n">
        <x:v>24913</x:v>
      </x:c>
    </x:row>
    <x:row r="267" ht="21" customHeight="1">
      <x:c r="A267" s="1" t="str">
        <x:v>C0010073</x:v>
      </x:c>
      <x:c r="B267" s="1" t="n">
        <x:v>6</x:v>
      </x:c>
      <x:c r="C267" s="1" t="n">
        <x:v>66</x:v>
      </x:c>
      <x:c r="D267" s="6" t="n">
        <x:v>24913</x:v>
      </x:c>
      <x:c r="E267" s="6" t="n">
        <x:v>49826</x:v>
      </x:c>
      <x:c r="F267" s="6" t="n">
        <x:v>0</x:v>
      </x:c>
      <x:c r="G267" s="6" t="n">
        <x:v>49826</x:v>
      </x:c>
      <x:c r="H267" s="6" t="n">
        <x:v>24913</x:v>
      </x:c>
    </x:row>
    <x:row r="268" ht="21" customHeight="1">
      <x:c r="A268" s="1" t="str">
        <x:v>C0007111</x:v>
      </x:c>
      <x:c r="B268" s="1" t="n">
        <x:v>6</x:v>
      </x:c>
      <x:c r="C268" s="1" t="n">
        <x:v>66</x:v>
      </x:c>
      <x:c r="D268" s="6" t="n">
        <x:v>24913</x:v>
      </x:c>
      <x:c r="E268" s="6" t="n">
        <x:v>49826</x:v>
      </x:c>
      <x:c r="F268" s="6" t="n">
        <x:v>0</x:v>
      </x:c>
      <x:c r="G268" s="6" t="n">
        <x:v>49826</x:v>
      </x:c>
      <x:c r="H268" s="6" t="n">
        <x:v>24913</x:v>
      </x:c>
    </x:row>
    <x:row r="269" ht="21" customHeight="1">
      <x:c r="A269" s="1" t="str">
        <x:v>C0011807</x:v>
      </x:c>
      <x:c r="B269" s="1" t="n">
        <x:v>2</x:v>
      </x:c>
      <x:c r="C269" s="1" t="n">
        <x:v>92</x:v>
      </x:c>
      <x:c r="D269" s="6" t="n">
        <x:v>24904</x:v>
      </x:c>
      <x:c r="E269" s="6" t="n">
        <x:v>0</x:v>
      </x:c>
      <x:c r="F269" s="6" t="n">
        <x:v>0</x:v>
      </x:c>
      <x:c r="G269" s="6" t="n">
        <x:v>0</x:v>
      </x:c>
      <x:c r="H269" s="6" t="n">
        <x:v>-24904</x:v>
      </x:c>
    </x:row>
    <x:row r="270" ht="21" customHeight="1">
      <x:c r="A270" s="1" t="str">
        <x:v>C0000496</x:v>
      </x:c>
      <x:c r="B270" s="1" t="n">
        <x:v>2</x:v>
      </x:c>
      <x:c r="C270" s="1" t="n">
        <x:v>92</x:v>
      </x:c>
      <x:c r="D270" s="6" t="n">
        <x:v>24904</x:v>
      </x:c>
      <x:c r="E270" s="6" t="n">
        <x:v>0</x:v>
      </x:c>
      <x:c r="F270" s="6" t="n">
        <x:v>0</x:v>
      </x:c>
      <x:c r="G270" s="6" t="n">
        <x:v>0</x:v>
      </x:c>
      <x:c r="H270" s="6" t="n">
        <x:v>-24904</x:v>
      </x:c>
    </x:row>
    <x:row r="271" ht="21" customHeight="1">
      <x:c r="A271" s="1" t="str">
        <x:v>C0012305</x:v>
      </x:c>
      <x:c r="B271" s="1" t="n">
        <x:v>2</x:v>
      </x:c>
      <x:c r="C271" s="1" t="n">
        <x:v>92</x:v>
      </x:c>
      <x:c r="D271" s="6" t="n">
        <x:v>24904</x:v>
      </x:c>
      <x:c r="E271" s="6" t="n">
        <x:v>49808</x:v>
      </x:c>
      <x:c r="F271" s="6" t="n">
        <x:v>0</x:v>
      </x:c>
      <x:c r="G271" s="6" t="n">
        <x:v>49808</x:v>
      </x:c>
      <x:c r="H271" s="6" t="n">
        <x:v>24904</x:v>
      </x:c>
    </x:row>
    <x:row r="272" ht="21" customHeight="1">
      <x:c r="A272" s="1" t="str">
        <x:v>C0001465</x:v>
      </x:c>
      <x:c r="B272" s="1" t="n">
        <x:v>2</x:v>
      </x:c>
      <x:c r="C272" s="1" t="n">
        <x:v>92</x:v>
      </x:c>
      <x:c r="D272" s="6" t="n">
        <x:v>24904</x:v>
      </x:c>
      <x:c r="E272" s="6" t="n">
        <x:v>0</x:v>
      </x:c>
      <x:c r="F272" s="6" t="n">
        <x:v>0</x:v>
      </x:c>
      <x:c r="G272" s="6" t="n">
        <x:v>0</x:v>
      </x:c>
      <x:c r="H272" s="6" t="n">
        <x:v>-24904</x:v>
      </x:c>
    </x:row>
    <x:row r="273" ht="21" customHeight="1">
      <x:c r="A273" s="1" t="str">
        <x:v>C0003639</x:v>
      </x:c>
      <x:c r="B273" s="1" t="n">
        <x:v>2</x:v>
      </x:c>
      <x:c r="C273" s="1" t="n">
        <x:v>92</x:v>
      </x:c>
      <x:c r="D273" s="6" t="n">
        <x:v>24904</x:v>
      </x:c>
      <x:c r="E273" s="6" t="n">
        <x:v>49808</x:v>
      </x:c>
      <x:c r="F273" s="6" t="n">
        <x:v>0</x:v>
      </x:c>
      <x:c r="G273" s="6" t="n">
        <x:v>49808</x:v>
      </x:c>
      <x:c r="H273" s="6" t="n">
        <x:v>24904</x:v>
      </x:c>
    </x:row>
    <x:row r="274" ht="21" customHeight="1">
      <x:c r="A274" s="1" t="str">
        <x:v>C0009762</x:v>
      </x:c>
      <x:c r="B274" s="1" t="n">
        <x:v>2</x:v>
      </x:c>
      <x:c r="C274" s="1" t="n">
        <x:v>92</x:v>
      </x:c>
      <x:c r="D274" s="6" t="n">
        <x:v>24904</x:v>
      </x:c>
      <x:c r="E274" s="6" t="n">
        <x:v>49808</x:v>
      </x:c>
      <x:c r="F274" s="6" t="n">
        <x:v>0</x:v>
      </x:c>
      <x:c r="G274" s="6" t="n">
        <x:v>49808</x:v>
      </x:c>
      <x:c r="H274" s="6" t="n">
        <x:v>24904</x:v>
      </x:c>
    </x:row>
    <x:row r="275" ht="21" customHeight="1">
      <x:c r="A275" s="1" t="str">
        <x:v>C0012353</x:v>
      </x:c>
      <x:c r="B275" s="1" t="n">
        <x:v>2</x:v>
      </x:c>
      <x:c r="C275" s="1" t="n">
        <x:v>62</x:v>
      </x:c>
      <x:c r="D275" s="6" t="n">
        <x:v>24890</x:v>
      </x:c>
      <x:c r="E275" s="6" t="n">
        <x:v>0</x:v>
      </x:c>
      <x:c r="F275" s="6" t="n">
        <x:v>0</x:v>
      </x:c>
      <x:c r="G275" s="6" t="n">
        <x:v>0</x:v>
      </x:c>
      <x:c r="H275" s="6" t="n">
        <x:v>-24890</x:v>
      </x:c>
    </x:row>
    <x:row r="276" ht="21" customHeight="1">
      <x:c r="A276" s="1" t="str">
        <x:v>C0013582</x:v>
      </x:c>
      <x:c r="B276" s="1" t="n">
        <x:v>2</x:v>
      </x:c>
      <x:c r="C276" s="1" t="n">
        <x:v>62</x:v>
      </x:c>
      <x:c r="D276" s="6" t="n">
        <x:v>24890</x:v>
      </x:c>
      <x:c r="E276" s="6" t="n">
        <x:v>0</x:v>
      </x:c>
      <x:c r="F276" s="6" t="n">
        <x:v>0</x:v>
      </x:c>
      <x:c r="G276" s="6" t="n">
        <x:v>0</x:v>
      </x:c>
      <x:c r="H276" s="6" t="n">
        <x:v>-24890</x:v>
      </x:c>
    </x:row>
    <x:row r="277" ht="21" customHeight="1">
      <x:c r="A277" s="1" t="str">
        <x:v>C0002715</x:v>
      </x:c>
      <x:c r="B277" s="1" t="n">
        <x:v>2</x:v>
      </x:c>
      <x:c r="C277" s="1" t="n">
        <x:v>62</x:v>
      </x:c>
      <x:c r="D277" s="6" t="n">
        <x:v>0</x:v>
      </x:c>
      <x:c r="E277" s="6" t="n">
        <x:v>24890</x:v>
      </x:c>
      <x:c r="F277" s="6" t="n">
        <x:v>0</x:v>
      </x:c>
      <x:c r="G277" s="6" t="n">
        <x:v>24890</x:v>
      </x:c>
      <x:c r="H277" s="6" t="n">
        <x:v>24890</x:v>
      </x:c>
    </x:row>
    <x:row r="278" ht="21" customHeight="1">
      <x:c r="A278" s="1" t="str">
        <x:v>C0017613</x:v>
      </x:c>
      <x:c r="B278" s="1" t="n">
        <x:v>2</x:v>
      </x:c>
      <x:c r="C278" s="1" t="n">
        <x:v>62</x:v>
      </x:c>
      <x:c r="D278" s="6" t="n">
        <x:v>24890</x:v>
      </x:c>
      <x:c r="E278" s="6" t="n">
        <x:v>0</x:v>
      </x:c>
      <x:c r="F278" s="6" t="n">
        <x:v>0</x:v>
      </x:c>
      <x:c r="G278" s="6" t="n">
        <x:v>0</x:v>
      </x:c>
      <x:c r="H278" s="6" t="n">
        <x:v>-24890</x:v>
      </x:c>
    </x:row>
    <x:row r="279" ht="21" customHeight="1">
      <x:c r="A279" s="1" t="str">
        <x:v>C0000648</x:v>
      </x:c>
      <x:c r="B279" s="1" t="n">
        <x:v>21</x:v>
      </x:c>
      <x:c r="C279" s="1" t="n">
        <x:v>21</x:v>
      </x:c>
      <x:c r="D279" s="6" t="n">
        <x:v>24828</x:v>
      </x:c>
      <x:c r="E279" s="6" t="n">
        <x:v>49656</x:v>
      </x:c>
      <x:c r="F279" s="6" t="n">
        <x:v>0</x:v>
      </x:c>
      <x:c r="G279" s="6" t="n">
        <x:v>49656</x:v>
      </x:c>
      <x:c r="H279" s="6" t="n">
        <x:v>24828</x:v>
      </x:c>
    </x:row>
    <x:row r="280" ht="21" customHeight="1">
      <x:c r="A280" s="1" t="str">
        <x:v>C0014812</x:v>
      </x:c>
      <x:c r="B280" s="1" t="n">
        <x:v>21</x:v>
      </x:c>
      <x:c r="C280" s="1" t="n">
        <x:v>21</x:v>
      </x:c>
      <x:c r="D280" s="6" t="n">
        <x:v>24828</x:v>
      </x:c>
      <x:c r="E280" s="6" t="n">
        <x:v>49656</x:v>
      </x:c>
      <x:c r="F280" s="6" t="n">
        <x:v>0</x:v>
      </x:c>
      <x:c r="G280" s="6" t="n">
        <x:v>49656</x:v>
      </x:c>
      <x:c r="H280" s="6" t="n">
        <x:v>24828</x:v>
      </x:c>
    </x:row>
    <x:row r="281" ht="21" customHeight="1">
      <x:c r="A281" s="1" t="str">
        <x:v>C0013643</x:v>
      </x:c>
      <x:c r="B281" s="1" t="n">
        <x:v>21</x:v>
      </x:c>
      <x:c r="C281" s="1" t="n">
        <x:v>21</x:v>
      </x:c>
      <x:c r="D281" s="6" t="n">
        <x:v>0</x:v>
      </x:c>
      <x:c r="E281" s="6" t="n">
        <x:v>24828</x:v>
      </x:c>
      <x:c r="F281" s="6" t="n">
        <x:v>0</x:v>
      </x:c>
      <x:c r="G281" s="6" t="n">
        <x:v>24828</x:v>
      </x:c>
      <x:c r="H281" s="6" t="n">
        <x:v>24828</x:v>
      </x:c>
    </x:row>
    <x:row r="282" ht="21" customHeight="1">
      <x:c r="A282" s="1" t="str">
        <x:v>C0007738</x:v>
      </x:c>
      <x:c r="B282" s="1" t="n">
        <x:v>21</x:v>
      </x:c>
      <x:c r="C282" s="1" t="n">
        <x:v>21</x:v>
      </x:c>
      <x:c r="D282" s="6" t="n">
        <x:v>24828</x:v>
      </x:c>
      <x:c r="E282" s="6" t="n">
        <x:v>49656</x:v>
      </x:c>
      <x:c r="F282" s="6" t="n">
        <x:v>0</x:v>
      </x:c>
      <x:c r="G282" s="6" t="n">
        <x:v>49656</x:v>
      </x:c>
      <x:c r="H282" s="6" t="n">
        <x:v>24828</x:v>
      </x:c>
    </x:row>
    <x:row r="283" ht="21" customHeight="1">
      <x:c r="A283" s="1" t="str">
        <x:v>C0017031</x:v>
      </x:c>
      <x:c r="B283" s="1" t="n">
        <x:v>21</x:v>
      </x:c>
      <x:c r="C283" s="1" t="n">
        <x:v>21</x:v>
      </x:c>
      <x:c r="D283" s="6" t="n">
        <x:v>24828</x:v>
      </x:c>
      <x:c r="E283" s="6" t="n">
        <x:v>0</x:v>
      </x:c>
      <x:c r="F283" s="6" t="n">
        <x:v>0</x:v>
      </x:c>
      <x:c r="G283" s="6" t="n">
        <x:v>0</x:v>
      </x:c>
      <x:c r="H283" s="6" t="n">
        <x:v>-24828</x:v>
      </x:c>
    </x:row>
    <x:row r="284" ht="21" customHeight="1">
      <x:c r="A284" s="1" t="str">
        <x:v>C0004781</x:v>
      </x:c>
      <x:c r="B284" s="1" t="n">
        <x:v>21</x:v>
      </x:c>
      <x:c r="C284" s="1" t="n">
        <x:v>21</x:v>
      </x:c>
      <x:c r="D284" s="6" t="n">
        <x:v>24828</x:v>
      </x:c>
      <x:c r="E284" s="6" t="n">
        <x:v>49656</x:v>
      </x:c>
      <x:c r="F284" s="6" t="n">
        <x:v>0</x:v>
      </x:c>
      <x:c r="G284" s="6" t="n">
        <x:v>49656</x:v>
      </x:c>
      <x:c r="H284" s="6" t="n">
        <x:v>24828</x:v>
      </x:c>
    </x:row>
    <x:row r="285" ht="21" customHeight="1">
      <x:c r="A285" s="1" t="str">
        <x:v>C0013685</x:v>
      </x:c>
      <x:c r="B285" s="1" t="n">
        <x:v>8</x:v>
      </x:c>
      <x:c r="C285" s="1" t="n">
        <x:v>68</x:v>
      </x:c>
      <x:c r="D285" s="6" t="n">
        <x:v>24794</x:v>
      </x:c>
      <x:c r="E285" s="6" t="n">
        <x:v>49588</x:v>
      </x:c>
      <x:c r="F285" s="6" t="n">
        <x:v>0</x:v>
      </x:c>
      <x:c r="G285" s="6" t="n">
        <x:v>49588</x:v>
      </x:c>
      <x:c r="H285" s="6" t="n">
        <x:v>24794</x:v>
      </x:c>
    </x:row>
    <x:row r="286" ht="21" customHeight="1">
      <x:c r="A286" s="1" t="str">
        <x:v>C0005910</x:v>
      </x:c>
      <x:c r="B286" s="1" t="n">
        <x:v>8</x:v>
      </x:c>
      <x:c r="C286" s="1" t="n">
        <x:v>68</x:v>
      </x:c>
      <x:c r="D286" s="6" t="n">
        <x:v>0</x:v>
      </x:c>
      <x:c r="E286" s="6" t="n">
        <x:v>24794</x:v>
      </x:c>
      <x:c r="F286" s="6" t="n">
        <x:v>0</x:v>
      </x:c>
      <x:c r="G286" s="6" t="n">
        <x:v>24794</x:v>
      </x:c>
      <x:c r="H286" s="6" t="n">
        <x:v>24794</x:v>
      </x:c>
    </x:row>
    <x:row r="287" ht="21" customHeight="1">
      <x:c r="A287" s="1" t="str">
        <x:v>C0005182</x:v>
      </x:c>
      <x:c r="B287" s="1" t="n">
        <x:v>8</x:v>
      </x:c>
      <x:c r="C287" s="1" t="n">
        <x:v>68</x:v>
      </x:c>
      <x:c r="D287" s="6" t="n">
        <x:v>0</x:v>
      </x:c>
      <x:c r="E287" s="6" t="n">
        <x:v>24794</x:v>
      </x:c>
      <x:c r="F287" s="6" t="n">
        <x:v>0</x:v>
      </x:c>
      <x:c r="G287" s="6" t="n">
        <x:v>24794</x:v>
      </x:c>
      <x:c r="H287" s="6" t="n">
        <x:v>24794</x:v>
      </x:c>
    </x:row>
    <x:row r="288" ht="21" customHeight="1">
      <x:c r="A288" s="1" t="str">
        <x:v>C0014302</x:v>
      </x:c>
      <x:c r="B288" s="1" t="n">
        <x:v>8</x:v>
      </x:c>
      <x:c r="C288" s="1" t="n">
        <x:v>68</x:v>
      </x:c>
      <x:c r="D288" s="6" t="n">
        <x:v>24794</x:v>
      </x:c>
      <x:c r="E288" s="6" t="n">
        <x:v>0</x:v>
      </x:c>
      <x:c r="F288" s="6" t="n">
        <x:v>0</x:v>
      </x:c>
      <x:c r="G288" s="6" t="n">
        <x:v>0</x:v>
      </x:c>
      <x:c r="H288" s="6" t="n">
        <x:v>-24794</x:v>
      </x:c>
    </x:row>
    <x:row r="289" ht="21" customHeight="1">
      <x:c r="A289" s="1" t="str">
        <x:v>C0015638</x:v>
      </x:c>
      <x:c r="B289" s="1" t="n">
        <x:v>8</x:v>
      </x:c>
      <x:c r="C289" s="1" t="n">
        <x:v>68</x:v>
      </x:c>
      <x:c r="D289" s="6" t="n">
        <x:v>0</x:v>
      </x:c>
      <x:c r="E289" s="6" t="n">
        <x:v>24794</x:v>
      </x:c>
      <x:c r="F289" s="6" t="n">
        <x:v>0</x:v>
      </x:c>
      <x:c r="G289" s="6" t="n">
        <x:v>24794</x:v>
      </x:c>
      <x:c r="H289" s="6" t="n">
        <x:v>24794</x:v>
      </x:c>
    </x:row>
    <x:row r="290" ht="21" customHeight="1">
      <x:c r="A290" s="1" t="str">
        <x:v>C0002850</x:v>
      </x:c>
      <x:c r="B290" s="1" t="n">
        <x:v>8</x:v>
      </x:c>
      <x:c r="C290" s="1" t="n">
        <x:v>68</x:v>
      </x:c>
      <x:c r="D290" s="6" t="n">
        <x:v>0</x:v>
      </x:c>
      <x:c r="E290" s="6" t="n">
        <x:v>24794</x:v>
      </x:c>
      <x:c r="F290" s="6" t="n">
        <x:v>0</x:v>
      </x:c>
      <x:c r="G290" s="6" t="n">
        <x:v>24794</x:v>
      </x:c>
      <x:c r="H290" s="6" t="n">
        <x:v>24794</x:v>
      </x:c>
    </x:row>
    <x:row r="291" ht="21" customHeight="1">
      <x:c r="A291" s="1" t="str">
        <x:v>C0008397</x:v>
      </x:c>
      <x:c r="B291" s="1" t="n">
        <x:v>8</x:v>
      </x:c>
      <x:c r="C291" s="1" t="n">
        <x:v>68</x:v>
      </x:c>
      <x:c r="D291" s="6" t="n">
        <x:v>24794</x:v>
      </x:c>
      <x:c r="E291" s="6" t="n">
        <x:v>0</x:v>
      </x:c>
      <x:c r="F291" s="6" t="n">
        <x:v>0</x:v>
      </x:c>
      <x:c r="G291" s="6" t="n">
        <x:v>0</x:v>
      </x:c>
      <x:c r="H291" s="6" t="n">
        <x:v>-24794</x:v>
      </x:c>
    </x:row>
    <x:row r="292" ht="21" customHeight="1">
      <x:c r="A292" s="1" t="str">
        <x:v>C0007591</x:v>
      </x:c>
      <x:c r="B292" s="1" t="n">
        <x:v>26</x:v>
      </x:c>
      <x:c r="C292" s="1" t="n">
        <x:v>116</x:v>
      </x:c>
      <x:c r="D292" s="6" t="n">
        <x:v>24773</x:v>
      </x:c>
      <x:c r="E292" s="6" t="n">
        <x:v>49546</x:v>
      </x:c>
      <x:c r="F292" s="6" t="n">
        <x:v>0</x:v>
      </x:c>
      <x:c r="G292" s="6" t="n">
        <x:v>49546</x:v>
      </x:c>
      <x:c r="H292" s="6" t="n">
        <x:v>24773</x:v>
      </x:c>
    </x:row>
    <x:row r="293" ht="21" customHeight="1">
      <x:c r="A293" s="1" t="str">
        <x:v>C0000437</x:v>
      </x:c>
      <x:c r="B293" s="1" t="n">
        <x:v>26</x:v>
      </x:c>
      <x:c r="C293" s="1" t="n">
        <x:v>116</x:v>
      </x:c>
      <x:c r="D293" s="6" t="n">
        <x:v>24773</x:v>
      </x:c>
      <x:c r="E293" s="6" t="n">
        <x:v>49546</x:v>
      </x:c>
      <x:c r="F293" s="6" t="n">
        <x:v>0</x:v>
      </x:c>
      <x:c r="G293" s="6" t="n">
        <x:v>49546</x:v>
      </x:c>
      <x:c r="H293" s="6" t="n">
        <x:v>24773</x:v>
      </x:c>
    </x:row>
    <x:row r="294" ht="21" customHeight="1">
      <x:c r="A294" s="1" t="str">
        <x:v>C0007365</x:v>
      </x:c>
      <x:c r="B294" s="1" t="n">
        <x:v>26</x:v>
      </x:c>
      <x:c r="C294" s="1" t="n">
        <x:v>116</x:v>
      </x:c>
      <x:c r="D294" s="6" t="n">
        <x:v>24773</x:v>
      </x:c>
      <x:c r="E294" s="6" t="n">
        <x:v>0</x:v>
      </x:c>
      <x:c r="F294" s="6" t="n">
        <x:v>0</x:v>
      </x:c>
      <x:c r="G294" s="6" t="n">
        <x:v>0</x:v>
      </x:c>
      <x:c r="H294" s="6" t="n">
        <x:v>-24773</x:v>
      </x:c>
    </x:row>
    <x:row r="295" ht="21" customHeight="1">
      <x:c r="A295" s="1" t="str">
        <x:v>C0015348</x:v>
      </x:c>
      <x:c r="B295" s="1" t="n">
        <x:v>26</x:v>
      </x:c>
      <x:c r="C295" s="1" t="n">
        <x:v>116</x:v>
      </x:c>
      <x:c r="D295" s="6" t="n">
        <x:v>24773</x:v>
      </x:c>
      <x:c r="E295" s="6" t="n">
        <x:v>49546</x:v>
      </x:c>
      <x:c r="F295" s="6" t="n">
        <x:v>0</x:v>
      </x:c>
      <x:c r="G295" s="6" t="n">
        <x:v>49546</x:v>
      </x:c>
      <x:c r="H295" s="6" t="n">
        <x:v>24773</x:v>
      </x:c>
    </x:row>
    <x:row r="296" ht="21" customHeight="1">
      <x:c r="A296" s="1" t="str">
        <x:v>C0016564</x:v>
      </x:c>
      <x:c r="B296" s="1" t="n">
        <x:v>26</x:v>
      </x:c>
      <x:c r="C296" s="1" t="n">
        <x:v>116</x:v>
      </x:c>
      <x:c r="D296" s="6" t="n">
        <x:v>24773</x:v>
      </x:c>
      <x:c r="E296" s="6" t="n">
        <x:v>49546</x:v>
      </x:c>
      <x:c r="F296" s="6" t="n">
        <x:v>0</x:v>
      </x:c>
      <x:c r="G296" s="6" t="n">
        <x:v>49546</x:v>
      </x:c>
      <x:c r="H296" s="6" t="n">
        <x:v>24773</x:v>
      </x:c>
    </x:row>
    <x:row r="297" ht="21" customHeight="1">
      <x:c r="A297" s="1" t="str">
        <x:v>C0015789</x:v>
      </x:c>
      <x:c r="B297" s="1" t="n">
        <x:v>26</x:v>
      </x:c>
      <x:c r="C297" s="1" t="n">
        <x:v>116</x:v>
      </x:c>
      <x:c r="D297" s="6" t="n">
        <x:v>24773</x:v>
      </x:c>
      <x:c r="E297" s="6" t="n">
        <x:v>0</x:v>
      </x:c>
      <x:c r="F297" s="6" t="n">
        <x:v>0</x:v>
      </x:c>
      <x:c r="G297" s="6" t="n">
        <x:v>0</x:v>
      </x:c>
      <x:c r="H297" s="6" t="n">
        <x:v>-24773</x:v>
      </x:c>
    </x:row>
    <x:row r="298" ht="21" customHeight="1">
      <x:c r="A298" s="1" t="str">
        <x:v>C0009631</x:v>
      </x:c>
      <x:c r="B298" s="1" t="n">
        <x:v>26</x:v>
      </x:c>
      <x:c r="C298" s="1" t="n">
        <x:v>116</x:v>
      </x:c>
      <x:c r="D298" s="6" t="n">
        <x:v>24773</x:v>
      </x:c>
      <x:c r="E298" s="6" t="n">
        <x:v>49546</x:v>
      </x:c>
      <x:c r="F298" s="6" t="n">
        <x:v>0</x:v>
      </x:c>
      <x:c r="G298" s="6" t="n">
        <x:v>49546</x:v>
      </x:c>
      <x:c r="H298" s="6" t="n">
        <x:v>24773</x:v>
      </x:c>
    </x:row>
    <x:row r="299" ht="21" customHeight="1">
      <x:c r="A299" s="1" t="str">
        <x:v>C0010019</x:v>
      </x:c>
      <x:c r="B299" s="1" t="n">
        <x:v>26</x:v>
      </x:c>
      <x:c r="C299" s="1" t="n">
        <x:v>116</x:v>
      </x:c>
      <x:c r="D299" s="6" t="n">
        <x:v>24773</x:v>
      </x:c>
      <x:c r="E299" s="6" t="n">
        <x:v>49546</x:v>
      </x:c>
      <x:c r="F299" s="6" t="n">
        <x:v>0</x:v>
      </x:c>
      <x:c r="G299" s="6" t="n">
        <x:v>49546</x:v>
      </x:c>
      <x:c r="H299" s="6" t="n">
        <x:v>24773</x:v>
      </x:c>
    </x:row>
    <x:row r="300" ht="21" customHeight="1">
      <x:c r="A300" s="1" t="str">
        <x:v>C0010099</x:v>
      </x:c>
      <x:c r="B300" s="1" t="n">
        <x:v>26</x:v>
      </x:c>
      <x:c r="C300" s="1" t="n">
        <x:v>116</x:v>
      </x:c>
      <x:c r="D300" s="6" t="n">
        <x:v>24773</x:v>
      </x:c>
      <x:c r="E300" s="6" t="n">
        <x:v>49546</x:v>
      </x:c>
      <x:c r="F300" s="6" t="n">
        <x:v>0</x:v>
      </x:c>
      <x:c r="G300" s="6" t="n">
        <x:v>49546</x:v>
      </x:c>
      <x:c r="H300" s="6" t="n">
        <x:v>24773</x:v>
      </x:c>
    </x:row>
    <x:row r="301" ht="21" customHeight="1">
      <x:c r="A301" s="1" t="str">
        <x:v>C0011636</x:v>
      </x:c>
      <x:c r="B301" s="1" t="n">
        <x:v>26</x:v>
      </x:c>
      <x:c r="C301" s="1" t="n">
        <x:v>116</x:v>
      </x:c>
      <x:c r="D301" s="6" t="n">
        <x:v>0</x:v>
      </x:c>
      <x:c r="E301" s="6" t="n">
        <x:v>24773</x:v>
      </x:c>
      <x:c r="F301" s="6" t="n">
        <x:v>0</x:v>
      </x:c>
      <x:c r="G301" s="6" t="n">
        <x:v>24773</x:v>
      </x:c>
      <x:c r="H301" s="6" t="n">
        <x:v>24773</x:v>
      </x:c>
    </x:row>
    <x:row r="302" ht="21" customHeight="1">
      <x:c r="A302" s="1" t="str">
        <x:v>C0000346</x:v>
      </x:c>
      <x:c r="B302" s="1" t="n">
        <x:v>26</x:v>
      </x:c>
      <x:c r="C302" s="1" t="n">
        <x:v>116</x:v>
      </x:c>
      <x:c r="D302" s="6" t="n">
        <x:v>24773</x:v>
      </x:c>
      <x:c r="E302" s="6" t="n">
        <x:v>0</x:v>
      </x:c>
      <x:c r="F302" s="6" t="n">
        <x:v>0</x:v>
      </x:c>
      <x:c r="G302" s="6" t="n">
        <x:v>0</x:v>
      </x:c>
      <x:c r="H302" s="6" t="n">
        <x:v>-24773</x:v>
      </x:c>
    </x:row>
    <x:row r="303" ht="21" customHeight="1">
      <x:c r="A303" s="1" t="str">
        <x:v>C0006224</x:v>
      </x:c>
      <x:c r="B303" s="1" t="n">
        <x:v>26</x:v>
      </x:c>
      <x:c r="C303" s="1" t="n">
        <x:v>116</x:v>
      </x:c>
      <x:c r="D303" s="6" t="n">
        <x:v>0</x:v>
      </x:c>
      <x:c r="E303" s="6" t="n">
        <x:v>24773</x:v>
      </x:c>
      <x:c r="F303" s="6" t="n">
        <x:v>0</x:v>
      </x:c>
      <x:c r="G303" s="6" t="n">
        <x:v>24773</x:v>
      </x:c>
      <x:c r="H303" s="6" t="n">
        <x:v>24773</x:v>
      </x:c>
    </x:row>
    <x:row r="304" ht="21" customHeight="1">
      <x:c r="A304" s="1" t="str">
        <x:v>C0001955</x:v>
      </x:c>
      <x:c r="B304" s="1" t="n">
        <x:v>26</x:v>
      </x:c>
      <x:c r="C304" s="1" t="n">
        <x:v>116</x:v>
      </x:c>
      <x:c r="D304" s="6" t="n">
        <x:v>24773</x:v>
      </x:c>
      <x:c r="E304" s="6" t="n">
        <x:v>0</x:v>
      </x:c>
      <x:c r="F304" s="6" t="n">
        <x:v>0</x:v>
      </x:c>
      <x:c r="G304" s="6" t="n">
        <x:v>0</x:v>
      </x:c>
      <x:c r="H304" s="6" t="n">
        <x:v>-24773</x:v>
      </x:c>
    </x:row>
    <x:row r="305" ht="21" customHeight="1">
      <x:c r="A305" s="1" t="str">
        <x:v>C0017369</x:v>
      </x:c>
      <x:c r="B305" s="1" t="n">
        <x:v>26</x:v>
      </x:c>
      <x:c r="C305" s="1" t="n">
        <x:v>116</x:v>
      </x:c>
      <x:c r="D305" s="6" t="n">
        <x:v>24773</x:v>
      </x:c>
      <x:c r="E305" s="6" t="n">
        <x:v>49546</x:v>
      </x:c>
      <x:c r="F305" s="6" t="n">
        <x:v>0</x:v>
      </x:c>
      <x:c r="G305" s="6" t="n">
        <x:v>49546</x:v>
      </x:c>
      <x:c r="H305" s="6" t="n">
        <x:v>24773</x:v>
      </x:c>
    </x:row>
    <x:row r="306" ht="21" customHeight="1">
      <x:c r="A306" s="1" t="str">
        <x:v>C0015911</x:v>
      </x:c>
      <x:c r="B306" s="1" t="n">
        <x:v>16</x:v>
      </x:c>
      <x:c r="C306" s="1" t="n">
        <x:v>46</x:v>
      </x:c>
      <x:c r="D306" s="6" t="n">
        <x:v>0</x:v>
      </x:c>
      <x:c r="E306" s="6" t="n">
        <x:v>24733</x:v>
      </x:c>
      <x:c r="F306" s="6" t="n">
        <x:v>0</x:v>
      </x:c>
      <x:c r="G306" s="6" t="n">
        <x:v>24733</x:v>
      </x:c>
      <x:c r="H306" s="6" t="n">
        <x:v>24733</x:v>
      </x:c>
    </x:row>
    <x:row r="307" ht="21" customHeight="1">
      <x:c r="A307" s="1" t="str">
        <x:v>C0009011</x:v>
      </x:c>
      <x:c r="B307" s="1" t="n">
        <x:v>16</x:v>
      </x:c>
      <x:c r="C307" s="1" t="n">
        <x:v>46</x:v>
      </x:c>
      <x:c r="D307" s="6" t="n">
        <x:v>0</x:v>
      </x:c>
      <x:c r="E307" s="6" t="n">
        <x:v>24733</x:v>
      </x:c>
      <x:c r="F307" s="6" t="n">
        <x:v>0</x:v>
      </x:c>
      <x:c r="G307" s="6" t="n">
        <x:v>24733</x:v>
      </x:c>
      <x:c r="H307" s="6" t="n">
        <x:v>24733</x:v>
      </x:c>
    </x:row>
    <x:row r="308" ht="21" customHeight="1">
      <x:c r="A308" s="1" t="str">
        <x:v>C0010002</x:v>
      </x:c>
      <x:c r="B308" s="1" t="n">
        <x:v>16</x:v>
      </x:c>
      <x:c r="C308" s="1" t="n">
        <x:v>46</x:v>
      </x:c>
      <x:c r="D308" s="6" t="n">
        <x:v>24733</x:v>
      </x:c>
      <x:c r="E308" s="6" t="n">
        <x:v>0</x:v>
      </x:c>
      <x:c r="F308" s="6" t="n">
        <x:v>0</x:v>
      </x:c>
      <x:c r="G308" s="6" t="n">
        <x:v>0</x:v>
      </x:c>
      <x:c r="H308" s="6" t="n">
        <x:v>-24733</x:v>
      </x:c>
    </x:row>
    <x:row r="309" ht="21" customHeight="1">
      <x:c r="A309" s="1" t="str">
        <x:v>C0003275</x:v>
      </x:c>
      <x:c r="B309" s="1" t="n">
        <x:v>16</x:v>
      </x:c>
      <x:c r="C309" s="1" t="n">
        <x:v>46</x:v>
      </x:c>
      <x:c r="D309" s="6" t="n">
        <x:v>24733</x:v>
      </x:c>
      <x:c r="E309" s="6" t="n">
        <x:v>49466</x:v>
      </x:c>
      <x:c r="F309" s="6" t="n">
        <x:v>0</x:v>
      </x:c>
      <x:c r="G309" s="6" t="n">
        <x:v>49466</x:v>
      </x:c>
      <x:c r="H309" s="6" t="n">
        <x:v>24733</x:v>
      </x:c>
    </x:row>
    <x:row r="310" ht="21" customHeight="1">
      <x:c r="A310" s="1" t="str">
        <x:v>C0007136</x:v>
      </x:c>
      <x:c r="B310" s="1" t="n">
        <x:v>16</x:v>
      </x:c>
      <x:c r="C310" s="1" t="n">
        <x:v>46</x:v>
      </x:c>
      <x:c r="D310" s="6" t="n">
        <x:v>24733</x:v>
      </x:c>
      <x:c r="E310" s="6" t="n">
        <x:v>49466</x:v>
      </x:c>
      <x:c r="F310" s="6" t="n">
        <x:v>0</x:v>
      </x:c>
      <x:c r="G310" s="6" t="n">
        <x:v>49466</x:v>
      </x:c>
      <x:c r="H310" s="6" t="n">
        <x:v>24733</x:v>
      </x:c>
    </x:row>
    <x:row r="311" ht="21" customHeight="1">
      <x:c r="A311" s="1" t="str">
        <x:v>C0002271</x:v>
      </x:c>
      <x:c r="B311" s="1" t="n">
        <x:v>16</x:v>
      </x:c>
      <x:c r="C311" s="1" t="n">
        <x:v>46</x:v>
      </x:c>
      <x:c r="D311" s="6" t="n">
        <x:v>24733</x:v>
      </x:c>
      <x:c r="E311" s="6" t="n">
        <x:v>0</x:v>
      </x:c>
      <x:c r="F311" s="6" t="n">
        <x:v>0</x:v>
      </x:c>
      <x:c r="G311" s="6" t="n">
        <x:v>0</x:v>
      </x:c>
      <x:c r="H311" s="6" t="n">
        <x:v>-24733</x:v>
      </x:c>
    </x:row>
    <x:row r="312" ht="21" customHeight="1">
      <x:c r="A312" s="1" t="str">
        <x:v>C0011632</x:v>
      </x:c>
      <x:c r="B312" s="1" t="n">
        <x:v>16</x:v>
      </x:c>
      <x:c r="C312" s="1" t="n">
        <x:v>46</x:v>
      </x:c>
      <x:c r="D312" s="6" t="n">
        <x:v>0</x:v>
      </x:c>
      <x:c r="E312" s="6" t="n">
        <x:v>24733</x:v>
      </x:c>
      <x:c r="F312" s="6" t="n">
        <x:v>0</x:v>
      </x:c>
      <x:c r="G312" s="6" t="n">
        <x:v>24733</x:v>
      </x:c>
      <x:c r="H312" s="6" t="n">
        <x:v>24733</x:v>
      </x:c>
    </x:row>
    <x:row r="313" ht="21" customHeight="1">
      <x:c r="A313" s="1" t="str">
        <x:v>C0009769</x:v>
      </x:c>
      <x:c r="B313" s="1" t="n">
        <x:v>30</x:v>
      </x:c>
      <x:c r="C313" s="1" t="n">
        <x:v>120</x:v>
      </x:c>
      <x:c r="D313" s="6" t="n">
        <x:v>24724</x:v>
      </x:c>
      <x:c r="E313" s="6" t="n">
        <x:v>0</x:v>
      </x:c>
      <x:c r="F313" s="6" t="n">
        <x:v>0</x:v>
      </x:c>
      <x:c r="G313" s="6" t="n">
        <x:v>0</x:v>
      </x:c>
      <x:c r="H313" s="6" t="n">
        <x:v>-24724</x:v>
      </x:c>
    </x:row>
    <x:row r="314" ht="21" customHeight="1">
      <x:c r="A314" s="1" t="str">
        <x:v>C0006705</x:v>
      </x:c>
      <x:c r="B314" s="1" t="n">
        <x:v>30</x:v>
      </x:c>
      <x:c r="C314" s="1" t="n">
        <x:v>120</x:v>
      </x:c>
      <x:c r="D314" s="6" t="n">
        <x:v>0</x:v>
      </x:c>
      <x:c r="E314" s="6" t="n">
        <x:v>24724</x:v>
      </x:c>
      <x:c r="F314" s="6" t="n">
        <x:v>0</x:v>
      </x:c>
      <x:c r="G314" s="6" t="n">
        <x:v>24724</x:v>
      </x:c>
      <x:c r="H314" s="6" t="n">
        <x:v>24724</x:v>
      </x:c>
    </x:row>
    <x:row r="315" ht="21" customHeight="1">
      <x:c r="A315" s="1" t="str">
        <x:v>C0017451</x:v>
      </x:c>
      <x:c r="B315" s="1" t="n">
        <x:v>30</x:v>
      </x:c>
      <x:c r="C315" s="1" t="n">
        <x:v>120</x:v>
      </x:c>
      <x:c r="D315" s="6" t="n">
        <x:v>24724</x:v>
      </x:c>
      <x:c r="E315" s="6" t="n">
        <x:v>49448</x:v>
      </x:c>
      <x:c r="F315" s="6" t="n">
        <x:v>0</x:v>
      </x:c>
      <x:c r="G315" s="6" t="n">
        <x:v>49448</x:v>
      </x:c>
      <x:c r="H315" s="6" t="n">
        <x:v>24724</x:v>
      </x:c>
    </x:row>
    <x:row r="316" ht="21" customHeight="1">
      <x:c r="A316" s="1" t="str">
        <x:v>C0010839</x:v>
      </x:c>
      <x:c r="B316" s="1" t="n">
        <x:v>26</x:v>
      </x:c>
      <x:c r="C316" s="1" t="n">
        <x:v>86</x:v>
      </x:c>
      <x:c r="D316" s="6" t="n">
        <x:v>24693</x:v>
      </x:c>
      <x:c r="E316" s="6" t="n">
        <x:v>49386</x:v>
      </x:c>
      <x:c r="F316" s="6" t="n">
        <x:v>0</x:v>
      </x:c>
      <x:c r="G316" s="6" t="n">
        <x:v>49386</x:v>
      </x:c>
      <x:c r="H316" s="6" t="n">
        <x:v>24693</x:v>
      </x:c>
    </x:row>
    <x:row r="317" ht="21" customHeight="1">
      <x:c r="A317" s="1" t="str">
        <x:v>C0008119</x:v>
      </x:c>
      <x:c r="B317" s="1" t="n">
        <x:v>26</x:v>
      </x:c>
      <x:c r="C317" s="1" t="n">
        <x:v>86</x:v>
      </x:c>
      <x:c r="D317" s="6" t="n">
        <x:v>24693</x:v>
      </x:c>
      <x:c r="E317" s="6" t="n">
        <x:v>49386</x:v>
      </x:c>
      <x:c r="F317" s="6" t="n">
        <x:v>0</x:v>
      </x:c>
      <x:c r="G317" s="6" t="n">
        <x:v>49386</x:v>
      </x:c>
      <x:c r="H317" s="6" t="n">
        <x:v>24693</x:v>
      </x:c>
    </x:row>
    <x:row r="318" ht="21" customHeight="1">
      <x:c r="A318" s="1" t="str">
        <x:v>C0006773</x:v>
      </x:c>
      <x:c r="B318" s="1" t="n">
        <x:v>26</x:v>
      </x:c>
      <x:c r="C318" s="1" t="n">
        <x:v>86</x:v>
      </x:c>
      <x:c r="D318" s="6" t="n">
        <x:v>24693</x:v>
      </x:c>
      <x:c r="E318" s="6" t="n">
        <x:v>49386</x:v>
      </x:c>
      <x:c r="F318" s="6" t="n">
        <x:v>0</x:v>
      </x:c>
      <x:c r="G318" s="6" t="n">
        <x:v>49386</x:v>
      </x:c>
      <x:c r="H318" s="6" t="n">
        <x:v>24693</x:v>
      </x:c>
    </x:row>
    <x:row r="319" ht="21" customHeight="1">
      <x:c r="A319" s="1" t="str">
        <x:v>C0003601</x:v>
      </x:c>
      <x:c r="B319" s="1" t="n">
        <x:v>26</x:v>
      </x:c>
      <x:c r="C319" s="1" t="n">
        <x:v>86</x:v>
      </x:c>
      <x:c r="D319" s="6" t="n">
        <x:v>24693</x:v>
      </x:c>
      <x:c r="E319" s="6" t="n">
        <x:v>0</x:v>
      </x:c>
      <x:c r="F319" s="6" t="n">
        <x:v>0</x:v>
      </x:c>
      <x:c r="G319" s="6" t="n">
        <x:v>0</x:v>
      </x:c>
      <x:c r="H319" s="6" t="n">
        <x:v>-24693</x:v>
      </x:c>
    </x:row>
    <x:row r="320" ht="21" customHeight="1">
      <x:c r="A320" s="1" t="str">
        <x:v>C0008601</x:v>
      </x:c>
      <x:c r="B320" s="1" t="n">
        <x:v>26</x:v>
      </x:c>
      <x:c r="C320" s="1" t="n">
        <x:v>86</x:v>
      </x:c>
      <x:c r="D320" s="6" t="n">
        <x:v>24693</x:v>
      </x:c>
      <x:c r="E320" s="6" t="n">
        <x:v>49386</x:v>
      </x:c>
      <x:c r="F320" s="6" t="n">
        <x:v>0</x:v>
      </x:c>
      <x:c r="G320" s="6" t="n">
        <x:v>49386</x:v>
      </x:c>
      <x:c r="H320" s="6" t="n">
        <x:v>24693</x:v>
      </x:c>
    </x:row>
    <x:row r="321" ht="21" customHeight="1">
      <x:c r="A321" s="1" t="str">
        <x:v>C0009718</x:v>
      </x:c>
      <x:c r="B321" s="1" t="n">
        <x:v>13</x:v>
      </x:c>
      <x:c r="C321" s="1" t="n">
        <x:v>103</x:v>
      </x:c>
      <x:c r="D321" s="6" t="n">
        <x:v>24585</x:v>
      </x:c>
      <x:c r="E321" s="6" t="n">
        <x:v>49170</x:v>
      </x:c>
      <x:c r="F321" s="6" t="n">
        <x:v>0</x:v>
      </x:c>
      <x:c r="G321" s="6" t="n">
        <x:v>49170</x:v>
      </x:c>
      <x:c r="H321" s="6" t="n">
        <x:v>24585</x:v>
      </x:c>
    </x:row>
    <x:row r="322" ht="21" customHeight="1">
      <x:c r="A322" s="1" t="str">
        <x:v>C0002468</x:v>
      </x:c>
      <x:c r="B322" s="1" t="n">
        <x:v>13</x:v>
      </x:c>
      <x:c r="C322" s="1" t="n">
        <x:v>103</x:v>
      </x:c>
      <x:c r="D322" s="6" t="n">
        <x:v>24585</x:v>
      </x:c>
      <x:c r="E322" s="6" t="n">
        <x:v>0</x:v>
      </x:c>
      <x:c r="F322" s="6" t="n">
        <x:v>0</x:v>
      </x:c>
      <x:c r="G322" s="6" t="n">
        <x:v>0</x:v>
      </x:c>
      <x:c r="H322" s="6" t="n">
        <x:v>-24585</x:v>
      </x:c>
    </x:row>
    <x:row r="323" ht="21" customHeight="1">
      <x:c r="A323" s="1" t="str">
        <x:v>C0015573</x:v>
      </x:c>
      <x:c r="B323" s="1" t="n">
        <x:v>13</x:v>
      </x:c>
      <x:c r="C323" s="1" t="n">
        <x:v>103</x:v>
      </x:c>
      <x:c r="D323" s="6" t="n">
        <x:v>24585</x:v>
      </x:c>
      <x:c r="E323" s="6" t="n">
        <x:v>0</x:v>
      </x:c>
      <x:c r="F323" s="6" t="n">
        <x:v>0</x:v>
      </x:c>
      <x:c r="G323" s="6" t="n">
        <x:v>0</x:v>
      </x:c>
      <x:c r="H323" s="6" t="n">
        <x:v>-24585</x:v>
      </x:c>
    </x:row>
    <x:row r="324" ht="21" customHeight="1">
      <x:c r="A324" s="1" t="str">
        <x:v>C0017492</x:v>
      </x:c>
      <x:c r="B324" s="1" t="n">
        <x:v>13</x:v>
      </x:c>
      <x:c r="C324" s="1" t="n">
        <x:v>103</x:v>
      </x:c>
      <x:c r="D324" s="6" t="n">
        <x:v>24585</x:v>
      </x:c>
      <x:c r="E324" s="6" t="n">
        <x:v>0</x:v>
      </x:c>
      <x:c r="F324" s="6" t="n">
        <x:v>0</x:v>
      </x:c>
      <x:c r="G324" s="6" t="n">
        <x:v>0</x:v>
      </x:c>
      <x:c r="H324" s="6" t="n">
        <x:v>-24585</x:v>
      </x:c>
    </x:row>
    <x:row r="325" ht="21" customHeight="1">
      <x:c r="A325" s="1" t="str">
        <x:v>C0010773</x:v>
      </x:c>
      <x:c r="B325" s="1" t="n">
        <x:v>13</x:v>
      </x:c>
      <x:c r="C325" s="1" t="n">
        <x:v>103</x:v>
      </x:c>
      <x:c r="D325" s="6" t="n">
        <x:v>0</x:v>
      </x:c>
      <x:c r="E325" s="6" t="n">
        <x:v>24585</x:v>
      </x:c>
      <x:c r="F325" s="6" t="n">
        <x:v>0</x:v>
      </x:c>
      <x:c r="G325" s="6" t="n">
        <x:v>24585</x:v>
      </x:c>
      <x:c r="H325" s="6" t="n">
        <x:v>24585</x:v>
      </x:c>
    </x:row>
    <x:row r="326" ht="21" customHeight="1">
      <x:c r="A326" s="1" t="str">
        <x:v>C0000308</x:v>
      </x:c>
      <x:c r="B326" s="1" t="n">
        <x:v>13</x:v>
      </x:c>
      <x:c r="C326" s="1" t="n">
        <x:v>103</x:v>
      </x:c>
      <x:c r="D326" s="6" t="n">
        <x:v>24585</x:v>
      </x:c>
      <x:c r="E326" s="6" t="n">
        <x:v>0</x:v>
      </x:c>
      <x:c r="F326" s="6" t="n">
        <x:v>0</x:v>
      </x:c>
      <x:c r="G326" s="6" t="n">
        <x:v>0</x:v>
      </x:c>
      <x:c r="H326" s="6" t="n">
        <x:v>-24585</x:v>
      </x:c>
    </x:row>
    <x:row r="327" ht="21" customHeight="1">
      <x:c r="A327" s="1" t="str">
        <x:v>C0002033</x:v>
      </x:c>
      <x:c r="B327" s="1" t="n">
        <x:v>7</x:v>
      </x:c>
      <x:c r="C327" s="1" t="n">
        <x:v>97</x:v>
      </x:c>
      <x:c r="D327" s="6" t="n">
        <x:v>0</x:v>
      </x:c>
      <x:c r="E327" s="6" t="n">
        <x:v>24535</x:v>
      </x:c>
      <x:c r="F327" s="6" t="n">
        <x:v>0</x:v>
      </x:c>
      <x:c r="G327" s="6" t="n">
        <x:v>24535</x:v>
      </x:c>
      <x:c r="H327" s="6" t="n">
        <x:v>24535</x:v>
      </x:c>
    </x:row>
    <x:row r="328" ht="21" customHeight="1">
      <x:c r="A328" s="1" t="str">
        <x:v>C0004772</x:v>
      </x:c>
      <x:c r="B328" s="1" t="n">
        <x:v>7</x:v>
      </x:c>
      <x:c r="C328" s="1" t="n">
        <x:v>97</x:v>
      </x:c>
      <x:c r="D328" s="6" t="n">
        <x:v>0</x:v>
      </x:c>
      <x:c r="E328" s="6" t="n">
        <x:v>24535</x:v>
      </x:c>
      <x:c r="F328" s="6" t="n">
        <x:v>0</x:v>
      </x:c>
      <x:c r="G328" s="6" t="n">
        <x:v>24535</x:v>
      </x:c>
      <x:c r="H328" s="6" t="n">
        <x:v>24535</x:v>
      </x:c>
    </x:row>
    <x:row r="329" ht="21" customHeight="1">
      <x:c r="A329" s="1" t="str">
        <x:v>C0003365</x:v>
      </x:c>
      <x:c r="B329" s="1" t="n">
        <x:v>7</x:v>
      </x:c>
      <x:c r="C329" s="1" t="n">
        <x:v>97</x:v>
      </x:c>
      <x:c r="D329" s="6" t="n">
        <x:v>24535</x:v>
      </x:c>
      <x:c r="E329" s="6" t="n">
        <x:v>0</x:v>
      </x:c>
      <x:c r="F329" s="6" t="n">
        <x:v>0</x:v>
      </x:c>
      <x:c r="G329" s="6" t="n">
        <x:v>0</x:v>
      </x:c>
      <x:c r="H329" s="6" t="n">
        <x:v>-24535</x:v>
      </x:c>
    </x:row>
    <x:row r="330" ht="21" customHeight="1">
      <x:c r="A330" s="1" t="str">
        <x:v>C0008421</x:v>
      </x:c>
      <x:c r="B330" s="1" t="n">
        <x:v>7</x:v>
      </x:c>
      <x:c r="C330" s="1" t="n">
        <x:v>97</x:v>
      </x:c>
      <x:c r="D330" s="6" t="n">
        <x:v>24535</x:v>
      </x:c>
      <x:c r="E330" s="6" t="n">
        <x:v>0</x:v>
      </x:c>
      <x:c r="F330" s="6" t="n">
        <x:v>0</x:v>
      </x:c>
      <x:c r="G330" s="6" t="n">
        <x:v>0</x:v>
      </x:c>
      <x:c r="H330" s="6" t="n">
        <x:v>-24535</x:v>
      </x:c>
    </x:row>
    <x:row r="331" ht="21" customHeight="1">
      <x:c r="A331" s="1" t="str">
        <x:v>C0006692</x:v>
      </x:c>
      <x:c r="B331" s="1" t="n">
        <x:v>7</x:v>
      </x:c>
      <x:c r="C331" s="1" t="n">
        <x:v>97</x:v>
      </x:c>
      <x:c r="D331" s="6" t="n">
        <x:v>24535</x:v>
      </x:c>
      <x:c r="E331" s="6" t="n">
        <x:v>49070</x:v>
      </x:c>
      <x:c r="F331" s="6" t="n">
        <x:v>0</x:v>
      </x:c>
      <x:c r="G331" s="6" t="n">
        <x:v>49070</x:v>
      </x:c>
      <x:c r="H331" s="6" t="n">
        <x:v>24535</x:v>
      </x:c>
    </x:row>
    <x:row r="332" ht="21" customHeight="1">
      <x:c r="A332" s="1" t="str">
        <x:v>C0012137</x:v>
      </x:c>
      <x:c r="B332" s="1" t="n">
        <x:v>7</x:v>
      </x:c>
      <x:c r="C332" s="1" t="n">
        <x:v>97</x:v>
      </x:c>
      <x:c r="D332" s="6" t="n">
        <x:v>24535</x:v>
      </x:c>
      <x:c r="E332" s="6" t="n">
        <x:v>49070</x:v>
      </x:c>
      <x:c r="F332" s="6" t="n">
        <x:v>0</x:v>
      </x:c>
      <x:c r="G332" s="6" t="n">
        <x:v>49070</x:v>
      </x:c>
      <x:c r="H332" s="6" t="n">
        <x:v>24535</x:v>
      </x:c>
    </x:row>
    <x:row r="333" ht="21" customHeight="1">
      <x:c r="A333" s="1" t="str">
        <x:v>C0008227</x:v>
      </x:c>
      <x:c r="B333" s="1" t="n">
        <x:v>16</x:v>
      </x:c>
      <x:c r="C333" s="1" t="n">
        <x:v>106</x:v>
      </x:c>
      <x:c r="D333" s="6" t="n">
        <x:v>24513</x:v>
      </x:c>
      <x:c r="E333" s="6" t="n">
        <x:v>49026</x:v>
      </x:c>
      <x:c r="F333" s="6" t="n">
        <x:v>0</x:v>
      </x:c>
      <x:c r="G333" s="6" t="n">
        <x:v>49026</x:v>
      </x:c>
      <x:c r="H333" s="6" t="n">
        <x:v>24513</x:v>
      </x:c>
    </x:row>
    <x:row r="334" ht="21" customHeight="1">
      <x:c r="A334" s="1" t="str">
        <x:v>C0008676</x:v>
      </x:c>
      <x:c r="B334" s="1" t="n">
        <x:v>1</x:v>
      </x:c>
      <x:c r="C334" s="1" t="n">
        <x:v>1</x:v>
      </x:c>
      <x:c r="D334" s="6" t="n">
        <x:v>24513</x:v>
      </x:c>
      <x:c r="E334" s="6" t="n">
        <x:v>49026</x:v>
      </x:c>
      <x:c r="F334" s="6" t="n">
        <x:v>0</x:v>
      </x:c>
      <x:c r="G334" s="6" t="n">
        <x:v>49026</x:v>
      </x:c>
      <x:c r="H334" s="6" t="n">
        <x:v>24513</x:v>
      </x:c>
    </x:row>
    <x:row r="335" ht="21" customHeight="1">
      <x:c r="A335" s="1" t="str">
        <x:v>C0017004</x:v>
      </x:c>
      <x:c r="B335" s="1" t="n">
        <x:v>1</x:v>
      </x:c>
      <x:c r="C335" s="1" t="n">
        <x:v>1</x:v>
      </x:c>
      <x:c r="D335" s="6" t="n">
        <x:v>24513</x:v>
      </x:c>
      <x:c r="E335" s="6" t="n">
        <x:v>0</x:v>
      </x:c>
      <x:c r="F335" s="6" t="n">
        <x:v>0</x:v>
      </x:c>
      <x:c r="G335" s="6" t="n">
        <x:v>0</x:v>
      </x:c>
      <x:c r="H335" s="6" t="n">
        <x:v>-24513</x:v>
      </x:c>
    </x:row>
    <x:row r="336" ht="21" customHeight="1">
      <x:c r="A336" s="1" t="str">
        <x:v>C0007063</x:v>
      </x:c>
      <x:c r="B336" s="1" t="n">
        <x:v>16</x:v>
      </x:c>
      <x:c r="C336" s="1" t="n">
        <x:v>106</x:v>
      </x:c>
      <x:c r="D336" s="6" t="n">
        <x:v>24513</x:v>
      </x:c>
      <x:c r="E336" s="6" t="n">
        <x:v>49026</x:v>
      </x:c>
      <x:c r="F336" s="6" t="n">
        <x:v>0</x:v>
      </x:c>
      <x:c r="G336" s="6" t="n">
        <x:v>49026</x:v>
      </x:c>
      <x:c r="H336" s="6" t="n">
        <x:v>24513</x:v>
      </x:c>
    </x:row>
    <x:row r="337" ht="21" customHeight="1">
      <x:c r="A337" s="1" t="str">
        <x:v>C0002947</x:v>
      </x:c>
      <x:c r="B337" s="1" t="n">
        <x:v>1</x:v>
      </x:c>
      <x:c r="C337" s="1" t="n">
        <x:v>1</x:v>
      </x:c>
      <x:c r="D337" s="6" t="n">
        <x:v>24513</x:v>
      </x:c>
      <x:c r="E337" s="6" t="n">
        <x:v>0</x:v>
      </x:c>
      <x:c r="F337" s="6" t="n">
        <x:v>0</x:v>
      </x:c>
      <x:c r="G337" s="6" t="n">
        <x:v>0</x:v>
      </x:c>
      <x:c r="H337" s="6" t="n">
        <x:v>-24513</x:v>
      </x:c>
    </x:row>
    <x:row r="338" ht="21" customHeight="1">
      <x:c r="A338" s="1" t="str">
        <x:v>C0005210</x:v>
      </x:c>
      <x:c r="B338" s="1" t="n">
        <x:v>16</x:v>
      </x:c>
      <x:c r="C338" s="1" t="n">
        <x:v>106</x:v>
      </x:c>
      <x:c r="D338" s="6" t="n">
        <x:v>24513</x:v>
      </x:c>
      <x:c r="E338" s="6" t="n">
        <x:v>49026</x:v>
      </x:c>
      <x:c r="F338" s="6" t="n">
        <x:v>0</x:v>
      </x:c>
      <x:c r="G338" s="6" t="n">
        <x:v>49026</x:v>
      </x:c>
      <x:c r="H338" s="6" t="n">
        <x:v>24513</x:v>
      </x:c>
    </x:row>
    <x:row r="339" ht="21" customHeight="1">
      <x:c r="A339" s="1" t="str">
        <x:v>C0004734</x:v>
      </x:c>
      <x:c r="B339" s="1" t="n">
        <x:v>1</x:v>
      </x:c>
      <x:c r="C339" s="1" t="n">
        <x:v>1</x:v>
      </x:c>
      <x:c r="D339" s="6" t="n">
        <x:v>24513</x:v>
      </x:c>
      <x:c r="E339" s="6" t="n">
        <x:v>0</x:v>
      </x:c>
      <x:c r="F339" s="6" t="n">
        <x:v>0</x:v>
      </x:c>
      <x:c r="G339" s="6" t="n">
        <x:v>0</x:v>
      </x:c>
      <x:c r="H339" s="6" t="n">
        <x:v>-24513</x:v>
      </x:c>
    </x:row>
    <x:row r="340" ht="21" customHeight="1">
      <x:c r="A340" s="1" t="str">
        <x:v>C0003490</x:v>
      </x:c>
      <x:c r="B340" s="1" t="n">
        <x:v>1</x:v>
      </x:c>
      <x:c r="C340" s="1" t="n">
        <x:v>1</x:v>
      </x:c>
      <x:c r="D340" s="6" t="n">
        <x:v>24513</x:v>
      </x:c>
      <x:c r="E340" s="6" t="n">
        <x:v>0</x:v>
      </x:c>
      <x:c r="F340" s="6" t="n">
        <x:v>0</x:v>
      </x:c>
      <x:c r="G340" s="6" t="n">
        <x:v>0</x:v>
      </x:c>
      <x:c r="H340" s="6" t="n">
        <x:v>-24513</x:v>
      </x:c>
    </x:row>
    <x:row r="341" ht="21" customHeight="1">
      <x:c r="A341" s="1" t="str">
        <x:v>C0017956</x:v>
      </x:c>
      <x:c r="B341" s="1" t="n">
        <x:v>1</x:v>
      </x:c>
      <x:c r="C341" s="1" t="n">
        <x:v>1</x:v>
      </x:c>
      <x:c r="D341" s="6" t="n">
        <x:v>0</x:v>
      </x:c>
      <x:c r="E341" s="6" t="n">
        <x:v>24513</x:v>
      </x:c>
      <x:c r="F341" s="6" t="n">
        <x:v>0</x:v>
      </x:c>
      <x:c r="G341" s="6" t="n">
        <x:v>24513</x:v>
      </x:c>
      <x:c r="H341" s="6" t="n">
        <x:v>24513</x:v>
      </x:c>
    </x:row>
    <x:row r="342" ht="21" customHeight="1">
      <x:c r="A342" s="1" t="str">
        <x:v>C0001511</x:v>
      </x:c>
      <x:c r="B342" s="1" t="n">
        <x:v>1</x:v>
      </x:c>
      <x:c r="C342" s="1" t="n">
        <x:v>1</x:v>
      </x:c>
      <x:c r="D342" s="6" t="n">
        <x:v>24513</x:v>
      </x:c>
      <x:c r="E342" s="6" t="n">
        <x:v>0</x:v>
      </x:c>
      <x:c r="F342" s="6" t="n">
        <x:v>0</x:v>
      </x:c>
      <x:c r="G342" s="6" t="n">
        <x:v>0</x:v>
      </x:c>
      <x:c r="H342" s="6" t="n">
        <x:v>-24513</x:v>
      </x:c>
    </x:row>
    <x:row r="343" ht="21" customHeight="1">
      <x:c r="A343" s="1" t="str">
        <x:v>C0006950</x:v>
      </x:c>
      <x:c r="B343" s="1" t="n">
        <x:v>1</x:v>
      </x:c>
      <x:c r="C343" s="1" t="n">
        <x:v>1</x:v>
      </x:c>
      <x:c r="D343" s="6" t="n">
        <x:v>0</x:v>
      </x:c>
      <x:c r="E343" s="6" t="n">
        <x:v>24513</x:v>
      </x:c>
      <x:c r="F343" s="6" t="n">
        <x:v>0</x:v>
      </x:c>
      <x:c r="G343" s="6" t="n">
        <x:v>24513</x:v>
      </x:c>
      <x:c r="H343" s="6" t="n">
        <x:v>24513</x:v>
      </x:c>
    </x:row>
    <x:row r="344" ht="21" customHeight="1">
      <x:c r="A344" s="1" t="str">
        <x:v>C0004678</x:v>
      </x:c>
      <x:c r="B344" s="1" t="n">
        <x:v>1</x:v>
      </x:c>
      <x:c r="C344" s="1" t="n">
        <x:v>1</x:v>
      </x:c>
      <x:c r="D344" s="6" t="n">
        <x:v>24513</x:v>
      </x:c>
      <x:c r="E344" s="6" t="n">
        <x:v>49026</x:v>
      </x:c>
      <x:c r="F344" s="6" t="n">
        <x:v>0</x:v>
      </x:c>
      <x:c r="G344" s="6" t="n">
        <x:v>49026</x:v>
      </x:c>
      <x:c r="H344" s="6" t="n">
        <x:v>24513</x:v>
      </x:c>
    </x:row>
    <x:row r="345" ht="21" customHeight="1">
      <x:c r="A345" s="1" t="str">
        <x:v>C0013252</x:v>
      </x:c>
      <x:c r="B345" s="1" t="n">
        <x:v>1</x:v>
      </x:c>
      <x:c r="C345" s="1" t="n">
        <x:v>1</x:v>
      </x:c>
      <x:c r="D345" s="6" t="n">
        <x:v>24513</x:v>
      </x:c>
      <x:c r="E345" s="6" t="n">
        <x:v>0</x:v>
      </x:c>
      <x:c r="F345" s="6" t="n">
        <x:v>0</x:v>
      </x:c>
      <x:c r="G345" s="6" t="n">
        <x:v>0</x:v>
      </x:c>
      <x:c r="H345" s="6" t="n">
        <x:v>-24513</x:v>
      </x:c>
    </x:row>
    <x:row r="346" ht="21" customHeight="1">
      <x:c r="A346" s="1" t="str">
        <x:v>C0013202</x:v>
      </x:c>
      <x:c r="B346" s="1" t="n">
        <x:v>16</x:v>
      </x:c>
      <x:c r="C346" s="1" t="n">
        <x:v>106</x:v>
      </x:c>
      <x:c r="D346" s="6" t="n">
        <x:v>24513</x:v>
      </x:c>
      <x:c r="E346" s="6" t="n">
        <x:v>0</x:v>
      </x:c>
      <x:c r="F346" s="6" t="n">
        <x:v>0</x:v>
      </x:c>
      <x:c r="G346" s="6" t="n">
        <x:v>0</x:v>
      </x:c>
      <x:c r="H346" s="6" t="n">
        <x:v>-24513</x:v>
      </x:c>
    </x:row>
    <x:row r="347" ht="21" customHeight="1">
      <x:c r="A347" s="1" t="str">
        <x:v>C0006087</x:v>
      </x:c>
      <x:c r="B347" s="1" t="n">
        <x:v>16</x:v>
      </x:c>
      <x:c r="C347" s="1" t="n">
        <x:v>106</x:v>
      </x:c>
      <x:c r="D347" s="6" t="n">
        <x:v>24513</x:v>
      </x:c>
      <x:c r="E347" s="6" t="n">
        <x:v>49026</x:v>
      </x:c>
      <x:c r="F347" s="6" t="n">
        <x:v>0</x:v>
      </x:c>
      <x:c r="G347" s="6" t="n">
        <x:v>49026</x:v>
      </x:c>
      <x:c r="H347" s="6" t="n">
        <x:v>24513</x:v>
      </x:c>
    </x:row>
    <x:row r="348" ht="21" customHeight="1">
      <x:c r="A348" s="1" t="str">
        <x:v>C0011789</x:v>
      </x:c>
      <x:c r="B348" s="1" t="n">
        <x:v>26</x:v>
      </x:c>
      <x:c r="C348" s="1" t="n">
        <x:v>56</x:v>
      </x:c>
      <x:c r="D348" s="6" t="n">
        <x:v>24469</x:v>
      </x:c>
      <x:c r="E348" s="6" t="n">
        <x:v>48938</x:v>
      </x:c>
      <x:c r="F348" s="6" t="n">
        <x:v>0</x:v>
      </x:c>
      <x:c r="G348" s="6" t="n">
        <x:v>48938</x:v>
      </x:c>
      <x:c r="H348" s="6" t="n">
        <x:v>24469</x:v>
      </x:c>
    </x:row>
    <x:row r="349" ht="21" customHeight="1">
      <x:c r="A349" s="1" t="str">
        <x:v>C0016514</x:v>
      </x:c>
      <x:c r="B349" s="1" t="n">
        <x:v>26</x:v>
      </x:c>
      <x:c r="C349" s="1" t="n">
        <x:v>56</x:v>
      </x:c>
      <x:c r="D349" s="6" t="n">
        <x:v>24469</x:v>
      </x:c>
      <x:c r="E349" s="6" t="n">
        <x:v>48938</x:v>
      </x:c>
      <x:c r="F349" s="6" t="n">
        <x:v>0</x:v>
      </x:c>
      <x:c r="G349" s="6" t="n">
        <x:v>48938</x:v>
      </x:c>
      <x:c r="H349" s="6" t="n">
        <x:v>24469</x:v>
      </x:c>
    </x:row>
    <x:row r="350" ht="21" customHeight="1">
      <x:c r="A350" s="1" t="str">
        <x:v>C0004433</x:v>
      </x:c>
      <x:c r="B350" s="1" t="n">
        <x:v>26</x:v>
      </x:c>
      <x:c r="C350" s="1" t="n">
        <x:v>56</x:v>
      </x:c>
      <x:c r="D350" s="6" t="n">
        <x:v>24469</x:v>
      </x:c>
      <x:c r="E350" s="6" t="n">
        <x:v>0</x:v>
      </x:c>
      <x:c r="F350" s="6" t="n">
        <x:v>0</x:v>
      </x:c>
      <x:c r="G350" s="6" t="n">
        <x:v>0</x:v>
      </x:c>
      <x:c r="H350" s="6" t="n">
        <x:v>-24469</x:v>
      </x:c>
    </x:row>
    <x:row r="351" ht="21" customHeight="1">
      <x:c r="A351" s="1" t="str">
        <x:v>C0002643</x:v>
      </x:c>
      <x:c r="B351" s="1" t="n">
        <x:v>26</x:v>
      </x:c>
      <x:c r="C351" s="1" t="n">
        <x:v>56</x:v>
      </x:c>
      <x:c r="D351" s="6" t="n">
        <x:v>24469</x:v>
      </x:c>
      <x:c r="E351" s="6" t="n">
        <x:v>48938</x:v>
      </x:c>
      <x:c r="F351" s="6" t="n">
        <x:v>0</x:v>
      </x:c>
      <x:c r="G351" s="6" t="n">
        <x:v>48938</x:v>
      </x:c>
      <x:c r="H351" s="6" t="n">
        <x:v>24469</x:v>
      </x:c>
    </x:row>
    <x:row r="352" ht="21" customHeight="1">
      <x:c r="A352" s="1" t="str">
        <x:v>C0010971</x:v>
      </x:c>
      <x:c r="B352" s="1" t="n">
        <x:v>15</x:v>
      </x:c>
      <x:c r="C352" s="1" t="n">
        <x:v>45</x:v>
      </x:c>
      <x:c r="D352" s="6" t="n">
        <x:v>0</x:v>
      </x:c>
      <x:c r="E352" s="6" t="n">
        <x:v>24432</x:v>
      </x:c>
      <x:c r="F352" s="6" t="n">
        <x:v>0</x:v>
      </x:c>
      <x:c r="G352" s="6" t="n">
        <x:v>24432</x:v>
      </x:c>
      <x:c r="H352" s="6" t="n">
        <x:v>24432</x:v>
      </x:c>
    </x:row>
    <x:row r="353" ht="21" customHeight="1">
      <x:c r="A353" s="1" t="str">
        <x:v>C0008363</x:v>
      </x:c>
      <x:c r="B353" s="1" t="n">
        <x:v>15</x:v>
      </x:c>
      <x:c r="C353" s="1" t="n">
        <x:v>45</x:v>
      </x:c>
      <x:c r="D353" s="6" t="n">
        <x:v>24432</x:v>
      </x:c>
      <x:c r="E353" s="6" t="n">
        <x:v>0</x:v>
      </x:c>
      <x:c r="F353" s="6" t="n">
        <x:v>0</x:v>
      </x:c>
      <x:c r="G353" s="6" t="n">
        <x:v>0</x:v>
      </x:c>
      <x:c r="H353" s="6" t="n">
        <x:v>-24432</x:v>
      </x:c>
    </x:row>
    <x:row r="354" ht="21" customHeight="1">
      <x:c r="A354" s="1" t="str">
        <x:v>C0006013</x:v>
      </x:c>
      <x:c r="B354" s="1" t="n">
        <x:v>15</x:v>
      </x:c>
      <x:c r="C354" s="1" t="n">
        <x:v>45</x:v>
      </x:c>
      <x:c r="D354" s="6" t="n">
        <x:v>24432</x:v>
      </x:c>
      <x:c r="E354" s="6" t="n">
        <x:v>0</x:v>
      </x:c>
      <x:c r="F354" s="6" t="n">
        <x:v>0</x:v>
      </x:c>
      <x:c r="G354" s="6" t="n">
        <x:v>0</x:v>
      </x:c>
      <x:c r="H354" s="6" t="n">
        <x:v>-24432</x:v>
      </x:c>
    </x:row>
    <x:row r="355" ht="21" customHeight="1">
      <x:c r="A355" s="1" t="str">
        <x:v>C0004385</x:v>
      </x:c>
      <x:c r="B355" s="1" t="n">
        <x:v>15</x:v>
      </x:c>
      <x:c r="C355" s="1" t="n">
        <x:v>45</x:v>
      </x:c>
      <x:c r="D355" s="6" t="n">
        <x:v>24432</x:v>
      </x:c>
      <x:c r="E355" s="6" t="n">
        <x:v>48864</x:v>
      </x:c>
      <x:c r="F355" s="6" t="n">
        <x:v>0</x:v>
      </x:c>
      <x:c r="G355" s="6" t="n">
        <x:v>48864</x:v>
      </x:c>
      <x:c r="H355" s="6" t="n">
        <x:v>24432</x:v>
      </x:c>
    </x:row>
    <x:row r="356" ht="21" customHeight="1">
      <x:c r="A356" s="1" t="str">
        <x:v>C0013600</x:v>
      </x:c>
      <x:c r="B356" s="1" t="n">
        <x:v>15</x:v>
      </x:c>
      <x:c r="C356" s="1" t="n">
        <x:v>45</x:v>
      </x:c>
      <x:c r="D356" s="6" t="n">
        <x:v>24432</x:v>
      </x:c>
      <x:c r="E356" s="6" t="n">
        <x:v>0</x:v>
      </x:c>
      <x:c r="F356" s="6" t="n">
        <x:v>0</x:v>
      </x:c>
      <x:c r="G356" s="6" t="n">
        <x:v>0</x:v>
      </x:c>
      <x:c r="H356" s="6" t="n">
        <x:v>-24432</x:v>
      </x:c>
    </x:row>
    <x:row r="357" ht="21" customHeight="1">
      <x:c r="A357" s="1" t="str">
        <x:v>C0014694</x:v>
      </x:c>
      <x:c r="B357" s="1" t="n">
        <x:v>15</x:v>
      </x:c>
      <x:c r="C357" s="1" t="n">
        <x:v>45</x:v>
      </x:c>
      <x:c r="D357" s="6" t="n">
        <x:v>24432</x:v>
      </x:c>
      <x:c r="E357" s="6" t="n">
        <x:v>48864</x:v>
      </x:c>
      <x:c r="F357" s="6" t="n">
        <x:v>0</x:v>
      </x:c>
      <x:c r="G357" s="6" t="n">
        <x:v>48864</x:v>
      </x:c>
      <x:c r="H357" s="6" t="n">
        <x:v>24432</x:v>
      </x:c>
    </x:row>
    <x:row r="358" ht="21" customHeight="1">
      <x:c r="A358" s="1" t="str">
        <x:v>C0001345</x:v>
      </x:c>
      <x:c r="B358" s="1" t="n">
        <x:v>15</x:v>
      </x:c>
      <x:c r="C358" s="1" t="n">
        <x:v>45</x:v>
      </x:c>
      <x:c r="D358" s="6" t="n">
        <x:v>24432</x:v>
      </x:c>
      <x:c r="E358" s="6" t="n">
        <x:v>48864</x:v>
      </x:c>
      <x:c r="F358" s="6" t="n">
        <x:v>0</x:v>
      </x:c>
      <x:c r="G358" s="6" t="n">
        <x:v>48864</x:v>
      </x:c>
      <x:c r="H358" s="6" t="n">
        <x:v>24432</x:v>
      </x:c>
    </x:row>
    <x:row r="359" ht="21" customHeight="1">
      <x:c r="A359" s="1" t="str">
        <x:v>C0013775</x:v>
      </x:c>
      <x:c r="B359" s="1" t="n">
        <x:v>15</x:v>
      </x:c>
      <x:c r="C359" s="1" t="n">
        <x:v>45</x:v>
      </x:c>
      <x:c r="D359" s="6" t="n">
        <x:v>24432</x:v>
      </x:c>
      <x:c r="E359" s="6" t="n">
        <x:v>0</x:v>
      </x:c>
      <x:c r="F359" s="6" t="n">
        <x:v>0</x:v>
      </x:c>
      <x:c r="G359" s="6" t="n">
        <x:v>0</x:v>
      </x:c>
      <x:c r="H359" s="6" t="n">
        <x:v>-24432</x:v>
      </x:c>
    </x:row>
    <x:row r="360" ht="21" customHeight="1">
      <x:c r="A360" s="1" t="str">
        <x:v>C0003127</x:v>
      </x:c>
      <x:c r="B360" s="1" t="n">
        <x:v>27</x:v>
      </x:c>
      <x:c r="C360" s="1" t="n">
        <x:v>57</x:v>
      </x:c>
      <x:c r="D360" s="6" t="n">
        <x:v>24430</x:v>
      </x:c>
      <x:c r="E360" s="6" t="n">
        <x:v>0</x:v>
      </x:c>
      <x:c r="F360" s="6" t="n">
        <x:v>0</x:v>
      </x:c>
      <x:c r="G360" s="6" t="n">
        <x:v>0</x:v>
      </x:c>
      <x:c r="H360" s="6" t="n">
        <x:v>-24430</x:v>
      </x:c>
    </x:row>
    <x:row r="361" ht="21" customHeight="1">
      <x:c r="A361" s="1" t="str">
        <x:v>C0013297</x:v>
      </x:c>
      <x:c r="B361" s="1" t="n">
        <x:v>27</x:v>
      </x:c>
      <x:c r="C361" s="1" t="n">
        <x:v>57</x:v>
      </x:c>
      <x:c r="D361" s="6" t="n">
        <x:v>24430</x:v>
      </x:c>
      <x:c r="E361" s="6" t="n">
        <x:v>0</x:v>
      </x:c>
      <x:c r="F361" s="6" t="n">
        <x:v>0</x:v>
      </x:c>
      <x:c r="G361" s="6" t="n">
        <x:v>0</x:v>
      </x:c>
      <x:c r="H361" s="6" t="n">
        <x:v>-24430</x:v>
      </x:c>
    </x:row>
    <x:row r="362" ht="21" customHeight="1">
      <x:c r="A362" s="1" t="str">
        <x:v>C0004262</x:v>
      </x:c>
      <x:c r="B362" s="1" t="n">
        <x:v>27</x:v>
      </x:c>
      <x:c r="C362" s="1" t="n">
        <x:v>57</x:v>
      </x:c>
      <x:c r="D362" s="6" t="n">
        <x:v>24430</x:v>
      </x:c>
      <x:c r="E362" s="6" t="n">
        <x:v>0</x:v>
      </x:c>
      <x:c r="F362" s="6" t="n">
        <x:v>0</x:v>
      </x:c>
      <x:c r="G362" s="6" t="n">
        <x:v>0</x:v>
      </x:c>
      <x:c r="H362" s="6" t="n">
        <x:v>-24430</x:v>
      </x:c>
    </x:row>
    <x:row r="363" ht="21" customHeight="1">
      <x:c r="A363" s="1" t="str">
        <x:v>C0010594</x:v>
      </x:c>
      <x:c r="B363" s="1" t="n">
        <x:v>25</x:v>
      </x:c>
      <x:c r="C363" s="1" t="n">
        <x:v>115</x:v>
      </x:c>
      <x:c r="D363" s="6" t="n">
        <x:v>24419</x:v>
      </x:c>
      <x:c r="E363" s="6" t="n">
        <x:v>48838</x:v>
      </x:c>
      <x:c r="F363" s="6" t="n">
        <x:v>0</x:v>
      </x:c>
      <x:c r="G363" s="6" t="n">
        <x:v>48838</x:v>
      </x:c>
      <x:c r="H363" s="6" t="n">
        <x:v>24419</x:v>
      </x:c>
    </x:row>
    <x:row r="364" ht="21" customHeight="1">
      <x:c r="A364" s="1" t="str">
        <x:v>C0017298</x:v>
      </x:c>
      <x:c r="B364" s="1" t="n">
        <x:v>25</x:v>
      </x:c>
      <x:c r="C364" s="1" t="n">
        <x:v>115</x:v>
      </x:c>
      <x:c r="D364" s="6" t="n">
        <x:v>24419</x:v>
      </x:c>
      <x:c r="E364" s="6" t="n">
        <x:v>0</x:v>
      </x:c>
      <x:c r="F364" s="6" t="n">
        <x:v>0</x:v>
      </x:c>
      <x:c r="G364" s="6" t="n">
        <x:v>0</x:v>
      </x:c>
      <x:c r="H364" s="6" t="n">
        <x:v>-24419</x:v>
      </x:c>
    </x:row>
    <x:row r="365" ht="21" customHeight="1">
      <x:c r="A365" s="1" t="str">
        <x:v>C0012480</x:v>
      </x:c>
      <x:c r="B365" s="1" t="n">
        <x:v>25</x:v>
      </x:c>
      <x:c r="C365" s="1" t="n">
        <x:v>115</x:v>
      </x:c>
      <x:c r="D365" s="6" t="n">
        <x:v>24419</x:v>
      </x:c>
      <x:c r="E365" s="6" t="n">
        <x:v>0</x:v>
      </x:c>
      <x:c r="F365" s="6" t="n">
        <x:v>0</x:v>
      </x:c>
      <x:c r="G365" s="6" t="n">
        <x:v>0</x:v>
      </x:c>
      <x:c r="H365" s="6" t="n">
        <x:v>-24419</x:v>
      </x:c>
    </x:row>
    <x:row r="366" ht="21" customHeight="1">
      <x:c r="A366" s="1" t="str">
        <x:v>C0017686</x:v>
      </x:c>
      <x:c r="B366" s="1" t="n">
        <x:v>25</x:v>
      </x:c>
      <x:c r="C366" s="1" t="n">
        <x:v>115</x:v>
      </x:c>
      <x:c r="D366" s="6" t="n">
        <x:v>24419</x:v>
      </x:c>
      <x:c r="E366" s="6" t="n">
        <x:v>0</x:v>
      </x:c>
      <x:c r="F366" s="6" t="n">
        <x:v>0</x:v>
      </x:c>
      <x:c r="G366" s="6" t="n">
        <x:v>0</x:v>
      </x:c>
      <x:c r="H366" s="6" t="n">
        <x:v>-24419</x:v>
      </x:c>
    </x:row>
    <x:row r="367" ht="21" customHeight="1">
      <x:c r="A367" s="1" t="str">
        <x:v>C0013507</x:v>
      </x:c>
      <x:c r="B367" s="1" t="n">
        <x:v>3</x:v>
      </x:c>
      <x:c r="C367" s="1" t="n">
        <x:v>3</x:v>
      </x:c>
      <x:c r="D367" s="6" t="n">
        <x:v>24414</x:v>
      </x:c>
      <x:c r="E367" s="6" t="n">
        <x:v>48828</x:v>
      </x:c>
      <x:c r="F367" s="6" t="n">
        <x:v>0</x:v>
      </x:c>
      <x:c r="G367" s="6" t="n">
        <x:v>48828</x:v>
      </x:c>
      <x:c r="H367" s="6" t="n">
        <x:v>24414</x:v>
      </x:c>
    </x:row>
    <x:row r="368" ht="21" customHeight="1">
      <x:c r="A368" s="1" t="str">
        <x:v>C0011298</x:v>
      </x:c>
      <x:c r="B368" s="1" t="n">
        <x:v>3</x:v>
      </x:c>
      <x:c r="C368" s="1" t="n">
        <x:v>3</x:v>
      </x:c>
      <x:c r="D368" s="6" t="n">
        <x:v>24414</x:v>
      </x:c>
      <x:c r="E368" s="6" t="n">
        <x:v>48828</x:v>
      </x:c>
      <x:c r="F368" s="6" t="n">
        <x:v>0</x:v>
      </x:c>
      <x:c r="G368" s="6" t="n">
        <x:v>48828</x:v>
      </x:c>
      <x:c r="H368" s="6" t="n">
        <x:v>24414</x:v>
      </x:c>
    </x:row>
    <x:row r="369" ht="21" customHeight="1">
      <x:c r="A369" s="1" t="str">
        <x:v>C0000491</x:v>
      </x:c>
      <x:c r="B369" s="1" t="n">
        <x:v>3</x:v>
      </x:c>
      <x:c r="C369" s="1" t="n">
        <x:v>3</x:v>
      </x:c>
      <x:c r="D369" s="6" t="n">
        <x:v>24414</x:v>
      </x:c>
      <x:c r="E369" s="6" t="n">
        <x:v>0</x:v>
      </x:c>
      <x:c r="F369" s="6" t="n">
        <x:v>0</x:v>
      </x:c>
      <x:c r="G369" s="6" t="n">
        <x:v>0</x:v>
      </x:c>
      <x:c r="H369" s="6" t="n">
        <x:v>-24414</x:v>
      </x:c>
    </x:row>
    <x:row r="370" ht="21" customHeight="1">
      <x:c r="A370" s="1" t="str">
        <x:v>C0015783</x:v>
      </x:c>
      <x:c r="B370" s="1" t="n">
        <x:v>3</x:v>
      </x:c>
      <x:c r="C370" s="1" t="n">
        <x:v>3</x:v>
      </x:c>
      <x:c r="D370" s="6" t="n">
        <x:v>24414</x:v>
      </x:c>
      <x:c r="E370" s="6" t="n">
        <x:v>0</x:v>
      </x:c>
      <x:c r="F370" s="6" t="n">
        <x:v>0</x:v>
      </x:c>
      <x:c r="G370" s="6" t="n">
        <x:v>0</x:v>
      </x:c>
      <x:c r="H370" s="6" t="n">
        <x:v>-24414</x:v>
      </x:c>
    </x:row>
    <x:row r="371" ht="21" customHeight="1">
      <x:c r="A371" s="1" t="str">
        <x:v>C0000410</x:v>
      </x:c>
      <x:c r="B371" s="1" t="n">
        <x:v>3</x:v>
      </x:c>
      <x:c r="C371" s="1" t="n">
        <x:v>3</x:v>
      </x:c>
      <x:c r="D371" s="6" t="n">
        <x:v>24414</x:v>
      </x:c>
      <x:c r="E371" s="6" t="n">
        <x:v>48828</x:v>
      </x:c>
      <x:c r="F371" s="6" t="n">
        <x:v>0</x:v>
      </x:c>
      <x:c r="G371" s="6" t="n">
        <x:v>48828</x:v>
      </x:c>
      <x:c r="H371" s="6" t="n">
        <x:v>24414</x:v>
      </x:c>
    </x:row>
    <x:row r="372" ht="21" customHeight="1">
      <x:c r="A372" s="1" t="str">
        <x:v>C0011763</x:v>
      </x:c>
      <x:c r="B372" s="1" t="n">
        <x:v>3</x:v>
      </x:c>
      <x:c r="C372" s="1" t="n">
        <x:v>3</x:v>
      </x:c>
      <x:c r="D372" s="6" t="n">
        <x:v>24414</x:v>
      </x:c>
      <x:c r="E372" s="6" t="n">
        <x:v>0</x:v>
      </x:c>
      <x:c r="F372" s="6" t="n">
        <x:v>0</x:v>
      </x:c>
      <x:c r="G372" s="6" t="n">
        <x:v>0</x:v>
      </x:c>
      <x:c r="H372" s="6" t="n">
        <x:v>-24414</x:v>
      </x:c>
    </x:row>
    <x:row r="373" ht="21" customHeight="1">
      <x:c r="A373" s="1" t="str">
        <x:v>C0010388</x:v>
      </x:c>
      <x:c r="B373" s="1" t="n">
        <x:v>3</x:v>
      </x:c>
      <x:c r="C373" s="1" t="n">
        <x:v>3</x:v>
      </x:c>
      <x:c r="D373" s="6" t="n">
        <x:v>24414</x:v>
      </x:c>
      <x:c r="E373" s="6" t="n">
        <x:v>0</x:v>
      </x:c>
      <x:c r="F373" s="6" t="n">
        <x:v>0</x:v>
      </x:c>
      <x:c r="G373" s="6" t="n">
        <x:v>0</x:v>
      </x:c>
      <x:c r="H373" s="6" t="n">
        <x:v>-24414</x:v>
      </x:c>
    </x:row>
    <x:row r="374" ht="21" customHeight="1">
      <x:c r="A374" s="1" t="str">
        <x:v>C0017845</x:v>
      </x:c>
      <x:c r="B374" s="1" t="n">
        <x:v>3</x:v>
      </x:c>
      <x:c r="C374" s="1" t="n">
        <x:v>3</x:v>
      </x:c>
      <x:c r="D374" s="6" t="n">
        <x:v>24414</x:v>
      </x:c>
      <x:c r="E374" s="6" t="n">
        <x:v>48828</x:v>
      </x:c>
      <x:c r="F374" s="6" t="n">
        <x:v>0</x:v>
      </x:c>
      <x:c r="G374" s="6" t="n">
        <x:v>48828</x:v>
      </x:c>
      <x:c r="H374" s="6" t="n">
        <x:v>24414</x:v>
      </x:c>
    </x:row>
    <x:row r="375" ht="21" customHeight="1">
      <x:c r="A375" s="1" t="str">
        <x:v>C0010693</x:v>
      </x:c>
      <x:c r="B375" s="1" t="n">
        <x:v>3</x:v>
      </x:c>
      <x:c r="C375" s="1" t="n">
        <x:v>3</x:v>
      </x:c>
      <x:c r="D375" s="6" t="n">
        <x:v>24414</x:v>
      </x:c>
      <x:c r="E375" s="6" t="n">
        <x:v>0</x:v>
      </x:c>
      <x:c r="F375" s="6" t="n">
        <x:v>0</x:v>
      </x:c>
      <x:c r="G375" s="6" t="n">
        <x:v>0</x:v>
      </x:c>
      <x:c r="H375" s="6" t="n">
        <x:v>-24414</x:v>
      </x:c>
    </x:row>
    <x:row r="376" ht="21" customHeight="1">
      <x:c r="A376" s="1" t="str">
        <x:v>C0011117</x:v>
      </x:c>
      <x:c r="B376" s="1" t="n">
        <x:v>3</x:v>
      </x:c>
      <x:c r="C376" s="1" t="n">
        <x:v>3</x:v>
      </x:c>
      <x:c r="D376" s="6" t="n">
        <x:v>24414</x:v>
      </x:c>
      <x:c r="E376" s="6" t="n">
        <x:v>0</x:v>
      </x:c>
      <x:c r="F376" s="6" t="n">
        <x:v>0</x:v>
      </x:c>
      <x:c r="G376" s="6" t="n">
        <x:v>0</x:v>
      </x:c>
      <x:c r="H376" s="6" t="n">
        <x:v>-24414</x:v>
      </x:c>
    </x:row>
    <x:row r="377" ht="21" customHeight="1">
      <x:c r="A377" s="1" t="str">
        <x:v>C0006816</x:v>
      </x:c>
      <x:c r="B377" s="1" t="n">
        <x:v>3</x:v>
      </x:c>
      <x:c r="C377" s="1" t="n">
        <x:v>3</x:v>
      </x:c>
      <x:c r="D377" s="6" t="n">
        <x:v>24414</x:v>
      </x:c>
      <x:c r="E377" s="6" t="n">
        <x:v>0</x:v>
      </x:c>
      <x:c r="F377" s="6" t="n">
        <x:v>0</x:v>
      </x:c>
      <x:c r="G377" s="6" t="n">
        <x:v>0</x:v>
      </x:c>
      <x:c r="H377" s="6" t="n">
        <x:v>-24414</x:v>
      </x:c>
    </x:row>
    <x:row r="378" ht="21" customHeight="1">
      <x:c r="A378" s="1" t="str">
        <x:v>C0006592</x:v>
      </x:c>
      <x:c r="B378" s="1" t="n">
        <x:v>3</x:v>
      </x:c>
      <x:c r="C378" s="1" t="n">
        <x:v>3</x:v>
      </x:c>
      <x:c r="D378" s="6" t="n">
        <x:v>24414</x:v>
      </x:c>
      <x:c r="E378" s="6" t="n">
        <x:v>0</x:v>
      </x:c>
      <x:c r="F378" s="6" t="n">
        <x:v>0</x:v>
      </x:c>
      <x:c r="G378" s="6" t="n">
        <x:v>0</x:v>
      </x:c>
      <x:c r="H378" s="6" t="n">
        <x:v>-24414</x:v>
      </x:c>
    </x:row>
    <x:row r="379" ht="21" customHeight="1">
      <x:c r="A379" s="1" t="str">
        <x:v>C0010077</x:v>
      </x:c>
      <x:c r="B379" s="1" t="n">
        <x:v>3</x:v>
      </x:c>
      <x:c r="C379" s="1" t="n">
        <x:v>3</x:v>
      </x:c>
      <x:c r="D379" s="6" t="n">
        <x:v>24414</x:v>
      </x:c>
      <x:c r="E379" s="6" t="n">
        <x:v>48828</x:v>
      </x:c>
      <x:c r="F379" s="6" t="n">
        <x:v>0</x:v>
      </x:c>
      <x:c r="G379" s="6" t="n">
        <x:v>48828</x:v>
      </x:c>
      <x:c r="H379" s="6" t="n">
        <x:v>24414</x:v>
      </x:c>
    </x:row>
    <x:row r="380" ht="21" customHeight="1">
      <x:c r="A380" s="1" t="str">
        <x:v>C0014519</x:v>
      </x:c>
      <x:c r="B380" s="1" t="n">
        <x:v>28</x:v>
      </x:c>
      <x:c r="C380" s="1" t="n">
        <x:v>28</x:v>
      </x:c>
      <x:c r="D380" s="6" t="n">
        <x:v>24325</x:v>
      </x:c>
      <x:c r="E380" s="6" t="n">
        <x:v>48650</x:v>
      </x:c>
      <x:c r="F380" s="6" t="n">
        <x:v>0</x:v>
      </x:c>
      <x:c r="G380" s="6" t="n">
        <x:v>48650</x:v>
      </x:c>
      <x:c r="H380" s="6" t="n">
        <x:v>24325</x:v>
      </x:c>
    </x:row>
    <x:row r="381" ht="21" customHeight="1">
      <x:c r="A381" s="1" t="str">
        <x:v>C0012474</x:v>
      </x:c>
      <x:c r="B381" s="1" t="n">
        <x:v>28</x:v>
      </x:c>
      <x:c r="C381" s="1" t="n">
        <x:v>28</x:v>
      </x:c>
      <x:c r="D381" s="6" t="n">
        <x:v>0</x:v>
      </x:c>
      <x:c r="E381" s="6" t="n">
        <x:v>24325</x:v>
      </x:c>
      <x:c r="F381" s="6" t="n">
        <x:v>0</x:v>
      </x:c>
      <x:c r="G381" s="6" t="n">
        <x:v>24325</x:v>
      </x:c>
      <x:c r="H381" s="6" t="n">
        <x:v>24325</x:v>
      </x:c>
    </x:row>
    <x:row r="382" ht="21" customHeight="1">
      <x:c r="A382" s="1" t="str">
        <x:v>C0009317</x:v>
      </x:c>
      <x:c r="B382" s="1" t="n">
        <x:v>28</x:v>
      </x:c>
      <x:c r="C382" s="1" t="n">
        <x:v>28</x:v>
      </x:c>
      <x:c r="D382" s="6" t="n">
        <x:v>24325</x:v>
      </x:c>
      <x:c r="E382" s="6" t="n">
        <x:v>48650</x:v>
      </x:c>
      <x:c r="F382" s="6" t="n">
        <x:v>0</x:v>
      </x:c>
      <x:c r="G382" s="6" t="n">
        <x:v>48650</x:v>
      </x:c>
      <x:c r="H382" s="6" t="n">
        <x:v>24325</x:v>
      </x:c>
    </x:row>
    <x:row r="383" ht="21" customHeight="1">
      <x:c r="A383" s="1" t="str">
        <x:v>C0003356</x:v>
      </x:c>
      <x:c r="B383" s="1" t="n">
        <x:v>28</x:v>
      </x:c>
      <x:c r="C383" s="1" t="n">
        <x:v>28</x:v>
      </x:c>
      <x:c r="D383" s="6" t="n">
        <x:v>24325</x:v>
      </x:c>
      <x:c r="E383" s="6" t="n">
        <x:v>0</x:v>
      </x:c>
      <x:c r="F383" s="6" t="n">
        <x:v>0</x:v>
      </x:c>
      <x:c r="G383" s="6" t="n">
        <x:v>0</x:v>
      </x:c>
      <x:c r="H383" s="6" t="n">
        <x:v>-24325</x:v>
      </x:c>
    </x:row>
    <x:row r="384" ht="21" customHeight="1">
      <x:c r="A384" s="1" t="str">
        <x:v>C0010122</x:v>
      </x:c>
      <x:c r="B384" s="1" t="n">
        <x:v>10</x:v>
      </x:c>
      <x:c r="C384" s="1" t="n">
        <x:v>100</x:v>
      </x:c>
      <x:c r="D384" s="6" t="n">
        <x:v>24231</x:v>
      </x:c>
      <x:c r="E384" s="6" t="n">
        <x:v>48462</x:v>
      </x:c>
      <x:c r="F384" s="6" t="n">
        <x:v>0</x:v>
      </x:c>
      <x:c r="G384" s="6" t="n">
        <x:v>48462</x:v>
      </x:c>
      <x:c r="H384" s="6" t="n">
        <x:v>24231</x:v>
      </x:c>
    </x:row>
    <x:row r="385" ht="21" customHeight="1">
      <x:c r="A385" s="1" t="str">
        <x:v>C0012135</x:v>
      </x:c>
      <x:c r="B385" s="1" t="n">
        <x:v>10</x:v>
      </x:c>
      <x:c r="C385" s="1" t="n">
        <x:v>100</x:v>
      </x:c>
      <x:c r="D385" s="6" t="n">
        <x:v>24231</x:v>
      </x:c>
      <x:c r="E385" s="6" t="n">
        <x:v>0</x:v>
      </x:c>
      <x:c r="F385" s="6" t="n">
        <x:v>0</x:v>
      </x:c>
      <x:c r="G385" s="6" t="n">
        <x:v>0</x:v>
      </x:c>
      <x:c r="H385" s="6" t="n">
        <x:v>-24231</x:v>
      </x:c>
    </x:row>
    <x:row r="386" ht="21" customHeight="1">
      <x:c r="A386" s="1" t="str">
        <x:v>C0003042</x:v>
      </x:c>
      <x:c r="B386" s="1" t="n">
        <x:v>10</x:v>
      </x:c>
      <x:c r="C386" s="1" t="n">
        <x:v>100</x:v>
      </x:c>
      <x:c r="D386" s="6" t="n">
        <x:v>24231</x:v>
      </x:c>
      <x:c r="E386" s="6" t="n">
        <x:v>0</x:v>
      </x:c>
      <x:c r="F386" s="6" t="n">
        <x:v>0</x:v>
      </x:c>
      <x:c r="G386" s="6" t="n">
        <x:v>0</x:v>
      </x:c>
      <x:c r="H386" s="6" t="n">
        <x:v>-24231</x:v>
      </x:c>
    </x:row>
    <x:row r="387" ht="21" customHeight="1">
      <x:c r="A387" s="1" t="str">
        <x:v>C0015010</x:v>
      </x:c>
      <x:c r="B387" s="1" t="n">
        <x:v>10</x:v>
      </x:c>
      <x:c r="C387" s="1" t="n">
        <x:v>100</x:v>
      </x:c>
      <x:c r="D387" s="6" t="n">
        <x:v>24231</x:v>
      </x:c>
      <x:c r="E387" s="6" t="n">
        <x:v>0</x:v>
      </x:c>
      <x:c r="F387" s="6" t="n">
        <x:v>0</x:v>
      </x:c>
      <x:c r="G387" s="6" t="n">
        <x:v>0</x:v>
      </x:c>
      <x:c r="H387" s="6" t="n">
        <x:v>-24231</x:v>
      </x:c>
    </x:row>
    <x:row r="388" ht="21" customHeight="1">
      <x:c r="A388" s="1" t="str">
        <x:v>C0009691</x:v>
      </x:c>
      <x:c r="B388" s="1" t="n">
        <x:v>10</x:v>
      </x:c>
      <x:c r="C388" s="1" t="n">
        <x:v>100</x:v>
      </x:c>
      <x:c r="D388" s="6" t="n">
        <x:v>24231</x:v>
      </x:c>
      <x:c r="E388" s="6" t="n">
        <x:v>48462</x:v>
      </x:c>
      <x:c r="F388" s="6" t="n">
        <x:v>0</x:v>
      </x:c>
      <x:c r="G388" s="6" t="n">
        <x:v>48462</x:v>
      </x:c>
      <x:c r="H388" s="6" t="n">
        <x:v>24231</x:v>
      </x:c>
    </x:row>
    <x:row r="389" ht="21" customHeight="1">
      <x:c r="A389" s="1" t="str">
        <x:v>C0001298</x:v>
      </x:c>
      <x:c r="B389" s="1" t="n">
        <x:v>18</x:v>
      </x:c>
      <x:c r="C389" s="1" t="n">
        <x:v>108</x:v>
      </x:c>
      <x:c r="D389" s="6" t="n">
        <x:v>24194</x:v>
      </x:c>
      <x:c r="E389" s="6" t="n">
        <x:v>48388</x:v>
      </x:c>
      <x:c r="F389" s="6" t="n">
        <x:v>0</x:v>
      </x:c>
      <x:c r="G389" s="6" t="n">
        <x:v>48388</x:v>
      </x:c>
      <x:c r="H389" s="6" t="n">
        <x:v>24194</x:v>
      </x:c>
    </x:row>
    <x:row r="390" ht="21" customHeight="1">
      <x:c r="A390" s="1" t="str">
        <x:v>C0014619</x:v>
      </x:c>
      <x:c r="B390" s="1" t="n">
        <x:v>18</x:v>
      </x:c>
      <x:c r="C390" s="1" t="n">
        <x:v>108</x:v>
      </x:c>
      <x:c r="D390" s="6" t="n">
        <x:v>0</x:v>
      </x:c>
      <x:c r="E390" s="6" t="n">
        <x:v>24194</x:v>
      </x:c>
      <x:c r="F390" s="6" t="n">
        <x:v>0</x:v>
      </x:c>
      <x:c r="G390" s="6" t="n">
        <x:v>24194</x:v>
      </x:c>
      <x:c r="H390" s="6" t="n">
        <x:v>24194</x:v>
      </x:c>
    </x:row>
    <x:row r="391" ht="21" customHeight="1">
      <x:c r="A391" s="1" t="str">
        <x:v>C0003654</x:v>
      </x:c>
      <x:c r="B391" s="1" t="n">
        <x:v>18</x:v>
      </x:c>
      <x:c r="C391" s="1" t="n">
        <x:v>108</x:v>
      </x:c>
      <x:c r="D391" s="6" t="n">
        <x:v>24194</x:v>
      </x:c>
      <x:c r="E391" s="6" t="n">
        <x:v>48388</x:v>
      </x:c>
      <x:c r="F391" s="6" t="n">
        <x:v>0</x:v>
      </x:c>
      <x:c r="G391" s="6" t="n">
        <x:v>48388</x:v>
      </x:c>
      <x:c r="H391" s="6" t="n">
        <x:v>24194</x:v>
      </x:c>
    </x:row>
    <x:row r="392" ht="21" customHeight="1">
      <x:c r="A392" s="1" t="str">
        <x:v>C0007535</x:v>
      </x:c>
      <x:c r="B392" s="1" t="n">
        <x:v>18</x:v>
      </x:c>
      <x:c r="C392" s="1" t="n">
        <x:v>108</x:v>
      </x:c>
      <x:c r="D392" s="6" t="n">
        <x:v>0</x:v>
      </x:c>
      <x:c r="E392" s="6" t="n">
        <x:v>24194</x:v>
      </x:c>
      <x:c r="F392" s="6" t="n">
        <x:v>0</x:v>
      </x:c>
      <x:c r="G392" s="6" t="n">
        <x:v>24194</x:v>
      </x:c>
      <x:c r="H392" s="6" t="n">
        <x:v>24194</x:v>
      </x:c>
    </x:row>
    <x:row r="393" ht="21" customHeight="1">
      <x:c r="A393" s="1" t="str">
        <x:v>C0013046</x:v>
      </x:c>
      <x:c r="B393" s="1" t="n">
        <x:v>18</x:v>
      </x:c>
      <x:c r="C393" s="1" t="n">
        <x:v>108</x:v>
      </x:c>
      <x:c r="D393" s="6" t="n">
        <x:v>24194</x:v>
      </x:c>
      <x:c r="E393" s="6" t="n">
        <x:v>48388</x:v>
      </x:c>
      <x:c r="F393" s="6" t="n">
        <x:v>0</x:v>
      </x:c>
      <x:c r="G393" s="6" t="n">
        <x:v>48388</x:v>
      </x:c>
      <x:c r="H393" s="6" t="n">
        <x:v>24194</x:v>
      </x:c>
    </x:row>
    <x:row r="394" ht="21" customHeight="1">
      <x:c r="A394" s="1" t="str">
        <x:v>C0007001</x:v>
      </x:c>
      <x:c r="B394" s="1" t="n">
        <x:v>18</x:v>
      </x:c>
      <x:c r="C394" s="1" t="n">
        <x:v>108</x:v>
      </x:c>
      <x:c r="D394" s="6" t="n">
        <x:v>24194</x:v>
      </x:c>
      <x:c r="E394" s="6" t="n">
        <x:v>0</x:v>
      </x:c>
      <x:c r="F394" s="6" t="n">
        <x:v>0</x:v>
      </x:c>
      <x:c r="G394" s="6" t="n">
        <x:v>0</x:v>
      </x:c>
      <x:c r="H394" s="6" t="n">
        <x:v>-24194</x:v>
      </x:c>
    </x:row>
    <x:row r="395" ht="21" customHeight="1">
      <x:c r="A395" s="1" t="str">
        <x:v>C0011515</x:v>
      </x:c>
      <x:c r="B395" s="1" t="n">
        <x:v>18</x:v>
      </x:c>
      <x:c r="C395" s="1" t="n">
        <x:v>108</x:v>
      </x:c>
      <x:c r="D395" s="6" t="n">
        <x:v>24194</x:v>
      </x:c>
      <x:c r="E395" s="6" t="n">
        <x:v>48388</x:v>
      </x:c>
      <x:c r="F395" s="6" t="n">
        <x:v>0</x:v>
      </x:c>
      <x:c r="G395" s="6" t="n">
        <x:v>48388</x:v>
      </x:c>
      <x:c r="H395" s="6" t="n">
        <x:v>24194</x:v>
      </x:c>
    </x:row>
    <x:row r="396" ht="21" customHeight="1">
      <x:c r="A396" s="1" t="str">
        <x:v>C0005025</x:v>
      </x:c>
      <x:c r="B396" s="1" t="n">
        <x:v>18</x:v>
      </x:c>
      <x:c r="C396" s="1" t="n">
        <x:v>108</x:v>
      </x:c>
      <x:c r="D396" s="6" t="n">
        <x:v>24194</x:v>
      </x:c>
      <x:c r="E396" s="6" t="n">
        <x:v>48388</x:v>
      </x:c>
      <x:c r="F396" s="6" t="n">
        <x:v>0</x:v>
      </x:c>
      <x:c r="G396" s="6" t="n">
        <x:v>48388</x:v>
      </x:c>
      <x:c r="H396" s="6" t="n">
        <x:v>24194</x:v>
      </x:c>
    </x:row>
    <x:row r="397" ht="21" customHeight="1">
      <x:c r="A397" s="1" t="str">
        <x:v>C0001974</x:v>
      </x:c>
      <x:c r="B397" s="1" t="n">
        <x:v>2</x:v>
      </x:c>
      <x:c r="C397" s="1" t="n">
        <x:v>62</x:v>
      </x:c>
      <x:c r="D397" s="6" t="n">
        <x:v>24169</x:v>
      </x:c>
      <x:c r="E397" s="6" t="n">
        <x:v>0</x:v>
      </x:c>
      <x:c r="F397" s="6" t="n">
        <x:v>0</x:v>
      </x:c>
      <x:c r="G397" s="6" t="n">
        <x:v>0</x:v>
      </x:c>
      <x:c r="H397" s="6" t="n">
        <x:v>-24169</x:v>
      </x:c>
    </x:row>
    <x:row r="398" ht="21" customHeight="1">
      <x:c r="A398" s="1" t="str">
        <x:v>C0017487</x:v>
      </x:c>
      <x:c r="B398" s="1" t="n">
        <x:v>2</x:v>
      </x:c>
      <x:c r="C398" s="1" t="n">
        <x:v>62</x:v>
      </x:c>
      <x:c r="D398" s="6" t="n">
        <x:v>0</x:v>
      </x:c>
      <x:c r="E398" s="6" t="n">
        <x:v>24169</x:v>
      </x:c>
      <x:c r="F398" s="6" t="n">
        <x:v>0</x:v>
      </x:c>
      <x:c r="G398" s="6" t="n">
        <x:v>24169</x:v>
      </x:c>
      <x:c r="H398" s="6" t="n">
        <x:v>24169</x:v>
      </x:c>
    </x:row>
    <x:row r="399" ht="21" customHeight="1">
      <x:c r="A399" s="1" t="str">
        <x:v>C0017092</x:v>
      </x:c>
      <x:c r="B399" s="1" t="n">
        <x:v>2</x:v>
      </x:c>
      <x:c r="C399" s="1" t="n">
        <x:v>62</x:v>
      </x:c>
      <x:c r="D399" s="6" t="n">
        <x:v>24169</x:v>
      </x:c>
      <x:c r="E399" s="6" t="n">
        <x:v>48338</x:v>
      </x:c>
      <x:c r="F399" s="6" t="n">
        <x:v>0</x:v>
      </x:c>
      <x:c r="G399" s="6" t="n">
        <x:v>48338</x:v>
      </x:c>
      <x:c r="H399" s="6" t="n">
        <x:v>24169</x:v>
      </x:c>
    </x:row>
    <x:row r="400" ht="21" customHeight="1">
      <x:c r="A400" s="1" t="str">
        <x:v>C0015603</x:v>
      </x:c>
      <x:c r="B400" s="1" t="n">
        <x:v>2</x:v>
      </x:c>
      <x:c r="C400" s="1" t="n">
        <x:v>62</x:v>
      </x:c>
      <x:c r="D400" s="6" t="n">
        <x:v>24169</x:v>
      </x:c>
      <x:c r="E400" s="6" t="n">
        <x:v>0</x:v>
      </x:c>
      <x:c r="F400" s="6" t="n">
        <x:v>0</x:v>
      </x:c>
      <x:c r="G400" s="6" t="n">
        <x:v>0</x:v>
      </x:c>
      <x:c r="H400" s="6" t="n">
        <x:v>-24169</x:v>
      </x:c>
    </x:row>
    <x:row r="401" ht="21" customHeight="1">
      <x:c r="A401" s="1" t="str">
        <x:v>C0008379</x:v>
      </x:c>
      <x:c r="B401" s="1" t="n">
        <x:v>2</x:v>
      </x:c>
      <x:c r="C401" s="1" t="n">
        <x:v>62</x:v>
      </x:c>
      <x:c r="D401" s="6" t="n">
        <x:v>24169</x:v>
      </x:c>
      <x:c r="E401" s="6" t="n">
        <x:v>48338</x:v>
      </x:c>
      <x:c r="F401" s="6" t="n">
        <x:v>0</x:v>
      </x:c>
      <x:c r="G401" s="6" t="n">
        <x:v>48338</x:v>
      </x:c>
      <x:c r="H401" s="6" t="n">
        <x:v>24169</x:v>
      </x:c>
    </x:row>
    <x:row r="402" ht="21" customHeight="1">
      <x:c r="A402" s="1" t="str">
        <x:v>C0012742</x:v>
      </x:c>
      <x:c r="B402" s="1" t="n">
        <x:v>2</x:v>
      </x:c>
      <x:c r="C402" s="1" t="n">
        <x:v>62</x:v>
      </x:c>
      <x:c r="D402" s="6" t="n">
        <x:v>24169</x:v>
      </x:c>
      <x:c r="E402" s="6" t="n">
        <x:v>48338</x:v>
      </x:c>
      <x:c r="F402" s="6" t="n">
        <x:v>0</x:v>
      </x:c>
      <x:c r="G402" s="6" t="n">
        <x:v>48338</x:v>
      </x:c>
      <x:c r="H402" s="6" t="n">
        <x:v>24169</x:v>
      </x:c>
    </x:row>
    <x:row r="403" ht="21" customHeight="1">
      <x:c r="A403" s="1" t="str">
        <x:v>C0000584</x:v>
      </x:c>
      <x:c r="B403" s="1" t="n">
        <x:v>2</x:v>
      </x:c>
      <x:c r="C403" s="1" t="n">
        <x:v>62</x:v>
      </x:c>
      <x:c r="D403" s="6" t="n">
        <x:v>24169</x:v>
      </x:c>
      <x:c r="E403" s="6" t="n">
        <x:v>48338</x:v>
      </x:c>
      <x:c r="F403" s="6" t="n">
        <x:v>0</x:v>
      </x:c>
      <x:c r="G403" s="6" t="n">
        <x:v>48338</x:v>
      </x:c>
      <x:c r="H403" s="6" t="n">
        <x:v>24169</x:v>
      </x:c>
    </x:row>
    <x:row r="404" ht="21" customHeight="1">
      <x:c r="A404" s="1" t="str">
        <x:v>C0012095</x:v>
      </x:c>
      <x:c r="B404" s="1" t="n">
        <x:v>25</x:v>
      </x:c>
      <x:c r="C404" s="1" t="n">
        <x:v>85</x:v>
      </x:c>
      <x:c r="D404" s="6" t="n">
        <x:v>24107</x:v>
      </x:c>
      <x:c r="E404" s="6" t="n">
        <x:v>48214</x:v>
      </x:c>
      <x:c r="F404" s="6" t="n">
        <x:v>0</x:v>
      </x:c>
      <x:c r="G404" s="6" t="n">
        <x:v>48214</x:v>
      </x:c>
      <x:c r="H404" s="6" t="n">
        <x:v>24107</x:v>
      </x:c>
    </x:row>
    <x:row r="405" ht="21" customHeight="1">
      <x:c r="A405" s="1" t="str">
        <x:v>C0002888</x:v>
      </x:c>
      <x:c r="B405" s="1" t="n">
        <x:v>25</x:v>
      </x:c>
      <x:c r="C405" s="1" t="n">
        <x:v>85</x:v>
      </x:c>
      <x:c r="D405" s="6" t="n">
        <x:v>24107</x:v>
      </x:c>
      <x:c r="E405" s="6" t="n">
        <x:v>48214</x:v>
      </x:c>
      <x:c r="F405" s="6" t="n">
        <x:v>0</x:v>
      </x:c>
      <x:c r="G405" s="6" t="n">
        <x:v>48214</x:v>
      </x:c>
      <x:c r="H405" s="6" t="n">
        <x:v>24107</x:v>
      </x:c>
    </x:row>
    <x:row r="406" ht="21" customHeight="1">
      <x:c r="A406" s="1" t="str">
        <x:v>C0017206</x:v>
      </x:c>
      <x:c r="B406" s="1" t="n">
        <x:v>25</x:v>
      </x:c>
      <x:c r="C406" s="1" t="n">
        <x:v>85</x:v>
      </x:c>
      <x:c r="D406" s="6" t="n">
        <x:v>24107</x:v>
      </x:c>
      <x:c r="E406" s="6" t="n">
        <x:v>48214</x:v>
      </x:c>
      <x:c r="F406" s="6" t="n">
        <x:v>0</x:v>
      </x:c>
      <x:c r="G406" s="6" t="n">
        <x:v>48214</x:v>
      </x:c>
      <x:c r="H406" s="6" t="n">
        <x:v>24107</x:v>
      </x:c>
    </x:row>
    <x:row r="407" ht="21" customHeight="1">
      <x:c r="A407" s="1" t="str">
        <x:v>C0016139</x:v>
      </x:c>
      <x:c r="B407" s="1" t="n">
        <x:v>25</x:v>
      </x:c>
      <x:c r="C407" s="1" t="n">
        <x:v>85</x:v>
      </x:c>
      <x:c r="D407" s="6" t="n">
        <x:v>24107</x:v>
      </x:c>
      <x:c r="E407" s="6" t="n">
        <x:v>48214</x:v>
      </x:c>
      <x:c r="F407" s="6" t="n">
        <x:v>0</x:v>
      </x:c>
      <x:c r="G407" s="6" t="n">
        <x:v>48214</x:v>
      </x:c>
      <x:c r="H407" s="6" t="n">
        <x:v>24107</x:v>
      </x:c>
    </x:row>
    <x:row r="408" ht="21" customHeight="1">
      <x:c r="A408" s="1" t="str">
        <x:v>C0005874</x:v>
      </x:c>
      <x:c r="B408" s="1" t="n">
        <x:v>25</x:v>
      </x:c>
      <x:c r="C408" s="1" t="n">
        <x:v>85</x:v>
      </x:c>
      <x:c r="D408" s="6" t="n">
        <x:v>24107</x:v>
      </x:c>
      <x:c r="E408" s="6" t="n">
        <x:v>48214</x:v>
      </x:c>
      <x:c r="F408" s="6" t="n">
        <x:v>0</x:v>
      </x:c>
      <x:c r="G408" s="6" t="n">
        <x:v>48214</x:v>
      </x:c>
      <x:c r="H408" s="6" t="n">
        <x:v>24107</x:v>
      </x:c>
    </x:row>
    <x:row r="409" ht="21" customHeight="1">
      <x:c r="A409" s="1" t="str">
        <x:v>C0016153</x:v>
      </x:c>
      <x:c r="B409" s="1" t="n">
        <x:v>25</x:v>
      </x:c>
      <x:c r="C409" s="1" t="n">
        <x:v>85</x:v>
      </x:c>
      <x:c r="D409" s="6" t="n">
        <x:v>0</x:v>
      </x:c>
      <x:c r="E409" s="6" t="n">
        <x:v>24107</x:v>
      </x:c>
      <x:c r="F409" s="6" t="n">
        <x:v>0</x:v>
      </x:c>
      <x:c r="G409" s="6" t="n">
        <x:v>24107</x:v>
      </x:c>
      <x:c r="H409" s="6" t="n">
        <x:v>24107</x:v>
      </x:c>
    </x:row>
    <x:row r="410" ht="21" customHeight="1">
      <x:c r="A410" s="1" t="str">
        <x:v>C0006057</x:v>
      </x:c>
      <x:c r="B410" s="1" t="n">
        <x:v>20</x:v>
      </x:c>
      <x:c r="C410" s="1" t="n">
        <x:v>20</x:v>
      </x:c>
      <x:c r="D410" s="6" t="n">
        <x:v>24058</x:v>
      </x:c>
      <x:c r="E410" s="6" t="n">
        <x:v>0</x:v>
      </x:c>
      <x:c r="F410" s="6" t="n">
        <x:v>0</x:v>
      </x:c>
      <x:c r="G410" s="6" t="n">
        <x:v>0</x:v>
      </x:c>
      <x:c r="H410" s="6" t="n">
        <x:v>-24058</x:v>
      </x:c>
    </x:row>
    <x:row r="411" ht="21" customHeight="1">
      <x:c r="A411" s="1" t="str">
        <x:v>C0003712</x:v>
      </x:c>
      <x:c r="B411" s="1" t="n">
        <x:v>20</x:v>
      </x:c>
      <x:c r="C411" s="1" t="n">
        <x:v>20</x:v>
      </x:c>
      <x:c r="D411" s="6" t="n">
        <x:v>24058</x:v>
      </x:c>
      <x:c r="E411" s="6" t="n">
        <x:v>48116</x:v>
      </x:c>
      <x:c r="F411" s="6" t="n">
        <x:v>0</x:v>
      </x:c>
      <x:c r="G411" s="6" t="n">
        <x:v>48116</x:v>
      </x:c>
      <x:c r="H411" s="6" t="n">
        <x:v>24058</x:v>
      </x:c>
    </x:row>
    <x:row r="412" ht="21" customHeight="1">
      <x:c r="A412" s="1" t="str">
        <x:v>C0009567</x:v>
      </x:c>
      <x:c r="B412" s="1" t="n">
        <x:v>20</x:v>
      </x:c>
      <x:c r="C412" s="1" t="n">
        <x:v>20</x:v>
      </x:c>
      <x:c r="D412" s="6" t="n">
        <x:v>24058</x:v>
      </x:c>
      <x:c r="E412" s="6" t="n">
        <x:v>0</x:v>
      </x:c>
      <x:c r="F412" s="6" t="n">
        <x:v>0</x:v>
      </x:c>
      <x:c r="G412" s="6" t="n">
        <x:v>0</x:v>
      </x:c>
      <x:c r="H412" s="6" t="n">
        <x:v>-24058</x:v>
      </x:c>
    </x:row>
    <x:row r="413" ht="21" customHeight="1">
      <x:c r="A413" s="1" t="str">
        <x:v>C0012973</x:v>
      </x:c>
      <x:c r="B413" s="1" t="n">
        <x:v>20</x:v>
      </x:c>
      <x:c r="C413" s="1" t="n">
        <x:v>20</x:v>
      </x:c>
      <x:c r="D413" s="6" t="n">
        <x:v>0</x:v>
      </x:c>
      <x:c r="E413" s="6" t="n">
        <x:v>24058</x:v>
      </x:c>
      <x:c r="F413" s="6" t="n">
        <x:v>0</x:v>
      </x:c>
      <x:c r="G413" s="6" t="n">
        <x:v>24058</x:v>
      </x:c>
      <x:c r="H413" s="6" t="n">
        <x:v>24058</x:v>
      </x:c>
    </x:row>
    <x:row r="414" ht="21" customHeight="1">
      <x:c r="A414" s="1" t="str">
        <x:v>C0014755</x:v>
      </x:c>
      <x:c r="B414" s="1" t="n">
        <x:v>20</x:v>
      </x:c>
      <x:c r="C414" s="1" t="n">
        <x:v>20</x:v>
      </x:c>
      <x:c r="D414" s="6" t="n">
        <x:v>24058</x:v>
      </x:c>
      <x:c r="E414" s="6" t="n">
        <x:v>48116</x:v>
      </x:c>
      <x:c r="F414" s="6" t="n">
        <x:v>0</x:v>
      </x:c>
      <x:c r="G414" s="6" t="n">
        <x:v>48116</x:v>
      </x:c>
      <x:c r="H414" s="6" t="n">
        <x:v>24058</x:v>
      </x:c>
    </x:row>
    <x:row r="415" ht="21" customHeight="1">
      <x:c r="A415" s="1" t="str">
        <x:v>C0014547</x:v>
      </x:c>
      <x:c r="B415" s="1" t="n">
        <x:v>20</x:v>
      </x:c>
      <x:c r="C415" s="1" t="n">
        <x:v>20</x:v>
      </x:c>
      <x:c r="D415" s="6" t="n">
        <x:v>24058</x:v>
      </x:c>
      <x:c r="E415" s="6" t="n">
        <x:v>48116</x:v>
      </x:c>
      <x:c r="F415" s="6" t="n">
        <x:v>0</x:v>
      </x:c>
      <x:c r="G415" s="6" t="n">
        <x:v>48116</x:v>
      </x:c>
      <x:c r="H415" s="6" t="n">
        <x:v>24058</x:v>
      </x:c>
    </x:row>
    <x:row r="416" ht="21" customHeight="1">
      <x:c r="A416" s="1" t="str">
        <x:v>C0002699</x:v>
      </x:c>
      <x:c r="B416" s="1" t="n">
        <x:v>20</x:v>
      </x:c>
      <x:c r="C416" s="1" t="n">
        <x:v>20</x:v>
      </x:c>
      <x:c r="D416" s="6" t="n">
        <x:v>24058</x:v>
      </x:c>
      <x:c r="E416" s="6" t="n">
        <x:v>0</x:v>
      </x:c>
      <x:c r="F416" s="6" t="n">
        <x:v>0</x:v>
      </x:c>
      <x:c r="G416" s="6" t="n">
        <x:v>0</x:v>
      </x:c>
      <x:c r="H416" s="6" t="n">
        <x:v>-24058</x:v>
      </x:c>
    </x:row>
    <x:row r="417" ht="21" customHeight="1">
      <x:c r="A417" s="1" t="str">
        <x:v>C0015583</x:v>
      </x:c>
      <x:c r="B417" s="1" t="n">
        <x:v>10</x:v>
      </x:c>
      <x:c r="C417" s="1" t="n">
        <x:v>40</x:v>
      </x:c>
      <x:c r="D417" s="6" t="n">
        <x:v>23719</x:v>
      </x:c>
      <x:c r="E417" s="6" t="n">
        <x:v>47438</x:v>
      </x:c>
      <x:c r="F417" s="6" t="n">
        <x:v>0</x:v>
      </x:c>
      <x:c r="G417" s="6" t="n">
        <x:v>47438</x:v>
      </x:c>
      <x:c r="H417" s="6" t="n">
        <x:v>23719</x:v>
      </x:c>
    </x:row>
    <x:row r="418" ht="21" customHeight="1">
      <x:c r="A418" s="1" t="str">
        <x:v>C0010004</x:v>
      </x:c>
      <x:c r="B418" s="1" t="n">
        <x:v>10</x:v>
      </x:c>
      <x:c r="C418" s="1" t="n">
        <x:v>40</x:v>
      </x:c>
      <x:c r="D418" s="6" t="n">
        <x:v>23719</x:v>
      </x:c>
      <x:c r="E418" s="6" t="n">
        <x:v>47438</x:v>
      </x:c>
      <x:c r="F418" s="6" t="n">
        <x:v>0</x:v>
      </x:c>
      <x:c r="G418" s="6" t="n">
        <x:v>47438</x:v>
      </x:c>
      <x:c r="H418" s="6" t="n">
        <x:v>23719</x:v>
      </x:c>
    </x:row>
    <x:row r="419" ht="21" customHeight="1">
      <x:c r="A419" s="1" t="str">
        <x:v>C0008292</x:v>
      </x:c>
      <x:c r="B419" s="1" t="n">
        <x:v>10</x:v>
      </x:c>
      <x:c r="C419" s="1" t="n">
        <x:v>40</x:v>
      </x:c>
      <x:c r="D419" s="6" t="n">
        <x:v>23719</x:v>
      </x:c>
      <x:c r="E419" s="6" t="n">
        <x:v>47438</x:v>
      </x:c>
      <x:c r="F419" s="6" t="n">
        <x:v>0</x:v>
      </x:c>
      <x:c r="G419" s="6" t="n">
        <x:v>47438</x:v>
      </x:c>
      <x:c r="H419" s="6" t="n">
        <x:v>23719</x:v>
      </x:c>
    </x:row>
    <x:row r="420" ht="21" customHeight="1">
      <x:c r="A420" s="1" t="str">
        <x:v>C0012041</x:v>
      </x:c>
      <x:c r="B420" s="1" t="n">
        <x:v>10</x:v>
      </x:c>
      <x:c r="C420" s="1" t="n">
        <x:v>40</x:v>
      </x:c>
      <x:c r="D420" s="6" t="n">
        <x:v>23719</x:v>
      </x:c>
      <x:c r="E420" s="6" t="n">
        <x:v>47438</x:v>
      </x:c>
      <x:c r="F420" s="6" t="n">
        <x:v>0</x:v>
      </x:c>
      <x:c r="G420" s="6" t="n">
        <x:v>47438</x:v>
      </x:c>
      <x:c r="H420" s="6" t="n">
        <x:v>23719</x:v>
      </x:c>
    </x:row>
    <x:row r="421" ht="21" customHeight="1">
      <x:c r="A421" s="1" t="str">
        <x:v>C0009986</x:v>
      </x:c>
      <x:c r="B421" s="1" t="n">
        <x:v>10</x:v>
      </x:c>
      <x:c r="C421" s="1" t="n">
        <x:v>40</x:v>
      </x:c>
      <x:c r="D421" s="6" t="n">
        <x:v>23719</x:v>
      </x:c>
      <x:c r="E421" s="6" t="n">
        <x:v>0</x:v>
      </x:c>
      <x:c r="F421" s="6" t="n">
        <x:v>0</x:v>
      </x:c>
      <x:c r="G421" s="6" t="n">
        <x:v>0</x:v>
      </x:c>
      <x:c r="H421" s="6" t="n">
        <x:v>-23719</x:v>
      </x:c>
    </x:row>
    <x:row r="422" ht="21" customHeight="1">
      <x:c r="A422" s="1" t="str">
        <x:v>C0004259</x:v>
      </x:c>
      <x:c r="B422" s="1" t="n">
        <x:v>30</x:v>
      </x:c>
      <x:c r="C422" s="1" t="n">
        <x:v>120</x:v>
      </x:c>
      <x:c r="D422" s="6" t="n">
        <x:v>23708</x:v>
      </x:c>
      <x:c r="E422" s="6" t="n">
        <x:v>0</x:v>
      </x:c>
      <x:c r="F422" s="6" t="n">
        <x:v>0</x:v>
      </x:c>
      <x:c r="G422" s="6" t="n">
        <x:v>0</x:v>
      </x:c>
      <x:c r="H422" s="6" t="n">
        <x:v>-23708</x:v>
      </x:c>
    </x:row>
    <x:row r="423" ht="21" customHeight="1">
      <x:c r="A423" s="1" t="str">
        <x:v>C0010679</x:v>
      </x:c>
      <x:c r="B423" s="1" t="n">
        <x:v>30</x:v>
      </x:c>
      <x:c r="C423" s="1" t="n">
        <x:v>120</x:v>
      </x:c>
      <x:c r="D423" s="6" t="n">
        <x:v>23708</x:v>
      </x:c>
      <x:c r="E423" s="6" t="n">
        <x:v>0</x:v>
      </x:c>
      <x:c r="F423" s="6" t="n">
        <x:v>0</x:v>
      </x:c>
      <x:c r="G423" s="6" t="n">
        <x:v>0</x:v>
      </x:c>
      <x:c r="H423" s="6" t="n">
        <x:v>-23708</x:v>
      </x:c>
    </x:row>
    <x:row r="424" ht="21" customHeight="1">
      <x:c r="A424" s="1" t="str">
        <x:v>C0012476</x:v>
      </x:c>
      <x:c r="B424" s="1" t="n">
        <x:v>30</x:v>
      </x:c>
      <x:c r="C424" s="1" t="n">
        <x:v>120</x:v>
      </x:c>
      <x:c r="D424" s="6" t="n">
        <x:v>23708</x:v>
      </x:c>
      <x:c r="E424" s="6" t="n">
        <x:v>47416</x:v>
      </x:c>
      <x:c r="F424" s="6" t="n">
        <x:v>0</x:v>
      </x:c>
      <x:c r="G424" s="6" t="n">
        <x:v>47416</x:v>
      </x:c>
      <x:c r="H424" s="6" t="n">
        <x:v>23708</x:v>
      </x:c>
    </x:row>
    <x:row r="425" ht="21" customHeight="1">
      <x:c r="A425" s="1" t="str">
        <x:v>C0007258</x:v>
      </x:c>
      <x:c r="B425" s="1" t="n">
        <x:v>30</x:v>
      </x:c>
      <x:c r="C425" s="1" t="n">
        <x:v>120</x:v>
      </x:c>
      <x:c r="D425" s="6" t="n">
        <x:v>23708</x:v>
      </x:c>
      <x:c r="E425" s="6" t="n">
        <x:v>47416</x:v>
      </x:c>
      <x:c r="F425" s="6" t="n">
        <x:v>0</x:v>
      </x:c>
      <x:c r="G425" s="6" t="n">
        <x:v>47416</x:v>
      </x:c>
      <x:c r="H425" s="6" t="n">
        <x:v>23708</x:v>
      </x:c>
    </x:row>
    <x:row r="426" ht="21" customHeight="1">
      <x:c r="A426" s="1" t="str">
        <x:v>C0016884</x:v>
      </x:c>
      <x:c r="B426" s="1" t="n">
        <x:v>30</x:v>
      </x:c>
      <x:c r="C426" s="1" t="n">
        <x:v>120</x:v>
      </x:c>
      <x:c r="D426" s="6" t="n">
        <x:v>23708</x:v>
      </x:c>
      <x:c r="E426" s="6" t="n">
        <x:v>47416</x:v>
      </x:c>
      <x:c r="F426" s="6" t="n">
        <x:v>0</x:v>
      </x:c>
      <x:c r="G426" s="6" t="n">
        <x:v>47416</x:v>
      </x:c>
      <x:c r="H426" s="6" t="n">
        <x:v>23708</x:v>
      </x:c>
    </x:row>
    <x:row r="427" ht="21" customHeight="1">
      <x:c r="A427" s="1" t="str">
        <x:v>C0015944</x:v>
      </x:c>
      <x:c r="B427" s="1" t="n">
        <x:v>30</x:v>
      </x:c>
      <x:c r="C427" s="1" t="n">
        <x:v>120</x:v>
      </x:c>
      <x:c r="D427" s="6" t="n">
        <x:v>23708</x:v>
      </x:c>
      <x:c r="E427" s="6" t="n">
        <x:v>0</x:v>
      </x:c>
      <x:c r="F427" s="6" t="n">
        <x:v>0</x:v>
      </x:c>
      <x:c r="G427" s="6" t="n">
        <x:v>0</x:v>
      </x:c>
      <x:c r="H427" s="6" t="n">
        <x:v>-23708</x:v>
      </x:c>
    </x:row>
    <x:row r="428" ht="21" customHeight="1">
      <x:c r="A428" s="1" t="str">
        <x:v>C0005306</x:v>
      </x:c>
      <x:c r="B428" s="1" t="n">
        <x:v>13</x:v>
      </x:c>
      <x:c r="C428" s="1" t="n">
        <x:v>103</x:v>
      </x:c>
      <x:c r="D428" s="6" t="n">
        <x:v>23626</x:v>
      </x:c>
      <x:c r="E428" s="6" t="n">
        <x:v>0</x:v>
      </x:c>
      <x:c r="F428" s="6" t="n">
        <x:v>0</x:v>
      </x:c>
      <x:c r="G428" s="6" t="n">
        <x:v>0</x:v>
      </x:c>
      <x:c r="H428" s="6" t="n">
        <x:v>-23626</x:v>
      </x:c>
    </x:row>
    <x:row r="429" ht="21" customHeight="1">
      <x:c r="A429" s="1" t="str">
        <x:v>C0008489</x:v>
      </x:c>
      <x:c r="B429" s="1" t="n">
        <x:v>13</x:v>
      </x:c>
      <x:c r="C429" s="1" t="n">
        <x:v>103</x:v>
      </x:c>
      <x:c r="D429" s="6" t="n">
        <x:v>23626</x:v>
      </x:c>
      <x:c r="E429" s="6" t="n">
        <x:v>0</x:v>
      </x:c>
      <x:c r="F429" s="6" t="n">
        <x:v>0</x:v>
      </x:c>
      <x:c r="G429" s="6" t="n">
        <x:v>0</x:v>
      </x:c>
      <x:c r="H429" s="6" t="n">
        <x:v>-23626</x:v>
      </x:c>
    </x:row>
    <x:row r="430" ht="21" customHeight="1">
      <x:c r="A430" s="1" t="str">
        <x:v>C0012634</x:v>
      </x:c>
      <x:c r="B430" s="1" t="n">
        <x:v>13</x:v>
      </x:c>
      <x:c r="C430" s="1" t="n">
        <x:v>103</x:v>
      </x:c>
      <x:c r="D430" s="6" t="n">
        <x:v>23626</x:v>
      </x:c>
      <x:c r="E430" s="6" t="n">
        <x:v>0</x:v>
      </x:c>
      <x:c r="F430" s="6" t="n">
        <x:v>0</x:v>
      </x:c>
      <x:c r="G430" s="6" t="n">
        <x:v>0</x:v>
      </x:c>
      <x:c r="H430" s="6" t="n">
        <x:v>-23626</x:v>
      </x:c>
    </x:row>
    <x:row r="431" ht="21" customHeight="1">
      <x:c r="A431" s="1" t="str">
        <x:v>C0010941</x:v>
      </x:c>
      <x:c r="B431" s="1" t="n">
        <x:v>13</x:v>
      </x:c>
      <x:c r="C431" s="1" t="n">
        <x:v>103</x:v>
      </x:c>
      <x:c r="D431" s="6" t="n">
        <x:v>0</x:v>
      </x:c>
      <x:c r="E431" s="6" t="n">
        <x:v>23626</x:v>
      </x:c>
      <x:c r="F431" s="6" t="n">
        <x:v>0</x:v>
      </x:c>
      <x:c r="G431" s="6" t="n">
        <x:v>23626</x:v>
      </x:c>
      <x:c r="H431" s="6" t="n">
        <x:v>23626</x:v>
      </x:c>
    </x:row>
    <x:row r="432" ht="21" customHeight="1">
      <x:c r="A432" s="1" t="str">
        <x:v>C0015323</x:v>
      </x:c>
      <x:c r="B432" s="1" t="n">
        <x:v>13</x:v>
      </x:c>
      <x:c r="C432" s="1" t="n">
        <x:v>103</x:v>
      </x:c>
      <x:c r="D432" s="6" t="n">
        <x:v>0</x:v>
      </x:c>
      <x:c r="E432" s="6" t="n">
        <x:v>23626</x:v>
      </x:c>
      <x:c r="F432" s="6" t="n">
        <x:v>0</x:v>
      </x:c>
      <x:c r="G432" s="6" t="n">
        <x:v>23626</x:v>
      </x:c>
      <x:c r="H432" s="6" t="n">
        <x:v>23626</x:v>
      </x:c>
    </x:row>
    <x:row r="433" ht="21" customHeight="1">
      <x:c r="A433" s="1" t="str">
        <x:v>C0011744</x:v>
      </x:c>
      <x:c r="B433" s="1" t="n">
        <x:v>13</x:v>
      </x:c>
      <x:c r="C433" s="1" t="n">
        <x:v>103</x:v>
      </x:c>
      <x:c r="D433" s="6" t="n">
        <x:v>23626</x:v>
      </x:c>
      <x:c r="E433" s="6" t="n">
        <x:v>0</x:v>
      </x:c>
      <x:c r="F433" s="6" t="n">
        <x:v>0</x:v>
      </x:c>
      <x:c r="G433" s="6" t="n">
        <x:v>0</x:v>
      </x:c>
      <x:c r="H433" s="6" t="n">
        <x:v>-23626</x:v>
      </x:c>
    </x:row>
    <x:row r="434" ht="21" customHeight="1">
      <x:c r="A434" s="1" t="str">
        <x:v>C0017394</x:v>
      </x:c>
      <x:c r="B434" s="1" t="n">
        <x:v>13</x:v>
      </x:c>
      <x:c r="C434" s="1" t="n">
        <x:v>103</x:v>
      </x:c>
      <x:c r="D434" s="6" t="n">
        <x:v>23626</x:v>
      </x:c>
      <x:c r="E434" s="6" t="n">
        <x:v>0</x:v>
      </x:c>
      <x:c r="F434" s="6" t="n">
        <x:v>0</x:v>
      </x:c>
      <x:c r="G434" s="6" t="n">
        <x:v>0</x:v>
      </x:c>
      <x:c r="H434" s="6" t="n">
        <x:v>-23626</x:v>
      </x:c>
    </x:row>
    <x:row r="435" ht="21" customHeight="1">
      <x:c r="A435" s="1" t="str">
        <x:v>C0010480</x:v>
      </x:c>
      <x:c r="B435" s="1" t="n">
        <x:v>13</x:v>
      </x:c>
      <x:c r="C435" s="1" t="n">
        <x:v>103</x:v>
      </x:c>
      <x:c r="D435" s="6" t="n">
        <x:v>23626</x:v>
      </x:c>
      <x:c r="E435" s="6" t="n">
        <x:v>0</x:v>
      </x:c>
      <x:c r="F435" s="6" t="n">
        <x:v>0</x:v>
      </x:c>
      <x:c r="G435" s="6" t="n">
        <x:v>0</x:v>
      </x:c>
      <x:c r="H435" s="6" t="n">
        <x:v>-23626</x:v>
      </x:c>
    </x:row>
    <x:row r="436" ht="21" customHeight="1">
      <x:c r="A436" s="1" t="str">
        <x:v>C0017630</x:v>
      </x:c>
      <x:c r="B436" s="1" t="n">
        <x:v>13</x:v>
      </x:c>
      <x:c r="C436" s="1" t="n">
        <x:v>103</x:v>
      </x:c>
      <x:c r="D436" s="6" t="n">
        <x:v>23626</x:v>
      </x:c>
      <x:c r="E436" s="6" t="n">
        <x:v>47252</x:v>
      </x:c>
      <x:c r="F436" s="6" t="n">
        <x:v>0</x:v>
      </x:c>
      <x:c r="G436" s="6" t="n">
        <x:v>47252</x:v>
      </x:c>
      <x:c r="H436" s="6" t="n">
        <x:v>23626</x:v>
      </x:c>
    </x:row>
    <x:row r="437" ht="21" customHeight="1">
      <x:c r="A437" s="1" t="str">
        <x:v>C0000992</x:v>
      </x:c>
      <x:c r="B437" s="1" t="n">
        <x:v>13</x:v>
      </x:c>
      <x:c r="C437" s="1" t="n">
        <x:v>103</x:v>
      </x:c>
      <x:c r="D437" s="6" t="n">
        <x:v>23626</x:v>
      </x:c>
      <x:c r="E437" s="6" t="n">
        <x:v>47252</x:v>
      </x:c>
      <x:c r="F437" s="6" t="n">
        <x:v>0</x:v>
      </x:c>
      <x:c r="G437" s="6" t="n">
        <x:v>47252</x:v>
      </x:c>
      <x:c r="H437" s="6" t="n">
        <x:v>23626</x:v>
      </x:c>
    </x:row>
    <x:row r="438" ht="21" customHeight="1">
      <x:c r="A438" s="1" t="str">
        <x:v>C0003923</x:v>
      </x:c>
      <x:c r="B438" s="1" t="n">
        <x:v>2</x:v>
      </x:c>
      <x:c r="C438" s="1" t="n">
        <x:v>2</x:v>
      </x:c>
      <x:c r="D438" s="6" t="n">
        <x:v>23536</x:v>
      </x:c>
      <x:c r="E438" s="6" t="n">
        <x:v>47072</x:v>
      </x:c>
      <x:c r="F438" s="6" t="n">
        <x:v>0</x:v>
      </x:c>
      <x:c r="G438" s="6" t="n">
        <x:v>47072</x:v>
      </x:c>
      <x:c r="H438" s="6" t="n">
        <x:v>23536</x:v>
      </x:c>
    </x:row>
    <x:row r="439" ht="21" customHeight="1">
      <x:c r="A439" s="1" t="str">
        <x:v>C0013190</x:v>
      </x:c>
      <x:c r="B439" s="1" t="n">
        <x:v>2</x:v>
      </x:c>
      <x:c r="C439" s="1" t="n">
        <x:v>2</x:v>
      </x:c>
      <x:c r="D439" s="6" t="n">
        <x:v>23536</x:v>
      </x:c>
      <x:c r="E439" s="6" t="n">
        <x:v>47072</x:v>
      </x:c>
      <x:c r="F439" s="6" t="n">
        <x:v>0</x:v>
      </x:c>
      <x:c r="G439" s="6" t="n">
        <x:v>47072</x:v>
      </x:c>
      <x:c r="H439" s="6" t="n">
        <x:v>23536</x:v>
      </x:c>
    </x:row>
    <x:row r="440" ht="21" customHeight="1">
      <x:c r="A440" s="1" t="str">
        <x:v>C0004911</x:v>
      </x:c>
      <x:c r="B440" s="1" t="n">
        <x:v>2</x:v>
      </x:c>
      <x:c r="C440" s="1" t="n">
        <x:v>2</x:v>
      </x:c>
      <x:c r="D440" s="6" t="n">
        <x:v>23536</x:v>
      </x:c>
      <x:c r="E440" s="6" t="n">
        <x:v>47072</x:v>
      </x:c>
      <x:c r="F440" s="6" t="n">
        <x:v>0</x:v>
      </x:c>
      <x:c r="G440" s="6" t="n">
        <x:v>47072</x:v>
      </x:c>
      <x:c r="H440" s="6" t="n">
        <x:v>23536</x:v>
      </x:c>
    </x:row>
    <x:row r="441" ht="21" customHeight="1">
      <x:c r="A441" s="1" t="str">
        <x:v>C0010951</x:v>
      </x:c>
      <x:c r="B441" s="1" t="n">
        <x:v>2</x:v>
      </x:c>
      <x:c r="C441" s="1" t="n">
        <x:v>2</x:v>
      </x:c>
      <x:c r="D441" s="6" t="n">
        <x:v>23536</x:v>
      </x:c>
      <x:c r="E441" s="6" t="n">
        <x:v>0</x:v>
      </x:c>
      <x:c r="F441" s="6" t="n">
        <x:v>0</x:v>
      </x:c>
      <x:c r="G441" s="6" t="n">
        <x:v>0</x:v>
      </x:c>
      <x:c r="H441" s="6" t="n">
        <x:v>-23536</x:v>
      </x:c>
    </x:row>
    <x:row r="442" ht="21" customHeight="1">
      <x:c r="A442" s="1" t="str">
        <x:v>C0008252</x:v>
      </x:c>
      <x:c r="B442" s="1" t="n">
        <x:v>2</x:v>
      </x:c>
      <x:c r="C442" s="1" t="n">
        <x:v>2</x:v>
      </x:c>
      <x:c r="D442" s="6" t="n">
        <x:v>23536</x:v>
      </x:c>
      <x:c r="E442" s="6" t="n">
        <x:v>0</x:v>
      </x:c>
      <x:c r="F442" s="6" t="n">
        <x:v>0</x:v>
      </x:c>
      <x:c r="G442" s="6" t="n">
        <x:v>0</x:v>
      </x:c>
      <x:c r="H442" s="6" t="n">
        <x:v>-23536</x:v>
      </x:c>
    </x:row>
    <x:row r="443" ht="21" customHeight="1">
      <x:c r="A443" s="1" t="str">
        <x:v>C0011540</x:v>
      </x:c>
      <x:c r="B443" s="1" t="n">
        <x:v>2</x:v>
      </x:c>
      <x:c r="C443" s="1" t="n">
        <x:v>2</x:v>
      </x:c>
      <x:c r="D443" s="6" t="n">
        <x:v>23536</x:v>
      </x:c>
      <x:c r="E443" s="6" t="n">
        <x:v>47072</x:v>
      </x:c>
      <x:c r="F443" s="6" t="n">
        <x:v>0</x:v>
      </x:c>
      <x:c r="G443" s="6" t="n">
        <x:v>47072</x:v>
      </x:c>
      <x:c r="H443" s="6" t="n">
        <x:v>23536</x:v>
      </x:c>
    </x:row>
    <x:row r="444" ht="21" customHeight="1">
      <x:c r="A444" s="1" t="str">
        <x:v>C0008851</x:v>
      </x:c>
      <x:c r="B444" s="1" t="n">
        <x:v>1</x:v>
      </x:c>
      <x:c r="C444" s="1" t="n">
        <x:v>31</x:v>
      </x:c>
      <x:c r="D444" s="6" t="n">
        <x:v>23468</x:v>
      </x:c>
      <x:c r="E444" s="6" t="n">
        <x:v>0</x:v>
      </x:c>
      <x:c r="F444" s="6" t="n">
        <x:v>0</x:v>
      </x:c>
      <x:c r="G444" s="6" t="n">
        <x:v>0</x:v>
      </x:c>
      <x:c r="H444" s="6" t="n">
        <x:v>-23468</x:v>
      </x:c>
    </x:row>
    <x:row r="445" ht="21" customHeight="1">
      <x:c r="A445" s="1" t="str">
        <x:v>C0005241</x:v>
      </x:c>
      <x:c r="B445" s="1" t="n">
        <x:v>1</x:v>
      </x:c>
      <x:c r="C445" s="1" t="n">
        <x:v>31</x:v>
      </x:c>
      <x:c r="D445" s="6" t="n">
        <x:v>23468</x:v>
      </x:c>
      <x:c r="E445" s="6" t="n">
        <x:v>0</x:v>
      </x:c>
      <x:c r="F445" s="6" t="n">
        <x:v>0</x:v>
      </x:c>
      <x:c r="G445" s="6" t="n">
        <x:v>0</x:v>
      </x:c>
      <x:c r="H445" s="6" t="n">
        <x:v>-23468</x:v>
      </x:c>
    </x:row>
    <x:row r="446" ht="21" customHeight="1">
      <x:c r="A446" s="1" t="str">
        <x:v>C0008722</x:v>
      </x:c>
      <x:c r="B446" s="1" t="n">
        <x:v>1</x:v>
      </x:c>
      <x:c r="C446" s="1" t="n">
        <x:v>31</x:v>
      </x:c>
      <x:c r="D446" s="6" t="n">
        <x:v>23468</x:v>
      </x:c>
      <x:c r="E446" s="6" t="n">
        <x:v>0</x:v>
      </x:c>
      <x:c r="F446" s="6" t="n">
        <x:v>0</x:v>
      </x:c>
      <x:c r="G446" s="6" t="n">
        <x:v>0</x:v>
      </x:c>
      <x:c r="H446" s="6" t="n">
        <x:v>-23468</x:v>
      </x:c>
    </x:row>
    <x:row r="447" ht="21" customHeight="1">
      <x:c r="A447" s="1" t="str">
        <x:v>C0004713</x:v>
      </x:c>
      <x:c r="B447" s="1" t="n">
        <x:v>1</x:v>
      </x:c>
      <x:c r="C447" s="1" t="n">
        <x:v>31</x:v>
      </x:c>
      <x:c r="D447" s="6" t="n">
        <x:v>0</x:v>
      </x:c>
      <x:c r="E447" s="6" t="n">
        <x:v>23468</x:v>
      </x:c>
      <x:c r="F447" s="6" t="n">
        <x:v>0</x:v>
      </x:c>
      <x:c r="G447" s="6" t="n">
        <x:v>23468</x:v>
      </x:c>
      <x:c r="H447" s="6" t="n">
        <x:v>23468</x:v>
      </x:c>
    </x:row>
    <x:row r="448" ht="21" customHeight="1">
      <x:c r="A448" s="1" t="str">
        <x:v>C0014189</x:v>
      </x:c>
      <x:c r="B448" s="1" t="n">
        <x:v>1</x:v>
      </x:c>
      <x:c r="C448" s="1" t="n">
        <x:v>31</x:v>
      </x:c>
      <x:c r="D448" s="6" t="n">
        <x:v>23468</x:v>
      </x:c>
      <x:c r="E448" s="6" t="n">
        <x:v>0</x:v>
      </x:c>
      <x:c r="F448" s="6" t="n">
        <x:v>0</x:v>
      </x:c>
      <x:c r="G448" s="6" t="n">
        <x:v>0</x:v>
      </x:c>
      <x:c r="H448" s="6" t="n">
        <x:v>-23468</x:v>
      </x:c>
    </x:row>
    <x:row r="449" ht="21" customHeight="1">
      <x:c r="A449" s="1" t="str">
        <x:v>C0009654</x:v>
      </x:c>
      <x:c r="B449" s="1" t="n">
        <x:v>1</x:v>
      </x:c>
      <x:c r="C449" s="1" t="n">
        <x:v>31</x:v>
      </x:c>
      <x:c r="D449" s="6" t="n">
        <x:v>0</x:v>
      </x:c>
      <x:c r="E449" s="6" t="n">
        <x:v>23468</x:v>
      </x:c>
      <x:c r="F449" s="6" t="n">
        <x:v>0</x:v>
      </x:c>
      <x:c r="G449" s="6" t="n">
        <x:v>23468</x:v>
      </x:c>
      <x:c r="H449" s="6" t="n">
        <x:v>23468</x:v>
      </x:c>
    </x:row>
    <x:row r="450" ht="21" customHeight="1">
      <x:c r="A450" s="1" t="str">
        <x:v>C0014021</x:v>
      </x:c>
      <x:c r="B450" s="1" t="n">
        <x:v>1</x:v>
      </x:c>
      <x:c r="C450" s="1" t="n">
        <x:v>31</x:v>
      </x:c>
      <x:c r="D450" s="6" t="n">
        <x:v>23468</x:v>
      </x:c>
      <x:c r="E450" s="6" t="n">
        <x:v>46936</x:v>
      </x:c>
      <x:c r="F450" s="6" t="n">
        <x:v>0</x:v>
      </x:c>
      <x:c r="G450" s="6" t="n">
        <x:v>46936</x:v>
      </x:c>
      <x:c r="H450" s="6" t="n">
        <x:v>23468</x:v>
      </x:c>
    </x:row>
    <x:row r="451" ht="21" customHeight="1">
      <x:c r="A451" s="1" t="str">
        <x:v>C0014852</x:v>
      </x:c>
      <x:c r="B451" s="1" t="n">
        <x:v>26</x:v>
      </x:c>
      <x:c r="C451" s="1" t="n">
        <x:v>116</x:v>
      </x:c>
      <x:c r="D451" s="6" t="n">
        <x:v>0</x:v>
      </x:c>
      <x:c r="E451" s="6" t="n">
        <x:v>23414</x:v>
      </x:c>
      <x:c r="F451" s="6" t="n">
        <x:v>0</x:v>
      </x:c>
      <x:c r="G451" s="6" t="n">
        <x:v>23414</x:v>
      </x:c>
      <x:c r="H451" s="6" t="n">
        <x:v>23414</x:v>
      </x:c>
    </x:row>
    <x:row r="452" ht="21" customHeight="1">
      <x:c r="A452" s="1" t="str">
        <x:v>C0001157</x:v>
      </x:c>
      <x:c r="B452" s="1" t="n">
        <x:v>26</x:v>
      </x:c>
      <x:c r="C452" s="1" t="n">
        <x:v>116</x:v>
      </x:c>
      <x:c r="D452" s="6" t="n">
        <x:v>23414</x:v>
      </x:c>
      <x:c r="E452" s="6" t="n">
        <x:v>46828</x:v>
      </x:c>
      <x:c r="F452" s="6" t="n">
        <x:v>0</x:v>
      </x:c>
      <x:c r="G452" s="6" t="n">
        <x:v>46828</x:v>
      </x:c>
      <x:c r="H452" s="6" t="n">
        <x:v>23414</x:v>
      </x:c>
    </x:row>
    <x:row r="453" ht="21" customHeight="1">
      <x:c r="A453" s="1" t="str">
        <x:v>C0004508</x:v>
      </x:c>
      <x:c r="B453" s="1" t="n">
        <x:v>26</x:v>
      </x:c>
      <x:c r="C453" s="1" t="n">
        <x:v>116</x:v>
      </x:c>
      <x:c r="D453" s="6" t="n">
        <x:v>23414</x:v>
      </x:c>
      <x:c r="E453" s="6" t="n">
        <x:v>0</x:v>
      </x:c>
      <x:c r="F453" s="6" t="n">
        <x:v>0</x:v>
      </x:c>
      <x:c r="G453" s="6" t="n">
        <x:v>0</x:v>
      </x:c>
      <x:c r="H453" s="6" t="n">
        <x:v>-23414</x:v>
      </x:c>
    </x:row>
    <x:row r="454" ht="21" customHeight="1">
      <x:c r="A454" s="1" t="str">
        <x:v>C0005560</x:v>
      </x:c>
      <x:c r="B454" s="1" t="n">
        <x:v>26</x:v>
      </x:c>
      <x:c r="C454" s="1" t="n">
        <x:v>116</x:v>
      </x:c>
      <x:c r="D454" s="6" t="n">
        <x:v>23414</x:v>
      </x:c>
      <x:c r="E454" s="6" t="n">
        <x:v>46828</x:v>
      </x:c>
      <x:c r="F454" s="6" t="n">
        <x:v>0</x:v>
      </x:c>
      <x:c r="G454" s="6" t="n">
        <x:v>46828</x:v>
      </x:c>
      <x:c r="H454" s="6" t="n">
        <x:v>23414</x:v>
      </x:c>
    </x:row>
    <x:row r="455" ht="21" customHeight="1">
      <x:c r="A455" s="1" t="str">
        <x:v>C0009973</x:v>
      </x:c>
      <x:c r="B455" s="1" t="n">
        <x:v>27</x:v>
      </x:c>
      <x:c r="C455" s="1" t="n">
        <x:v>57</x:v>
      </x:c>
      <x:c r="D455" s="6" t="n">
        <x:v>23410</x:v>
      </x:c>
      <x:c r="E455" s="6" t="n">
        <x:v>0</x:v>
      </x:c>
      <x:c r="F455" s="6" t="n">
        <x:v>0</x:v>
      </x:c>
      <x:c r="G455" s="6" t="n">
        <x:v>0</x:v>
      </x:c>
      <x:c r="H455" s="6" t="n">
        <x:v>-23410</x:v>
      </x:c>
    </x:row>
    <x:row r="456" ht="21" customHeight="1">
      <x:c r="A456" s="1" t="str">
        <x:v>C0007965</x:v>
      </x:c>
      <x:c r="B456" s="1" t="n">
        <x:v>27</x:v>
      </x:c>
      <x:c r="C456" s="1" t="n">
        <x:v>57</x:v>
      </x:c>
      <x:c r="D456" s="6" t="n">
        <x:v>23410</x:v>
      </x:c>
      <x:c r="E456" s="6" t="n">
        <x:v>0</x:v>
      </x:c>
      <x:c r="F456" s="6" t="n">
        <x:v>0</x:v>
      </x:c>
      <x:c r="G456" s="6" t="n">
        <x:v>0</x:v>
      </x:c>
      <x:c r="H456" s="6" t="n">
        <x:v>-23410</x:v>
      </x:c>
    </x:row>
    <x:row r="457" ht="21" customHeight="1">
      <x:c r="A457" s="1" t="str">
        <x:v>C0016413</x:v>
      </x:c>
      <x:c r="B457" s="1" t="n">
        <x:v>27</x:v>
      </x:c>
      <x:c r="C457" s="1" t="n">
        <x:v>57</x:v>
      </x:c>
      <x:c r="D457" s="6" t="n">
        <x:v>23410</x:v>
      </x:c>
      <x:c r="E457" s="6" t="n">
        <x:v>0</x:v>
      </x:c>
      <x:c r="F457" s="6" t="n">
        <x:v>0</x:v>
      </x:c>
      <x:c r="G457" s="6" t="n">
        <x:v>0</x:v>
      </x:c>
      <x:c r="H457" s="6" t="n">
        <x:v>-23410</x:v>
      </x:c>
    </x:row>
    <x:row r="458" ht="21" customHeight="1">
      <x:c r="A458" s="1" t="str">
        <x:v>C0013649</x:v>
      </x:c>
      <x:c r="B458" s="1" t="n">
        <x:v>27</x:v>
      </x:c>
      <x:c r="C458" s="1" t="n">
        <x:v>57</x:v>
      </x:c>
      <x:c r="D458" s="6" t="n">
        <x:v>23410</x:v>
      </x:c>
      <x:c r="E458" s="6" t="n">
        <x:v>46820</x:v>
      </x:c>
      <x:c r="F458" s="6" t="n">
        <x:v>0</x:v>
      </x:c>
      <x:c r="G458" s="6" t="n">
        <x:v>46820</x:v>
      </x:c>
      <x:c r="H458" s="6" t="n">
        <x:v>23410</x:v>
      </x:c>
    </x:row>
    <x:row r="459" ht="21" customHeight="1">
      <x:c r="A459" s="1" t="str">
        <x:v>C0016164</x:v>
      </x:c>
      <x:c r="B459" s="1" t="n">
        <x:v>30</x:v>
      </x:c>
      <x:c r="C459" s="1" t="n">
        <x:v>90</x:v>
      </x:c>
      <x:c r="D459" s="6" t="n">
        <x:v>23377</x:v>
      </x:c>
      <x:c r="E459" s="6" t="n">
        <x:v>0</x:v>
      </x:c>
      <x:c r="F459" s="6" t="n">
        <x:v>0</x:v>
      </x:c>
      <x:c r="G459" s="6" t="n">
        <x:v>0</x:v>
      </x:c>
      <x:c r="H459" s="6" t="n">
        <x:v>-23377</x:v>
      </x:c>
    </x:row>
    <x:row r="460" ht="21" customHeight="1">
      <x:c r="A460" s="1" t="str">
        <x:v>C0016147</x:v>
      </x:c>
      <x:c r="B460" s="1" t="n">
        <x:v>30</x:v>
      </x:c>
      <x:c r="C460" s="1" t="n">
        <x:v>90</x:v>
      </x:c>
      <x:c r="D460" s="6" t="n">
        <x:v>0</x:v>
      </x:c>
      <x:c r="E460" s="6" t="n">
        <x:v>23377</x:v>
      </x:c>
      <x:c r="F460" s="6" t="n">
        <x:v>0</x:v>
      </x:c>
      <x:c r="G460" s="6" t="n">
        <x:v>23377</x:v>
      </x:c>
      <x:c r="H460" s="6" t="n">
        <x:v>23377</x:v>
      </x:c>
    </x:row>
    <x:row r="461" ht="21" customHeight="1">
      <x:c r="A461" s="1" t="str">
        <x:v>C0000614</x:v>
      </x:c>
      <x:c r="B461" s="1" t="n">
        <x:v>30</x:v>
      </x:c>
      <x:c r="C461" s="1" t="n">
        <x:v>90</x:v>
      </x:c>
      <x:c r="D461" s="6" t="n">
        <x:v>23377</x:v>
      </x:c>
      <x:c r="E461" s="6" t="n">
        <x:v>46754</x:v>
      </x:c>
      <x:c r="F461" s="6" t="n">
        <x:v>0</x:v>
      </x:c>
      <x:c r="G461" s="6" t="n">
        <x:v>46754</x:v>
      </x:c>
      <x:c r="H461" s="6" t="n">
        <x:v>23377</x:v>
      </x:c>
    </x:row>
    <x:row r="462" ht="21" customHeight="1">
      <x:c r="A462" s="1" t="str">
        <x:v>C0004410</x:v>
      </x:c>
      <x:c r="B462" s="1" t="n">
        <x:v>30</x:v>
      </x:c>
      <x:c r="C462" s="1" t="n">
        <x:v>90</x:v>
      </x:c>
      <x:c r="D462" s="6" t="n">
        <x:v>23377</x:v>
      </x:c>
      <x:c r="E462" s="6" t="n">
        <x:v>0</x:v>
      </x:c>
      <x:c r="F462" s="6" t="n">
        <x:v>0</x:v>
      </x:c>
      <x:c r="G462" s="6" t="n">
        <x:v>0</x:v>
      </x:c>
      <x:c r="H462" s="6" t="n">
        <x:v>-23377</x:v>
      </x:c>
    </x:row>
    <x:row r="463" ht="21" customHeight="1">
      <x:c r="A463" s="1" t="str">
        <x:v>C0001396</x:v>
      </x:c>
      <x:c r="B463" s="1" t="n">
        <x:v>30</x:v>
      </x:c>
      <x:c r="C463" s="1" t="n">
        <x:v>90</x:v>
      </x:c>
      <x:c r="D463" s="6" t="n">
        <x:v>23377</x:v>
      </x:c>
      <x:c r="E463" s="6" t="n">
        <x:v>46754</x:v>
      </x:c>
      <x:c r="F463" s="6" t="n">
        <x:v>0</x:v>
      </x:c>
      <x:c r="G463" s="6" t="n">
        <x:v>46754</x:v>
      </x:c>
      <x:c r="H463" s="6" t="n">
        <x:v>23377</x:v>
      </x:c>
    </x:row>
    <x:row r="464" ht="21" customHeight="1">
      <x:c r="A464" s="1" t="str">
        <x:v>C0010975</x:v>
      </x:c>
      <x:c r="B464" s="1" t="n">
        <x:v>30</x:v>
      </x:c>
      <x:c r="C464" s="1" t="n">
        <x:v>90</x:v>
      </x:c>
      <x:c r="D464" s="6" t="n">
        <x:v>23377</x:v>
      </x:c>
      <x:c r="E464" s="6" t="n">
        <x:v>46754</x:v>
      </x:c>
      <x:c r="F464" s="6" t="n">
        <x:v>0</x:v>
      </x:c>
      <x:c r="G464" s="6" t="n">
        <x:v>46754</x:v>
      </x:c>
      <x:c r="H464" s="6" t="n">
        <x:v>23377</x:v>
      </x:c>
    </x:row>
    <x:row r="465" ht="21" customHeight="1">
      <x:c r="A465" s="1" t="str">
        <x:v>C0011486</x:v>
      </x:c>
      <x:c r="B465" s="1" t="n">
        <x:v>30</x:v>
      </x:c>
      <x:c r="C465" s="1" t="n">
        <x:v>90</x:v>
      </x:c>
      <x:c r="D465" s="6" t="n">
        <x:v>23377</x:v>
      </x:c>
      <x:c r="E465" s="6" t="n">
        <x:v>0</x:v>
      </x:c>
      <x:c r="F465" s="6" t="n">
        <x:v>0</x:v>
      </x:c>
      <x:c r="G465" s="6" t="n">
        <x:v>0</x:v>
      </x:c>
      <x:c r="H465" s="6" t="n">
        <x:v>-23377</x:v>
      </x:c>
    </x:row>
    <x:row r="466" ht="21" customHeight="1">
      <x:c r="A466" s="1" t="str">
        <x:v>C0016789</x:v>
      </x:c>
      <x:c r="B466" s="1" t="n">
        <x:v>2</x:v>
      </x:c>
      <x:c r="C466" s="1" t="n">
        <x:v>92</x:v>
      </x:c>
      <x:c r="D466" s="6" t="n">
        <x:v>23376</x:v>
      </x:c>
      <x:c r="E466" s="6" t="n">
        <x:v>0</x:v>
      </x:c>
      <x:c r="F466" s="6" t="n">
        <x:v>0</x:v>
      </x:c>
      <x:c r="G466" s="6" t="n">
        <x:v>0</x:v>
      </x:c>
      <x:c r="H466" s="6" t="n">
        <x:v>-23376</x:v>
      </x:c>
    </x:row>
    <x:row r="467" ht="21" customHeight="1">
      <x:c r="A467" s="1" t="str">
        <x:v>C0002598</x:v>
      </x:c>
      <x:c r="B467" s="1" t="n">
        <x:v>2</x:v>
      </x:c>
      <x:c r="C467" s="1" t="n">
        <x:v>92</x:v>
      </x:c>
      <x:c r="D467" s="6" t="n">
        <x:v>23376</x:v>
      </x:c>
      <x:c r="E467" s="6" t="n">
        <x:v>0</x:v>
      </x:c>
      <x:c r="F467" s="6" t="n">
        <x:v>0</x:v>
      </x:c>
      <x:c r="G467" s="6" t="n">
        <x:v>0</x:v>
      </x:c>
      <x:c r="H467" s="6" t="n">
        <x:v>-23376</x:v>
      </x:c>
    </x:row>
    <x:row r="468" ht="21" customHeight="1">
      <x:c r="A468" s="1" t="str">
        <x:v>C0007014</x:v>
      </x:c>
      <x:c r="B468" s="1" t="n">
        <x:v>2</x:v>
      </x:c>
      <x:c r="C468" s="1" t="n">
        <x:v>92</x:v>
      </x:c>
      <x:c r="D468" s="6" t="n">
        <x:v>23376</x:v>
      </x:c>
      <x:c r="E468" s="6" t="n">
        <x:v>0</x:v>
      </x:c>
      <x:c r="F468" s="6" t="n">
        <x:v>0</x:v>
      </x:c>
      <x:c r="G468" s="6" t="n">
        <x:v>0</x:v>
      </x:c>
      <x:c r="H468" s="6" t="n">
        <x:v>-23376</x:v>
      </x:c>
    </x:row>
    <x:row r="469" ht="21" customHeight="1">
      <x:c r="A469" s="1" t="str">
        <x:v>C0012342</x:v>
      </x:c>
      <x:c r="B469" s="1" t="n">
        <x:v>9</x:v>
      </x:c>
      <x:c r="C469" s="1" t="n">
        <x:v>9</x:v>
      </x:c>
      <x:c r="D469" s="6" t="n">
        <x:v>23353</x:v>
      </x:c>
      <x:c r="E469" s="6" t="n">
        <x:v>46706</x:v>
      </x:c>
      <x:c r="F469" s="6" t="n">
        <x:v>0</x:v>
      </x:c>
      <x:c r="G469" s="6" t="n">
        <x:v>46706</x:v>
      </x:c>
      <x:c r="H469" s="6" t="n">
        <x:v>23353</x:v>
      </x:c>
    </x:row>
    <x:row r="470" ht="21" customHeight="1">
      <x:c r="A470" s="1" t="str">
        <x:v>C0010854</x:v>
      </x:c>
      <x:c r="B470" s="1" t="n">
        <x:v>9</x:v>
      </x:c>
      <x:c r="C470" s="1" t="n">
        <x:v>9</x:v>
      </x:c>
      <x:c r="D470" s="6" t="n">
        <x:v>23353</x:v>
      </x:c>
      <x:c r="E470" s="6" t="n">
        <x:v>0</x:v>
      </x:c>
      <x:c r="F470" s="6" t="n">
        <x:v>0</x:v>
      </x:c>
      <x:c r="G470" s="6" t="n">
        <x:v>0</x:v>
      </x:c>
      <x:c r="H470" s="6" t="n">
        <x:v>-23353</x:v>
      </x:c>
    </x:row>
    <x:row r="471" ht="21" customHeight="1">
      <x:c r="A471" s="1" t="str">
        <x:v>C0011779</x:v>
      </x:c>
      <x:c r="B471" s="1" t="n">
        <x:v>9</x:v>
      </x:c>
      <x:c r="C471" s="1" t="n">
        <x:v>9</x:v>
      </x:c>
      <x:c r="D471" s="6" t="n">
        <x:v>23353</x:v>
      </x:c>
      <x:c r="E471" s="6" t="n">
        <x:v>46706</x:v>
      </x:c>
      <x:c r="F471" s="6" t="n">
        <x:v>0</x:v>
      </x:c>
      <x:c r="G471" s="6" t="n">
        <x:v>46706</x:v>
      </x:c>
      <x:c r="H471" s="6" t="n">
        <x:v>23353</x:v>
      </x:c>
    </x:row>
    <x:row r="472" ht="21" customHeight="1">
      <x:c r="A472" s="1" t="str">
        <x:v>C0007545</x:v>
      </x:c>
      <x:c r="B472" s="1" t="n">
        <x:v>9</x:v>
      </x:c>
      <x:c r="C472" s="1" t="n">
        <x:v>9</x:v>
      </x:c>
      <x:c r="D472" s="6" t="n">
        <x:v>0</x:v>
      </x:c>
      <x:c r="E472" s="6" t="n">
        <x:v>23353</x:v>
      </x:c>
      <x:c r="F472" s="6" t="n">
        <x:v>0</x:v>
      </x:c>
      <x:c r="G472" s="6" t="n">
        <x:v>23353</x:v>
      </x:c>
      <x:c r="H472" s="6" t="n">
        <x:v>23353</x:v>
      </x:c>
    </x:row>
    <x:row r="473" ht="21" customHeight="1">
      <x:c r="A473" s="1" t="str">
        <x:v>C0001856</x:v>
      </x:c>
      <x:c r="B473" s="1" t="n">
        <x:v>9</x:v>
      </x:c>
      <x:c r="C473" s="1" t="n">
        <x:v>9</x:v>
      </x:c>
      <x:c r="D473" s="6" t="n">
        <x:v>23353</x:v>
      </x:c>
      <x:c r="E473" s="6" t="n">
        <x:v>0</x:v>
      </x:c>
      <x:c r="F473" s="6" t="n">
        <x:v>0</x:v>
      </x:c>
      <x:c r="G473" s="6" t="n">
        <x:v>0</x:v>
      </x:c>
      <x:c r="H473" s="6" t="n">
        <x:v>-23353</x:v>
      </x:c>
    </x:row>
    <x:row r="474" ht="21" customHeight="1">
      <x:c r="A474" s="1" t="str">
        <x:v>C0014183</x:v>
      </x:c>
      <x:c r="B474" s="1" t="n">
        <x:v>9</x:v>
      </x:c>
      <x:c r="C474" s="1" t="n">
        <x:v>9</x:v>
      </x:c>
      <x:c r="D474" s="6" t="n">
        <x:v>23353</x:v>
      </x:c>
      <x:c r="E474" s="6" t="n">
        <x:v>0</x:v>
      </x:c>
      <x:c r="F474" s="6" t="n">
        <x:v>0</x:v>
      </x:c>
      <x:c r="G474" s="6" t="n">
        <x:v>0</x:v>
      </x:c>
      <x:c r="H474" s="6" t="n">
        <x:v>-23353</x:v>
      </x:c>
    </x:row>
    <x:row r="475" ht="21" customHeight="1">
      <x:c r="A475" s="1" t="str">
        <x:v>C0003743</x:v>
      </x:c>
      <x:c r="B475" s="1" t="n">
        <x:v>9</x:v>
      </x:c>
      <x:c r="C475" s="1" t="n">
        <x:v>9</x:v>
      </x:c>
      <x:c r="D475" s="6" t="n">
        <x:v>23353</x:v>
      </x:c>
      <x:c r="E475" s="6" t="n">
        <x:v>46706</x:v>
      </x:c>
      <x:c r="F475" s="6" t="n">
        <x:v>0</x:v>
      </x:c>
      <x:c r="G475" s="6" t="n">
        <x:v>46706</x:v>
      </x:c>
      <x:c r="H475" s="6" t="n">
        <x:v>23353</x:v>
      </x:c>
    </x:row>
    <x:row r="476" ht="21" customHeight="1">
      <x:c r="A476" s="1" t="str">
        <x:v>C0008740</x:v>
      </x:c>
      <x:c r="B476" s="1" t="n">
        <x:v>9</x:v>
      </x:c>
      <x:c r="C476" s="1" t="n">
        <x:v>9</x:v>
      </x:c>
      <x:c r="D476" s="6" t="n">
        <x:v>23353</x:v>
      </x:c>
      <x:c r="E476" s="6" t="n">
        <x:v>46706</x:v>
      </x:c>
      <x:c r="F476" s="6" t="n">
        <x:v>0</x:v>
      </x:c>
      <x:c r="G476" s="6" t="n">
        <x:v>46706</x:v>
      </x:c>
      <x:c r="H476" s="6" t="n">
        <x:v>23353</x:v>
      </x:c>
    </x:row>
    <x:row r="477" ht="21" customHeight="1">
      <x:c r="A477" s="1" t="str">
        <x:v>C0007369</x:v>
      </x:c>
      <x:c r="B477" s="1" t="n">
        <x:v>20</x:v>
      </x:c>
      <x:c r="C477" s="1" t="n">
        <x:v>50</x:v>
      </x:c>
      <x:c r="D477" s="6" t="n">
        <x:v>23213</x:v>
      </x:c>
      <x:c r="E477" s="6" t="n">
        <x:v>0</x:v>
      </x:c>
      <x:c r="F477" s="6" t="n">
        <x:v>0</x:v>
      </x:c>
      <x:c r="G477" s="6" t="n">
        <x:v>0</x:v>
      </x:c>
      <x:c r="H477" s="6" t="n">
        <x:v>-23213</x:v>
      </x:c>
    </x:row>
    <x:row r="478" ht="21" customHeight="1">
      <x:c r="A478" s="1" t="str">
        <x:v>C0004454</x:v>
      </x:c>
      <x:c r="B478" s="1" t="n">
        <x:v>20</x:v>
      </x:c>
      <x:c r="C478" s="1" t="n">
        <x:v>50</x:v>
      </x:c>
      <x:c r="D478" s="6" t="n">
        <x:v>23213</x:v>
      </x:c>
      <x:c r="E478" s="6" t="n">
        <x:v>46426</x:v>
      </x:c>
      <x:c r="F478" s="6" t="n">
        <x:v>0</x:v>
      </x:c>
      <x:c r="G478" s="6" t="n">
        <x:v>46426</x:v>
      </x:c>
      <x:c r="H478" s="6" t="n">
        <x:v>23213</x:v>
      </x:c>
    </x:row>
    <x:row r="479" ht="21" customHeight="1">
      <x:c r="A479" s="1" t="str">
        <x:v>C0007934</x:v>
      </x:c>
      <x:c r="B479" s="1" t="n">
        <x:v>20</x:v>
      </x:c>
      <x:c r="C479" s="1" t="n">
        <x:v>50</x:v>
      </x:c>
      <x:c r="D479" s="6" t="n">
        <x:v>23213</x:v>
      </x:c>
      <x:c r="E479" s="6" t="n">
        <x:v>0</x:v>
      </x:c>
      <x:c r="F479" s="6" t="n">
        <x:v>0</x:v>
      </x:c>
      <x:c r="G479" s="6" t="n">
        <x:v>0</x:v>
      </x:c>
      <x:c r="H479" s="6" t="n">
        <x:v>-23213</x:v>
      </x:c>
    </x:row>
    <x:row r="480" ht="21" customHeight="1">
      <x:c r="A480" s="1" t="str">
        <x:v>C0013706</x:v>
      </x:c>
      <x:c r="B480" s="1" t="n">
        <x:v>20</x:v>
      </x:c>
      <x:c r="C480" s="1" t="n">
        <x:v>50</x:v>
      </x:c>
      <x:c r="D480" s="6" t="n">
        <x:v>23213</x:v>
      </x:c>
      <x:c r="E480" s="6" t="n">
        <x:v>0</x:v>
      </x:c>
      <x:c r="F480" s="6" t="n">
        <x:v>0</x:v>
      </x:c>
      <x:c r="G480" s="6" t="n">
        <x:v>0</x:v>
      </x:c>
      <x:c r="H480" s="6" t="n">
        <x:v>-23213</x:v>
      </x:c>
    </x:row>
    <x:row r="481" ht="21" customHeight="1">
      <x:c r="A481" s="1" t="str">
        <x:v>C0001973</x:v>
      </x:c>
      <x:c r="B481" s="1" t="n">
        <x:v>20</x:v>
      </x:c>
      <x:c r="C481" s="1" t="n">
        <x:v>50</x:v>
      </x:c>
      <x:c r="D481" s="6" t="n">
        <x:v>23213</x:v>
      </x:c>
      <x:c r="E481" s="6" t="n">
        <x:v>46426</x:v>
      </x:c>
      <x:c r="F481" s="6" t="n">
        <x:v>0</x:v>
      </x:c>
      <x:c r="G481" s="6" t="n">
        <x:v>46426</x:v>
      </x:c>
      <x:c r="H481" s="6" t="n">
        <x:v>23213</x:v>
      </x:c>
    </x:row>
    <x:row r="482" ht="21" customHeight="1">
      <x:c r="A482" s="1" t="str">
        <x:v>C0006779</x:v>
      </x:c>
      <x:c r="B482" s="1" t="n">
        <x:v>20</x:v>
      </x:c>
      <x:c r="C482" s="1" t="n">
        <x:v>50</x:v>
      </x:c>
      <x:c r="D482" s="6" t="n">
        <x:v>23213</x:v>
      </x:c>
      <x:c r="E482" s="6" t="n">
        <x:v>0</x:v>
      </x:c>
      <x:c r="F482" s="6" t="n">
        <x:v>0</x:v>
      </x:c>
      <x:c r="G482" s="6" t="n">
        <x:v>0</x:v>
      </x:c>
      <x:c r="H482" s="6" t="n">
        <x:v>-23213</x:v>
      </x:c>
    </x:row>
    <x:row r="483" ht="21" customHeight="1">
      <x:c r="A483" s="1" t="str">
        <x:v>C0000884</x:v>
      </x:c>
      <x:c r="B483" s="1" t="n">
        <x:v>20</x:v>
      </x:c>
      <x:c r="C483" s="1" t="n">
        <x:v>50</x:v>
      </x:c>
      <x:c r="D483" s="6" t="n">
        <x:v>0</x:v>
      </x:c>
      <x:c r="E483" s="6" t="n">
        <x:v>23213</x:v>
      </x:c>
      <x:c r="F483" s="6" t="n">
        <x:v>0</x:v>
      </x:c>
      <x:c r="G483" s="6" t="n">
        <x:v>23213</x:v>
      </x:c>
      <x:c r="H483" s="6" t="n">
        <x:v>23213</x:v>
      </x:c>
    </x:row>
    <x:row r="484" ht="21" customHeight="1">
      <x:c r="A484" s="1" t="str">
        <x:v>C0001938</x:v>
      </x:c>
      <x:c r="B484" s="1" t="n">
        <x:v>20</x:v>
      </x:c>
      <x:c r="C484" s="1" t="n">
        <x:v>50</x:v>
      </x:c>
      <x:c r="D484" s="6" t="n">
        <x:v>23213</x:v>
      </x:c>
      <x:c r="E484" s="6" t="n">
        <x:v>0</x:v>
      </x:c>
      <x:c r="F484" s="6" t="n">
        <x:v>0</x:v>
      </x:c>
      <x:c r="G484" s="6" t="n">
        <x:v>0</x:v>
      </x:c>
      <x:c r="H484" s="6" t="n">
        <x:v>-23213</x:v>
      </x:c>
    </x:row>
    <x:row r="485" ht="21" customHeight="1">
      <x:c r="A485" s="1" t="str">
        <x:v>C0003588</x:v>
      </x:c>
      <x:c r="B485" s="1" t="n">
        <x:v>16</x:v>
      </x:c>
      <x:c r="C485" s="1" t="n">
        <x:v>76</x:v>
      </x:c>
      <x:c r="D485" s="6" t="n">
        <x:v>23157</x:v>
      </x:c>
      <x:c r="E485" s="6" t="n">
        <x:v>0</x:v>
      </x:c>
      <x:c r="F485" s="6" t="n">
        <x:v>0</x:v>
      </x:c>
      <x:c r="G485" s="6" t="n">
        <x:v>0</x:v>
      </x:c>
      <x:c r="H485" s="6" t="n">
        <x:v>-23157</x:v>
      </x:c>
    </x:row>
    <x:row r="486" ht="21" customHeight="1">
      <x:c r="A486" s="1" t="str">
        <x:v>C0015311</x:v>
      </x:c>
      <x:c r="B486" s="1" t="n">
        <x:v>16</x:v>
      </x:c>
      <x:c r="C486" s="1" t="n">
        <x:v>76</x:v>
      </x:c>
      <x:c r="D486" s="6" t="n">
        <x:v>23157</x:v>
      </x:c>
      <x:c r="E486" s="6" t="n">
        <x:v>46314</x:v>
      </x:c>
      <x:c r="F486" s="6" t="n">
        <x:v>0</x:v>
      </x:c>
      <x:c r="G486" s="6" t="n">
        <x:v>46314</x:v>
      </x:c>
      <x:c r="H486" s="6" t="n">
        <x:v>23157</x:v>
      </x:c>
    </x:row>
    <x:row r="487" ht="21" customHeight="1">
      <x:c r="A487" s="1" t="str">
        <x:v>C0012856</x:v>
      </x:c>
      <x:c r="B487" s="1" t="n">
        <x:v>16</x:v>
      </x:c>
      <x:c r="C487" s="1" t="n">
        <x:v>76</x:v>
      </x:c>
      <x:c r="D487" s="6" t="n">
        <x:v>23157</x:v>
      </x:c>
      <x:c r="E487" s="6" t="n">
        <x:v>46314</x:v>
      </x:c>
      <x:c r="F487" s="6" t="n">
        <x:v>0</x:v>
      </x:c>
      <x:c r="G487" s="6" t="n">
        <x:v>46314</x:v>
      </x:c>
      <x:c r="H487" s="6" t="n">
        <x:v>23157</x:v>
      </x:c>
    </x:row>
    <x:row r="488" ht="21" customHeight="1">
      <x:c r="A488" s="1" t="str">
        <x:v>C0009445</x:v>
      </x:c>
      <x:c r="B488" s="1" t="n">
        <x:v>16</x:v>
      </x:c>
      <x:c r="C488" s="1" t="n">
        <x:v>76</x:v>
      </x:c>
      <x:c r="D488" s="6" t="n">
        <x:v>23157</x:v>
      </x:c>
      <x:c r="E488" s="6" t="n">
        <x:v>0</x:v>
      </x:c>
      <x:c r="F488" s="6" t="n">
        <x:v>0</x:v>
      </x:c>
      <x:c r="G488" s="6" t="n">
        <x:v>0</x:v>
      </x:c>
      <x:c r="H488" s="6" t="n">
        <x:v>-23157</x:v>
      </x:c>
    </x:row>
    <x:row r="489" ht="21" customHeight="1">
      <x:c r="A489" s="1" t="str">
        <x:v>C0016379</x:v>
      </x:c>
      <x:c r="B489" s="1" t="n">
        <x:v>16</x:v>
      </x:c>
      <x:c r="C489" s="1" t="n">
        <x:v>76</x:v>
      </x:c>
      <x:c r="D489" s="6" t="n">
        <x:v>0</x:v>
      </x:c>
      <x:c r="E489" s="6" t="n">
        <x:v>23157</x:v>
      </x:c>
      <x:c r="F489" s="6" t="n">
        <x:v>0</x:v>
      </x:c>
      <x:c r="G489" s="6" t="n">
        <x:v>23157</x:v>
      </x:c>
      <x:c r="H489" s="6" t="n">
        <x:v>23157</x:v>
      </x:c>
    </x:row>
    <x:row r="490" ht="21" customHeight="1">
      <x:c r="A490" s="1" t="str">
        <x:v>C0001332</x:v>
      </x:c>
      <x:c r="B490" s="1" t="n">
        <x:v>1</x:v>
      </x:c>
      <x:c r="C490" s="1" t="n">
        <x:v>61</x:v>
      </x:c>
      <x:c r="D490" s="6" t="n">
        <x:v>23056</x:v>
      </x:c>
      <x:c r="E490" s="6" t="n">
        <x:v>46112</x:v>
      </x:c>
      <x:c r="F490" s="6" t="n">
        <x:v>0</x:v>
      </x:c>
      <x:c r="G490" s="6" t="n">
        <x:v>46112</x:v>
      </x:c>
      <x:c r="H490" s="6" t="n">
        <x:v>23056</x:v>
      </x:c>
    </x:row>
    <x:row r="491" ht="21" customHeight="1">
      <x:c r="A491" s="1" t="str">
        <x:v>C0005370</x:v>
      </x:c>
      <x:c r="B491" s="1" t="n">
        <x:v>1</x:v>
      </x:c>
      <x:c r="C491" s="1" t="n">
        <x:v>61</x:v>
      </x:c>
      <x:c r="D491" s="6" t="n">
        <x:v>23056</x:v>
      </x:c>
      <x:c r="E491" s="6" t="n">
        <x:v>0</x:v>
      </x:c>
      <x:c r="F491" s="6" t="n">
        <x:v>0</x:v>
      </x:c>
      <x:c r="G491" s="6" t="n">
        <x:v>0</x:v>
      </x:c>
      <x:c r="H491" s="6" t="n">
        <x:v>-23056</x:v>
      </x:c>
    </x:row>
    <x:row r="492" ht="21" customHeight="1">
      <x:c r="A492" s="1" t="str">
        <x:v>C0004680</x:v>
      </x:c>
      <x:c r="B492" s="1" t="n">
        <x:v>1</x:v>
      </x:c>
      <x:c r="C492" s="1" t="n">
        <x:v>61</x:v>
      </x:c>
      <x:c r="D492" s="6" t="n">
        <x:v>23056</x:v>
      </x:c>
      <x:c r="E492" s="6" t="n">
        <x:v>46112</x:v>
      </x:c>
      <x:c r="F492" s="6" t="n">
        <x:v>0</x:v>
      </x:c>
      <x:c r="G492" s="6" t="n">
        <x:v>46112</x:v>
      </x:c>
      <x:c r="H492" s="6" t="n">
        <x:v>23056</x:v>
      </x:c>
    </x:row>
    <x:row r="493" ht="21" customHeight="1">
      <x:c r="A493" s="1" t="str">
        <x:v>C0010952</x:v>
      </x:c>
      <x:c r="B493" s="1" t="n">
        <x:v>1</x:v>
      </x:c>
      <x:c r="C493" s="1" t="n">
        <x:v>61</x:v>
      </x:c>
      <x:c r="D493" s="6" t="n">
        <x:v>23056</x:v>
      </x:c>
      <x:c r="E493" s="6" t="n">
        <x:v>0</x:v>
      </x:c>
      <x:c r="F493" s="6" t="n">
        <x:v>0</x:v>
      </x:c>
      <x:c r="G493" s="6" t="n">
        <x:v>0</x:v>
      </x:c>
      <x:c r="H493" s="6" t="n">
        <x:v>-23056</x:v>
      </x:c>
    </x:row>
    <x:row r="494" ht="21" customHeight="1">
      <x:c r="A494" s="1" t="str">
        <x:v>C0010321</x:v>
      </x:c>
      <x:c r="B494" s="1" t="n">
        <x:v>1</x:v>
      </x:c>
      <x:c r="C494" s="1" t="n">
        <x:v>61</x:v>
      </x:c>
      <x:c r="D494" s="6" t="n">
        <x:v>23056</x:v>
      </x:c>
      <x:c r="E494" s="6" t="n">
        <x:v>0</x:v>
      </x:c>
      <x:c r="F494" s="6" t="n">
        <x:v>0</x:v>
      </x:c>
      <x:c r="G494" s="6" t="n">
        <x:v>0</x:v>
      </x:c>
      <x:c r="H494" s="6" t="n">
        <x:v>-23056</x:v>
      </x:c>
    </x:row>
    <x:row r="495" ht="21" customHeight="1">
      <x:c r="A495" s="1" t="str">
        <x:v>C0013802</x:v>
      </x:c>
      <x:c r="B495" s="1" t="n">
        <x:v>1</x:v>
      </x:c>
      <x:c r="C495" s="1" t="n">
        <x:v>61</x:v>
      </x:c>
      <x:c r="D495" s="6" t="n">
        <x:v>23056</x:v>
      </x:c>
      <x:c r="E495" s="6" t="n">
        <x:v>46112</x:v>
      </x:c>
      <x:c r="F495" s="6" t="n">
        <x:v>0</x:v>
      </x:c>
      <x:c r="G495" s="6" t="n">
        <x:v>46112</x:v>
      </x:c>
      <x:c r="H495" s="6" t="n">
        <x:v>23056</x:v>
      </x:c>
    </x:row>
    <x:row r="496" ht="21" customHeight="1">
      <x:c r="A496" s="1" t="str">
        <x:v>C0007758</x:v>
      </x:c>
      <x:c r="B496" s="1" t="n">
        <x:v>1</x:v>
      </x:c>
      <x:c r="C496" s="1" t="n">
        <x:v>61</x:v>
      </x:c>
      <x:c r="D496" s="6" t="n">
        <x:v>23056</x:v>
      </x:c>
      <x:c r="E496" s="6" t="n">
        <x:v>46112</x:v>
      </x:c>
      <x:c r="F496" s="6" t="n">
        <x:v>0</x:v>
      </x:c>
      <x:c r="G496" s="6" t="n">
        <x:v>46112</x:v>
      </x:c>
      <x:c r="H496" s="6" t="n">
        <x:v>23056</x:v>
      </x:c>
    </x:row>
    <x:row r="497" ht="21" customHeight="1">
      <x:c r="A497" s="1" t="str">
        <x:v>C0017534</x:v>
      </x:c>
      <x:c r="B497" s="1" t="n">
        <x:v>1</x:v>
      </x:c>
      <x:c r="C497" s="1" t="n">
        <x:v>61</x:v>
      </x:c>
      <x:c r="D497" s="6" t="n">
        <x:v>23056</x:v>
      </x:c>
      <x:c r="E497" s="6" t="n">
        <x:v>46112</x:v>
      </x:c>
      <x:c r="F497" s="6" t="n">
        <x:v>0</x:v>
      </x:c>
      <x:c r="G497" s="6" t="n">
        <x:v>46112</x:v>
      </x:c>
      <x:c r="H497" s="6" t="n">
        <x:v>23056</x:v>
      </x:c>
    </x:row>
    <x:row r="498" ht="21" customHeight="1">
      <x:c r="A498" s="1" t="str">
        <x:v>C0014209</x:v>
      </x:c>
      <x:c r="B498" s="1" t="n">
        <x:v>1</x:v>
      </x:c>
      <x:c r="C498" s="1" t="n">
        <x:v>61</x:v>
      </x:c>
      <x:c r="D498" s="6" t="n">
        <x:v>23056</x:v>
      </x:c>
      <x:c r="E498" s="6" t="n">
        <x:v>46112</x:v>
      </x:c>
      <x:c r="F498" s="6" t="n">
        <x:v>0</x:v>
      </x:c>
      <x:c r="G498" s="6" t="n">
        <x:v>46112</x:v>
      </x:c>
      <x:c r="H498" s="6" t="n">
        <x:v>23056</x:v>
      </x:c>
    </x:row>
    <x:row r="499" ht="21" customHeight="1">
      <x:c r="A499" s="1" t="str">
        <x:v>C0007946</x:v>
      </x:c>
      <x:c r="B499" s="1" t="n">
        <x:v>1</x:v>
      </x:c>
      <x:c r="C499" s="1" t="n">
        <x:v>61</x:v>
      </x:c>
      <x:c r="D499" s="6" t="n">
        <x:v>23056</x:v>
      </x:c>
      <x:c r="E499" s="6" t="n">
        <x:v>0</x:v>
      </x:c>
      <x:c r="F499" s="6" t="n">
        <x:v>0</x:v>
      </x:c>
      <x:c r="G499" s="6" t="n">
        <x:v>0</x:v>
      </x:c>
      <x:c r="H499" s="6" t="n">
        <x:v>-23056</x:v>
      </x:c>
    </x:row>
    <x:row r="500" ht="21" customHeight="1">
      <x:c r="A500" s="1" t="str">
        <x:v>C0013769</x:v>
      </x:c>
      <x:c r="B500" s="1" t="n">
        <x:v>6</x:v>
      </x:c>
      <x:c r="C500" s="1" t="n">
        <x:v>96</x:v>
      </x:c>
      <x:c r="D500" s="6" t="n">
        <x:v>0</x:v>
      </x:c>
      <x:c r="E500" s="6" t="n">
        <x:v>22946</x:v>
      </x:c>
      <x:c r="F500" s="6" t="n">
        <x:v>0</x:v>
      </x:c>
      <x:c r="G500" s="6" t="n">
        <x:v>22946</x:v>
      </x:c>
      <x:c r="H500" s="6" t="n">
        <x:v>22946</x:v>
      </x:c>
    </x:row>
    <x:row r="501" ht="21" customHeight="1">
      <x:c r="A501" s="1" t="str">
        <x:v>C0000877</x:v>
      </x:c>
      <x:c r="B501" s="1" t="n">
        <x:v>6</x:v>
      </x:c>
      <x:c r="C501" s="1" t="n">
        <x:v>96</x:v>
      </x:c>
      <x:c r="D501" s="6" t="n">
        <x:v>22946</x:v>
      </x:c>
      <x:c r="E501" s="6" t="n">
        <x:v>45892</x:v>
      </x:c>
      <x:c r="F501" s="6" t="n">
        <x:v>0</x:v>
      </x:c>
      <x:c r="G501" s="6" t="n">
        <x:v>45892</x:v>
      </x:c>
      <x:c r="H501" s="6" t="n">
        <x:v>22946</x:v>
      </x:c>
    </x:row>
    <x:row r="502" ht="21" customHeight="1">
      <x:c r="A502" s="1" t="str">
        <x:v>C0003616</x:v>
      </x:c>
      <x:c r="B502" s="1" t="n">
        <x:v>6</x:v>
      </x:c>
      <x:c r="C502" s="1" t="n">
        <x:v>96</x:v>
      </x:c>
      <x:c r="D502" s="6" t="n">
        <x:v>22946</x:v>
      </x:c>
      <x:c r="E502" s="6" t="n">
        <x:v>45892</x:v>
      </x:c>
      <x:c r="F502" s="6" t="n">
        <x:v>0</x:v>
      </x:c>
      <x:c r="G502" s="6" t="n">
        <x:v>45892</x:v>
      </x:c>
      <x:c r="H502" s="6" t="n">
        <x:v>22946</x:v>
      </x:c>
    </x:row>
    <x:row r="503" ht="21" customHeight="1">
      <x:c r="A503" s="1" t="str">
        <x:v>C0008771</x:v>
      </x:c>
      <x:c r="B503" s="1" t="n">
        <x:v>6</x:v>
      </x:c>
      <x:c r="C503" s="1" t="n">
        <x:v>96</x:v>
      </x:c>
      <x:c r="D503" s="6" t="n">
        <x:v>0</x:v>
      </x:c>
      <x:c r="E503" s="6" t="n">
        <x:v>22946</x:v>
      </x:c>
      <x:c r="F503" s="6" t="n">
        <x:v>0</x:v>
      </x:c>
      <x:c r="G503" s="6" t="n">
        <x:v>22946</x:v>
      </x:c>
      <x:c r="H503" s="6" t="n">
        <x:v>22946</x:v>
      </x:c>
    </x:row>
    <x:row r="504" ht="21" customHeight="1">
      <x:c r="A504" s="1" t="str">
        <x:v>C0000146</x:v>
      </x:c>
      <x:c r="B504" s="1" t="n">
        <x:v>19</x:v>
      </x:c>
      <x:c r="C504" s="1" t="n">
        <x:v>49</x:v>
      </x:c>
      <x:c r="D504" s="6" t="n">
        <x:v>22941</x:v>
      </x:c>
      <x:c r="E504" s="6" t="n">
        <x:v>45882</x:v>
      </x:c>
      <x:c r="F504" s="6" t="n">
        <x:v>0</x:v>
      </x:c>
      <x:c r="G504" s="6" t="n">
        <x:v>45882</x:v>
      </x:c>
      <x:c r="H504" s="6" t="n">
        <x:v>22941</x:v>
      </x:c>
    </x:row>
    <x:row r="505" ht="21" customHeight="1">
      <x:c r="A505" s="1" t="str">
        <x:v>C0016877</x:v>
      </x:c>
      <x:c r="B505" s="1" t="n">
        <x:v>19</x:v>
      </x:c>
      <x:c r="C505" s="1" t="n">
        <x:v>49</x:v>
      </x:c>
      <x:c r="D505" s="6" t="n">
        <x:v>22941</x:v>
      </x:c>
      <x:c r="E505" s="6" t="n">
        <x:v>45882</x:v>
      </x:c>
      <x:c r="F505" s="6" t="n">
        <x:v>0</x:v>
      </x:c>
      <x:c r="G505" s="6" t="n">
        <x:v>45882</x:v>
      </x:c>
      <x:c r="H505" s="6" t="n">
        <x:v>22941</x:v>
      </x:c>
    </x:row>
    <x:row r="506" ht="21" customHeight="1">
      <x:c r="A506" s="1" t="str">
        <x:v>C0006567</x:v>
      </x:c>
      <x:c r="B506" s="1" t="n">
        <x:v>19</x:v>
      </x:c>
      <x:c r="C506" s="1" t="n">
        <x:v>49</x:v>
      </x:c>
      <x:c r="D506" s="6" t="n">
        <x:v>22941</x:v>
      </x:c>
      <x:c r="E506" s="6" t="n">
        <x:v>45882</x:v>
      </x:c>
      <x:c r="F506" s="6" t="n">
        <x:v>0</x:v>
      </x:c>
      <x:c r="G506" s="6" t="n">
        <x:v>45882</x:v>
      </x:c>
      <x:c r="H506" s="6" t="n">
        <x:v>22941</x:v>
      </x:c>
    </x:row>
    <x:row r="507" ht="21" customHeight="1">
      <x:c r="A507" s="1" t="str">
        <x:v>C0001611</x:v>
      </x:c>
      <x:c r="B507" s="1" t="n">
        <x:v>19</x:v>
      </x:c>
      <x:c r="C507" s="1" t="n">
        <x:v>49</x:v>
      </x:c>
      <x:c r="D507" s="6" t="n">
        <x:v>22941</x:v>
      </x:c>
      <x:c r="E507" s="6" t="n">
        <x:v>45882</x:v>
      </x:c>
      <x:c r="F507" s="6" t="n">
        <x:v>0</x:v>
      </x:c>
      <x:c r="G507" s="6" t="n">
        <x:v>45882</x:v>
      </x:c>
      <x:c r="H507" s="6" t="n">
        <x:v>22941</x:v>
      </x:c>
    </x:row>
    <x:row r="508" ht="21" customHeight="1">
      <x:c r="A508" s="1" t="str">
        <x:v>C0001635</x:v>
      </x:c>
      <x:c r="B508" s="1" t="n">
        <x:v>19</x:v>
      </x:c>
      <x:c r="C508" s="1" t="n">
        <x:v>49</x:v>
      </x:c>
      <x:c r="D508" s="6" t="n">
        <x:v>22941</x:v>
      </x:c>
      <x:c r="E508" s="6" t="n">
        <x:v>45882</x:v>
      </x:c>
      <x:c r="F508" s="6" t="n">
        <x:v>0</x:v>
      </x:c>
      <x:c r="G508" s="6" t="n">
        <x:v>45882</x:v>
      </x:c>
      <x:c r="H508" s="6" t="n">
        <x:v>22941</x:v>
      </x:c>
    </x:row>
    <x:row r="509" ht="21" customHeight="1">
      <x:c r="A509" s="1" t="str">
        <x:v>C0001594</x:v>
      </x:c>
      <x:c r="B509" s="1" t="n">
        <x:v>19</x:v>
      </x:c>
      <x:c r="C509" s="1" t="n">
        <x:v>49</x:v>
      </x:c>
      <x:c r="D509" s="6" t="n">
        <x:v>22941</x:v>
      </x:c>
      <x:c r="E509" s="6" t="n">
        <x:v>45882</x:v>
      </x:c>
      <x:c r="F509" s="6" t="n">
        <x:v>0</x:v>
      </x:c>
      <x:c r="G509" s="6" t="n">
        <x:v>45882</x:v>
      </x:c>
      <x:c r="H509" s="6" t="n">
        <x:v>22941</x:v>
      </x:c>
    </x:row>
    <x:row r="510" ht="21" customHeight="1">
      <x:c r="A510" s="1" t="str">
        <x:v>C0000380</x:v>
      </x:c>
      <x:c r="B510" s="1" t="n">
        <x:v>19</x:v>
      </x:c>
      <x:c r="C510" s="1" t="n">
        <x:v>49</x:v>
      </x:c>
      <x:c r="D510" s="6" t="n">
        <x:v>22941</x:v>
      </x:c>
      <x:c r="E510" s="6" t="n">
        <x:v>45882</x:v>
      </x:c>
      <x:c r="F510" s="6" t="n">
        <x:v>0</x:v>
      </x:c>
      <x:c r="G510" s="6" t="n">
        <x:v>45882</x:v>
      </x:c>
      <x:c r="H510" s="6" t="n">
        <x:v>22941</x:v>
      </x:c>
    </x:row>
    <x:row r="511" ht="21" customHeight="1">
      <x:c r="A511" s="1" t="str">
        <x:v>C0007509</x:v>
      </x:c>
      <x:c r="B511" s="1" t="n">
        <x:v>19</x:v>
      </x:c>
      <x:c r="C511" s="1" t="n">
        <x:v>49</x:v>
      </x:c>
      <x:c r="D511" s="6" t="n">
        <x:v>22941</x:v>
      </x:c>
      <x:c r="E511" s="6" t="n">
        <x:v>0</x:v>
      </x:c>
      <x:c r="F511" s="6" t="n">
        <x:v>0</x:v>
      </x:c>
      <x:c r="G511" s="6" t="n">
        <x:v>0</x:v>
      </x:c>
      <x:c r="H511" s="6" t="n">
        <x:v>-22941</x:v>
      </x:c>
    </x:row>
    <x:row r="512" ht="21" customHeight="1">
      <x:c r="A512" s="1" t="str">
        <x:v>C0016468</x:v>
      </x:c>
      <x:c r="B512" s="1" t="n">
        <x:v>22</x:v>
      </x:c>
      <x:c r="C512" s="1" t="n">
        <x:v>82</x:v>
      </x:c>
      <x:c r="D512" s="6" t="n">
        <x:v>0</x:v>
      </x:c>
      <x:c r="E512" s="6" t="n">
        <x:v>22940</x:v>
      </x:c>
      <x:c r="F512" s="6" t="n">
        <x:v>0</x:v>
      </x:c>
      <x:c r="G512" s="6" t="n">
        <x:v>22940</x:v>
      </x:c>
      <x:c r="H512" s="6" t="n">
        <x:v>22940</x:v>
      </x:c>
    </x:row>
    <x:row r="513" ht="21" customHeight="1">
      <x:c r="A513" s="1" t="str">
        <x:v>C0017899</x:v>
      </x:c>
      <x:c r="B513" s="1" t="n">
        <x:v>22</x:v>
      </x:c>
      <x:c r="C513" s="1" t="n">
        <x:v>82</x:v>
      </x:c>
      <x:c r="D513" s="6" t="n">
        <x:v>0</x:v>
      </x:c>
      <x:c r="E513" s="6" t="n">
        <x:v>22940</x:v>
      </x:c>
      <x:c r="F513" s="6" t="n">
        <x:v>0</x:v>
      </x:c>
      <x:c r="G513" s="6" t="n">
        <x:v>22940</x:v>
      </x:c>
      <x:c r="H513" s="6" t="n">
        <x:v>22940</x:v>
      </x:c>
    </x:row>
    <x:row r="514" ht="21" customHeight="1">
      <x:c r="A514" s="1" t="str">
        <x:v>C0004532</x:v>
      </x:c>
      <x:c r="B514" s="1" t="n">
        <x:v>22</x:v>
      </x:c>
      <x:c r="C514" s="1" t="n">
        <x:v>82</x:v>
      </x:c>
      <x:c r="D514" s="6" t="n">
        <x:v>22940</x:v>
      </x:c>
      <x:c r="E514" s="6" t="n">
        <x:v>45880</x:v>
      </x:c>
      <x:c r="F514" s="6" t="n">
        <x:v>0</x:v>
      </x:c>
      <x:c r="G514" s="6" t="n">
        <x:v>45880</x:v>
      </x:c>
      <x:c r="H514" s="6" t="n">
        <x:v>22940</x:v>
      </x:c>
    </x:row>
    <x:row r="515" ht="21" customHeight="1">
      <x:c r="A515" s="1" t="str">
        <x:v>C0015125</x:v>
      </x:c>
      <x:c r="B515" s="1" t="n">
        <x:v>22</x:v>
      </x:c>
      <x:c r="C515" s="1" t="n">
        <x:v>82</x:v>
      </x:c>
      <x:c r="D515" s="6" t="n">
        <x:v>22940</x:v>
      </x:c>
      <x:c r="E515" s="6" t="n">
        <x:v>0</x:v>
      </x:c>
      <x:c r="F515" s="6" t="n">
        <x:v>0</x:v>
      </x:c>
      <x:c r="G515" s="6" t="n">
        <x:v>0</x:v>
      </x:c>
      <x:c r="H515" s="6" t="n">
        <x:v>-22940</x:v>
      </x:c>
    </x:row>
    <x:row r="516" ht="21" customHeight="1">
      <x:c r="A516" s="1" t="str">
        <x:v>C0016239</x:v>
      </x:c>
      <x:c r="B516" s="1" t="n">
        <x:v>17</x:v>
      </x:c>
      <x:c r="C516" s="1" t="n">
        <x:v>77</x:v>
      </x:c>
      <x:c r="D516" s="6" t="n">
        <x:v>22913</x:v>
      </x:c>
      <x:c r="E516" s="6" t="n">
        <x:v>45826</x:v>
      </x:c>
      <x:c r="F516" s="6" t="n">
        <x:v>0</x:v>
      </x:c>
      <x:c r="G516" s="6" t="n">
        <x:v>45826</x:v>
      </x:c>
      <x:c r="H516" s="6" t="n">
        <x:v>22913</x:v>
      </x:c>
    </x:row>
    <x:row r="517" ht="21" customHeight="1">
      <x:c r="A517" s="1" t="str">
        <x:v>C0013187</x:v>
      </x:c>
      <x:c r="B517" s="1" t="n">
        <x:v>17</x:v>
      </x:c>
      <x:c r="C517" s="1" t="n">
        <x:v>77</x:v>
      </x:c>
      <x:c r="D517" s="6" t="n">
        <x:v>22913</x:v>
      </x:c>
      <x:c r="E517" s="6" t="n">
        <x:v>45826</x:v>
      </x:c>
      <x:c r="F517" s="6" t="n">
        <x:v>0</x:v>
      </x:c>
      <x:c r="G517" s="6" t="n">
        <x:v>45826</x:v>
      </x:c>
      <x:c r="H517" s="6" t="n">
        <x:v>22913</x:v>
      </x:c>
    </x:row>
    <x:row r="518" ht="21" customHeight="1">
      <x:c r="A518" s="1" t="str">
        <x:v>C0001870</x:v>
      </x:c>
      <x:c r="B518" s="1" t="n">
        <x:v>17</x:v>
      </x:c>
      <x:c r="C518" s="1" t="n">
        <x:v>77</x:v>
      </x:c>
      <x:c r="D518" s="6" t="n">
        <x:v>22913</x:v>
      </x:c>
      <x:c r="E518" s="6" t="n">
        <x:v>45826</x:v>
      </x:c>
      <x:c r="F518" s="6" t="n">
        <x:v>0</x:v>
      </x:c>
      <x:c r="G518" s="6" t="n">
        <x:v>45826</x:v>
      </x:c>
      <x:c r="H518" s="6" t="n">
        <x:v>22913</x:v>
      </x:c>
    </x:row>
    <x:row r="519" ht="21" customHeight="1">
      <x:c r="A519" s="1" t="str">
        <x:v>C0017324</x:v>
      </x:c>
      <x:c r="B519" s="1" t="n">
        <x:v>17</x:v>
      </x:c>
      <x:c r="C519" s="1" t="n">
        <x:v>77</x:v>
      </x:c>
      <x:c r="D519" s="6" t="n">
        <x:v>22913</x:v>
      </x:c>
      <x:c r="E519" s="6" t="n">
        <x:v>0</x:v>
      </x:c>
      <x:c r="F519" s="6" t="n">
        <x:v>0</x:v>
      </x:c>
      <x:c r="G519" s="6" t="n">
        <x:v>0</x:v>
      </x:c>
      <x:c r="H519" s="6" t="n">
        <x:v>-22913</x:v>
      </x:c>
    </x:row>
    <x:row r="520" ht="21" customHeight="1">
      <x:c r="A520" s="1" t="str">
        <x:v>C0017123</x:v>
      </x:c>
      <x:c r="B520" s="1" t="n">
        <x:v>17</x:v>
      </x:c>
      <x:c r="C520" s="1" t="n">
        <x:v>77</x:v>
      </x:c>
      <x:c r="D520" s="6" t="n">
        <x:v>22913</x:v>
      </x:c>
      <x:c r="E520" s="6" t="n">
        <x:v>0</x:v>
      </x:c>
      <x:c r="F520" s="6" t="n">
        <x:v>0</x:v>
      </x:c>
      <x:c r="G520" s="6" t="n">
        <x:v>0</x:v>
      </x:c>
      <x:c r="H520" s="6" t="n">
        <x:v>-22913</x:v>
      </x:c>
    </x:row>
    <x:row r="521" ht="21" customHeight="1">
      <x:c r="A521" s="1" t="str">
        <x:v>C0017288</x:v>
      </x:c>
      <x:c r="B521" s="1" t="n">
        <x:v>17</x:v>
      </x:c>
      <x:c r="C521" s="1" t="n">
        <x:v>77</x:v>
      </x:c>
      <x:c r="D521" s="6" t="n">
        <x:v>22913</x:v>
      </x:c>
      <x:c r="E521" s="6" t="n">
        <x:v>45826</x:v>
      </x:c>
      <x:c r="F521" s="6" t="n">
        <x:v>0</x:v>
      </x:c>
      <x:c r="G521" s="6" t="n">
        <x:v>45826</x:v>
      </x:c>
      <x:c r="H521" s="6" t="n">
        <x:v>22913</x:v>
      </x:c>
    </x:row>
    <x:row r="522" ht="21" customHeight="1">
      <x:c r="A522" s="1" t="str">
        <x:v>C0001621</x:v>
      </x:c>
      <x:c r="B522" s="1" t="n">
        <x:v>17</x:v>
      </x:c>
      <x:c r="C522" s="1" t="n">
        <x:v>77</x:v>
      </x:c>
      <x:c r="D522" s="6" t="n">
        <x:v>22913</x:v>
      </x:c>
      <x:c r="E522" s="6" t="n">
        <x:v>0</x:v>
      </x:c>
      <x:c r="F522" s="6" t="n">
        <x:v>0</x:v>
      </x:c>
      <x:c r="G522" s="6" t="n">
        <x:v>0</x:v>
      </x:c>
      <x:c r="H522" s="6" t="n">
        <x:v>-22913</x:v>
      </x:c>
    </x:row>
    <x:row r="523" ht="21" customHeight="1">
      <x:c r="A523" s="1" t="str">
        <x:v>C0014738</x:v>
      </x:c>
      <x:c r="B523" s="1" t="n">
        <x:v>17</x:v>
      </x:c>
      <x:c r="C523" s="1" t="n">
        <x:v>77</x:v>
      </x:c>
      <x:c r="D523" s="6" t="n">
        <x:v>22913</x:v>
      </x:c>
      <x:c r="E523" s="6" t="n">
        <x:v>0</x:v>
      </x:c>
      <x:c r="F523" s="6" t="n">
        <x:v>0</x:v>
      </x:c>
      <x:c r="G523" s="6" t="n">
        <x:v>0</x:v>
      </x:c>
      <x:c r="H523" s="6" t="n">
        <x:v>-22913</x:v>
      </x:c>
    </x:row>
    <x:row r="524" ht="21" customHeight="1">
      <x:c r="A524" s="1" t="str">
        <x:v>C0006650</x:v>
      </x:c>
      <x:c r="B524" s="1" t="n">
        <x:v>17</x:v>
      </x:c>
      <x:c r="C524" s="1" t="n">
        <x:v>77</x:v>
      </x:c>
      <x:c r="D524" s="6" t="n">
        <x:v>22913</x:v>
      </x:c>
      <x:c r="E524" s="6" t="n">
        <x:v>45826</x:v>
      </x:c>
      <x:c r="F524" s="6" t="n">
        <x:v>0</x:v>
      </x:c>
      <x:c r="G524" s="6" t="n">
        <x:v>45826</x:v>
      </x:c>
      <x:c r="H524" s="6" t="n">
        <x:v>22913</x:v>
      </x:c>
    </x:row>
    <x:row r="525" ht="21" customHeight="1">
      <x:c r="A525" s="1" t="str">
        <x:v>C0011014</x:v>
      </x:c>
      <x:c r="B525" s="1" t="n">
        <x:v>25</x:v>
      </x:c>
      <x:c r="C525" s="1" t="n">
        <x:v>115</x:v>
      </x:c>
      <x:c r="D525" s="6" t="n">
        <x:v>22860</x:v>
      </x:c>
      <x:c r="E525" s="6" t="n">
        <x:v>45720</x:v>
      </x:c>
      <x:c r="F525" s="6" t="n">
        <x:v>0</x:v>
      </x:c>
      <x:c r="G525" s="6" t="n">
        <x:v>45720</x:v>
      </x:c>
      <x:c r="H525" s="6" t="n">
        <x:v>22860</x:v>
      </x:c>
    </x:row>
    <x:row r="526" ht="21" customHeight="1">
      <x:c r="A526" s="1" t="str">
        <x:v>C0012533</x:v>
      </x:c>
      <x:c r="B526" s="1" t="n">
        <x:v>25</x:v>
      </x:c>
      <x:c r="C526" s="1" t="n">
        <x:v>115</x:v>
      </x:c>
      <x:c r="D526" s="6" t="n">
        <x:v>22860</x:v>
      </x:c>
      <x:c r="E526" s="6" t="n">
        <x:v>45720</x:v>
      </x:c>
      <x:c r="F526" s="6" t="n">
        <x:v>0</x:v>
      </x:c>
      <x:c r="G526" s="6" t="n">
        <x:v>45720</x:v>
      </x:c>
      <x:c r="H526" s="6" t="n">
        <x:v>22860</x:v>
      </x:c>
    </x:row>
    <x:row r="527" ht="21" customHeight="1">
      <x:c r="A527" s="1" t="str">
        <x:v>C0014135</x:v>
      </x:c>
      <x:c r="B527" s="1" t="n">
        <x:v>25</x:v>
      </x:c>
      <x:c r="C527" s="1" t="n">
        <x:v>115</x:v>
      </x:c>
      <x:c r="D527" s="6" t="n">
        <x:v>22860</x:v>
      </x:c>
      <x:c r="E527" s="6" t="n">
        <x:v>45720</x:v>
      </x:c>
      <x:c r="F527" s="6" t="n">
        <x:v>0</x:v>
      </x:c>
      <x:c r="G527" s="6" t="n">
        <x:v>45720</x:v>
      </x:c>
      <x:c r="H527" s="6" t="n">
        <x:v>22860</x:v>
      </x:c>
    </x:row>
    <x:row r="528" ht="21" customHeight="1">
      <x:c r="A528" s="1" t="str">
        <x:v>C0016117</x:v>
      </x:c>
      <x:c r="B528" s="1" t="n">
        <x:v>25</x:v>
      </x:c>
      <x:c r="C528" s="1" t="n">
        <x:v>115</x:v>
      </x:c>
      <x:c r="D528" s="6" t="n">
        <x:v>22860</x:v>
      </x:c>
      <x:c r="E528" s="6" t="n">
        <x:v>45720</x:v>
      </x:c>
      <x:c r="F528" s="6" t="n">
        <x:v>0</x:v>
      </x:c>
      <x:c r="G528" s="6" t="n">
        <x:v>45720</x:v>
      </x:c>
      <x:c r="H528" s="6" t="n">
        <x:v>22860</x:v>
      </x:c>
    </x:row>
    <x:row r="529" ht="21" customHeight="1">
      <x:c r="A529" s="1" t="str">
        <x:v>C0000517</x:v>
      </x:c>
      <x:c r="B529" s="1" t="n">
        <x:v>5</x:v>
      </x:c>
      <x:c r="C529" s="1" t="n">
        <x:v>35</x:v>
      </x:c>
      <x:c r="D529" s="6" t="n">
        <x:v>22828</x:v>
      </x:c>
      <x:c r="E529" s="6" t="n">
        <x:v>0</x:v>
      </x:c>
      <x:c r="F529" s="6" t="n">
        <x:v>0</x:v>
      </x:c>
      <x:c r="G529" s="6" t="n">
        <x:v>0</x:v>
      </x:c>
      <x:c r="H529" s="6" t="n">
        <x:v>-22828</x:v>
      </x:c>
    </x:row>
    <x:row r="530" ht="21" customHeight="1">
      <x:c r="A530" s="1" t="str">
        <x:v>C0000506</x:v>
      </x:c>
      <x:c r="B530" s="1" t="n">
        <x:v>5</x:v>
      </x:c>
      <x:c r="C530" s="1" t="n">
        <x:v>35</x:v>
      </x:c>
      <x:c r="D530" s="6" t="n">
        <x:v>22828</x:v>
      </x:c>
      <x:c r="E530" s="6" t="n">
        <x:v>0</x:v>
      </x:c>
      <x:c r="F530" s="6" t="n">
        <x:v>0</x:v>
      </x:c>
      <x:c r="G530" s="6" t="n">
        <x:v>0</x:v>
      </x:c>
      <x:c r="H530" s="6" t="n">
        <x:v>-22828</x:v>
      </x:c>
    </x:row>
    <x:row r="531" ht="21" customHeight="1">
      <x:c r="A531" s="1" t="str">
        <x:v>C0008500</x:v>
      </x:c>
      <x:c r="B531" s="1" t="n">
        <x:v>5</x:v>
      </x:c>
      <x:c r="C531" s="1" t="n">
        <x:v>35</x:v>
      </x:c>
      <x:c r="D531" s="6" t="n">
        <x:v>22828</x:v>
      </x:c>
      <x:c r="E531" s="6" t="n">
        <x:v>0</x:v>
      </x:c>
      <x:c r="F531" s="6" t="n">
        <x:v>0</x:v>
      </x:c>
      <x:c r="G531" s="6" t="n">
        <x:v>0</x:v>
      </x:c>
      <x:c r="H531" s="6" t="n">
        <x:v>-22828</x:v>
      </x:c>
    </x:row>
    <x:row r="532" ht="21" customHeight="1">
      <x:c r="A532" s="1" t="str">
        <x:v>C0000861</x:v>
      </x:c>
      <x:c r="B532" s="1" t="n">
        <x:v>5</x:v>
      </x:c>
      <x:c r="C532" s="1" t="n">
        <x:v>35</x:v>
      </x:c>
      <x:c r="D532" s="6" t="n">
        <x:v>22828</x:v>
      </x:c>
      <x:c r="E532" s="6" t="n">
        <x:v>45656</x:v>
      </x:c>
      <x:c r="F532" s="6" t="n">
        <x:v>0</x:v>
      </x:c>
      <x:c r="G532" s="6" t="n">
        <x:v>45656</x:v>
      </x:c>
      <x:c r="H532" s="6" t="n">
        <x:v>22828</x:v>
      </x:c>
    </x:row>
    <x:row r="533" ht="21" customHeight="1">
      <x:c r="A533" s="1" t="str">
        <x:v>C0003045</x:v>
      </x:c>
      <x:c r="B533" s="1" t="n">
        <x:v>5</x:v>
      </x:c>
      <x:c r="C533" s="1" t="n">
        <x:v>35</x:v>
      </x:c>
      <x:c r="D533" s="6" t="n">
        <x:v>22828</x:v>
      </x:c>
      <x:c r="E533" s="6" t="n">
        <x:v>0</x:v>
      </x:c>
      <x:c r="F533" s="6" t="n">
        <x:v>0</x:v>
      </x:c>
      <x:c r="G533" s="6" t="n">
        <x:v>0</x:v>
      </x:c>
      <x:c r="H533" s="6" t="n">
        <x:v>-22828</x:v>
      </x:c>
    </x:row>
    <x:row r="534" ht="21" customHeight="1">
      <x:c r="A534" s="1" t="str">
        <x:v>C0017688</x:v>
      </x:c>
      <x:c r="B534" s="1" t="n">
        <x:v>5</x:v>
      </x:c>
      <x:c r="C534" s="1" t="n">
        <x:v>35</x:v>
      </x:c>
      <x:c r="D534" s="6" t="n">
        <x:v>0</x:v>
      </x:c>
      <x:c r="E534" s="6" t="n">
        <x:v>22828</x:v>
      </x:c>
      <x:c r="F534" s="6" t="n">
        <x:v>0</x:v>
      </x:c>
      <x:c r="G534" s="6" t="n">
        <x:v>22828</x:v>
      </x:c>
      <x:c r="H534" s="6" t="n">
        <x:v>22828</x:v>
      </x:c>
    </x:row>
    <x:row r="535" ht="21" customHeight="1">
      <x:c r="A535" s="1" t="str">
        <x:v>C0012570</x:v>
      </x:c>
      <x:c r="B535" s="1" t="n">
        <x:v>5</x:v>
      </x:c>
      <x:c r="C535" s="1" t="n">
        <x:v>35</x:v>
      </x:c>
      <x:c r="D535" s="6" t="n">
        <x:v>22828</x:v>
      </x:c>
      <x:c r="E535" s="6" t="n">
        <x:v>45656</x:v>
      </x:c>
      <x:c r="F535" s="6" t="n">
        <x:v>0</x:v>
      </x:c>
      <x:c r="G535" s="6" t="n">
        <x:v>45656</x:v>
      </x:c>
      <x:c r="H535" s="6" t="n">
        <x:v>22828</x:v>
      </x:c>
    </x:row>
    <x:row r="536" ht="21" customHeight="1">
      <x:c r="A536" s="1" t="str">
        <x:v>C0011801</x:v>
      </x:c>
      <x:c r="B536" s="1" t="n">
        <x:v>5</x:v>
      </x:c>
      <x:c r="C536" s="1" t="n">
        <x:v>35</x:v>
      </x:c>
      <x:c r="D536" s="6" t="n">
        <x:v>0</x:v>
      </x:c>
      <x:c r="E536" s="6" t="n">
        <x:v>22828</x:v>
      </x:c>
      <x:c r="F536" s="6" t="n">
        <x:v>0</x:v>
      </x:c>
      <x:c r="G536" s="6" t="n">
        <x:v>22828</x:v>
      </x:c>
      <x:c r="H536" s="6" t="n">
        <x:v>22828</x:v>
      </x:c>
    </x:row>
    <x:row r="537" ht="21" customHeight="1">
      <x:c r="A537" s="1" t="str">
        <x:v>C0001709</x:v>
      </x:c>
      <x:c r="B537" s="1" t="n">
        <x:v>5</x:v>
      </x:c>
      <x:c r="C537" s="1" t="n">
        <x:v>35</x:v>
      </x:c>
      <x:c r="D537" s="6" t="n">
        <x:v>22828</x:v>
      </x:c>
      <x:c r="E537" s="6" t="n">
        <x:v>0</x:v>
      </x:c>
      <x:c r="F537" s="6" t="n">
        <x:v>0</x:v>
      </x:c>
      <x:c r="G537" s="6" t="n">
        <x:v>0</x:v>
      </x:c>
      <x:c r="H537" s="6" t="n">
        <x:v>-22828</x:v>
      </x:c>
    </x:row>
    <x:row r="538" ht="21" customHeight="1">
      <x:c r="A538" s="1" t="str">
        <x:v>C0010736</x:v>
      </x:c>
      <x:c r="B538" s="1" t="n">
        <x:v>5</x:v>
      </x:c>
      <x:c r="C538" s="1" t="n">
        <x:v>35</x:v>
      </x:c>
      <x:c r="D538" s="6" t="n">
        <x:v>22828</x:v>
      </x:c>
      <x:c r="E538" s="6" t="n">
        <x:v>0</x:v>
      </x:c>
      <x:c r="F538" s="6" t="n">
        <x:v>0</x:v>
      </x:c>
      <x:c r="G538" s="6" t="n">
        <x:v>0</x:v>
      </x:c>
      <x:c r="H538" s="6" t="n">
        <x:v>-22828</x:v>
      </x:c>
    </x:row>
    <x:row r="539" ht="21" customHeight="1">
      <x:c r="A539" s="1" t="str">
        <x:v>C0006754</x:v>
      </x:c>
      <x:c r="B539" s="1" t="n">
        <x:v>22</x:v>
      </x:c>
      <x:c r="C539" s="1" t="n">
        <x:v>82</x:v>
      </x:c>
      <x:c r="D539" s="6" t="n">
        <x:v>22818</x:v>
      </x:c>
      <x:c r="E539" s="6" t="n">
        <x:v>0</x:v>
      </x:c>
      <x:c r="F539" s="6" t="n">
        <x:v>0</x:v>
      </x:c>
      <x:c r="G539" s="6" t="n">
        <x:v>0</x:v>
      </x:c>
      <x:c r="H539" s="6" t="n">
        <x:v>-22818</x:v>
      </x:c>
    </x:row>
    <x:row r="540" ht="21" customHeight="1">
      <x:c r="A540" s="1" t="str">
        <x:v>C0003319</x:v>
      </x:c>
      <x:c r="B540" s="1" t="n">
        <x:v>22</x:v>
      </x:c>
      <x:c r="C540" s="1" t="n">
        <x:v>82</x:v>
      </x:c>
      <x:c r="D540" s="6" t="n">
        <x:v>22818</x:v>
      </x:c>
      <x:c r="E540" s="6" t="n">
        <x:v>0</x:v>
      </x:c>
      <x:c r="F540" s="6" t="n">
        <x:v>0</x:v>
      </x:c>
      <x:c r="G540" s="6" t="n">
        <x:v>0</x:v>
      </x:c>
      <x:c r="H540" s="6" t="n">
        <x:v>-22818</x:v>
      </x:c>
    </x:row>
    <x:row r="541" ht="21" customHeight="1">
      <x:c r="A541" s="1" t="str">
        <x:v>C0007671</x:v>
      </x:c>
      <x:c r="B541" s="1" t="n">
        <x:v>22</x:v>
      </x:c>
      <x:c r="C541" s="1" t="n">
        <x:v>82</x:v>
      </x:c>
      <x:c r="D541" s="6" t="n">
        <x:v>22818</x:v>
      </x:c>
      <x:c r="E541" s="6" t="n">
        <x:v>45636</x:v>
      </x:c>
      <x:c r="F541" s="6" t="n">
        <x:v>0</x:v>
      </x:c>
      <x:c r="G541" s="6" t="n">
        <x:v>45636</x:v>
      </x:c>
      <x:c r="H541" s="6" t="n">
        <x:v>22818</x:v>
      </x:c>
    </x:row>
    <x:row r="542" ht="21" customHeight="1">
      <x:c r="A542" s="1" t="str">
        <x:v>C0010021</x:v>
      </x:c>
      <x:c r="B542" s="1" t="n">
        <x:v>22</x:v>
      </x:c>
      <x:c r="C542" s="1" t="n">
        <x:v>82</x:v>
      </x:c>
      <x:c r="D542" s="6" t="n">
        <x:v>22818</x:v>
      </x:c>
      <x:c r="E542" s="6" t="n">
        <x:v>45636</x:v>
      </x:c>
      <x:c r="F542" s="6" t="n">
        <x:v>0</x:v>
      </x:c>
      <x:c r="G542" s="6" t="n">
        <x:v>45636</x:v>
      </x:c>
      <x:c r="H542" s="6" t="n">
        <x:v>22818</x:v>
      </x:c>
    </x:row>
    <x:row r="543" ht="21" customHeight="1">
      <x:c r="A543" s="1" t="str">
        <x:v>C0009946</x:v>
      </x:c>
      <x:c r="B543" s="1" t="n">
        <x:v>22</x:v>
      </x:c>
      <x:c r="C543" s="1" t="n">
        <x:v>82</x:v>
      </x:c>
      <x:c r="D543" s="6" t="n">
        <x:v>22818</x:v>
      </x:c>
      <x:c r="E543" s="6" t="n">
        <x:v>45636</x:v>
      </x:c>
      <x:c r="F543" s="6" t="n">
        <x:v>0</x:v>
      </x:c>
      <x:c r="G543" s="6" t="n">
        <x:v>45636</x:v>
      </x:c>
      <x:c r="H543" s="6" t="n">
        <x:v>22818</x:v>
      </x:c>
    </x:row>
    <x:row r="544" ht="21" customHeight="1">
      <x:c r="A544" s="1" t="str">
        <x:v>C0010273</x:v>
      </x:c>
      <x:c r="B544" s="1" t="n">
        <x:v>22</x:v>
      </x:c>
      <x:c r="C544" s="1" t="n">
        <x:v>82</x:v>
      </x:c>
      <x:c r="D544" s="6" t="n">
        <x:v>22818</x:v>
      </x:c>
      <x:c r="E544" s="6" t="n">
        <x:v>0</x:v>
      </x:c>
      <x:c r="F544" s="6" t="n">
        <x:v>0</x:v>
      </x:c>
      <x:c r="G544" s="6" t="n">
        <x:v>0</x:v>
      </x:c>
      <x:c r="H544" s="6" t="n">
        <x:v>-22818</x:v>
      </x:c>
    </x:row>
    <x:row r="545" ht="21" customHeight="1">
      <x:c r="A545" s="1" t="str">
        <x:v>C0008109</x:v>
      </x:c>
      <x:c r="B545" s="1" t="n">
        <x:v>22</x:v>
      </x:c>
      <x:c r="C545" s="1" t="n">
        <x:v>82</x:v>
      </x:c>
      <x:c r="D545" s="6" t="n">
        <x:v>22818</x:v>
      </x:c>
      <x:c r="E545" s="6" t="n">
        <x:v>0</x:v>
      </x:c>
      <x:c r="F545" s="6" t="n">
        <x:v>0</x:v>
      </x:c>
      <x:c r="G545" s="6" t="n">
        <x:v>0</x:v>
      </x:c>
      <x:c r="H545" s="6" t="n">
        <x:v>-22818</x:v>
      </x:c>
    </x:row>
    <x:row r="546" ht="21" customHeight="1">
      <x:c r="A546" s="1" t="str">
        <x:v>C0000245</x:v>
      </x:c>
      <x:c r="B546" s="1" t="n">
        <x:v>22</x:v>
      </x:c>
      <x:c r="C546" s="1" t="n">
        <x:v>82</x:v>
      </x:c>
      <x:c r="D546" s="6" t="n">
        <x:v>22818</x:v>
      </x:c>
      <x:c r="E546" s="6" t="n">
        <x:v>0</x:v>
      </x:c>
      <x:c r="F546" s="6" t="n">
        <x:v>0</x:v>
      </x:c>
      <x:c r="G546" s="6" t="n">
        <x:v>0</x:v>
      </x:c>
      <x:c r="H546" s="6" t="n">
        <x:v>-22818</x:v>
      </x:c>
    </x:row>
    <x:row r="547" ht="21" customHeight="1">
      <x:c r="A547" s="1" t="str">
        <x:v>C0011848</x:v>
      </x:c>
      <x:c r="B547" s="1" t="n">
        <x:v>22</x:v>
      </x:c>
      <x:c r="C547" s="1" t="n">
        <x:v>82</x:v>
      </x:c>
      <x:c r="D547" s="6" t="n">
        <x:v>22818</x:v>
      </x:c>
      <x:c r="E547" s="6" t="n">
        <x:v>45636</x:v>
      </x:c>
      <x:c r="F547" s="6" t="n">
        <x:v>0</x:v>
      </x:c>
      <x:c r="G547" s="6" t="n">
        <x:v>45636</x:v>
      </x:c>
      <x:c r="H547" s="6" t="n">
        <x:v>22818</x:v>
      </x:c>
    </x:row>
    <x:row r="548" ht="21" customHeight="1">
      <x:c r="A548" s="1" t="str">
        <x:v>C0014979</x:v>
      </x:c>
      <x:c r="B548" s="1" t="n">
        <x:v>3</x:v>
      </x:c>
      <x:c r="C548" s="1" t="n">
        <x:v>93</x:v>
      </x:c>
      <x:c r="D548" s="6" t="n">
        <x:v>22736</x:v>
      </x:c>
      <x:c r="E548" s="6" t="n">
        <x:v>0</x:v>
      </x:c>
      <x:c r="F548" s="6" t="n">
        <x:v>0</x:v>
      </x:c>
      <x:c r="G548" s="6" t="n">
        <x:v>0</x:v>
      </x:c>
      <x:c r="H548" s="6" t="n">
        <x:v>-22736</x:v>
      </x:c>
    </x:row>
    <x:row r="549" ht="21" customHeight="1">
      <x:c r="A549" s="1" t="str">
        <x:v>C0006385</x:v>
      </x:c>
      <x:c r="B549" s="1" t="n">
        <x:v>3</x:v>
      </x:c>
      <x:c r="C549" s="1" t="n">
        <x:v>93</x:v>
      </x:c>
      <x:c r="D549" s="6" t="n">
        <x:v>22736</x:v>
      </x:c>
      <x:c r="E549" s="6" t="n">
        <x:v>45472</x:v>
      </x:c>
      <x:c r="F549" s="6" t="n">
        <x:v>0</x:v>
      </x:c>
      <x:c r="G549" s="6" t="n">
        <x:v>45472</x:v>
      </x:c>
      <x:c r="H549" s="6" t="n">
        <x:v>22736</x:v>
      </x:c>
    </x:row>
    <x:row r="550" ht="21" customHeight="1">
      <x:c r="A550" s="1" t="str">
        <x:v>C0001477</x:v>
      </x:c>
      <x:c r="B550" s="1" t="n">
        <x:v>3</x:v>
      </x:c>
      <x:c r="C550" s="1" t="n">
        <x:v>93</x:v>
      </x:c>
      <x:c r="D550" s="6" t="n">
        <x:v>22736</x:v>
      </x:c>
      <x:c r="E550" s="6" t="n">
        <x:v>0</x:v>
      </x:c>
      <x:c r="F550" s="6" t="n">
        <x:v>0</x:v>
      </x:c>
      <x:c r="G550" s="6" t="n">
        <x:v>0</x:v>
      </x:c>
      <x:c r="H550" s="6" t="n">
        <x:v>-22736</x:v>
      </x:c>
    </x:row>
    <x:row r="551" ht="21" customHeight="1">
      <x:c r="A551" s="1" t="str">
        <x:v>C0017190</x:v>
      </x:c>
      <x:c r="B551" s="1" t="n">
        <x:v>3</x:v>
      </x:c>
      <x:c r="C551" s="1" t="n">
        <x:v>93</x:v>
      </x:c>
      <x:c r="D551" s="6" t="n">
        <x:v>0</x:v>
      </x:c>
      <x:c r="E551" s="6" t="n">
        <x:v>22736</x:v>
      </x:c>
      <x:c r="F551" s="6" t="n">
        <x:v>0</x:v>
      </x:c>
      <x:c r="G551" s="6" t="n">
        <x:v>22736</x:v>
      </x:c>
      <x:c r="H551" s="6" t="n">
        <x:v>22736</x:v>
      </x:c>
    </x:row>
    <x:row r="552" ht="21" customHeight="1">
      <x:c r="A552" s="1" t="str">
        <x:v>C0010882</x:v>
      </x:c>
      <x:c r="B552" s="1" t="n">
        <x:v>3</x:v>
      </x:c>
      <x:c r="C552" s="1" t="n">
        <x:v>93</x:v>
      </x:c>
      <x:c r="D552" s="6" t="n">
        <x:v>22736</x:v>
      </x:c>
      <x:c r="E552" s="6" t="n">
        <x:v>0</x:v>
      </x:c>
      <x:c r="F552" s="6" t="n">
        <x:v>0</x:v>
      </x:c>
      <x:c r="G552" s="6" t="n">
        <x:v>0</x:v>
      </x:c>
      <x:c r="H552" s="6" t="n">
        <x:v>-22736</x:v>
      </x:c>
    </x:row>
    <x:row r="553" ht="21" customHeight="1">
      <x:c r="A553" s="1" t="str">
        <x:v>C0009910</x:v>
      </x:c>
      <x:c r="B553" s="1" t="n">
        <x:v>3</x:v>
      </x:c>
      <x:c r="C553" s="1" t="n">
        <x:v>93</x:v>
      </x:c>
      <x:c r="D553" s="6" t="n">
        <x:v>22736</x:v>
      </x:c>
      <x:c r="E553" s="6" t="n">
        <x:v>45472</x:v>
      </x:c>
      <x:c r="F553" s="6" t="n">
        <x:v>0</x:v>
      </x:c>
      <x:c r="G553" s="6" t="n">
        <x:v>45472</x:v>
      </x:c>
      <x:c r="H553" s="6" t="n">
        <x:v>22736</x:v>
      </x:c>
    </x:row>
    <x:row r="554" ht="21" customHeight="1">
      <x:c r="A554" s="1" t="str">
        <x:v>C0007382</x:v>
      </x:c>
      <x:c r="B554" s="1" t="n">
        <x:v>3</x:v>
      </x:c>
      <x:c r="C554" s="1" t="n">
        <x:v>93</x:v>
      </x:c>
      <x:c r="D554" s="6" t="n">
        <x:v>0</x:v>
      </x:c>
      <x:c r="E554" s="6" t="n">
        <x:v>22736</x:v>
      </x:c>
      <x:c r="F554" s="6" t="n">
        <x:v>0</x:v>
      </x:c>
      <x:c r="G554" s="6" t="n">
        <x:v>22736</x:v>
      </x:c>
      <x:c r="H554" s="6" t="n">
        <x:v>22736</x:v>
      </x:c>
    </x:row>
    <x:row r="555" ht="21" customHeight="1">
      <x:c r="A555" s="1" t="str">
        <x:v>C0001315</x:v>
      </x:c>
      <x:c r="B555" s="1" t="n">
        <x:v>3</x:v>
      </x:c>
      <x:c r="C555" s="1" t="n">
        <x:v>93</x:v>
      </x:c>
      <x:c r="D555" s="6" t="n">
        <x:v>22736</x:v>
      </x:c>
      <x:c r="E555" s="6" t="n">
        <x:v>0</x:v>
      </x:c>
      <x:c r="F555" s="6" t="n">
        <x:v>0</x:v>
      </x:c>
      <x:c r="G555" s="6" t="n">
        <x:v>0</x:v>
      </x:c>
      <x:c r="H555" s="6" t="n">
        <x:v>-22736</x:v>
      </x:c>
    </x:row>
    <x:row r="556" ht="21" customHeight="1">
      <x:c r="A556" s="1" t="str">
        <x:v>C0013654</x:v>
      </x:c>
      <x:c r="B556" s="1" t="n">
        <x:v>3</x:v>
      </x:c>
      <x:c r="C556" s="1" t="n">
        <x:v>93</x:v>
      </x:c>
      <x:c r="D556" s="6" t="n">
        <x:v>22736</x:v>
      </x:c>
      <x:c r="E556" s="6" t="n">
        <x:v>45472</x:v>
      </x:c>
      <x:c r="F556" s="6" t="n">
        <x:v>0</x:v>
      </x:c>
      <x:c r="G556" s="6" t="n">
        <x:v>45472</x:v>
      </x:c>
      <x:c r="H556" s="6" t="n">
        <x:v>22736</x:v>
      </x:c>
    </x:row>
    <x:row r="557" ht="21" customHeight="1">
      <x:c r="A557" s="1" t="str">
        <x:v>C0008188</x:v>
      </x:c>
      <x:c r="B557" s="1" t="n">
        <x:v>1</x:v>
      </x:c>
      <x:c r="C557" s="1" t="n">
        <x:v>31</x:v>
      </x:c>
      <x:c r="D557" s="6" t="n">
        <x:v>22633</x:v>
      </x:c>
      <x:c r="E557" s="6" t="n">
        <x:v>45266</x:v>
      </x:c>
      <x:c r="F557" s="6" t="n">
        <x:v>0</x:v>
      </x:c>
      <x:c r="G557" s="6" t="n">
        <x:v>45266</x:v>
      </x:c>
      <x:c r="H557" s="6" t="n">
        <x:v>22633</x:v>
      </x:c>
    </x:row>
    <x:row r="558" ht="21" customHeight="1">
      <x:c r="A558" s="1" t="str">
        <x:v>C0012376</x:v>
      </x:c>
      <x:c r="B558" s="1" t="n">
        <x:v>1</x:v>
      </x:c>
      <x:c r="C558" s="1" t="n">
        <x:v>31</x:v>
      </x:c>
      <x:c r="D558" s="6" t="n">
        <x:v>22633</x:v>
      </x:c>
      <x:c r="E558" s="6" t="n">
        <x:v>0</x:v>
      </x:c>
      <x:c r="F558" s="6" t="n">
        <x:v>0</x:v>
      </x:c>
      <x:c r="G558" s="6" t="n">
        <x:v>0</x:v>
      </x:c>
      <x:c r="H558" s="6" t="n">
        <x:v>-22633</x:v>
      </x:c>
    </x:row>
    <x:row r="559" ht="21" customHeight="1">
      <x:c r="A559" s="1" t="str">
        <x:v>C0017292</x:v>
      </x:c>
      <x:c r="B559" s="1" t="n">
        <x:v>1</x:v>
      </x:c>
      <x:c r="C559" s="1" t="n">
        <x:v>31</x:v>
      </x:c>
      <x:c r="D559" s="6" t="n">
        <x:v>22633</x:v>
      </x:c>
      <x:c r="E559" s="6" t="n">
        <x:v>0</x:v>
      </x:c>
      <x:c r="F559" s="6" t="n">
        <x:v>0</x:v>
      </x:c>
      <x:c r="G559" s="6" t="n">
        <x:v>0</x:v>
      </x:c>
      <x:c r="H559" s="6" t="n">
        <x:v>-22633</x:v>
      </x:c>
    </x:row>
    <x:row r="560" ht="21" customHeight="1">
      <x:c r="A560" s="1" t="str">
        <x:v>C0000091</x:v>
      </x:c>
      <x:c r="B560" s="1" t="n">
        <x:v>1</x:v>
      </x:c>
      <x:c r="C560" s="1" t="n">
        <x:v>31</x:v>
      </x:c>
      <x:c r="D560" s="6" t="n">
        <x:v>22633</x:v>
      </x:c>
      <x:c r="E560" s="6" t="n">
        <x:v>45266</x:v>
      </x:c>
      <x:c r="F560" s="6" t="n">
        <x:v>0</x:v>
      </x:c>
      <x:c r="G560" s="6" t="n">
        <x:v>45266</x:v>
      </x:c>
      <x:c r="H560" s="6" t="n">
        <x:v>22633</x:v>
      </x:c>
    </x:row>
    <x:row r="561" ht="21" customHeight="1">
      <x:c r="A561" s="1" t="str">
        <x:v>C0011076</x:v>
      </x:c>
      <x:c r="B561" s="1" t="n">
        <x:v>16</x:v>
      </x:c>
      <x:c r="C561" s="1" t="n">
        <x:v>106</x:v>
      </x:c>
      <x:c r="D561" s="6" t="n">
        <x:v>22621</x:v>
      </x:c>
      <x:c r="E561" s="6" t="n">
        <x:v>0</x:v>
      </x:c>
      <x:c r="F561" s="6" t="n">
        <x:v>0</x:v>
      </x:c>
      <x:c r="G561" s="6" t="n">
        <x:v>0</x:v>
      </x:c>
      <x:c r="H561" s="6" t="n">
        <x:v>-22621</x:v>
      </x:c>
    </x:row>
    <x:row r="562" ht="21" customHeight="1">
      <x:c r="A562" s="1" t="str">
        <x:v>C0017242</x:v>
      </x:c>
      <x:c r="B562" s="1" t="n">
        <x:v>16</x:v>
      </x:c>
      <x:c r="C562" s="1" t="n">
        <x:v>106</x:v>
      </x:c>
      <x:c r="D562" s="6" t="n">
        <x:v>22621</x:v>
      </x:c>
      <x:c r="E562" s="6" t="n">
        <x:v>45242</x:v>
      </x:c>
      <x:c r="F562" s="6" t="n">
        <x:v>0</x:v>
      </x:c>
      <x:c r="G562" s="6" t="n">
        <x:v>45242</x:v>
      </x:c>
      <x:c r="H562" s="6" t="n">
        <x:v>22621</x:v>
      </x:c>
    </x:row>
    <x:row r="563" ht="21" customHeight="1">
      <x:c r="A563" s="1" t="str">
        <x:v>C0005816</x:v>
      </x:c>
      <x:c r="B563" s="1" t="n">
        <x:v>16</x:v>
      </x:c>
      <x:c r="C563" s="1" t="n">
        <x:v>106</x:v>
      </x:c>
      <x:c r="D563" s="6" t="n">
        <x:v>22621</x:v>
      </x:c>
      <x:c r="E563" s="6" t="n">
        <x:v>0</x:v>
      </x:c>
      <x:c r="F563" s="6" t="n">
        <x:v>0</x:v>
      </x:c>
      <x:c r="G563" s="6" t="n">
        <x:v>0</x:v>
      </x:c>
      <x:c r="H563" s="6" t="n">
        <x:v>-22621</x:v>
      </x:c>
    </x:row>
    <x:row r="564" ht="21" customHeight="1">
      <x:c r="A564" s="1" t="str">
        <x:v>C0013431</x:v>
      </x:c>
      <x:c r="B564" s="1" t="n">
        <x:v>16</x:v>
      </x:c>
      <x:c r="C564" s="1" t="n">
        <x:v>106</x:v>
      </x:c>
      <x:c r="D564" s="6" t="n">
        <x:v>22621</x:v>
      </x:c>
      <x:c r="E564" s="6" t="n">
        <x:v>0</x:v>
      </x:c>
      <x:c r="F564" s="6" t="n">
        <x:v>0</x:v>
      </x:c>
      <x:c r="G564" s="6" t="n">
        <x:v>0</x:v>
      </x:c>
      <x:c r="H564" s="6" t="n">
        <x:v>-22621</x:v>
      </x:c>
    </x:row>
    <x:row r="565" ht="21" customHeight="1">
      <x:c r="A565" s="1" t="str">
        <x:v>C0006987</x:v>
      </x:c>
      <x:c r="B565" s="1" t="n">
        <x:v>16</x:v>
      </x:c>
      <x:c r="C565" s="1" t="n">
        <x:v>106</x:v>
      </x:c>
      <x:c r="D565" s="6" t="n">
        <x:v>22621</x:v>
      </x:c>
      <x:c r="E565" s="6" t="n">
        <x:v>45242</x:v>
      </x:c>
      <x:c r="F565" s="6" t="n">
        <x:v>0</x:v>
      </x:c>
      <x:c r="G565" s="6" t="n">
        <x:v>45242</x:v>
      </x:c>
      <x:c r="H565" s="6" t="n">
        <x:v>22621</x:v>
      </x:c>
    </x:row>
    <x:row r="566" ht="21" customHeight="1">
      <x:c r="A566" s="1" t="str">
        <x:v>C0011121</x:v>
      </x:c>
      <x:c r="B566" s="1" t="n">
        <x:v>16</x:v>
      </x:c>
      <x:c r="C566" s="1" t="n">
        <x:v>106</x:v>
      </x:c>
      <x:c r="D566" s="6" t="n">
        <x:v>22621</x:v>
      </x:c>
      <x:c r="E566" s="6" t="n">
        <x:v>45242</x:v>
      </x:c>
      <x:c r="F566" s="6" t="n">
        <x:v>0</x:v>
      </x:c>
      <x:c r="G566" s="6" t="n">
        <x:v>45242</x:v>
      </x:c>
      <x:c r="H566" s="6" t="n">
        <x:v>22621</x:v>
      </x:c>
    </x:row>
    <x:row r="567" ht="21" customHeight="1">
      <x:c r="A567" s="1" t="str">
        <x:v>C0007447</x:v>
      </x:c>
      <x:c r="B567" s="1" t="n">
        <x:v>16</x:v>
      </x:c>
      <x:c r="C567" s="1" t="n">
        <x:v>106</x:v>
      </x:c>
      <x:c r="D567" s="6" t="n">
        <x:v>22621</x:v>
      </x:c>
      <x:c r="E567" s="6" t="n">
        <x:v>45242</x:v>
      </x:c>
      <x:c r="F567" s="6" t="n">
        <x:v>0</x:v>
      </x:c>
      <x:c r="G567" s="6" t="n">
        <x:v>45242</x:v>
      </x:c>
      <x:c r="H567" s="6" t="n">
        <x:v>22621</x:v>
      </x:c>
    </x:row>
    <x:row r="568" ht="21" customHeight="1">
      <x:c r="A568" s="1" t="str">
        <x:v>C0000706</x:v>
      </x:c>
      <x:c r="B568" s="1" t="n">
        <x:v>16</x:v>
      </x:c>
      <x:c r="C568" s="1" t="n">
        <x:v>106</x:v>
      </x:c>
      <x:c r="D568" s="6" t="n">
        <x:v>22621</x:v>
      </x:c>
      <x:c r="E568" s="6" t="n">
        <x:v>45242</x:v>
      </x:c>
      <x:c r="F568" s="6" t="n">
        <x:v>0</x:v>
      </x:c>
      <x:c r="G568" s="6" t="n">
        <x:v>45242</x:v>
      </x:c>
      <x:c r="H568" s="6" t="n">
        <x:v>22621</x:v>
      </x:c>
    </x:row>
    <x:row r="569" ht="21" customHeight="1">
      <x:c r="A569" s="1" t="str">
        <x:v>C0014002</x:v>
      </x:c>
      <x:c r="B569" s="1" t="n">
        <x:v>16</x:v>
      </x:c>
      <x:c r="C569" s="1" t="n">
        <x:v>106</x:v>
      </x:c>
      <x:c r="D569" s="6" t="n">
        <x:v>22621</x:v>
      </x:c>
      <x:c r="E569" s="6" t="n">
        <x:v>45242</x:v>
      </x:c>
      <x:c r="F569" s="6" t="n">
        <x:v>0</x:v>
      </x:c>
      <x:c r="G569" s="6" t="n">
        <x:v>45242</x:v>
      </x:c>
      <x:c r="H569" s="6" t="n">
        <x:v>22621</x:v>
      </x:c>
    </x:row>
    <x:row r="570" ht="21" customHeight="1">
      <x:c r="A570" s="1" t="str">
        <x:v>C0000353</x:v>
      </x:c>
      <x:c r="B570" s="1" t="n">
        <x:v>28</x:v>
      </x:c>
      <x:c r="C570" s="1" t="n">
        <x:v>118</x:v>
      </x:c>
      <x:c r="D570" s="6" t="n">
        <x:v>22563</x:v>
      </x:c>
      <x:c r="E570" s="6" t="n">
        <x:v>0</x:v>
      </x:c>
      <x:c r="F570" s="6" t="n">
        <x:v>0</x:v>
      </x:c>
      <x:c r="G570" s="6" t="n">
        <x:v>0</x:v>
      </x:c>
      <x:c r="H570" s="6" t="n">
        <x:v>-22563</x:v>
      </x:c>
    </x:row>
    <x:row r="571" ht="21" customHeight="1">
      <x:c r="A571" s="1" t="str">
        <x:v>C0007048</x:v>
      </x:c>
      <x:c r="B571" s="1" t="n">
        <x:v>28</x:v>
      </x:c>
      <x:c r="C571" s="1" t="n">
        <x:v>118</x:v>
      </x:c>
      <x:c r="D571" s="6" t="n">
        <x:v>22563</x:v>
      </x:c>
      <x:c r="E571" s="6" t="n">
        <x:v>45126</x:v>
      </x:c>
      <x:c r="F571" s="6" t="n">
        <x:v>0</x:v>
      </x:c>
      <x:c r="G571" s="6" t="n">
        <x:v>45126</x:v>
      </x:c>
      <x:c r="H571" s="6" t="n">
        <x:v>22563</x:v>
      </x:c>
    </x:row>
    <x:row r="572" ht="21" customHeight="1">
      <x:c r="A572" s="1" t="str">
        <x:v>C0004041</x:v>
      </x:c>
      <x:c r="B572" s="1" t="n">
        <x:v>28</x:v>
      </x:c>
      <x:c r="C572" s="1" t="n">
        <x:v>118</x:v>
      </x:c>
      <x:c r="D572" s="6" t="n">
        <x:v>22563</x:v>
      </x:c>
      <x:c r="E572" s="6" t="n">
        <x:v>0</x:v>
      </x:c>
      <x:c r="F572" s="6" t="n">
        <x:v>0</x:v>
      </x:c>
      <x:c r="G572" s="6" t="n">
        <x:v>0</x:v>
      </x:c>
      <x:c r="H572" s="6" t="n">
        <x:v>-22563</x:v>
      </x:c>
    </x:row>
    <x:row r="573" ht="21" customHeight="1">
      <x:c r="A573" s="1" t="str">
        <x:v>C0001746</x:v>
      </x:c>
      <x:c r="B573" s="1" t="n">
        <x:v>28</x:v>
      </x:c>
      <x:c r="C573" s="1" t="n">
        <x:v>118</x:v>
      </x:c>
      <x:c r="D573" s="6" t="n">
        <x:v>22563</x:v>
      </x:c>
      <x:c r="E573" s="6" t="n">
        <x:v>0</x:v>
      </x:c>
      <x:c r="F573" s="6" t="n">
        <x:v>0</x:v>
      </x:c>
      <x:c r="G573" s="6" t="n">
        <x:v>0</x:v>
      </x:c>
      <x:c r="H573" s="6" t="n">
        <x:v>-22563</x:v>
      </x:c>
    </x:row>
    <x:row r="574" ht="21" customHeight="1">
      <x:c r="A574" s="1" t="str">
        <x:v>C0013617</x:v>
      </x:c>
      <x:c r="B574" s="1" t="n">
        <x:v>28</x:v>
      </x:c>
      <x:c r="C574" s="1" t="n">
        <x:v>118</x:v>
      </x:c>
      <x:c r="D574" s="6" t="n">
        <x:v>22563</x:v>
      </x:c>
      <x:c r="E574" s="6" t="n">
        <x:v>45126</x:v>
      </x:c>
      <x:c r="F574" s="6" t="n">
        <x:v>0</x:v>
      </x:c>
      <x:c r="G574" s="6" t="n">
        <x:v>45126</x:v>
      </x:c>
      <x:c r="H574" s="6" t="n">
        <x:v>22563</x:v>
      </x:c>
    </x:row>
    <x:row r="575" ht="21" customHeight="1">
      <x:c r="A575" s="1" t="str">
        <x:v>C0010309</x:v>
      </x:c>
      <x:c r="B575" s="1" t="n">
        <x:v>28</x:v>
      </x:c>
      <x:c r="C575" s="1" t="n">
        <x:v>118</x:v>
      </x:c>
      <x:c r="D575" s="6" t="n">
        <x:v>22563</x:v>
      </x:c>
      <x:c r="E575" s="6" t="n">
        <x:v>0</x:v>
      </x:c>
      <x:c r="F575" s="6" t="n">
        <x:v>0</x:v>
      </x:c>
      <x:c r="G575" s="6" t="n">
        <x:v>0</x:v>
      </x:c>
      <x:c r="H575" s="6" t="n">
        <x:v>-22563</x:v>
      </x:c>
    </x:row>
    <x:row r="576" ht="21" customHeight="1">
      <x:c r="A576" s="1" t="str">
        <x:v>C0007414</x:v>
      </x:c>
      <x:c r="B576" s="1" t="n">
        <x:v>28</x:v>
      </x:c>
      <x:c r="C576" s="1" t="n">
        <x:v>118</x:v>
      </x:c>
      <x:c r="D576" s="6" t="n">
        <x:v>22563</x:v>
      </x:c>
      <x:c r="E576" s="6" t="n">
        <x:v>0</x:v>
      </x:c>
      <x:c r="F576" s="6" t="n">
        <x:v>0</x:v>
      </x:c>
      <x:c r="G576" s="6" t="n">
        <x:v>0</x:v>
      </x:c>
      <x:c r="H576" s="6" t="n">
        <x:v>-22563</x:v>
      </x:c>
    </x:row>
    <x:row r="577" ht="21" customHeight="1">
      <x:c r="A577" s="1" t="str">
        <x:v>C0009106</x:v>
      </x:c>
      <x:c r="B577" s="1" t="n">
        <x:v>28</x:v>
      </x:c>
      <x:c r="C577" s="1" t="n">
        <x:v>118</x:v>
      </x:c>
      <x:c r="D577" s="6" t="n">
        <x:v>22563</x:v>
      </x:c>
      <x:c r="E577" s="6" t="n">
        <x:v>45126</x:v>
      </x:c>
      <x:c r="F577" s="6" t="n">
        <x:v>0</x:v>
      </x:c>
      <x:c r="G577" s="6" t="n">
        <x:v>45126</x:v>
      </x:c>
      <x:c r="H577" s="6" t="n">
        <x:v>22563</x:v>
      </x:c>
    </x:row>
    <x:row r="578" ht="21" customHeight="1">
      <x:c r="A578" s="1" t="str">
        <x:v>C0010204</x:v>
      </x:c>
      <x:c r="B578" s="1" t="n">
        <x:v>12</x:v>
      </x:c>
      <x:c r="C578" s="1" t="n">
        <x:v>72</x:v>
      </x:c>
      <x:c r="D578" s="6" t="n">
        <x:v>22336</x:v>
      </x:c>
      <x:c r="E578" s="6" t="n">
        <x:v>44672</x:v>
      </x:c>
      <x:c r="F578" s="6" t="n">
        <x:v>0</x:v>
      </x:c>
      <x:c r="G578" s="6" t="n">
        <x:v>44672</x:v>
      </x:c>
      <x:c r="H578" s="6" t="n">
        <x:v>22336</x:v>
      </x:c>
    </x:row>
    <x:row r="579" ht="21" customHeight="1">
      <x:c r="A579" s="1" t="str">
        <x:v>C0016197</x:v>
      </x:c>
      <x:c r="B579" s="1" t="n">
        <x:v>12</x:v>
      </x:c>
      <x:c r="C579" s="1" t="n">
        <x:v>72</x:v>
      </x:c>
      <x:c r="D579" s="6" t="n">
        <x:v>22336</x:v>
      </x:c>
      <x:c r="E579" s="6" t="n">
        <x:v>44672</x:v>
      </x:c>
      <x:c r="F579" s="6" t="n">
        <x:v>0</x:v>
      </x:c>
      <x:c r="G579" s="6" t="n">
        <x:v>44672</x:v>
      </x:c>
      <x:c r="H579" s="6" t="n">
        <x:v>22336</x:v>
      </x:c>
    </x:row>
    <x:row r="580" ht="21" customHeight="1">
      <x:c r="A580" s="1" t="str">
        <x:v>C0009067</x:v>
      </x:c>
      <x:c r="B580" s="1" t="n">
        <x:v>12</x:v>
      </x:c>
      <x:c r="C580" s="1" t="n">
        <x:v>72</x:v>
      </x:c>
      <x:c r="D580" s="6" t="n">
        <x:v>22336</x:v>
      </x:c>
      <x:c r="E580" s="6" t="n">
        <x:v>44672</x:v>
      </x:c>
      <x:c r="F580" s="6" t="n">
        <x:v>0</x:v>
      </x:c>
      <x:c r="G580" s="6" t="n">
        <x:v>44672</x:v>
      </x:c>
      <x:c r="H580" s="6" t="n">
        <x:v>22336</x:v>
      </x:c>
    </x:row>
    <x:row r="581" ht="21" customHeight="1">
      <x:c r="A581" s="1" t="str">
        <x:v>C0015912</x:v>
      </x:c>
      <x:c r="B581" s="1" t="n">
        <x:v>12</x:v>
      </x:c>
      <x:c r="C581" s="1" t="n">
        <x:v>72</x:v>
      </x:c>
      <x:c r="D581" s="6" t="n">
        <x:v>22336</x:v>
      </x:c>
      <x:c r="E581" s="6" t="n">
        <x:v>44672</x:v>
      </x:c>
      <x:c r="F581" s="6" t="n">
        <x:v>0</x:v>
      </x:c>
      <x:c r="G581" s="6" t="n">
        <x:v>44672</x:v>
      </x:c>
      <x:c r="H581" s="6" t="n">
        <x:v>22336</x:v>
      </x:c>
    </x:row>
    <x:row r="582" ht="21" customHeight="1">
      <x:c r="A582" s="1" t="str">
        <x:v>C0005715</x:v>
      </x:c>
      <x:c r="B582" s="1" t="n">
        <x:v>12</x:v>
      </x:c>
      <x:c r="C582" s="1" t="n">
        <x:v>72</x:v>
      </x:c>
      <x:c r="D582" s="6" t="n">
        <x:v>22336</x:v>
      </x:c>
      <x:c r="E582" s="6" t="n">
        <x:v>44672</x:v>
      </x:c>
      <x:c r="F582" s="6" t="n">
        <x:v>0</x:v>
      </x:c>
      <x:c r="G582" s="6" t="n">
        <x:v>44672</x:v>
      </x:c>
      <x:c r="H582" s="6" t="n">
        <x:v>22336</x:v>
      </x:c>
    </x:row>
    <x:row r="583" ht="21" customHeight="1">
      <x:c r="A583" s="1" t="str">
        <x:v>C0002275</x:v>
      </x:c>
      <x:c r="B583" s="1" t="n">
        <x:v>12</x:v>
      </x:c>
      <x:c r="C583" s="1" t="n">
        <x:v>72</x:v>
      </x:c>
      <x:c r="D583" s="6" t="n">
        <x:v>22336</x:v>
      </x:c>
      <x:c r="E583" s="6" t="n">
        <x:v>44672</x:v>
      </x:c>
      <x:c r="F583" s="6" t="n">
        <x:v>0</x:v>
      </x:c>
      <x:c r="G583" s="6" t="n">
        <x:v>44672</x:v>
      </x:c>
      <x:c r="H583" s="6" t="n">
        <x:v>22336</x:v>
      </x:c>
    </x:row>
    <x:row r="584" ht="21" customHeight="1">
      <x:c r="A584" s="1" t="str">
        <x:v>C0016812</x:v>
      </x:c>
      <x:c r="B584" s="1" t="n">
        <x:v>12</x:v>
      </x:c>
      <x:c r="C584" s="1" t="n">
        <x:v>72</x:v>
      </x:c>
      <x:c r="D584" s="6" t="n">
        <x:v>22336</x:v>
      </x:c>
      <x:c r="E584" s="6" t="n">
        <x:v>0</x:v>
      </x:c>
      <x:c r="F584" s="6" t="n">
        <x:v>0</x:v>
      </x:c>
      <x:c r="G584" s="6" t="n">
        <x:v>0</x:v>
      </x:c>
      <x:c r="H584" s="6" t="n">
        <x:v>-22336</x:v>
      </x:c>
    </x:row>
    <x:row r="585" ht="21" customHeight="1">
      <x:c r="A585" s="1" t="str">
        <x:v>C0002145</x:v>
      </x:c>
      <x:c r="B585" s="1" t="n">
        <x:v>12</x:v>
      </x:c>
      <x:c r="C585" s="1" t="n">
        <x:v>72</x:v>
      </x:c>
      <x:c r="D585" s="6" t="n">
        <x:v>22336</x:v>
      </x:c>
      <x:c r="E585" s="6" t="n">
        <x:v>44672</x:v>
      </x:c>
      <x:c r="F585" s="6" t="n">
        <x:v>0</x:v>
      </x:c>
      <x:c r="G585" s="6" t="n">
        <x:v>44672</x:v>
      </x:c>
      <x:c r="H585" s="6" t="n">
        <x:v>22336</x:v>
      </x:c>
    </x:row>
    <x:row r="586" ht="21" customHeight="1">
      <x:c r="A586" s="1" t="str">
        <x:v>C0004135</x:v>
      </x:c>
      <x:c r="B586" s="1" t="n">
        <x:v>12</x:v>
      </x:c>
      <x:c r="C586" s="1" t="n">
        <x:v>72</x:v>
      </x:c>
      <x:c r="D586" s="6" t="n">
        <x:v>22336</x:v>
      </x:c>
      <x:c r="E586" s="6" t="n">
        <x:v>0</x:v>
      </x:c>
      <x:c r="F586" s="6" t="n">
        <x:v>0</x:v>
      </x:c>
      <x:c r="G586" s="6" t="n">
        <x:v>0</x:v>
      </x:c>
      <x:c r="H586" s="6" t="n">
        <x:v>-22336</x:v>
      </x:c>
    </x:row>
    <x:row r="587" ht="21" customHeight="1">
      <x:c r="A587" s="1" t="str">
        <x:v>C0004365</x:v>
      </x:c>
      <x:c r="B587" s="1" t="n">
        <x:v>12</x:v>
      </x:c>
      <x:c r="C587" s="1" t="n">
        <x:v>72</x:v>
      </x:c>
      <x:c r="D587" s="6" t="n">
        <x:v>22336</x:v>
      </x:c>
      <x:c r="E587" s="6" t="n">
        <x:v>44672</x:v>
      </x:c>
      <x:c r="F587" s="6" t="n">
        <x:v>0</x:v>
      </x:c>
      <x:c r="G587" s="6" t="n">
        <x:v>44672</x:v>
      </x:c>
      <x:c r="H587" s="6" t="n">
        <x:v>22336</x:v>
      </x:c>
    </x:row>
    <x:row r="588" ht="21" customHeight="1">
      <x:c r="A588" s="1" t="str">
        <x:v>C0014884</x:v>
      </x:c>
      <x:c r="B588" s="1" t="n">
        <x:v>12</x:v>
      </x:c>
      <x:c r="C588" s="1" t="n">
        <x:v>72</x:v>
      </x:c>
      <x:c r="D588" s="6" t="n">
        <x:v>22336</x:v>
      </x:c>
      <x:c r="E588" s="6" t="n">
        <x:v>0</x:v>
      </x:c>
      <x:c r="F588" s="6" t="n">
        <x:v>0</x:v>
      </x:c>
      <x:c r="G588" s="6" t="n">
        <x:v>0</x:v>
      </x:c>
      <x:c r="H588" s="6" t="n">
        <x:v>-22336</x:v>
      </x:c>
    </x:row>
    <x:row r="589" ht="21" customHeight="1">
      <x:c r="A589" s="1" t="str">
        <x:v>C0010866</x:v>
      </x:c>
      <x:c r="B589" s="1" t="n">
        <x:v>12</x:v>
      </x:c>
      <x:c r="C589" s="1" t="n">
        <x:v>72</x:v>
      </x:c>
      <x:c r="D589" s="6" t="n">
        <x:v>0</x:v>
      </x:c>
      <x:c r="E589" s="6" t="n">
        <x:v>22336</x:v>
      </x:c>
      <x:c r="F589" s="6" t="n">
        <x:v>0</x:v>
      </x:c>
      <x:c r="G589" s="6" t="n">
        <x:v>22336</x:v>
      </x:c>
      <x:c r="H589" s="6" t="n">
        <x:v>22336</x:v>
      </x:c>
    </x:row>
    <x:row r="590" ht="21" customHeight="1">
      <x:c r="A590" s="1" t="str">
        <x:v>C0011845</x:v>
      </x:c>
      <x:c r="B590" s="1" t="n">
        <x:v>12</x:v>
      </x:c>
      <x:c r="C590" s="1" t="n">
        <x:v>72</x:v>
      </x:c>
      <x:c r="D590" s="6" t="n">
        <x:v>22336</x:v>
      </x:c>
      <x:c r="E590" s="6" t="n">
        <x:v>0</x:v>
      </x:c>
      <x:c r="F590" s="6" t="n">
        <x:v>0</x:v>
      </x:c>
      <x:c r="G590" s="6" t="n">
        <x:v>0</x:v>
      </x:c>
      <x:c r="H590" s="6" t="n">
        <x:v>-22336</x:v>
      </x:c>
    </x:row>
    <x:row r="591" ht="21" customHeight="1">
      <x:c r="A591" s="1" t="str">
        <x:v>C0003455</x:v>
      </x:c>
      <x:c r="B591" s="1" t="n">
        <x:v>28</x:v>
      </x:c>
      <x:c r="C591" s="1" t="n">
        <x:v>88</x:v>
      </x:c>
      <x:c r="D591" s="6" t="n">
        <x:v>22256</x:v>
      </x:c>
      <x:c r="E591" s="6" t="n">
        <x:v>44512</x:v>
      </x:c>
      <x:c r="F591" s="6" t="n">
        <x:v>0</x:v>
      </x:c>
      <x:c r="G591" s="6" t="n">
        <x:v>44512</x:v>
      </x:c>
      <x:c r="H591" s="6" t="n">
        <x:v>22256</x:v>
      </x:c>
    </x:row>
    <x:row r="592" ht="21" customHeight="1">
      <x:c r="A592" s="1" t="str">
        <x:v>C0014548</x:v>
      </x:c>
      <x:c r="B592" s="1" t="n">
        <x:v>28</x:v>
      </x:c>
      <x:c r="C592" s="1" t="n">
        <x:v>88</x:v>
      </x:c>
      <x:c r="D592" s="6" t="n">
        <x:v>22256</x:v>
      </x:c>
      <x:c r="E592" s="6" t="n">
        <x:v>44512</x:v>
      </x:c>
      <x:c r="F592" s="6" t="n">
        <x:v>0</x:v>
      </x:c>
      <x:c r="G592" s="6" t="n">
        <x:v>44512</x:v>
      </x:c>
      <x:c r="H592" s="6" t="n">
        <x:v>22256</x:v>
      </x:c>
    </x:row>
    <x:row r="593" ht="21" customHeight="1">
      <x:c r="A593" s="1" t="str">
        <x:v>C0016863</x:v>
      </x:c>
      <x:c r="B593" s="1" t="n">
        <x:v>28</x:v>
      </x:c>
      <x:c r="C593" s="1" t="n">
        <x:v>88</x:v>
      </x:c>
      <x:c r="D593" s="6" t="n">
        <x:v>22256</x:v>
      </x:c>
      <x:c r="E593" s="6" t="n">
        <x:v>44512</x:v>
      </x:c>
      <x:c r="F593" s="6" t="n">
        <x:v>0</x:v>
      </x:c>
      <x:c r="G593" s="6" t="n">
        <x:v>44512</x:v>
      </x:c>
      <x:c r="H593" s="6" t="n">
        <x:v>22256</x:v>
      </x:c>
    </x:row>
    <x:row r="594" ht="21" customHeight="1">
      <x:c r="A594" s="1" t="str">
        <x:v>C0008348</x:v>
      </x:c>
      <x:c r="B594" s="1" t="n">
        <x:v>28</x:v>
      </x:c>
      <x:c r="C594" s="1" t="n">
        <x:v>88</x:v>
      </x:c>
      <x:c r="D594" s="6" t="n">
        <x:v>22256</x:v>
      </x:c>
      <x:c r="E594" s="6" t="n">
        <x:v>0</x:v>
      </x:c>
      <x:c r="F594" s="6" t="n">
        <x:v>0</x:v>
      </x:c>
      <x:c r="G594" s="6" t="n">
        <x:v>0</x:v>
      </x:c>
      <x:c r="H594" s="6" t="n">
        <x:v>-22256</x:v>
      </x:c>
    </x:row>
    <x:row r="595" ht="21" customHeight="1">
      <x:c r="A595" s="1" t="str">
        <x:v>C0010872</x:v>
      </x:c>
      <x:c r="B595" s="1" t="n">
        <x:v>28</x:v>
      </x:c>
      <x:c r="C595" s="1" t="n">
        <x:v>88</x:v>
      </x:c>
      <x:c r="D595" s="6" t="n">
        <x:v>22256</x:v>
      </x:c>
      <x:c r="E595" s="6" t="n">
        <x:v>44512</x:v>
      </x:c>
      <x:c r="F595" s="6" t="n">
        <x:v>0</x:v>
      </x:c>
      <x:c r="G595" s="6" t="n">
        <x:v>44512</x:v>
      </x:c>
      <x:c r="H595" s="6" t="n">
        <x:v>22256</x:v>
      </x:c>
    </x:row>
    <x:row r="596" ht="21" customHeight="1">
      <x:c r="A596" s="1" t="str">
        <x:v>C0013854</x:v>
      </x:c>
      <x:c r="B596" s="1" t="n">
        <x:v>28</x:v>
      </x:c>
      <x:c r="C596" s="1" t="n">
        <x:v>88</x:v>
      </x:c>
      <x:c r="D596" s="6" t="n">
        <x:v>22256</x:v>
      </x:c>
      <x:c r="E596" s="6" t="n">
        <x:v>44512</x:v>
      </x:c>
      <x:c r="F596" s="6" t="n">
        <x:v>0</x:v>
      </x:c>
      <x:c r="G596" s="6" t="n">
        <x:v>44512</x:v>
      </x:c>
      <x:c r="H596" s="6" t="n">
        <x:v>22256</x:v>
      </x:c>
    </x:row>
    <x:row r="597" ht="21" customHeight="1">
      <x:c r="A597" s="1" t="str">
        <x:v>C0013658</x:v>
      </x:c>
      <x:c r="B597" s="1" t="n">
        <x:v>16</x:v>
      </x:c>
      <x:c r="C597" s="1" t="n">
        <x:v>76</x:v>
      </x:c>
      <x:c r="D597" s="6" t="n">
        <x:v>22163</x:v>
      </x:c>
      <x:c r="E597" s="6" t="n">
        <x:v>0</x:v>
      </x:c>
      <x:c r="F597" s="6" t="n">
        <x:v>0</x:v>
      </x:c>
      <x:c r="G597" s="6" t="n">
        <x:v>0</x:v>
      </x:c>
      <x:c r="H597" s="6" t="n">
        <x:v>-22163</x:v>
      </x:c>
    </x:row>
    <x:row r="598" ht="21" customHeight="1">
      <x:c r="A598" s="1" t="str">
        <x:v>C0007213</x:v>
      </x:c>
      <x:c r="B598" s="1" t="n">
        <x:v>23</x:v>
      </x:c>
      <x:c r="C598" s="1" t="n">
        <x:v>83</x:v>
      </x:c>
      <x:c r="D598" s="6" t="n">
        <x:v>22093</x:v>
      </x:c>
      <x:c r="E598" s="6" t="n">
        <x:v>44186</x:v>
      </x:c>
      <x:c r="F598" s="6" t="n">
        <x:v>0</x:v>
      </x:c>
      <x:c r="G598" s="6" t="n">
        <x:v>44186</x:v>
      </x:c>
      <x:c r="H598" s="6" t="n">
        <x:v>22093</x:v>
      </x:c>
    </x:row>
    <x:row r="599" ht="21" customHeight="1">
      <x:c r="A599" s="1" t="str">
        <x:v>C0013483</x:v>
      </x:c>
      <x:c r="B599" s="1" t="n">
        <x:v>23</x:v>
      </x:c>
      <x:c r="C599" s="1" t="n">
        <x:v>83</x:v>
      </x:c>
      <x:c r="D599" s="6" t="n">
        <x:v>22093</x:v>
      </x:c>
      <x:c r="E599" s="6" t="n">
        <x:v>44186</x:v>
      </x:c>
      <x:c r="F599" s="6" t="n">
        <x:v>0</x:v>
      </x:c>
      <x:c r="G599" s="6" t="n">
        <x:v>44186</x:v>
      </x:c>
      <x:c r="H599" s="6" t="n">
        <x:v>22093</x:v>
      </x:c>
    </x:row>
    <x:row r="600" ht="21" customHeight="1">
      <x:c r="A600" s="1" t="str">
        <x:v>C0015556</x:v>
      </x:c>
      <x:c r="B600" s="1" t="n">
        <x:v>23</x:v>
      </x:c>
      <x:c r="C600" s="1" t="n">
        <x:v>83</x:v>
      </x:c>
      <x:c r="D600" s="6" t="n">
        <x:v>22093</x:v>
      </x:c>
      <x:c r="E600" s="6" t="n">
        <x:v>0</x:v>
      </x:c>
      <x:c r="F600" s="6" t="n">
        <x:v>0</x:v>
      </x:c>
      <x:c r="G600" s="6" t="n">
        <x:v>0</x:v>
      </x:c>
      <x:c r="H600" s="6" t="n">
        <x:v>-22093</x:v>
      </x:c>
    </x:row>
    <x:row r="601" ht="21" customHeight="1">
      <x:c r="A601" s="1" t="str">
        <x:v>C0009242</x:v>
      </x:c>
      <x:c r="B601" s="1" t="n">
        <x:v>23</x:v>
      </x:c>
      <x:c r="C601" s="1" t="n">
        <x:v>83</x:v>
      </x:c>
      <x:c r="D601" s="6" t="n">
        <x:v>22093</x:v>
      </x:c>
      <x:c r="E601" s="6" t="n">
        <x:v>44186</x:v>
      </x:c>
      <x:c r="F601" s="6" t="n">
        <x:v>0</x:v>
      </x:c>
      <x:c r="G601" s="6" t="n">
        <x:v>44186</x:v>
      </x:c>
      <x:c r="H601" s="6" t="n">
        <x:v>22093</x:v>
      </x:c>
    </x:row>
    <x:row r="602" ht="21" customHeight="1">
      <x:c r="A602" s="1" t="str">
        <x:v>C0009665</x:v>
      </x:c>
      <x:c r="B602" s="1" t="n">
        <x:v>23</x:v>
      </x:c>
      <x:c r="C602" s="1" t="n">
        <x:v>83</x:v>
      </x:c>
      <x:c r="D602" s="6" t="n">
        <x:v>22093</x:v>
      </x:c>
      <x:c r="E602" s="6" t="n">
        <x:v>0</x:v>
      </x:c>
      <x:c r="F602" s="6" t="n">
        <x:v>0</x:v>
      </x:c>
      <x:c r="G602" s="6" t="n">
        <x:v>0</x:v>
      </x:c>
      <x:c r="H602" s="6" t="n">
        <x:v>-22093</x:v>
      </x:c>
    </x:row>
    <x:row r="603" ht="21" customHeight="1">
      <x:c r="A603" s="1" t="str">
        <x:v>C0001464</x:v>
      </x:c>
      <x:c r="B603" s="1" t="n">
        <x:v>9</x:v>
      </x:c>
      <x:c r="C603" s="1" t="n">
        <x:v>69</x:v>
      </x:c>
      <x:c r="D603" s="6" t="n">
        <x:v>21960</x:v>
      </x:c>
      <x:c r="E603" s="6" t="n">
        <x:v>0</x:v>
      </x:c>
      <x:c r="F603" s="6" t="n">
        <x:v>0</x:v>
      </x:c>
      <x:c r="G603" s="6" t="n">
        <x:v>0</x:v>
      </x:c>
      <x:c r="H603" s="6" t="n">
        <x:v>-21960</x:v>
      </x:c>
    </x:row>
    <x:row r="604" ht="21" customHeight="1">
      <x:c r="A604" s="1" t="str">
        <x:v>C0014439</x:v>
      </x:c>
      <x:c r="B604" s="1" t="n">
        <x:v>9</x:v>
      </x:c>
      <x:c r="C604" s="1" t="n">
        <x:v>69</x:v>
      </x:c>
      <x:c r="D604" s="6" t="n">
        <x:v>21960</x:v>
      </x:c>
      <x:c r="E604" s="6" t="n">
        <x:v>0</x:v>
      </x:c>
      <x:c r="F604" s="6" t="n">
        <x:v>0</x:v>
      </x:c>
      <x:c r="G604" s="6" t="n">
        <x:v>0</x:v>
      </x:c>
      <x:c r="H604" s="6" t="n">
        <x:v>-21960</x:v>
      </x:c>
    </x:row>
    <x:row r="605" ht="21" customHeight="1">
      <x:c r="A605" s="1" t="str">
        <x:v>C0010008</x:v>
      </x:c>
      <x:c r="B605" s="1" t="n">
        <x:v>9</x:v>
      </x:c>
      <x:c r="C605" s="1" t="n">
        <x:v>69</x:v>
      </x:c>
      <x:c r="D605" s="6" t="n">
        <x:v>21960</x:v>
      </x:c>
      <x:c r="E605" s="6" t="n">
        <x:v>43920</x:v>
      </x:c>
      <x:c r="F605" s="6" t="n">
        <x:v>0</x:v>
      </x:c>
      <x:c r="G605" s="6" t="n">
        <x:v>43920</x:v>
      </x:c>
      <x:c r="H605" s="6" t="n">
        <x:v>21960</x:v>
      </x:c>
    </x:row>
    <x:row r="606" ht="21" customHeight="1">
      <x:c r="A606" s="1" t="str">
        <x:v>C0006750</x:v>
      </x:c>
      <x:c r="B606" s="1" t="n">
        <x:v>9</x:v>
      </x:c>
      <x:c r="C606" s="1" t="n">
        <x:v>69</x:v>
      </x:c>
      <x:c r="D606" s="6" t="n">
        <x:v>21960</x:v>
      </x:c>
      <x:c r="E606" s="6" t="n">
        <x:v>0</x:v>
      </x:c>
      <x:c r="F606" s="6" t="n">
        <x:v>0</x:v>
      </x:c>
      <x:c r="G606" s="6" t="n">
        <x:v>0</x:v>
      </x:c>
      <x:c r="H606" s="6" t="n">
        <x:v>-21960</x:v>
      </x:c>
    </x:row>
    <x:row r="607" ht="21" customHeight="1">
      <x:c r="A607" s="1" t="str">
        <x:v>C0011268</x:v>
      </x:c>
      <x:c r="B607" s="1" t="n">
        <x:v>9</x:v>
      </x:c>
      <x:c r="C607" s="1" t="n">
        <x:v>69</x:v>
      </x:c>
      <x:c r="D607" s="6" t="n">
        <x:v>21960</x:v>
      </x:c>
      <x:c r="E607" s="6" t="n">
        <x:v>43920</x:v>
      </x:c>
      <x:c r="F607" s="6" t="n">
        <x:v>0</x:v>
      </x:c>
      <x:c r="G607" s="6" t="n">
        <x:v>43920</x:v>
      </x:c>
      <x:c r="H607" s="6" t="n">
        <x:v>21960</x:v>
      </x:c>
    </x:row>
    <x:row r="608" ht="21" customHeight="1">
      <x:c r="A608" s="1" t="str">
        <x:v>C0000205</x:v>
      </x:c>
      <x:c r="B608" s="1" t="n">
        <x:v>9</x:v>
      </x:c>
      <x:c r="C608" s="1" t="n">
        <x:v>69</x:v>
      </x:c>
      <x:c r="D608" s="6" t="n">
        <x:v>0</x:v>
      </x:c>
      <x:c r="E608" s="6" t="n">
        <x:v>21960</x:v>
      </x:c>
      <x:c r="F608" s="6" t="n">
        <x:v>0</x:v>
      </x:c>
      <x:c r="G608" s="6" t="n">
        <x:v>21960</x:v>
      </x:c>
      <x:c r="H608" s="6" t="n">
        <x:v>21960</x:v>
      </x:c>
    </x:row>
    <x:row r="609" ht="21" customHeight="1">
      <x:c r="A609" s="1" t="str">
        <x:v>C0004416</x:v>
      </x:c>
      <x:c r="B609" s="1" t="n">
        <x:v>18</x:v>
      </x:c>
      <x:c r="C609" s="1" t="n">
        <x:v>78</x:v>
      </x:c>
      <x:c r="D609" s="6" t="n">
        <x:v>21958</x:v>
      </x:c>
      <x:c r="E609" s="6" t="n">
        <x:v>43916</x:v>
      </x:c>
      <x:c r="F609" s="6" t="n">
        <x:v>0</x:v>
      </x:c>
      <x:c r="G609" s="6" t="n">
        <x:v>43916</x:v>
      </x:c>
      <x:c r="H609" s="6" t="n">
        <x:v>21958</x:v>
      </x:c>
    </x:row>
    <x:row r="610" ht="21" customHeight="1">
      <x:c r="A610" s="1" t="str">
        <x:v>C0010959</x:v>
      </x:c>
      <x:c r="B610" s="1" t="n">
        <x:v>18</x:v>
      </x:c>
      <x:c r="C610" s="1" t="n">
        <x:v>78</x:v>
      </x:c>
      <x:c r="D610" s="6" t="n">
        <x:v>0</x:v>
      </x:c>
      <x:c r="E610" s="6" t="n">
        <x:v>21958</x:v>
      </x:c>
      <x:c r="F610" s="6" t="n">
        <x:v>0</x:v>
      </x:c>
      <x:c r="G610" s="6" t="n">
        <x:v>21958</x:v>
      </x:c>
      <x:c r="H610" s="6" t="n">
        <x:v>21958</x:v>
      </x:c>
    </x:row>
    <x:row r="611" ht="21" customHeight="1">
      <x:c r="A611" s="1" t="str">
        <x:v>C0003426</x:v>
      </x:c>
      <x:c r="B611" s="1" t="n">
        <x:v>18</x:v>
      </x:c>
      <x:c r="C611" s="1" t="n">
        <x:v>78</x:v>
      </x:c>
      <x:c r="D611" s="6" t="n">
        <x:v>21958</x:v>
      </x:c>
      <x:c r="E611" s="6" t="n">
        <x:v>0</x:v>
      </x:c>
      <x:c r="F611" s="6" t="n">
        <x:v>0</x:v>
      </x:c>
      <x:c r="G611" s="6" t="n">
        <x:v>0</x:v>
      </x:c>
      <x:c r="H611" s="6" t="n">
        <x:v>-21958</x:v>
      </x:c>
    </x:row>
    <x:row r="612" ht="21" customHeight="1">
      <x:c r="A612" s="1" t="str">
        <x:v>C0012190</x:v>
      </x:c>
      <x:c r="B612" s="1" t="n">
        <x:v>18</x:v>
      </x:c>
      <x:c r="C612" s="1" t="n">
        <x:v>78</x:v>
      </x:c>
      <x:c r="D612" s="6" t="n">
        <x:v>21958</x:v>
      </x:c>
      <x:c r="E612" s="6" t="n">
        <x:v>0</x:v>
      </x:c>
      <x:c r="F612" s="6" t="n">
        <x:v>0</x:v>
      </x:c>
      <x:c r="G612" s="6" t="n">
        <x:v>0</x:v>
      </x:c>
      <x:c r="H612" s="6" t="n">
        <x:v>-21958</x:v>
      </x:c>
    </x:row>
    <x:row r="613" ht="21" customHeight="1">
      <x:c r="A613" s="1" t="str">
        <x:v>C0007552</x:v>
      </x:c>
      <x:c r="B613" s="1" t="n">
        <x:v>5</x:v>
      </x:c>
      <x:c r="C613" s="1" t="n">
        <x:v>35</x:v>
      </x:c>
      <x:c r="D613" s="6" t="n">
        <x:v>21872</x:v>
      </x:c>
      <x:c r="E613" s="6" t="n">
        <x:v>43744</x:v>
      </x:c>
      <x:c r="F613" s="6" t="n">
        <x:v>0</x:v>
      </x:c>
      <x:c r="G613" s="6" t="n">
        <x:v>43744</x:v>
      </x:c>
      <x:c r="H613" s="6" t="n">
        <x:v>21872</x:v>
      </x:c>
    </x:row>
    <x:row r="614" ht="21" customHeight="1">
      <x:c r="A614" s="1" t="str">
        <x:v>C0012234</x:v>
      </x:c>
      <x:c r="B614" s="1" t="n">
        <x:v>5</x:v>
      </x:c>
      <x:c r="C614" s="1" t="n">
        <x:v>35</x:v>
      </x:c>
      <x:c r="D614" s="6" t="n">
        <x:v>21872</x:v>
      </x:c>
      <x:c r="E614" s="6" t="n">
        <x:v>43744</x:v>
      </x:c>
      <x:c r="F614" s="6" t="n">
        <x:v>0</x:v>
      </x:c>
      <x:c r="G614" s="6" t="n">
        <x:v>43744</x:v>
      </x:c>
      <x:c r="H614" s="6" t="n">
        <x:v>21872</x:v>
      </x:c>
    </x:row>
    <x:row r="615" ht="21" customHeight="1">
      <x:c r="A615" s="1" t="str">
        <x:v>C0016392</x:v>
      </x:c>
      <x:c r="B615" s="1" t="n">
        <x:v>5</x:v>
      </x:c>
      <x:c r="C615" s="1" t="n">
        <x:v>35</x:v>
      </x:c>
      <x:c r="D615" s="6" t="n">
        <x:v>21872</x:v>
      </x:c>
      <x:c r="E615" s="6" t="n">
        <x:v>0</x:v>
      </x:c>
      <x:c r="F615" s="6" t="n">
        <x:v>0</x:v>
      </x:c>
      <x:c r="G615" s="6" t="n">
        <x:v>0</x:v>
      </x:c>
      <x:c r="H615" s="6" t="n">
        <x:v>-21872</x:v>
      </x:c>
    </x:row>
    <x:row r="616" ht="21" customHeight="1">
      <x:c r="A616" s="1" t="str">
        <x:v>C0009039</x:v>
      </x:c>
      <x:c r="B616" s="1" t="n">
        <x:v>5</x:v>
      </x:c>
      <x:c r="C616" s="1" t="n">
        <x:v>35</x:v>
      </x:c>
      <x:c r="D616" s="6" t="n">
        <x:v>21872</x:v>
      </x:c>
      <x:c r="E616" s="6" t="n">
        <x:v>43744</x:v>
      </x:c>
      <x:c r="F616" s="6" t="n">
        <x:v>0</x:v>
      </x:c>
      <x:c r="G616" s="6" t="n">
        <x:v>43744</x:v>
      </x:c>
      <x:c r="H616" s="6" t="n">
        <x:v>21872</x:v>
      </x:c>
    </x:row>
    <x:row r="617" ht="21" customHeight="1">
      <x:c r="A617" s="1" t="str">
        <x:v>C0010458</x:v>
      </x:c>
      <x:c r="B617" s="1" t="n">
        <x:v>5</x:v>
      </x:c>
      <x:c r="C617" s="1" t="n">
        <x:v>35</x:v>
      </x:c>
      <x:c r="D617" s="6" t="n">
        <x:v>21872</x:v>
      </x:c>
      <x:c r="E617" s="6" t="n">
        <x:v>0</x:v>
      </x:c>
      <x:c r="F617" s="6" t="n">
        <x:v>0</x:v>
      </x:c>
      <x:c r="G617" s="6" t="n">
        <x:v>0</x:v>
      </x:c>
      <x:c r="H617" s="6" t="n">
        <x:v>-21872</x:v>
      </x:c>
    </x:row>
    <x:row r="618" ht="21" customHeight="1">
      <x:c r="A618" s="1" t="str">
        <x:v>C0014243</x:v>
      </x:c>
      <x:c r="B618" s="1" t="n">
        <x:v>5</x:v>
      </x:c>
      <x:c r="C618" s="1" t="n">
        <x:v>35</x:v>
      </x:c>
      <x:c r="D618" s="6" t="n">
        <x:v>21872</x:v>
      </x:c>
      <x:c r="E618" s="6" t="n">
        <x:v>0</x:v>
      </x:c>
      <x:c r="F618" s="6" t="n">
        <x:v>0</x:v>
      </x:c>
      <x:c r="G618" s="6" t="n">
        <x:v>0</x:v>
      </x:c>
      <x:c r="H618" s="6" t="n">
        <x:v>-21872</x:v>
      </x:c>
    </x:row>
    <x:row r="619" ht="21" customHeight="1">
      <x:c r="A619" s="1" t="str">
        <x:v>C0003962</x:v>
      </x:c>
      <x:c r="B619" s="1" t="n">
        <x:v>5</x:v>
      </x:c>
      <x:c r="C619" s="1" t="n">
        <x:v>35</x:v>
      </x:c>
      <x:c r="D619" s="6" t="n">
        <x:v>21872</x:v>
      </x:c>
      <x:c r="E619" s="6" t="n">
        <x:v>0</x:v>
      </x:c>
      <x:c r="F619" s="6" t="n">
        <x:v>0</x:v>
      </x:c>
      <x:c r="G619" s="6" t="n">
        <x:v>0</x:v>
      </x:c>
      <x:c r="H619" s="6" t="n">
        <x:v>-21872</x:v>
      </x:c>
    </x:row>
    <x:row r="620" ht="21" customHeight="1">
      <x:c r="A620" s="1" t="str">
        <x:v>C0010475</x:v>
      </x:c>
      <x:c r="B620" s="1" t="n">
        <x:v>19</x:v>
      </x:c>
      <x:c r="C620" s="1" t="n">
        <x:v>79</x:v>
      </x:c>
      <x:c r="D620" s="6" t="n">
        <x:v>21854</x:v>
      </x:c>
      <x:c r="E620" s="6" t="n">
        <x:v>0</x:v>
      </x:c>
      <x:c r="F620" s="6" t="n">
        <x:v>0</x:v>
      </x:c>
      <x:c r="G620" s="6" t="n">
        <x:v>0</x:v>
      </x:c>
      <x:c r="H620" s="6" t="n">
        <x:v>-21854</x:v>
      </x:c>
    </x:row>
    <x:row r="621" ht="21" customHeight="1">
      <x:c r="A621" s="1" t="str">
        <x:v>C0001250</x:v>
      </x:c>
      <x:c r="B621" s="1" t="n">
        <x:v>19</x:v>
      </x:c>
      <x:c r="C621" s="1" t="n">
        <x:v>79</x:v>
      </x:c>
      <x:c r="D621" s="6" t="n">
        <x:v>21854</x:v>
      </x:c>
      <x:c r="E621" s="6" t="n">
        <x:v>43708</x:v>
      </x:c>
      <x:c r="F621" s="6" t="n">
        <x:v>0</x:v>
      </x:c>
      <x:c r="G621" s="6" t="n">
        <x:v>43708</x:v>
      </x:c>
      <x:c r="H621" s="6" t="n">
        <x:v>21854</x:v>
      </x:c>
    </x:row>
    <x:row r="622" ht="21" customHeight="1">
      <x:c r="A622" s="1" t="str">
        <x:v>C0008812</x:v>
      </x:c>
      <x:c r="B622" s="1" t="n">
        <x:v>19</x:v>
      </x:c>
      <x:c r="C622" s="1" t="n">
        <x:v>79</x:v>
      </x:c>
      <x:c r="D622" s="6" t="n">
        <x:v>21854</x:v>
      </x:c>
      <x:c r="E622" s="6" t="n">
        <x:v>43708</x:v>
      </x:c>
      <x:c r="F622" s="6" t="n">
        <x:v>0</x:v>
      </x:c>
      <x:c r="G622" s="6" t="n">
        <x:v>43708</x:v>
      </x:c>
      <x:c r="H622" s="6" t="n">
        <x:v>21854</x:v>
      </x:c>
    </x:row>
    <x:row r="623" ht="21" customHeight="1">
      <x:c r="A623" s="1" t="str">
        <x:v>C0008333</x:v>
      </x:c>
      <x:c r="B623" s="1" t="n">
        <x:v>19</x:v>
      </x:c>
      <x:c r="C623" s="1" t="n">
        <x:v>79</x:v>
      </x:c>
      <x:c r="D623" s="6" t="n">
        <x:v>21854</x:v>
      </x:c>
      <x:c r="E623" s="6" t="n">
        <x:v>43708</x:v>
      </x:c>
      <x:c r="F623" s="6" t="n">
        <x:v>0</x:v>
      </x:c>
      <x:c r="G623" s="6" t="n">
        <x:v>43708</x:v>
      </x:c>
      <x:c r="H623" s="6" t="n">
        <x:v>21854</x:v>
      </x:c>
    </x:row>
    <x:row r="624" ht="21" customHeight="1">
      <x:c r="A624" s="1" t="str">
        <x:v>C0007108</x:v>
      </x:c>
      <x:c r="B624" s="1" t="n">
        <x:v>19</x:v>
      </x:c>
      <x:c r="C624" s="1" t="n">
        <x:v>79</x:v>
      </x:c>
      <x:c r="D624" s="6" t="n">
        <x:v>21854</x:v>
      </x:c>
      <x:c r="E624" s="6" t="n">
        <x:v>0</x:v>
      </x:c>
      <x:c r="F624" s="6" t="n">
        <x:v>0</x:v>
      </x:c>
      <x:c r="G624" s="6" t="n">
        <x:v>0</x:v>
      </x:c>
      <x:c r="H624" s="6" t="n">
        <x:v>-21854</x:v>
      </x:c>
    </x:row>
    <x:row r="625" ht="21" customHeight="1">
      <x:c r="A625" s="1" t="str">
        <x:v>C0005857</x:v>
      </x:c>
      <x:c r="B625" s="1" t="n">
        <x:v>27</x:v>
      </x:c>
      <x:c r="C625" s="1" t="n">
        <x:v>27</x:v>
      </x:c>
      <x:c r="D625" s="6" t="n">
        <x:v>21816</x:v>
      </x:c>
      <x:c r="E625" s="6" t="n">
        <x:v>43632</x:v>
      </x:c>
      <x:c r="F625" s="6" t="n">
        <x:v>0</x:v>
      </x:c>
      <x:c r="G625" s="6" t="n">
        <x:v>43632</x:v>
      </x:c>
      <x:c r="H625" s="6" t="n">
        <x:v>21816</x:v>
      </x:c>
    </x:row>
    <x:row r="626" ht="21" customHeight="1">
      <x:c r="A626" s="1" t="str">
        <x:v>C0002202</x:v>
      </x:c>
      <x:c r="B626" s="1" t="n">
        <x:v>27</x:v>
      </x:c>
      <x:c r="C626" s="1" t="n">
        <x:v>27</x:v>
      </x:c>
      <x:c r="D626" s="6" t="n">
        <x:v>0</x:v>
      </x:c>
      <x:c r="E626" s="6" t="n">
        <x:v>21816</x:v>
      </x:c>
      <x:c r="F626" s="6" t="n">
        <x:v>0</x:v>
      </x:c>
      <x:c r="G626" s="6" t="n">
        <x:v>21816</x:v>
      </x:c>
      <x:c r="H626" s="6" t="n">
        <x:v>21816</x:v>
      </x:c>
    </x:row>
    <x:row r="627" ht="21" customHeight="1">
      <x:c r="A627" s="1" t="str">
        <x:v>C0014687</x:v>
      </x:c>
      <x:c r="B627" s="1" t="n">
        <x:v>27</x:v>
      </x:c>
      <x:c r="C627" s="1" t="n">
        <x:v>27</x:v>
      </x:c>
      <x:c r="D627" s="6" t="n">
        <x:v>0</x:v>
      </x:c>
      <x:c r="E627" s="6" t="n">
        <x:v>21816</x:v>
      </x:c>
      <x:c r="F627" s="6" t="n">
        <x:v>0</x:v>
      </x:c>
      <x:c r="G627" s="6" t="n">
        <x:v>21816</x:v>
      </x:c>
      <x:c r="H627" s="6" t="n">
        <x:v>21816</x:v>
      </x:c>
    </x:row>
    <x:row r="628" ht="21" customHeight="1">
      <x:c r="A628" s="1" t="str">
        <x:v>C0015782</x:v>
      </x:c>
      <x:c r="B628" s="1" t="n">
        <x:v>27</x:v>
      </x:c>
      <x:c r="C628" s="1" t="n">
        <x:v>27</x:v>
      </x:c>
      <x:c r="D628" s="6" t="n">
        <x:v>21816</x:v>
      </x:c>
      <x:c r="E628" s="6" t="n">
        <x:v>43632</x:v>
      </x:c>
      <x:c r="F628" s="6" t="n">
        <x:v>0</x:v>
      </x:c>
      <x:c r="G628" s="6" t="n">
        <x:v>43632</x:v>
      </x:c>
      <x:c r="H628" s="6" t="n">
        <x:v>21816</x:v>
      </x:c>
    </x:row>
    <x:row r="629" ht="21" customHeight="1">
      <x:c r="A629" s="1" t="str">
        <x:v>C0011589</x:v>
      </x:c>
      <x:c r="B629" s="1" t="n">
        <x:v>27</x:v>
      </x:c>
      <x:c r="C629" s="1" t="n">
        <x:v>27</x:v>
      </x:c>
      <x:c r="D629" s="6" t="n">
        <x:v>21816</x:v>
      </x:c>
      <x:c r="E629" s="6" t="n">
        <x:v>43632</x:v>
      </x:c>
      <x:c r="F629" s="6" t="n">
        <x:v>0</x:v>
      </x:c>
      <x:c r="G629" s="6" t="n">
        <x:v>43632</x:v>
      </x:c>
      <x:c r="H629" s="6" t="n">
        <x:v>21816</x:v>
      </x:c>
    </x:row>
    <x:row r="630" ht="21" customHeight="1">
      <x:c r="A630" s="1" t="str">
        <x:v>C0016015</x:v>
      </x:c>
      <x:c r="B630" s="1" t="n">
        <x:v>27</x:v>
      </x:c>
      <x:c r="C630" s="1" t="n">
        <x:v>27</x:v>
      </x:c>
      <x:c r="D630" s="6" t="n">
        <x:v>21816</x:v>
      </x:c>
      <x:c r="E630" s="6" t="n">
        <x:v>43632</x:v>
      </x:c>
      <x:c r="F630" s="6" t="n">
        <x:v>0</x:v>
      </x:c>
      <x:c r="G630" s="6" t="n">
        <x:v>43632</x:v>
      </x:c>
      <x:c r="H630" s="6" t="n">
        <x:v>21816</x:v>
      </x:c>
    </x:row>
    <x:row r="631" ht="21" customHeight="1">
      <x:c r="A631" s="1" t="str">
        <x:v>C0012171</x:v>
      </x:c>
      <x:c r="B631" s="1" t="n">
        <x:v>27</x:v>
      </x:c>
      <x:c r="C631" s="1" t="n">
        <x:v>27</x:v>
      </x:c>
      <x:c r="D631" s="6" t="n">
        <x:v>21816</x:v>
      </x:c>
      <x:c r="E631" s="6" t="n">
        <x:v>43632</x:v>
      </x:c>
      <x:c r="F631" s="6" t="n">
        <x:v>0</x:v>
      </x:c>
      <x:c r="G631" s="6" t="n">
        <x:v>43632</x:v>
      </x:c>
      <x:c r="H631" s="6" t="n">
        <x:v>21816</x:v>
      </x:c>
    </x:row>
    <x:row r="632" ht="21" customHeight="1">
      <x:c r="A632" s="1" t="str">
        <x:v>C0013198</x:v>
      </x:c>
      <x:c r="B632" s="1" t="n">
        <x:v>27</x:v>
      </x:c>
      <x:c r="C632" s="1" t="n">
        <x:v>27</x:v>
      </x:c>
      <x:c r="D632" s="6" t="n">
        <x:v>21816</x:v>
      </x:c>
      <x:c r="E632" s="6" t="n">
        <x:v>0</x:v>
      </x:c>
      <x:c r="F632" s="6" t="n">
        <x:v>0</x:v>
      </x:c>
      <x:c r="G632" s="6" t="n">
        <x:v>0</x:v>
      </x:c>
      <x:c r="H632" s="6" t="n">
        <x:v>-21816</x:v>
      </x:c>
    </x:row>
    <x:row r="633" ht="21" customHeight="1">
      <x:c r="A633" s="1" t="str">
        <x:v>C0017930</x:v>
      </x:c>
      <x:c r="B633" s="1" t="n">
        <x:v>27</x:v>
      </x:c>
      <x:c r="C633" s="1" t="n">
        <x:v>27</x:v>
      </x:c>
      <x:c r="D633" s="6" t="n">
        <x:v>21816</x:v>
      </x:c>
      <x:c r="E633" s="6" t="n">
        <x:v>0</x:v>
      </x:c>
      <x:c r="F633" s="6" t="n">
        <x:v>0</x:v>
      </x:c>
      <x:c r="G633" s="6" t="n">
        <x:v>0</x:v>
      </x:c>
      <x:c r="H633" s="6" t="n">
        <x:v>-21816</x:v>
      </x:c>
    </x:row>
    <x:row r="634" ht="21" customHeight="1">
      <x:c r="A634" s="1" t="str">
        <x:v>C0011242</x:v>
      </x:c>
      <x:c r="B634" s="1" t="n">
        <x:v>27</x:v>
      </x:c>
      <x:c r="C634" s="1" t="n">
        <x:v>27</x:v>
      </x:c>
      <x:c r="D634" s="6" t="n">
        <x:v>21816</x:v>
      </x:c>
      <x:c r="E634" s="6" t="n">
        <x:v>0</x:v>
      </x:c>
      <x:c r="F634" s="6" t="n">
        <x:v>0</x:v>
      </x:c>
      <x:c r="G634" s="6" t="n">
        <x:v>0</x:v>
      </x:c>
      <x:c r="H634" s="6" t="n">
        <x:v>-21816</x:v>
      </x:c>
    </x:row>
    <x:row r="635" ht="21" customHeight="1">
      <x:c r="A635" s="1" t="str">
        <x:v>C0002061</x:v>
      </x:c>
      <x:c r="B635" s="1" t="n">
        <x:v>27</x:v>
      </x:c>
      <x:c r="C635" s="1" t="n">
        <x:v>27</x:v>
      </x:c>
      <x:c r="D635" s="6" t="n">
        <x:v>21816</x:v>
      </x:c>
      <x:c r="E635" s="6" t="n">
        <x:v>43632</x:v>
      </x:c>
      <x:c r="F635" s="6" t="n">
        <x:v>0</x:v>
      </x:c>
      <x:c r="G635" s="6" t="n">
        <x:v>43632</x:v>
      </x:c>
      <x:c r="H635" s="6" t="n">
        <x:v>21816</x:v>
      </x:c>
    </x:row>
    <x:row r="636" ht="21" customHeight="1">
      <x:c r="A636" s="1" t="str">
        <x:v>C0005489</x:v>
      </x:c>
      <x:c r="B636" s="1" t="n">
        <x:v>18</x:v>
      </x:c>
      <x:c r="C636" s="1" t="n">
        <x:v>48</x:v>
      </x:c>
      <x:c r="D636" s="6" t="n">
        <x:v>21738</x:v>
      </x:c>
      <x:c r="E636" s="6" t="n">
        <x:v>0</x:v>
      </x:c>
      <x:c r="F636" s="6" t="n">
        <x:v>0</x:v>
      </x:c>
      <x:c r="G636" s="6" t="n">
        <x:v>0</x:v>
      </x:c>
      <x:c r="H636" s="6" t="n">
        <x:v>-21738</x:v>
      </x:c>
    </x:row>
    <x:row r="637" ht="21" customHeight="1">
      <x:c r="A637" s="1" t="str">
        <x:v>C0016386</x:v>
      </x:c>
      <x:c r="B637" s="1" t="n">
        <x:v>18</x:v>
      </x:c>
      <x:c r="C637" s="1" t="n">
        <x:v>48</x:v>
      </x:c>
      <x:c r="D637" s="6" t="n">
        <x:v>21738</x:v>
      </x:c>
      <x:c r="E637" s="6" t="n">
        <x:v>0</x:v>
      </x:c>
      <x:c r="F637" s="6" t="n">
        <x:v>0</x:v>
      </x:c>
      <x:c r="G637" s="6" t="n">
        <x:v>0</x:v>
      </x:c>
      <x:c r="H637" s="6" t="n">
        <x:v>-21738</x:v>
      </x:c>
    </x:row>
    <x:row r="638" ht="21" customHeight="1">
      <x:c r="A638" s="1" t="str">
        <x:v>C0017465</x:v>
      </x:c>
      <x:c r="B638" s="1" t="n">
        <x:v>18</x:v>
      </x:c>
      <x:c r="C638" s="1" t="n">
        <x:v>48</x:v>
      </x:c>
      <x:c r="D638" s="6" t="n">
        <x:v>21738</x:v>
      </x:c>
      <x:c r="E638" s="6" t="n">
        <x:v>43476</x:v>
      </x:c>
      <x:c r="F638" s="6" t="n">
        <x:v>0</x:v>
      </x:c>
      <x:c r="G638" s="6" t="n">
        <x:v>43476</x:v>
      </x:c>
      <x:c r="H638" s="6" t="n">
        <x:v>21738</x:v>
      </x:c>
    </x:row>
    <x:row r="639" ht="21" customHeight="1">
      <x:c r="A639" s="1" t="str">
        <x:v>C0003363</x:v>
      </x:c>
      <x:c r="B639" s="1" t="n">
        <x:v>18</x:v>
      </x:c>
      <x:c r="C639" s="1" t="n">
        <x:v>48</x:v>
      </x:c>
      <x:c r="D639" s="6" t="n">
        <x:v>21738</x:v>
      </x:c>
      <x:c r="E639" s="6" t="n">
        <x:v>0</x:v>
      </x:c>
      <x:c r="F639" s="6" t="n">
        <x:v>0</x:v>
      </x:c>
      <x:c r="G639" s="6" t="n">
        <x:v>0</x:v>
      </x:c>
      <x:c r="H639" s="6" t="n">
        <x:v>-21738</x:v>
      </x:c>
    </x:row>
    <x:row r="640" ht="21" customHeight="1">
      <x:c r="A640" s="1" t="str">
        <x:v>C0016053</x:v>
      </x:c>
      <x:c r="B640" s="1" t="n">
        <x:v>18</x:v>
      </x:c>
      <x:c r="C640" s="1" t="n">
        <x:v>48</x:v>
      </x:c>
      <x:c r="D640" s="6" t="n">
        <x:v>21738</x:v>
      </x:c>
      <x:c r="E640" s="6" t="n">
        <x:v>43476</x:v>
      </x:c>
      <x:c r="F640" s="6" t="n">
        <x:v>0</x:v>
      </x:c>
      <x:c r="G640" s="6" t="n">
        <x:v>43476</x:v>
      </x:c>
      <x:c r="H640" s="6" t="n">
        <x:v>21738</x:v>
      </x:c>
    </x:row>
    <x:row r="641" ht="21" customHeight="1">
      <x:c r="A641" s="1" t="str">
        <x:v>C0007520</x:v>
      </x:c>
      <x:c r="B641" s="1" t="n">
        <x:v>18</x:v>
      </x:c>
      <x:c r="C641" s="1" t="n">
        <x:v>48</x:v>
      </x:c>
      <x:c r="D641" s="6" t="n">
        <x:v>21738</x:v>
      </x:c>
      <x:c r="E641" s="6" t="n">
        <x:v>0</x:v>
      </x:c>
      <x:c r="F641" s="6" t="n">
        <x:v>0</x:v>
      </x:c>
      <x:c r="G641" s="6" t="n">
        <x:v>0</x:v>
      </x:c>
      <x:c r="H641" s="6" t="n">
        <x:v>-21738</x:v>
      </x:c>
    </x:row>
    <x:row r="642" ht="21" customHeight="1">
      <x:c r="A642" s="1" t="str">
        <x:v>C0013678</x:v>
      </x:c>
      <x:c r="B642" s="1" t="n">
        <x:v>20</x:v>
      </x:c>
      <x:c r="C642" s="1" t="n">
        <x:v>110</x:v>
      </x:c>
      <x:c r="D642" s="6" t="n">
        <x:v>21704</x:v>
      </x:c>
      <x:c r="E642" s="6" t="n">
        <x:v>0</x:v>
      </x:c>
      <x:c r="F642" s="6" t="n">
        <x:v>0</x:v>
      </x:c>
      <x:c r="G642" s="6" t="n">
        <x:v>0</x:v>
      </x:c>
      <x:c r="H642" s="6" t="n">
        <x:v>-21704</x:v>
      </x:c>
    </x:row>
    <x:row r="643" ht="21" customHeight="1">
      <x:c r="A643" s="1" t="str">
        <x:v>C0000329</x:v>
      </x:c>
      <x:c r="B643" s="1" t="n">
        <x:v>20</x:v>
      </x:c>
      <x:c r="C643" s="1" t="n">
        <x:v>110</x:v>
      </x:c>
      <x:c r="D643" s="6" t="n">
        <x:v>21704</x:v>
      </x:c>
      <x:c r="E643" s="6" t="n">
        <x:v>43408</x:v>
      </x:c>
      <x:c r="F643" s="6" t="n">
        <x:v>0</x:v>
      </x:c>
      <x:c r="G643" s="6" t="n">
        <x:v>43408</x:v>
      </x:c>
      <x:c r="H643" s="6" t="n">
        <x:v>21704</x:v>
      </x:c>
    </x:row>
    <x:row r="644" ht="21" customHeight="1">
      <x:c r="A644" s="1" t="str">
        <x:v>C0002569</x:v>
      </x:c>
      <x:c r="B644" s="1" t="n">
        <x:v>20</x:v>
      </x:c>
      <x:c r="C644" s="1" t="n">
        <x:v>110</x:v>
      </x:c>
      <x:c r="D644" s="6" t="n">
        <x:v>21704</x:v>
      </x:c>
      <x:c r="E644" s="6" t="n">
        <x:v>0</x:v>
      </x:c>
      <x:c r="F644" s="6" t="n">
        <x:v>0</x:v>
      </x:c>
      <x:c r="G644" s="6" t="n">
        <x:v>0</x:v>
      </x:c>
      <x:c r="H644" s="6" t="n">
        <x:v>-21704</x:v>
      </x:c>
    </x:row>
    <x:row r="645" ht="21" customHeight="1">
      <x:c r="A645" s="1" t="str">
        <x:v>C0013058</x:v>
      </x:c>
      <x:c r="B645" s="1" t="n">
        <x:v>20</x:v>
      </x:c>
      <x:c r="C645" s="1" t="n">
        <x:v>110</x:v>
      </x:c>
      <x:c r="D645" s="6" t="n">
        <x:v>21704</x:v>
      </x:c>
      <x:c r="E645" s="6" t="n">
        <x:v>0</x:v>
      </x:c>
      <x:c r="F645" s="6" t="n">
        <x:v>0</x:v>
      </x:c>
      <x:c r="G645" s="6" t="n">
        <x:v>0</x:v>
      </x:c>
      <x:c r="H645" s="6" t="n">
        <x:v>-21704</x:v>
      </x:c>
    </x:row>
    <x:row r="646" ht="21" customHeight="1">
      <x:c r="A646" s="1" t="str">
        <x:v>C0012892</x:v>
      </x:c>
      <x:c r="B646" s="1" t="n">
        <x:v>20</x:v>
      </x:c>
      <x:c r="C646" s="1" t="n">
        <x:v>110</x:v>
      </x:c>
      <x:c r="D646" s="6" t="n">
        <x:v>21704</x:v>
      </x:c>
      <x:c r="E646" s="6" t="n">
        <x:v>0</x:v>
      </x:c>
      <x:c r="F646" s="6" t="n">
        <x:v>0</x:v>
      </x:c>
      <x:c r="G646" s="6" t="n">
        <x:v>0</x:v>
      </x:c>
      <x:c r="H646" s="6" t="n">
        <x:v>-21704</x:v>
      </x:c>
    </x:row>
    <x:row r="647" ht="21" customHeight="1">
      <x:c r="A647" s="1" t="str">
        <x:v>C0007496</x:v>
      </x:c>
      <x:c r="B647" s="1" t="n">
        <x:v>20</x:v>
      </x:c>
      <x:c r="C647" s="1" t="n">
        <x:v>110</x:v>
      </x:c>
      <x:c r="D647" s="6" t="n">
        <x:v>21704</x:v>
      </x:c>
      <x:c r="E647" s="6" t="n">
        <x:v>43408</x:v>
      </x:c>
      <x:c r="F647" s="6" t="n">
        <x:v>0</x:v>
      </x:c>
      <x:c r="G647" s="6" t="n">
        <x:v>43408</x:v>
      </x:c>
      <x:c r="H647" s="6" t="n">
        <x:v>21704</x:v>
      </x:c>
    </x:row>
    <x:row r="648" ht="21" customHeight="1">
      <x:c r="A648" s="1" t="str">
        <x:v>C0003231</x:v>
      </x:c>
      <x:c r="B648" s="1" t="n">
        <x:v>24</x:v>
      </x:c>
      <x:c r="C648" s="1" t="n">
        <x:v>114</x:v>
      </x:c>
      <x:c r="D648" s="6" t="n">
        <x:v>21686</x:v>
      </x:c>
      <x:c r="E648" s="6" t="n">
        <x:v>43372</x:v>
      </x:c>
      <x:c r="F648" s="6" t="n">
        <x:v>0</x:v>
      </x:c>
      <x:c r="G648" s="6" t="n">
        <x:v>43372</x:v>
      </x:c>
      <x:c r="H648" s="6" t="n">
        <x:v>21686</x:v>
      </x:c>
    </x:row>
    <x:row r="649" ht="21" customHeight="1">
      <x:c r="A649" s="1" t="str">
        <x:v>C0014563</x:v>
      </x:c>
      <x:c r="B649" s="1" t="n">
        <x:v>24</x:v>
      </x:c>
      <x:c r="C649" s="1" t="n">
        <x:v>114</x:v>
      </x:c>
      <x:c r="D649" s="6" t="n">
        <x:v>21686</x:v>
      </x:c>
      <x:c r="E649" s="6" t="n">
        <x:v>43372</x:v>
      </x:c>
      <x:c r="F649" s="6" t="n">
        <x:v>0</x:v>
      </x:c>
      <x:c r="G649" s="6" t="n">
        <x:v>43372</x:v>
      </x:c>
      <x:c r="H649" s="6" t="n">
        <x:v>21686</x:v>
      </x:c>
    </x:row>
    <x:row r="650" ht="21" customHeight="1">
      <x:c r="A650" s="1" t="str">
        <x:v>C0003821</x:v>
      </x:c>
      <x:c r="B650" s="1" t="n">
        <x:v>24</x:v>
      </x:c>
      <x:c r="C650" s="1" t="n">
        <x:v>114</x:v>
      </x:c>
      <x:c r="D650" s="6" t="n">
        <x:v>21686</x:v>
      </x:c>
      <x:c r="E650" s="6" t="n">
        <x:v>0</x:v>
      </x:c>
      <x:c r="F650" s="6" t="n">
        <x:v>0</x:v>
      </x:c>
      <x:c r="G650" s="6" t="n">
        <x:v>0</x:v>
      </x:c>
      <x:c r="H650" s="6" t="n">
        <x:v>-21686</x:v>
      </x:c>
    </x:row>
    <x:row r="651" ht="21" customHeight="1">
      <x:c r="A651" s="1" t="str">
        <x:v>C0014546</x:v>
      </x:c>
      <x:c r="B651" s="1" t="n">
        <x:v>24</x:v>
      </x:c>
      <x:c r="C651" s="1" t="n">
        <x:v>114</x:v>
      </x:c>
      <x:c r="D651" s="6" t="n">
        <x:v>21686</x:v>
      </x:c>
      <x:c r="E651" s="6" t="n">
        <x:v>0</x:v>
      </x:c>
      <x:c r="F651" s="6" t="n">
        <x:v>0</x:v>
      </x:c>
      <x:c r="G651" s="6" t="n">
        <x:v>0</x:v>
      </x:c>
      <x:c r="H651" s="6" t="n">
        <x:v>-21686</x:v>
      </x:c>
    </x:row>
    <x:row r="652" ht="21" customHeight="1">
      <x:c r="A652" s="1" t="str">
        <x:v>C0002442</x:v>
      </x:c>
      <x:c r="B652" s="1" t="n">
        <x:v>24</x:v>
      </x:c>
      <x:c r="C652" s="1" t="n">
        <x:v>114</x:v>
      </x:c>
      <x:c r="D652" s="6" t="n">
        <x:v>21686</x:v>
      </x:c>
      <x:c r="E652" s="6" t="n">
        <x:v>0</x:v>
      </x:c>
      <x:c r="F652" s="6" t="n">
        <x:v>0</x:v>
      </x:c>
      <x:c r="G652" s="6" t="n">
        <x:v>0</x:v>
      </x:c>
      <x:c r="H652" s="6" t="n">
        <x:v>-21686</x:v>
      </x:c>
    </x:row>
    <x:row r="653" ht="21" customHeight="1">
      <x:c r="A653" s="1" t="str">
        <x:v>C0003726</x:v>
      </x:c>
      <x:c r="B653" s="1" t="n">
        <x:v>17</x:v>
      </x:c>
      <x:c r="C653" s="1" t="n">
        <x:v>47</x:v>
      </x:c>
      <x:c r="D653" s="6" t="n">
        <x:v>21508</x:v>
      </x:c>
      <x:c r="E653" s="6" t="n">
        <x:v>0</x:v>
      </x:c>
      <x:c r="F653" s="6" t="n">
        <x:v>0</x:v>
      </x:c>
      <x:c r="G653" s="6" t="n">
        <x:v>0</x:v>
      </x:c>
      <x:c r="H653" s="6" t="n">
        <x:v>-21508</x:v>
      </x:c>
    </x:row>
    <x:row r="654" ht="21" customHeight="1">
      <x:c r="A654" s="1" t="str">
        <x:v>C0012942</x:v>
      </x:c>
      <x:c r="B654" s="1" t="n">
        <x:v>17</x:v>
      </x:c>
      <x:c r="C654" s="1" t="n">
        <x:v>47</x:v>
      </x:c>
      <x:c r="D654" s="6" t="n">
        <x:v>21508</x:v>
      </x:c>
      <x:c r="E654" s="6" t="n">
        <x:v>0</x:v>
      </x:c>
      <x:c r="F654" s="6" t="n">
        <x:v>0</x:v>
      </x:c>
      <x:c r="G654" s="6" t="n">
        <x:v>0</x:v>
      </x:c>
      <x:c r="H654" s="6" t="n">
        <x:v>-21508</x:v>
      </x:c>
    </x:row>
    <x:row r="655" ht="21" customHeight="1">
      <x:c r="A655" s="1" t="str">
        <x:v>C0005472</x:v>
      </x:c>
      <x:c r="B655" s="1" t="n">
        <x:v>17</x:v>
      </x:c>
      <x:c r="C655" s="1" t="n">
        <x:v>47</x:v>
      </x:c>
      <x:c r="D655" s="6" t="n">
        <x:v>21508</x:v>
      </x:c>
      <x:c r="E655" s="6" t="n">
        <x:v>0</x:v>
      </x:c>
      <x:c r="F655" s="6" t="n">
        <x:v>0</x:v>
      </x:c>
      <x:c r="G655" s="6" t="n">
        <x:v>0</x:v>
      </x:c>
      <x:c r="H655" s="6" t="n">
        <x:v>-21508</x:v>
      </x:c>
    </x:row>
    <x:row r="656" ht="21" customHeight="1">
      <x:c r="A656" s="1" t="str">
        <x:v>C0016069</x:v>
      </x:c>
      <x:c r="B656" s="1" t="n">
        <x:v>17</x:v>
      </x:c>
      <x:c r="C656" s="1" t="n">
        <x:v>47</x:v>
      </x:c>
      <x:c r="D656" s="6" t="n">
        <x:v>21508</x:v>
      </x:c>
      <x:c r="E656" s="6" t="n">
        <x:v>43016</x:v>
      </x:c>
      <x:c r="F656" s="6" t="n">
        <x:v>0</x:v>
      </x:c>
      <x:c r="G656" s="6" t="n">
        <x:v>43016</x:v>
      </x:c>
      <x:c r="H656" s="6" t="n">
        <x:v>21508</x:v>
      </x:c>
    </x:row>
    <x:row r="657" ht="21" customHeight="1">
      <x:c r="A657" s="1" t="str">
        <x:v>C0001343</x:v>
      </x:c>
      <x:c r="B657" s="1" t="n">
        <x:v>17</x:v>
      </x:c>
      <x:c r="C657" s="1" t="n">
        <x:v>47</x:v>
      </x:c>
      <x:c r="D657" s="6" t="n">
        <x:v>21508</x:v>
      </x:c>
      <x:c r="E657" s="6" t="n">
        <x:v>43016</x:v>
      </x:c>
      <x:c r="F657" s="6" t="n">
        <x:v>0</x:v>
      </x:c>
      <x:c r="G657" s="6" t="n">
        <x:v>43016</x:v>
      </x:c>
      <x:c r="H657" s="6" t="n">
        <x:v>21508</x:v>
      </x:c>
    </x:row>
    <x:row r="658" ht="21" customHeight="1">
      <x:c r="A658" s="1" t="str">
        <x:v>C0003703</x:v>
      </x:c>
      <x:c r="B658" s="1" t="n">
        <x:v>17</x:v>
      </x:c>
      <x:c r="C658" s="1" t="n">
        <x:v>47</x:v>
      </x:c>
      <x:c r="D658" s="6" t="n">
        <x:v>21508</x:v>
      </x:c>
      <x:c r="E658" s="6" t="n">
        <x:v>0</x:v>
      </x:c>
      <x:c r="F658" s="6" t="n">
        <x:v>0</x:v>
      </x:c>
      <x:c r="G658" s="6" t="n">
        <x:v>0</x:v>
      </x:c>
      <x:c r="H658" s="6" t="n">
        <x:v>-21508</x:v>
      </x:c>
    </x:row>
    <x:row r="659" ht="21" customHeight="1">
      <x:c r="A659" s="1" t="str">
        <x:v>C0016300</x:v>
      </x:c>
      <x:c r="B659" s="1" t="n">
        <x:v>17</x:v>
      </x:c>
      <x:c r="C659" s="1" t="n">
        <x:v>47</x:v>
      </x:c>
      <x:c r="D659" s="6" t="n">
        <x:v>21508</x:v>
      </x:c>
      <x:c r="E659" s="6" t="n">
        <x:v>43016</x:v>
      </x:c>
      <x:c r="F659" s="6" t="n">
        <x:v>0</x:v>
      </x:c>
      <x:c r="G659" s="6" t="n">
        <x:v>43016</x:v>
      </x:c>
      <x:c r="H659" s="6" t="n">
        <x:v>21508</x:v>
      </x:c>
    </x:row>
    <x:row r="660" ht="21" customHeight="1">
      <x:c r="A660" s="1" t="str">
        <x:v>C0010263</x:v>
      </x:c>
      <x:c r="B660" s="1" t="n">
        <x:v>17</x:v>
      </x:c>
      <x:c r="C660" s="1" t="n">
        <x:v>47</x:v>
      </x:c>
      <x:c r="D660" s="6" t="n">
        <x:v>21508</x:v>
      </x:c>
      <x:c r="E660" s="6" t="n">
        <x:v>0</x:v>
      </x:c>
      <x:c r="F660" s="6" t="n">
        <x:v>0</x:v>
      </x:c>
      <x:c r="G660" s="6" t="n">
        <x:v>0</x:v>
      </x:c>
      <x:c r="H660" s="6" t="n">
        <x:v>-21508</x:v>
      </x:c>
    </x:row>
    <x:row r="661" ht="21" customHeight="1">
      <x:c r="A661" s="1" t="str">
        <x:v>C0010412</x:v>
      </x:c>
      <x:c r="B661" s="1" t="n">
        <x:v>17</x:v>
      </x:c>
      <x:c r="C661" s="1" t="n">
        <x:v>47</x:v>
      </x:c>
      <x:c r="D661" s="6" t="n">
        <x:v>21508</x:v>
      </x:c>
      <x:c r="E661" s="6" t="n">
        <x:v>43016</x:v>
      </x:c>
      <x:c r="F661" s="6" t="n">
        <x:v>0</x:v>
      </x:c>
      <x:c r="G661" s="6" t="n">
        <x:v>43016</x:v>
      </x:c>
      <x:c r="H661" s="6" t="n">
        <x:v>21508</x:v>
      </x:c>
    </x:row>
    <x:row r="662" ht="21" customHeight="1">
      <x:c r="A662" s="1" t="str">
        <x:v>C0014538</x:v>
      </x:c>
      <x:c r="B662" s="1" t="n">
        <x:v>13</x:v>
      </x:c>
      <x:c r="C662" s="1" t="n">
        <x:v>73</x:v>
      </x:c>
      <x:c r="D662" s="6" t="n">
        <x:v>21430</x:v>
      </x:c>
      <x:c r="E662" s="6" t="n">
        <x:v>42860</x:v>
      </x:c>
      <x:c r="F662" s="6" t="n">
        <x:v>0</x:v>
      </x:c>
      <x:c r="G662" s="6" t="n">
        <x:v>42860</x:v>
      </x:c>
      <x:c r="H662" s="6" t="n">
        <x:v>21430</x:v>
      </x:c>
    </x:row>
    <x:row r="663" ht="21" customHeight="1">
      <x:c r="A663" s="1" t="str">
        <x:v>C0004650</x:v>
      </x:c>
      <x:c r="B663" s="1" t="n">
        <x:v>13</x:v>
      </x:c>
      <x:c r="C663" s="1" t="n">
        <x:v>73</x:v>
      </x:c>
      <x:c r="D663" s="6" t="n">
        <x:v>21430</x:v>
      </x:c>
      <x:c r="E663" s="6" t="n">
        <x:v>0</x:v>
      </x:c>
      <x:c r="F663" s="6" t="n">
        <x:v>0</x:v>
      </x:c>
      <x:c r="G663" s="6" t="n">
        <x:v>0</x:v>
      </x:c>
      <x:c r="H663" s="6" t="n">
        <x:v>-21430</x:v>
      </x:c>
    </x:row>
    <x:row r="664" ht="21" customHeight="1">
      <x:c r="A664" s="1" t="str">
        <x:v>C0011484</x:v>
      </x:c>
      <x:c r="B664" s="1" t="n">
        <x:v>13</x:v>
      </x:c>
      <x:c r="C664" s="1" t="n">
        <x:v>73</x:v>
      </x:c>
      <x:c r="D664" s="6" t="n">
        <x:v>21430</x:v>
      </x:c>
      <x:c r="E664" s="6" t="n">
        <x:v>0</x:v>
      </x:c>
      <x:c r="F664" s="6" t="n">
        <x:v>0</x:v>
      </x:c>
      <x:c r="G664" s="6" t="n">
        <x:v>0</x:v>
      </x:c>
      <x:c r="H664" s="6" t="n">
        <x:v>-21430</x:v>
      </x:c>
    </x:row>
    <x:row r="665" ht="21" customHeight="1">
      <x:c r="A665" s="1" t="str">
        <x:v>C0002630</x:v>
      </x:c>
      <x:c r="B665" s="1" t="n">
        <x:v>13</x:v>
      </x:c>
      <x:c r="C665" s="1" t="n">
        <x:v>73</x:v>
      </x:c>
      <x:c r="D665" s="6" t="n">
        <x:v>0</x:v>
      </x:c>
      <x:c r="E665" s="6" t="n">
        <x:v>21430</x:v>
      </x:c>
      <x:c r="F665" s="6" t="n">
        <x:v>0</x:v>
      </x:c>
      <x:c r="G665" s="6" t="n">
        <x:v>21430</x:v>
      </x:c>
      <x:c r="H665" s="6" t="n">
        <x:v>21430</x:v>
      </x:c>
    </x:row>
    <x:row r="666" ht="21" customHeight="1">
      <x:c r="A666" s="1" t="str">
        <x:v>C0016870</x:v>
      </x:c>
      <x:c r="B666" s="1" t="n">
        <x:v>13</x:v>
      </x:c>
      <x:c r="C666" s="1" t="n">
        <x:v>73</x:v>
      </x:c>
      <x:c r="D666" s="6" t="n">
        <x:v>21430</x:v>
      </x:c>
      <x:c r="E666" s="6" t="n">
        <x:v>42860</x:v>
      </x:c>
      <x:c r="F666" s="6" t="n">
        <x:v>0</x:v>
      </x:c>
      <x:c r="G666" s="6" t="n">
        <x:v>42860</x:v>
      </x:c>
      <x:c r="H666" s="6" t="n">
        <x:v>21430</x:v>
      </x:c>
    </x:row>
    <x:row r="667" ht="21" customHeight="1">
      <x:c r="A667" s="1" t="str">
        <x:v>C0015916</x:v>
      </x:c>
      <x:c r="B667" s="1" t="n">
        <x:v>13</x:v>
      </x:c>
      <x:c r="C667" s="1" t="n">
        <x:v>73</x:v>
      </x:c>
      <x:c r="D667" s="6" t="n">
        <x:v>21430</x:v>
      </x:c>
      <x:c r="E667" s="6" t="n">
        <x:v>0</x:v>
      </x:c>
      <x:c r="F667" s="6" t="n">
        <x:v>0</x:v>
      </x:c>
      <x:c r="G667" s="6" t="n">
        <x:v>0</x:v>
      </x:c>
      <x:c r="H667" s="6" t="n">
        <x:v>-21430</x:v>
      </x:c>
    </x:row>
    <x:row r="668" ht="21" customHeight="1">
      <x:c r="A668" s="1" t="str">
        <x:v>C0017716</x:v>
      </x:c>
      <x:c r="B668" s="1" t="n">
        <x:v>21</x:v>
      </x:c>
      <x:c r="C668" s="1" t="n">
        <x:v>51</x:v>
      </x:c>
      <x:c r="D668" s="6" t="n">
        <x:v>21396</x:v>
      </x:c>
      <x:c r="E668" s="6" t="n">
        <x:v>0</x:v>
      </x:c>
      <x:c r="F668" s="6" t="n">
        <x:v>0</x:v>
      </x:c>
      <x:c r="G668" s="6" t="n">
        <x:v>0</x:v>
      </x:c>
      <x:c r="H668" s="6" t="n">
        <x:v>-21396</x:v>
      </x:c>
    </x:row>
    <x:row r="669" ht="21" customHeight="1">
      <x:c r="A669" s="1" t="str">
        <x:v>C0013830</x:v>
      </x:c>
      <x:c r="B669" s="1" t="n">
        <x:v>21</x:v>
      </x:c>
      <x:c r="C669" s="1" t="n">
        <x:v>51</x:v>
      </x:c>
      <x:c r="D669" s="6" t="n">
        <x:v>21396</x:v>
      </x:c>
      <x:c r="E669" s="6" t="n">
        <x:v>42792</x:v>
      </x:c>
      <x:c r="F669" s="6" t="n">
        <x:v>0</x:v>
      </x:c>
      <x:c r="G669" s="6" t="n">
        <x:v>42792</x:v>
      </x:c>
      <x:c r="H669" s="6" t="n">
        <x:v>21396</x:v>
      </x:c>
    </x:row>
    <x:row r="670" ht="21" customHeight="1">
      <x:c r="A670" s="1" t="str">
        <x:v>C0010465</x:v>
      </x:c>
      <x:c r="B670" s="1" t="n">
        <x:v>21</x:v>
      </x:c>
      <x:c r="C670" s="1" t="n">
        <x:v>51</x:v>
      </x:c>
      <x:c r="D670" s="6" t="n">
        <x:v>21396</x:v>
      </x:c>
      <x:c r="E670" s="6" t="n">
        <x:v>0</x:v>
      </x:c>
      <x:c r="F670" s="6" t="n">
        <x:v>0</x:v>
      </x:c>
      <x:c r="G670" s="6" t="n">
        <x:v>0</x:v>
      </x:c>
      <x:c r="H670" s="6" t="n">
        <x:v>-21396</x:v>
      </x:c>
    </x:row>
    <x:row r="671" ht="21" customHeight="1">
      <x:c r="A671" s="1" t="str">
        <x:v>C0016500</x:v>
      </x:c>
      <x:c r="B671" s="1" t="n">
        <x:v>21</x:v>
      </x:c>
      <x:c r="C671" s="1" t="n">
        <x:v>51</x:v>
      </x:c>
      <x:c r="D671" s="6" t="n">
        <x:v>21396</x:v>
      </x:c>
      <x:c r="E671" s="6" t="n">
        <x:v>42792</x:v>
      </x:c>
      <x:c r="F671" s="6" t="n">
        <x:v>0</x:v>
      </x:c>
      <x:c r="G671" s="6" t="n">
        <x:v>42792</x:v>
      </x:c>
      <x:c r="H671" s="6" t="n">
        <x:v>21396</x:v>
      </x:c>
    </x:row>
    <x:row r="672" ht="21" customHeight="1">
      <x:c r="A672" s="1" t="str">
        <x:v>C0000596</x:v>
      </x:c>
      <x:c r="B672" s="1" t="n">
        <x:v>21</x:v>
      </x:c>
      <x:c r="C672" s="1" t="n">
        <x:v>51</x:v>
      </x:c>
      <x:c r="D672" s="6" t="n">
        <x:v>0</x:v>
      </x:c>
      <x:c r="E672" s="6" t="n">
        <x:v>21396</x:v>
      </x:c>
      <x:c r="F672" s="6" t="n">
        <x:v>0</x:v>
      </x:c>
      <x:c r="G672" s="6" t="n">
        <x:v>21396</x:v>
      </x:c>
      <x:c r="H672" s="6" t="n">
        <x:v>21396</x:v>
      </x:c>
    </x:row>
    <x:row r="673" ht="21" customHeight="1">
      <x:c r="A673" s="1" t="str">
        <x:v>C0008836</x:v>
      </x:c>
      <x:c r="B673" s="1" t="n">
        <x:v>21</x:v>
      </x:c>
      <x:c r="C673" s="1" t="n">
        <x:v>51</x:v>
      </x:c>
      <x:c r="D673" s="6" t="n">
        <x:v>0</x:v>
      </x:c>
      <x:c r="E673" s="6" t="n">
        <x:v>21396</x:v>
      </x:c>
      <x:c r="F673" s="6" t="n">
        <x:v>0</x:v>
      </x:c>
      <x:c r="G673" s="6" t="n">
        <x:v>21396</x:v>
      </x:c>
      <x:c r="H673" s="6" t="n">
        <x:v>21396</x:v>
      </x:c>
    </x:row>
    <x:row r="674" ht="21" customHeight="1">
      <x:c r="A674" s="1" t="str">
        <x:v>C0001014</x:v>
      </x:c>
      <x:c r="B674" s="1" t="n">
        <x:v>21</x:v>
      </x:c>
      <x:c r="C674" s="1" t="n">
        <x:v>51</x:v>
      </x:c>
      <x:c r="D674" s="6" t="n">
        <x:v>21396</x:v>
      </x:c>
      <x:c r="E674" s="6" t="n">
        <x:v>42792</x:v>
      </x:c>
      <x:c r="F674" s="6" t="n">
        <x:v>0</x:v>
      </x:c>
      <x:c r="G674" s="6" t="n">
        <x:v>42792</x:v>
      </x:c>
      <x:c r="H674" s="6" t="n">
        <x:v>21396</x:v>
      </x:c>
    </x:row>
    <x:row r="675" ht="21" customHeight="1">
      <x:c r="A675" s="1" t="str">
        <x:v>C0016836</x:v>
      </x:c>
      <x:c r="B675" s="1" t="n">
        <x:v>19</x:v>
      </x:c>
      <x:c r="C675" s="1" t="n">
        <x:v>109</x:v>
      </x:c>
      <x:c r="D675" s="6" t="n">
        <x:v>21330</x:v>
      </x:c>
      <x:c r="E675" s="6" t="n">
        <x:v>0</x:v>
      </x:c>
      <x:c r="F675" s="6" t="n">
        <x:v>0</x:v>
      </x:c>
      <x:c r="G675" s="6" t="n">
        <x:v>0</x:v>
      </x:c>
      <x:c r="H675" s="6" t="n">
        <x:v>-21330</x:v>
      </x:c>
    </x:row>
    <x:row r="676" ht="21" customHeight="1">
      <x:c r="A676" s="1" t="str">
        <x:v>C0013474</x:v>
      </x:c>
      <x:c r="B676" s="1" t="n">
        <x:v>19</x:v>
      </x:c>
      <x:c r="C676" s="1" t="n">
        <x:v>109</x:v>
      </x:c>
      <x:c r="D676" s="6" t="n">
        <x:v>21330</x:v>
      </x:c>
      <x:c r="E676" s="6" t="n">
        <x:v>0</x:v>
      </x:c>
      <x:c r="F676" s="6" t="n">
        <x:v>0</x:v>
      </x:c>
      <x:c r="G676" s="6" t="n">
        <x:v>0</x:v>
      </x:c>
      <x:c r="H676" s="6" t="n">
        <x:v>-21330</x:v>
      </x:c>
    </x:row>
    <x:row r="677" ht="21" customHeight="1">
      <x:c r="A677" s="1" t="str">
        <x:v>C0012992</x:v>
      </x:c>
      <x:c r="B677" s="1" t="n">
        <x:v>19</x:v>
      </x:c>
      <x:c r="C677" s="1" t="n">
        <x:v>109</x:v>
      </x:c>
      <x:c r="D677" s="6" t="n">
        <x:v>21330</x:v>
      </x:c>
      <x:c r="E677" s="6" t="n">
        <x:v>0</x:v>
      </x:c>
      <x:c r="F677" s="6" t="n">
        <x:v>0</x:v>
      </x:c>
      <x:c r="G677" s="6" t="n">
        <x:v>0</x:v>
      </x:c>
      <x:c r="H677" s="6" t="n">
        <x:v>-21330</x:v>
      </x:c>
    </x:row>
    <x:row r="678" ht="21" customHeight="1">
      <x:c r="A678" s="1" t="str">
        <x:v>C0003301</x:v>
      </x:c>
      <x:c r="B678" s="1" t="n">
        <x:v>19</x:v>
      </x:c>
      <x:c r="C678" s="1" t="n">
        <x:v>109</x:v>
      </x:c>
      <x:c r="D678" s="6" t="n">
        <x:v>0</x:v>
      </x:c>
      <x:c r="E678" s="6" t="n">
        <x:v>21330</x:v>
      </x:c>
      <x:c r="F678" s="6" t="n">
        <x:v>0</x:v>
      </x:c>
      <x:c r="G678" s="6" t="n">
        <x:v>21330</x:v>
      </x:c>
      <x:c r="H678" s="6" t="n">
        <x:v>21330</x:v>
      </x:c>
    </x:row>
    <x:row r="679" ht="21" customHeight="1">
      <x:c r="A679" s="1" t="str">
        <x:v>C0004547</x:v>
      </x:c>
      <x:c r="B679" s="1" t="n">
        <x:v>12</x:v>
      </x:c>
      <x:c r="C679" s="1" t="n">
        <x:v>72</x:v>
      </x:c>
      <x:c r="D679" s="6" t="n">
        <x:v>21185</x:v>
      </x:c>
      <x:c r="E679" s="6" t="n">
        <x:v>0</x:v>
      </x:c>
      <x:c r="F679" s="6" t="n">
        <x:v>0</x:v>
      </x:c>
      <x:c r="G679" s="6" t="n">
        <x:v>0</x:v>
      </x:c>
      <x:c r="H679" s="6" t="n">
        <x:v>-21185</x:v>
      </x:c>
    </x:row>
    <x:row r="680" ht="21" customHeight="1">
      <x:c r="A680" s="1" t="str">
        <x:v>C0015089</x:v>
      </x:c>
      <x:c r="B680" s="1" t="n">
        <x:v>12</x:v>
      </x:c>
      <x:c r="C680" s="1" t="n">
        <x:v>72</x:v>
      </x:c>
      <x:c r="D680" s="6" t="n">
        <x:v>21185</x:v>
      </x:c>
      <x:c r="E680" s="6" t="n">
        <x:v>42370</x:v>
      </x:c>
      <x:c r="F680" s="6" t="n">
        <x:v>0</x:v>
      </x:c>
      <x:c r="G680" s="6" t="n">
        <x:v>42370</x:v>
      </x:c>
      <x:c r="H680" s="6" t="n">
        <x:v>21185</x:v>
      </x:c>
    </x:row>
    <x:row r="681" ht="21" customHeight="1">
      <x:c r="A681" s="1" t="str">
        <x:v>C0008206</x:v>
      </x:c>
      <x:c r="B681" s="1" t="n">
        <x:v>12</x:v>
      </x:c>
      <x:c r="C681" s="1" t="n">
        <x:v>72</x:v>
      </x:c>
      <x:c r="D681" s="6" t="n">
        <x:v>21185</x:v>
      </x:c>
      <x:c r="E681" s="6" t="n">
        <x:v>0</x:v>
      </x:c>
      <x:c r="F681" s="6" t="n">
        <x:v>0</x:v>
      </x:c>
      <x:c r="G681" s="6" t="n">
        <x:v>0</x:v>
      </x:c>
      <x:c r="H681" s="6" t="n">
        <x:v>-21185</x:v>
      </x:c>
    </x:row>
    <x:row r="682" ht="21" customHeight="1">
      <x:c r="A682" s="1" t="str">
        <x:v>C0004603</x:v>
      </x:c>
      <x:c r="B682" s="1" t="n">
        <x:v>12</x:v>
      </x:c>
      <x:c r="C682" s="1" t="n">
        <x:v>72</x:v>
      </x:c>
      <x:c r="D682" s="6" t="n">
        <x:v>0</x:v>
      </x:c>
      <x:c r="E682" s="6" t="n">
        <x:v>21185</x:v>
      </x:c>
      <x:c r="F682" s="6" t="n">
        <x:v>0</x:v>
      </x:c>
      <x:c r="G682" s="6" t="n">
        <x:v>21185</x:v>
      </x:c>
      <x:c r="H682" s="6" t="n">
        <x:v>21185</x:v>
      </x:c>
    </x:row>
    <x:row r="683" ht="21" customHeight="1">
      <x:c r="A683" s="1" t="str">
        <x:v>C0017957</x:v>
      </x:c>
      <x:c r="B683" s="1" t="n">
        <x:v>12</x:v>
      </x:c>
      <x:c r="C683" s="1" t="n">
        <x:v>72</x:v>
      </x:c>
      <x:c r="D683" s="6" t="n">
        <x:v>21185</x:v>
      </x:c>
      <x:c r="E683" s="6" t="n">
        <x:v>0</x:v>
      </x:c>
      <x:c r="F683" s="6" t="n">
        <x:v>0</x:v>
      </x:c>
      <x:c r="G683" s="6" t="n">
        <x:v>0</x:v>
      </x:c>
      <x:c r="H683" s="6" t="n">
        <x:v>-21185</x:v>
      </x:c>
    </x:row>
    <x:row r="684" ht="21" customHeight="1">
      <x:c r="A684" s="1" t="str">
        <x:v>C0005199</x:v>
      </x:c>
      <x:c r="B684" s="1" t="n">
        <x:v>12</x:v>
      </x:c>
      <x:c r="C684" s="1" t="n">
        <x:v>72</x:v>
      </x:c>
      <x:c r="D684" s="6" t="n">
        <x:v>21185</x:v>
      </x:c>
      <x:c r="E684" s="6" t="n">
        <x:v>42370</x:v>
      </x:c>
      <x:c r="F684" s="6" t="n">
        <x:v>0</x:v>
      </x:c>
      <x:c r="G684" s="6" t="n">
        <x:v>42370</x:v>
      </x:c>
      <x:c r="H684" s="6" t="n">
        <x:v>21185</x:v>
      </x:c>
    </x:row>
    <x:row r="685" ht="21" customHeight="1">
      <x:c r="A685" s="1" t="str">
        <x:v>C0015882</x:v>
      </x:c>
      <x:c r="B685" s="1" t="n">
        <x:v>12</x:v>
      </x:c>
      <x:c r="C685" s="1" t="n">
        <x:v>72</x:v>
      </x:c>
      <x:c r="D685" s="6" t="n">
        <x:v>21185</x:v>
      </x:c>
      <x:c r="E685" s="6" t="n">
        <x:v>42370</x:v>
      </x:c>
      <x:c r="F685" s="6" t="n">
        <x:v>0</x:v>
      </x:c>
      <x:c r="G685" s="6" t="n">
        <x:v>42370</x:v>
      </x:c>
      <x:c r="H685" s="6" t="n">
        <x:v>21185</x:v>
      </x:c>
    </x:row>
    <x:row r="686" ht="21" customHeight="1">
      <x:c r="A686" s="1" t="str">
        <x:v>C0011796</x:v>
      </x:c>
      <x:c r="B686" s="1" t="n">
        <x:v>12</x:v>
      </x:c>
      <x:c r="C686" s="1" t="n">
        <x:v>72</x:v>
      </x:c>
      <x:c r="D686" s="6" t="n">
        <x:v>21185</x:v>
      </x:c>
      <x:c r="E686" s="6" t="n">
        <x:v>42370</x:v>
      </x:c>
      <x:c r="F686" s="6" t="n">
        <x:v>0</x:v>
      </x:c>
      <x:c r="G686" s="6" t="n">
        <x:v>42370</x:v>
      </x:c>
      <x:c r="H686" s="6" t="n">
        <x:v>21185</x:v>
      </x:c>
    </x:row>
    <x:row r="687" ht="21" customHeight="1">
      <x:c r="A687" s="1" t="str">
        <x:v>C0008361</x:v>
      </x:c>
      <x:c r="B687" s="1" t="n">
        <x:v>12</x:v>
      </x:c>
      <x:c r="C687" s="1" t="n">
        <x:v>72</x:v>
      </x:c>
      <x:c r="D687" s="6" t="n">
        <x:v>21185</x:v>
      </x:c>
      <x:c r="E687" s="6" t="n">
        <x:v>0</x:v>
      </x:c>
      <x:c r="F687" s="6" t="n">
        <x:v>0</x:v>
      </x:c>
      <x:c r="G687" s="6" t="n">
        <x:v>0</x:v>
      </x:c>
      <x:c r="H687" s="6" t="n">
        <x:v>-21185</x:v>
      </x:c>
    </x:row>
    <x:row r="688" ht="21" customHeight="1">
      <x:c r="A688" s="1" t="str">
        <x:v>C0003956</x:v>
      </x:c>
      <x:c r="B688" s="1" t="n">
        <x:v>12</x:v>
      </x:c>
      <x:c r="C688" s="1" t="n">
        <x:v>72</x:v>
      </x:c>
      <x:c r="D688" s="6" t="n">
        <x:v>21185</x:v>
      </x:c>
      <x:c r="E688" s="6" t="n">
        <x:v>0</x:v>
      </x:c>
      <x:c r="F688" s="6" t="n">
        <x:v>0</x:v>
      </x:c>
      <x:c r="G688" s="6" t="n">
        <x:v>0</x:v>
      </x:c>
      <x:c r="H688" s="6" t="n">
        <x:v>-21185</x:v>
      </x:c>
    </x:row>
    <x:row r="689" ht="21" customHeight="1">
      <x:c r="A689" s="1" t="str">
        <x:v>C0010190</x:v>
      </x:c>
      <x:c r="B689" s="1" t="n">
        <x:v>3</x:v>
      </x:c>
      <x:c r="C689" s="1" t="n">
        <x:v>33</x:v>
      </x:c>
      <x:c r="D689" s="6" t="n">
        <x:v>21062</x:v>
      </x:c>
      <x:c r="E689" s="6" t="n">
        <x:v>42124</x:v>
      </x:c>
      <x:c r="F689" s="6" t="n">
        <x:v>0</x:v>
      </x:c>
      <x:c r="G689" s="6" t="n">
        <x:v>42124</x:v>
      </x:c>
      <x:c r="H689" s="6" t="n">
        <x:v>21062</x:v>
      </x:c>
    </x:row>
    <x:row r="690" ht="21" customHeight="1">
      <x:c r="A690" s="1" t="str">
        <x:v>C0015227</x:v>
      </x:c>
      <x:c r="B690" s="1" t="n">
        <x:v>3</x:v>
      </x:c>
      <x:c r="C690" s="1" t="n">
        <x:v>33</x:v>
      </x:c>
      <x:c r="D690" s="6" t="n">
        <x:v>21062</x:v>
      </x:c>
      <x:c r="E690" s="6" t="n">
        <x:v>0</x:v>
      </x:c>
      <x:c r="F690" s="6" t="n">
        <x:v>0</x:v>
      </x:c>
      <x:c r="G690" s="6" t="n">
        <x:v>0</x:v>
      </x:c>
      <x:c r="H690" s="6" t="n">
        <x:v>-21062</x:v>
      </x:c>
    </x:row>
    <x:row r="691" ht="21" customHeight="1">
      <x:c r="A691" s="1" t="str">
        <x:v>C0017181</x:v>
      </x:c>
      <x:c r="B691" s="1" t="n">
        <x:v>3</x:v>
      </x:c>
      <x:c r="C691" s="1" t="n">
        <x:v>33</x:v>
      </x:c>
      <x:c r="D691" s="6" t="n">
        <x:v>21062</x:v>
      </x:c>
      <x:c r="E691" s="6" t="n">
        <x:v>0</x:v>
      </x:c>
      <x:c r="F691" s="6" t="n">
        <x:v>0</x:v>
      </x:c>
      <x:c r="G691" s="6" t="n">
        <x:v>0</x:v>
      </x:c>
      <x:c r="H691" s="6" t="n">
        <x:v>-21062</x:v>
      </x:c>
    </x:row>
    <x:row r="692" ht="21" customHeight="1">
      <x:c r="A692" s="1" t="str">
        <x:v>C0013035</x:v>
      </x:c>
      <x:c r="B692" s="1" t="n">
        <x:v>3</x:v>
      </x:c>
      <x:c r="C692" s="1" t="n">
        <x:v>33</x:v>
      </x:c>
      <x:c r="D692" s="6" t="n">
        <x:v>21062</x:v>
      </x:c>
      <x:c r="E692" s="6" t="n">
        <x:v>0</x:v>
      </x:c>
      <x:c r="F692" s="6" t="n">
        <x:v>0</x:v>
      </x:c>
      <x:c r="G692" s="6" t="n">
        <x:v>0</x:v>
      </x:c>
      <x:c r="H692" s="6" t="n">
        <x:v>-21062</x:v>
      </x:c>
    </x:row>
    <x:row r="693" ht="21" customHeight="1">
      <x:c r="A693" s="1" t="str">
        <x:v>C0002074</x:v>
      </x:c>
      <x:c r="B693" s="1" t="n">
        <x:v>3</x:v>
      </x:c>
      <x:c r="C693" s="1" t="n">
        <x:v>33</x:v>
      </x:c>
      <x:c r="D693" s="6" t="n">
        <x:v>21062</x:v>
      </x:c>
      <x:c r="E693" s="6" t="n">
        <x:v>0</x:v>
      </x:c>
      <x:c r="F693" s="6" t="n">
        <x:v>0</x:v>
      </x:c>
      <x:c r="G693" s="6" t="n">
        <x:v>0</x:v>
      </x:c>
      <x:c r="H693" s="6" t="n">
        <x:v>-21062</x:v>
      </x:c>
    </x:row>
    <x:row r="694" ht="21" customHeight="1">
      <x:c r="A694" s="1" t="str">
        <x:v>C0005618</x:v>
      </x:c>
      <x:c r="B694" s="1" t="n">
        <x:v>30</x:v>
      </x:c>
      <x:c r="C694" s="1" t="n">
        <x:v>30</x:v>
      </x:c>
      <x:c r="D694" s="6" t="n">
        <x:v>20962</x:v>
      </x:c>
      <x:c r="E694" s="6" t="n">
        <x:v>41924</x:v>
      </x:c>
      <x:c r="F694" s="6" t="n">
        <x:v>0</x:v>
      </x:c>
      <x:c r="G694" s="6" t="n">
        <x:v>41924</x:v>
      </x:c>
      <x:c r="H694" s="6" t="n">
        <x:v>20962</x:v>
      </x:c>
    </x:row>
    <x:row r="695" ht="21" customHeight="1">
      <x:c r="A695" s="1" t="str">
        <x:v>C0001802</x:v>
      </x:c>
      <x:c r="B695" s="1" t="n">
        <x:v>30</x:v>
      </x:c>
      <x:c r="C695" s="1" t="n">
        <x:v>30</x:v>
      </x:c>
      <x:c r="D695" s="6" t="n">
        <x:v>20962</x:v>
      </x:c>
      <x:c r="E695" s="6" t="n">
        <x:v>41924</x:v>
      </x:c>
      <x:c r="F695" s="6" t="n">
        <x:v>0</x:v>
      </x:c>
      <x:c r="G695" s="6" t="n">
        <x:v>41924</x:v>
      </x:c>
      <x:c r="H695" s="6" t="n">
        <x:v>20962</x:v>
      </x:c>
    </x:row>
    <x:row r="696" ht="21" customHeight="1">
      <x:c r="A696" s="1" t="str">
        <x:v>C0016108</x:v>
      </x:c>
      <x:c r="B696" s="1" t="n">
        <x:v>30</x:v>
      </x:c>
      <x:c r="C696" s="1" t="n">
        <x:v>30</x:v>
      </x:c>
      <x:c r="D696" s="6" t="n">
        <x:v>0</x:v>
      </x:c>
      <x:c r="E696" s="6" t="n">
        <x:v>20962</x:v>
      </x:c>
      <x:c r="F696" s="6" t="n">
        <x:v>0</x:v>
      </x:c>
      <x:c r="G696" s="6" t="n">
        <x:v>20962</x:v>
      </x:c>
      <x:c r="H696" s="6" t="n">
        <x:v>20962</x:v>
      </x:c>
    </x:row>
    <x:row r="697" ht="21" customHeight="1">
      <x:c r="A697" s="1" t="str">
        <x:v>C0002819</x:v>
      </x:c>
      <x:c r="B697" s="1" t="n">
        <x:v>30</x:v>
      </x:c>
      <x:c r="C697" s="1" t="n">
        <x:v>30</x:v>
      </x:c>
      <x:c r="D697" s="6" t="n">
        <x:v>20962</x:v>
      </x:c>
      <x:c r="E697" s="6" t="n">
        <x:v>41924</x:v>
      </x:c>
      <x:c r="F697" s="6" t="n">
        <x:v>0</x:v>
      </x:c>
      <x:c r="G697" s="6" t="n">
        <x:v>41924</x:v>
      </x:c>
      <x:c r="H697" s="6" t="n">
        <x:v>20962</x:v>
      </x:c>
    </x:row>
    <x:row r="698" ht="21" customHeight="1">
      <x:c r="A698" s="1" t="str">
        <x:v>C0005647</x:v>
      </x:c>
      <x:c r="B698" s="1" t="n">
        <x:v>30</x:v>
      </x:c>
      <x:c r="C698" s="1" t="n">
        <x:v>30</x:v>
      </x:c>
      <x:c r="D698" s="6" t="n">
        <x:v>20962</x:v>
      </x:c>
      <x:c r="E698" s="6" t="n">
        <x:v>41924</x:v>
      </x:c>
      <x:c r="F698" s="6" t="n">
        <x:v>0</x:v>
      </x:c>
      <x:c r="G698" s="6" t="n">
        <x:v>41924</x:v>
      </x:c>
      <x:c r="H698" s="6" t="n">
        <x:v>20962</x:v>
      </x:c>
    </x:row>
    <x:row r="699" ht="21" customHeight="1">
      <x:c r="A699" s="1" t="str">
        <x:v>C0011663</x:v>
      </x:c>
      <x:c r="B699" s="1" t="n">
        <x:v>30</x:v>
      </x:c>
      <x:c r="C699" s="1" t="n">
        <x:v>30</x:v>
      </x:c>
      <x:c r="D699" s="6" t="n">
        <x:v>20962</x:v>
      </x:c>
      <x:c r="E699" s="6" t="n">
        <x:v>0</x:v>
      </x:c>
      <x:c r="F699" s="6" t="n">
        <x:v>0</x:v>
      </x:c>
      <x:c r="G699" s="6" t="n">
        <x:v>0</x:v>
      </x:c>
      <x:c r="H699" s="6" t="n">
        <x:v>-20962</x:v>
      </x:c>
    </x:row>
    <x:row r="700" ht="21" customHeight="1">
      <x:c r="A700" s="1" t="str">
        <x:v>C0003648</x:v>
      </x:c>
      <x:c r="B700" s="1" t="n">
        <x:v>30</x:v>
      </x:c>
      <x:c r="C700" s="1" t="n">
        <x:v>30</x:v>
      </x:c>
      <x:c r="D700" s="6" t="n">
        <x:v>20962</x:v>
      </x:c>
      <x:c r="E700" s="6" t="n">
        <x:v>41924</x:v>
      </x:c>
      <x:c r="F700" s="6" t="n">
        <x:v>0</x:v>
      </x:c>
      <x:c r="G700" s="6" t="n">
        <x:v>41924</x:v>
      </x:c>
      <x:c r="H700" s="6" t="n">
        <x:v>20962</x:v>
      </x:c>
    </x:row>
    <x:row r="701" ht="21" customHeight="1">
      <x:c r="A701" s="1" t="str">
        <x:v>C0004705</x:v>
      </x:c>
      <x:c r="B701" s="1" t="n">
        <x:v>30</x:v>
      </x:c>
      <x:c r="C701" s="1" t="n">
        <x:v>30</x:v>
      </x:c>
      <x:c r="D701" s="6" t="n">
        <x:v>20962</x:v>
      </x:c>
      <x:c r="E701" s="6" t="n">
        <x:v>41924</x:v>
      </x:c>
      <x:c r="F701" s="6" t="n">
        <x:v>0</x:v>
      </x:c>
      <x:c r="G701" s="6" t="n">
        <x:v>41924</x:v>
      </x:c>
      <x:c r="H701" s="6" t="n">
        <x:v>20962</x:v>
      </x:c>
    </x:row>
    <x:row r="702" ht="21" customHeight="1">
      <x:c r="A702" s="1" t="str">
        <x:v>C0005347</x:v>
      </x:c>
      <x:c r="B702" s="1" t="n">
        <x:v>30</x:v>
      </x:c>
      <x:c r="C702" s="1" t="n">
        <x:v>30</x:v>
      </x:c>
      <x:c r="D702" s="6" t="n">
        <x:v>20962</x:v>
      </x:c>
      <x:c r="E702" s="6" t="n">
        <x:v>0</x:v>
      </x:c>
      <x:c r="F702" s="6" t="n">
        <x:v>0</x:v>
      </x:c>
      <x:c r="G702" s="6" t="n">
        <x:v>0</x:v>
      </x:c>
      <x:c r="H702" s="6" t="n">
        <x:v>-20962</x:v>
      </x:c>
    </x:row>
    <x:row r="703" ht="21" customHeight="1">
      <x:c r="A703" s="1" t="str">
        <x:v>C0008687</x:v>
      </x:c>
      <x:c r="B703" s="1" t="n">
        <x:v>30</x:v>
      </x:c>
      <x:c r="C703" s="1" t="n">
        <x:v>30</x:v>
      </x:c>
      <x:c r="D703" s="6" t="n">
        <x:v>20962</x:v>
      </x:c>
      <x:c r="E703" s="6" t="n">
        <x:v>0</x:v>
      </x:c>
      <x:c r="F703" s="6" t="n">
        <x:v>0</x:v>
      </x:c>
      <x:c r="G703" s="6" t="n">
        <x:v>0</x:v>
      </x:c>
      <x:c r="H703" s="6" t="n">
        <x:v>-20962</x:v>
      </x:c>
    </x:row>
    <x:row r="704" ht="21" customHeight="1">
      <x:c r="A704" s="1" t="str">
        <x:v>C0014765</x:v>
      </x:c>
      <x:c r="B704" s="1" t="n">
        <x:v>11</x:v>
      </x:c>
      <x:c r="C704" s="1" t="n">
        <x:v>41</x:v>
      </x:c>
      <x:c r="D704" s="6" t="n">
        <x:v>20903</x:v>
      </x:c>
      <x:c r="E704" s="6" t="n">
        <x:v>41806</x:v>
      </x:c>
      <x:c r="F704" s="6" t="n">
        <x:v>0</x:v>
      </x:c>
      <x:c r="G704" s="6" t="n">
        <x:v>41806</x:v>
      </x:c>
      <x:c r="H704" s="6" t="n">
        <x:v>20903</x:v>
      </x:c>
    </x:row>
    <x:row r="705" ht="21" customHeight="1">
      <x:c r="A705" s="1" t="str">
        <x:v>C0000122</x:v>
      </x:c>
      <x:c r="B705" s="1" t="n">
        <x:v>11</x:v>
      </x:c>
      <x:c r="C705" s="1" t="n">
        <x:v>41</x:v>
      </x:c>
      <x:c r="D705" s="6" t="n">
        <x:v>20903</x:v>
      </x:c>
      <x:c r="E705" s="6" t="n">
        <x:v>0</x:v>
      </x:c>
      <x:c r="F705" s="6" t="n">
        <x:v>0</x:v>
      </x:c>
      <x:c r="G705" s="6" t="n">
        <x:v>0</x:v>
      </x:c>
      <x:c r="H705" s="6" t="n">
        <x:v>-20903</x:v>
      </x:c>
    </x:row>
    <x:row r="706" ht="21" customHeight="1">
      <x:c r="A706" s="1" t="str">
        <x:v>C0016382</x:v>
      </x:c>
      <x:c r="B706" s="1" t="n">
        <x:v>11</x:v>
      </x:c>
      <x:c r="C706" s="1" t="n">
        <x:v>41</x:v>
      </x:c>
      <x:c r="D706" s="6" t="n">
        <x:v>20903</x:v>
      </x:c>
      <x:c r="E706" s="6" t="n">
        <x:v>41806</x:v>
      </x:c>
      <x:c r="F706" s="6" t="n">
        <x:v>0</x:v>
      </x:c>
      <x:c r="G706" s="6" t="n">
        <x:v>41806</x:v>
      </x:c>
      <x:c r="H706" s="6" t="n">
        <x:v>20903</x:v>
      </x:c>
    </x:row>
    <x:row r="707" ht="21" customHeight="1">
      <x:c r="A707" s="1" t="str">
        <x:v>C0013992</x:v>
      </x:c>
      <x:c r="B707" s="1" t="n">
        <x:v>11</x:v>
      </x:c>
      <x:c r="C707" s="1" t="n">
        <x:v>41</x:v>
      </x:c>
      <x:c r="D707" s="6" t="n">
        <x:v>0</x:v>
      </x:c>
      <x:c r="E707" s="6" t="n">
        <x:v>20903</x:v>
      </x:c>
      <x:c r="F707" s="6" t="n">
        <x:v>0</x:v>
      </x:c>
      <x:c r="G707" s="6" t="n">
        <x:v>20903</x:v>
      </x:c>
      <x:c r="H707" s="6" t="n">
        <x:v>20903</x:v>
      </x:c>
    </x:row>
    <x:row r="708" ht="21" customHeight="1">
      <x:c r="A708" s="1" t="str">
        <x:v>C0006755</x:v>
      </x:c>
      <x:c r="B708" s="1" t="n">
        <x:v>11</x:v>
      </x:c>
      <x:c r="C708" s="1" t="n">
        <x:v>41</x:v>
      </x:c>
      <x:c r="D708" s="6" t="n">
        <x:v>20903</x:v>
      </x:c>
      <x:c r="E708" s="6" t="n">
        <x:v>41806</x:v>
      </x:c>
      <x:c r="F708" s="6" t="n">
        <x:v>0</x:v>
      </x:c>
      <x:c r="G708" s="6" t="n">
        <x:v>41806</x:v>
      </x:c>
      <x:c r="H708" s="6" t="n">
        <x:v>20903</x:v>
      </x:c>
    </x:row>
    <x:row r="709" ht="21" customHeight="1">
      <x:c r="A709" s="1" t="str">
        <x:v>C0001571</x:v>
      </x:c>
      <x:c r="B709" s="1" t="n">
        <x:v>11</x:v>
      </x:c>
      <x:c r="C709" s="1" t="n">
        <x:v>41</x:v>
      </x:c>
      <x:c r="D709" s="6" t="n">
        <x:v>20903</x:v>
      </x:c>
      <x:c r="E709" s="6" t="n">
        <x:v>0</x:v>
      </x:c>
      <x:c r="F709" s="6" t="n">
        <x:v>0</x:v>
      </x:c>
      <x:c r="G709" s="6" t="n">
        <x:v>0</x:v>
      </x:c>
      <x:c r="H709" s="6" t="n">
        <x:v>-20903</x:v>
      </x:c>
    </x:row>
    <x:row r="710" ht="21" customHeight="1">
      <x:c r="A710" s="1" t="str">
        <x:v>C0005212</x:v>
      </x:c>
      <x:c r="B710" s="1" t="n">
        <x:v>11</x:v>
      </x:c>
      <x:c r="C710" s="1" t="n">
        <x:v>41</x:v>
      </x:c>
      <x:c r="D710" s="6" t="n">
        <x:v>20903</x:v>
      </x:c>
      <x:c r="E710" s="6" t="n">
        <x:v>0</x:v>
      </x:c>
      <x:c r="F710" s="6" t="n">
        <x:v>0</x:v>
      </x:c>
      <x:c r="G710" s="6" t="n">
        <x:v>0</x:v>
      </x:c>
      <x:c r="H710" s="6" t="n">
        <x:v>-20903</x:v>
      </x:c>
    </x:row>
    <x:row r="711" ht="21" customHeight="1">
      <x:c r="A711" s="1" t="str">
        <x:v>C0012603</x:v>
      </x:c>
      <x:c r="B711" s="1" t="n">
        <x:v>11</x:v>
      </x:c>
      <x:c r="C711" s="1" t="n">
        <x:v>41</x:v>
      </x:c>
      <x:c r="D711" s="6" t="n">
        <x:v>20903</x:v>
      </x:c>
      <x:c r="E711" s="6" t="n">
        <x:v>41806</x:v>
      </x:c>
      <x:c r="F711" s="6" t="n">
        <x:v>0</x:v>
      </x:c>
      <x:c r="G711" s="6" t="n">
        <x:v>41806</x:v>
      </x:c>
      <x:c r="H711" s="6" t="n">
        <x:v>20903</x:v>
      </x:c>
    </x:row>
    <x:row r="712" ht="21" customHeight="1">
      <x:c r="A712" s="1" t="str">
        <x:v>C0014444</x:v>
      </x:c>
      <x:c r="B712" s="1" t="n">
        <x:v>28</x:v>
      </x:c>
      <x:c r="C712" s="1" t="n">
        <x:v>28</x:v>
      </x:c>
      <x:c r="D712" s="6" t="n">
        <x:v>20696</x:v>
      </x:c>
      <x:c r="E712" s="6" t="n">
        <x:v>41392</x:v>
      </x:c>
      <x:c r="F712" s="6" t="n">
        <x:v>0</x:v>
      </x:c>
      <x:c r="G712" s="6" t="n">
        <x:v>41392</x:v>
      </x:c>
      <x:c r="H712" s="6" t="n">
        <x:v>20696</x:v>
      </x:c>
    </x:row>
    <x:row r="713" ht="21" customHeight="1">
      <x:c r="A713" s="1" t="str">
        <x:v>C0002231</x:v>
      </x:c>
      <x:c r="B713" s="1" t="n">
        <x:v>28</x:v>
      </x:c>
      <x:c r="C713" s="1" t="n">
        <x:v>28</x:v>
      </x:c>
      <x:c r="D713" s="6" t="n">
        <x:v>20696</x:v>
      </x:c>
      <x:c r="E713" s="6" t="n">
        <x:v>41392</x:v>
      </x:c>
      <x:c r="F713" s="6" t="n">
        <x:v>0</x:v>
      </x:c>
      <x:c r="G713" s="6" t="n">
        <x:v>41392</x:v>
      </x:c>
      <x:c r="H713" s="6" t="n">
        <x:v>20696</x:v>
      </x:c>
    </x:row>
    <x:row r="714" ht="21" customHeight="1">
      <x:c r="A714" s="1" t="str">
        <x:v>C0012941</x:v>
      </x:c>
      <x:c r="B714" s="1" t="n">
        <x:v>28</x:v>
      </x:c>
      <x:c r="C714" s="1" t="n">
        <x:v>28</x:v>
      </x:c>
      <x:c r="D714" s="6" t="n">
        <x:v>20696</x:v>
      </x:c>
      <x:c r="E714" s="6" t="n">
        <x:v>41392</x:v>
      </x:c>
      <x:c r="F714" s="6" t="n">
        <x:v>0</x:v>
      </x:c>
      <x:c r="G714" s="6" t="n">
        <x:v>41392</x:v>
      </x:c>
      <x:c r="H714" s="6" t="n">
        <x:v>20696</x:v>
      </x:c>
    </x:row>
    <x:row r="715" ht="21" customHeight="1">
      <x:c r="A715" s="1" t="str">
        <x:v>C0005313</x:v>
      </x:c>
      <x:c r="B715" s="1" t="n">
        <x:v>28</x:v>
      </x:c>
      <x:c r="C715" s="1" t="n">
        <x:v>28</x:v>
      </x:c>
      <x:c r="D715" s="6" t="n">
        <x:v>20696</x:v>
      </x:c>
      <x:c r="E715" s="6" t="n">
        <x:v>0</x:v>
      </x:c>
      <x:c r="F715" s="6" t="n">
        <x:v>0</x:v>
      </x:c>
      <x:c r="G715" s="6" t="n">
        <x:v>0</x:v>
      </x:c>
      <x:c r="H715" s="6" t="n">
        <x:v>-20696</x:v>
      </x:c>
    </x:row>
    <x:row r="716" ht="21" customHeight="1">
      <x:c r="A716" s="1" t="str">
        <x:v>C0000495</x:v>
      </x:c>
      <x:c r="B716" s="1" t="n">
        <x:v>28</x:v>
      </x:c>
      <x:c r="C716" s="1" t="n">
        <x:v>28</x:v>
      </x:c>
      <x:c r="D716" s="6" t="n">
        <x:v>20696</x:v>
      </x:c>
      <x:c r="E716" s="6" t="n">
        <x:v>41392</x:v>
      </x:c>
      <x:c r="F716" s="6" t="n">
        <x:v>0</x:v>
      </x:c>
      <x:c r="G716" s="6" t="n">
        <x:v>41392</x:v>
      </x:c>
      <x:c r="H716" s="6" t="n">
        <x:v>20696</x:v>
      </x:c>
    </x:row>
    <x:row r="717" ht="21" customHeight="1">
      <x:c r="A717" s="1" t="str">
        <x:v>C0012871</x:v>
      </x:c>
      <x:c r="B717" s="1" t="n">
        <x:v>28</x:v>
      </x:c>
      <x:c r="C717" s="1" t="n">
        <x:v>28</x:v>
      </x:c>
      <x:c r="D717" s="6" t="n">
        <x:v>20696</x:v>
      </x:c>
      <x:c r="E717" s="6" t="n">
        <x:v>0</x:v>
      </x:c>
      <x:c r="F717" s="6" t="n">
        <x:v>0</x:v>
      </x:c>
      <x:c r="G717" s="6" t="n">
        <x:v>0</x:v>
      </x:c>
      <x:c r="H717" s="6" t="n">
        <x:v>-20696</x:v>
      </x:c>
    </x:row>
    <x:row r="718" ht="21" customHeight="1">
      <x:c r="A718" s="1" t="str">
        <x:v>C0014318</x:v>
      </x:c>
      <x:c r="B718" s="1" t="n">
        <x:v>28</x:v>
      </x:c>
      <x:c r="C718" s="1" t="n">
        <x:v>28</x:v>
      </x:c>
      <x:c r="D718" s="6" t="n">
        <x:v>20696</x:v>
      </x:c>
      <x:c r="E718" s="6" t="n">
        <x:v>41392</x:v>
      </x:c>
      <x:c r="F718" s="6" t="n">
        <x:v>0</x:v>
      </x:c>
      <x:c r="G718" s="6" t="n">
        <x:v>41392</x:v>
      </x:c>
      <x:c r="H718" s="6" t="n">
        <x:v>20696</x:v>
      </x:c>
    </x:row>
    <x:row r="719" ht="21" customHeight="1">
      <x:c r="A719" s="1" t="str">
        <x:v>C0015272</x:v>
      </x:c>
      <x:c r="B719" s="1" t="n">
        <x:v>28</x:v>
      </x:c>
      <x:c r="C719" s="1" t="n">
        <x:v>28</x:v>
      </x:c>
      <x:c r="D719" s="6" t="n">
        <x:v>20696</x:v>
      </x:c>
      <x:c r="E719" s="6" t="n">
        <x:v>41392</x:v>
      </x:c>
      <x:c r="F719" s="6" t="n">
        <x:v>0</x:v>
      </x:c>
      <x:c r="G719" s="6" t="n">
        <x:v>41392</x:v>
      </x:c>
      <x:c r="H719" s="6" t="n">
        <x:v>20696</x:v>
      </x:c>
    </x:row>
    <x:row r="720" ht="21" customHeight="1">
      <x:c r="A720" s="1" t="str">
        <x:v>C0004793</x:v>
      </x:c>
      <x:c r="B720" s="1" t="n">
        <x:v>24</x:v>
      </x:c>
      <x:c r="C720" s="1" t="n">
        <x:v>54</x:v>
      </x:c>
      <x:c r="D720" s="6" t="n">
        <x:v>20682</x:v>
      </x:c>
      <x:c r="E720" s="6" t="n">
        <x:v>0</x:v>
      </x:c>
      <x:c r="F720" s="6" t="n">
        <x:v>0</x:v>
      </x:c>
      <x:c r="G720" s="6" t="n">
        <x:v>0</x:v>
      </x:c>
      <x:c r="H720" s="6" t="n">
        <x:v>-20682</x:v>
      </x:c>
    </x:row>
    <x:row r="721" ht="21" customHeight="1">
      <x:c r="A721" s="1" t="str">
        <x:v>C0006746</x:v>
      </x:c>
      <x:c r="B721" s="1" t="n">
        <x:v>24</x:v>
      </x:c>
      <x:c r="C721" s="1" t="n">
        <x:v>54</x:v>
      </x:c>
      <x:c r="D721" s="6" t="n">
        <x:v>20682</x:v>
      </x:c>
      <x:c r="E721" s="6" t="n">
        <x:v>0</x:v>
      </x:c>
      <x:c r="F721" s="6" t="n">
        <x:v>0</x:v>
      </x:c>
      <x:c r="G721" s="6" t="n">
        <x:v>0</x:v>
      </x:c>
      <x:c r="H721" s="6" t="n">
        <x:v>-20682</x:v>
      </x:c>
    </x:row>
    <x:row r="722" ht="21" customHeight="1">
      <x:c r="A722" s="1" t="str">
        <x:v>C0002547</x:v>
      </x:c>
      <x:c r="B722" s="1" t="n">
        <x:v>24</x:v>
      </x:c>
      <x:c r="C722" s="1" t="n">
        <x:v>54</x:v>
      </x:c>
      <x:c r="D722" s="6" t="n">
        <x:v>20682</x:v>
      </x:c>
      <x:c r="E722" s="6" t="n">
        <x:v>41364</x:v>
      </x:c>
      <x:c r="F722" s="6" t="n">
        <x:v>0</x:v>
      </x:c>
      <x:c r="G722" s="6" t="n">
        <x:v>41364</x:v>
      </x:c>
      <x:c r="H722" s="6" t="n">
        <x:v>20682</x:v>
      </x:c>
    </x:row>
    <x:row r="723" ht="21" customHeight="1">
      <x:c r="A723" s="1" t="str">
        <x:v>C0001055</x:v>
      </x:c>
      <x:c r="B723" s="1" t="n">
        <x:v>24</x:v>
      </x:c>
      <x:c r="C723" s="1" t="n">
        <x:v>54</x:v>
      </x:c>
      <x:c r="D723" s="6" t="n">
        <x:v>20682</x:v>
      </x:c>
      <x:c r="E723" s="6" t="n">
        <x:v>41364</x:v>
      </x:c>
      <x:c r="F723" s="6" t="n">
        <x:v>0</x:v>
      </x:c>
      <x:c r="G723" s="6" t="n">
        <x:v>41364</x:v>
      </x:c>
      <x:c r="H723" s="6" t="n">
        <x:v>20682</x:v>
      </x:c>
    </x:row>
    <x:row r="724" ht="21" customHeight="1">
      <x:c r="A724" s="1" t="str">
        <x:v>C0011364</x:v>
      </x:c>
      <x:c r="B724" s="1" t="n">
        <x:v>24</x:v>
      </x:c>
      <x:c r="C724" s="1" t="n">
        <x:v>54</x:v>
      </x:c>
      <x:c r="D724" s="6" t="n">
        <x:v>20682</x:v>
      </x:c>
      <x:c r="E724" s="6" t="n">
        <x:v>41364</x:v>
      </x:c>
      <x:c r="F724" s="6" t="n">
        <x:v>0</x:v>
      </x:c>
      <x:c r="G724" s="6" t="n">
        <x:v>41364</x:v>
      </x:c>
      <x:c r="H724" s="6" t="n">
        <x:v>20682</x:v>
      </x:c>
    </x:row>
    <x:row r="725" ht="21" customHeight="1">
      <x:c r="A725" s="1" t="str">
        <x:v>C0008752</x:v>
      </x:c>
      <x:c r="B725" s="1" t="n">
        <x:v>24</x:v>
      </x:c>
      <x:c r="C725" s="1" t="n">
        <x:v>54</x:v>
      </x:c>
      <x:c r="D725" s="6" t="n">
        <x:v>0</x:v>
      </x:c>
      <x:c r="E725" s="6" t="n">
        <x:v>20682</x:v>
      </x:c>
      <x:c r="F725" s="6" t="n">
        <x:v>0</x:v>
      </x:c>
      <x:c r="G725" s="6" t="n">
        <x:v>20682</x:v>
      </x:c>
      <x:c r="H725" s="6" t="n">
        <x:v>20682</x:v>
      </x:c>
    </x:row>
    <x:row r="726" ht="21" customHeight="1">
      <x:c r="A726" s="1" t="str">
        <x:v>C0011760</x:v>
      </x:c>
      <x:c r="B726" s="1" t="n">
        <x:v>24</x:v>
      </x:c>
      <x:c r="C726" s="1" t="n">
        <x:v>54</x:v>
      </x:c>
      <x:c r="D726" s="6" t="n">
        <x:v>20682</x:v>
      </x:c>
      <x:c r="E726" s="6" t="n">
        <x:v>41364</x:v>
      </x:c>
      <x:c r="F726" s="6" t="n">
        <x:v>0</x:v>
      </x:c>
      <x:c r="G726" s="6" t="n">
        <x:v>41364</x:v>
      </x:c>
      <x:c r="H726" s="6" t="n">
        <x:v>20682</x:v>
      </x:c>
    </x:row>
    <x:row r="727" ht="21" customHeight="1">
      <x:c r="A727" s="1" t="str">
        <x:v>C0015791</x:v>
      </x:c>
      <x:c r="B727" s="1" t="n">
        <x:v>10</x:v>
      </x:c>
      <x:c r="C727" s="1" t="n">
        <x:v>10</x:v>
      </x:c>
      <x:c r="D727" s="6" t="n">
        <x:v>20678</x:v>
      </x:c>
      <x:c r="E727" s="6" t="n">
        <x:v>41356</x:v>
      </x:c>
      <x:c r="F727" s="6" t="n">
        <x:v>0</x:v>
      </x:c>
      <x:c r="G727" s="6" t="n">
        <x:v>41356</x:v>
      </x:c>
      <x:c r="H727" s="6" t="n">
        <x:v>20678</x:v>
      </x:c>
    </x:row>
    <x:row r="728" ht="21" customHeight="1">
      <x:c r="A728" s="1" t="str">
        <x:v>C0015650</x:v>
      </x:c>
      <x:c r="B728" s="1" t="n">
        <x:v>10</x:v>
      </x:c>
      <x:c r="C728" s="1" t="n">
        <x:v>10</x:v>
      </x:c>
      <x:c r="D728" s="6" t="n">
        <x:v>20678</x:v>
      </x:c>
      <x:c r="E728" s="6" t="n">
        <x:v>41356</x:v>
      </x:c>
      <x:c r="F728" s="6" t="n">
        <x:v>0</x:v>
      </x:c>
      <x:c r="G728" s="6" t="n">
        <x:v>41356</x:v>
      </x:c>
      <x:c r="H728" s="6" t="n">
        <x:v>20678</x:v>
      </x:c>
    </x:row>
    <x:row r="729" ht="21" customHeight="1">
      <x:c r="A729" s="1" t="str">
        <x:v>C0014486</x:v>
      </x:c>
      <x:c r="B729" s="1" t="n">
        <x:v>10</x:v>
      </x:c>
      <x:c r="C729" s="1" t="n">
        <x:v>10</x:v>
      </x:c>
      <x:c r="D729" s="6" t="n">
        <x:v>20678</x:v>
      </x:c>
      <x:c r="E729" s="6" t="n">
        <x:v>41356</x:v>
      </x:c>
      <x:c r="F729" s="6" t="n">
        <x:v>0</x:v>
      </x:c>
      <x:c r="G729" s="6" t="n">
        <x:v>41356</x:v>
      </x:c>
      <x:c r="H729" s="6" t="n">
        <x:v>20678</x:v>
      </x:c>
    </x:row>
    <x:row r="730" ht="21" customHeight="1">
      <x:c r="A730" s="1" t="str">
        <x:v>C0008345</x:v>
      </x:c>
      <x:c r="B730" s="1" t="n">
        <x:v>10</x:v>
      </x:c>
      <x:c r="C730" s="1" t="n">
        <x:v>10</x:v>
      </x:c>
      <x:c r="D730" s="6" t="n">
        <x:v>20678</x:v>
      </x:c>
      <x:c r="E730" s="6" t="n">
        <x:v>41356</x:v>
      </x:c>
      <x:c r="F730" s="6" t="n">
        <x:v>0</x:v>
      </x:c>
      <x:c r="G730" s="6" t="n">
        <x:v>41356</x:v>
      </x:c>
      <x:c r="H730" s="6" t="n">
        <x:v>20678</x:v>
      </x:c>
    </x:row>
    <x:row r="731" ht="21" customHeight="1">
      <x:c r="A731" s="1" t="str">
        <x:v>C0001176</x:v>
      </x:c>
      <x:c r="B731" s="1" t="n">
        <x:v>10</x:v>
      </x:c>
      <x:c r="C731" s="1" t="n">
        <x:v>10</x:v>
      </x:c>
      <x:c r="D731" s="6" t="n">
        <x:v>20678</x:v>
      </x:c>
      <x:c r="E731" s="6" t="n">
        <x:v>0</x:v>
      </x:c>
      <x:c r="F731" s="6" t="n">
        <x:v>0</x:v>
      </x:c>
      <x:c r="G731" s="6" t="n">
        <x:v>0</x:v>
      </x:c>
      <x:c r="H731" s="6" t="n">
        <x:v>-20678</x:v>
      </x:c>
    </x:row>
    <x:row r="732" ht="21" customHeight="1">
      <x:c r="A732" s="1" t="str">
        <x:v>C0009999</x:v>
      </x:c>
      <x:c r="B732" s="1" t="n">
        <x:v>10</x:v>
      </x:c>
      <x:c r="C732" s="1" t="n">
        <x:v>10</x:v>
      </x:c>
      <x:c r="D732" s="6" t="n">
        <x:v>20678</x:v>
      </x:c>
      <x:c r="E732" s="6" t="n">
        <x:v>41356</x:v>
      </x:c>
      <x:c r="F732" s="6" t="n">
        <x:v>0</x:v>
      </x:c>
      <x:c r="G732" s="6" t="n">
        <x:v>41356</x:v>
      </x:c>
      <x:c r="H732" s="6" t="n">
        <x:v>20678</x:v>
      </x:c>
    </x:row>
    <x:row r="733" ht="21" customHeight="1">
      <x:c r="A733" s="1" t="str">
        <x:v>C0017838</x:v>
      </x:c>
      <x:c r="B733" s="1" t="n">
        <x:v>10</x:v>
      </x:c>
      <x:c r="C733" s="1" t="n">
        <x:v>10</x:v>
      </x:c>
      <x:c r="D733" s="6" t="n">
        <x:v>20678</x:v>
      </x:c>
      <x:c r="E733" s="6" t="n">
        <x:v>41356</x:v>
      </x:c>
      <x:c r="F733" s="6" t="n">
        <x:v>0</x:v>
      </x:c>
      <x:c r="G733" s="6" t="n">
        <x:v>41356</x:v>
      </x:c>
      <x:c r="H733" s="6" t="n">
        <x:v>20678</x:v>
      </x:c>
    </x:row>
    <x:row r="734" ht="21" customHeight="1">
      <x:c r="A734" s="1" t="str">
        <x:v>C0011887</x:v>
      </x:c>
      <x:c r="B734" s="1" t="n">
        <x:v>6</x:v>
      </x:c>
      <x:c r="C734" s="1" t="n">
        <x:v>36</x:v>
      </x:c>
      <x:c r="D734" s="6" t="n">
        <x:v>20580</x:v>
      </x:c>
      <x:c r="E734" s="6" t="n">
        <x:v>0</x:v>
      </x:c>
      <x:c r="F734" s="6" t="n">
        <x:v>0</x:v>
      </x:c>
      <x:c r="G734" s="6" t="n">
        <x:v>0</x:v>
      </x:c>
      <x:c r="H734" s="6" t="n">
        <x:v>-20580</x:v>
      </x:c>
    </x:row>
    <x:row r="735" ht="21" customHeight="1">
      <x:c r="A735" s="1" t="str">
        <x:v>C0002937</x:v>
      </x:c>
      <x:c r="B735" s="1" t="n">
        <x:v>6</x:v>
      </x:c>
      <x:c r="C735" s="1" t="n">
        <x:v>36</x:v>
      </x:c>
      <x:c r="D735" s="6" t="n">
        <x:v>20580</x:v>
      </x:c>
      <x:c r="E735" s="6" t="n">
        <x:v>0</x:v>
      </x:c>
      <x:c r="F735" s="6" t="n">
        <x:v>0</x:v>
      </x:c>
      <x:c r="G735" s="6" t="n">
        <x:v>0</x:v>
      </x:c>
      <x:c r="H735" s="6" t="n">
        <x:v>-20580</x:v>
      </x:c>
    </x:row>
    <x:row r="736" ht="21" customHeight="1">
      <x:c r="A736" s="1" t="str">
        <x:v>C0001757</x:v>
      </x:c>
      <x:c r="B736" s="1" t="n">
        <x:v>6</x:v>
      </x:c>
      <x:c r="C736" s="1" t="n">
        <x:v>36</x:v>
      </x:c>
      <x:c r="D736" s="6" t="n">
        <x:v>20580</x:v>
      </x:c>
      <x:c r="E736" s="6" t="n">
        <x:v>0</x:v>
      </x:c>
      <x:c r="F736" s="6" t="n">
        <x:v>0</x:v>
      </x:c>
      <x:c r="G736" s="6" t="n">
        <x:v>0</x:v>
      </x:c>
      <x:c r="H736" s="6" t="n">
        <x:v>-20580</x:v>
      </x:c>
    </x:row>
    <x:row r="737" ht="21" customHeight="1">
      <x:c r="A737" s="1" t="str">
        <x:v>C0017848</x:v>
      </x:c>
      <x:c r="B737" s="1" t="n">
        <x:v>6</x:v>
      </x:c>
      <x:c r="C737" s="1" t="n">
        <x:v>36</x:v>
      </x:c>
      <x:c r="D737" s="6" t="n">
        <x:v>20580</x:v>
      </x:c>
      <x:c r="E737" s="6" t="n">
        <x:v>41160</x:v>
      </x:c>
      <x:c r="F737" s="6" t="n">
        <x:v>0</x:v>
      </x:c>
      <x:c r="G737" s="6" t="n">
        <x:v>41160</x:v>
      </x:c>
      <x:c r="H737" s="6" t="n">
        <x:v>20580</x:v>
      </x:c>
    </x:row>
    <x:row r="738" ht="21" customHeight="1">
      <x:c r="A738" s="1" t="str">
        <x:v>C0013851</x:v>
      </x:c>
      <x:c r="B738" s="1" t="n">
        <x:v>6</x:v>
      </x:c>
      <x:c r="C738" s="1" t="n">
        <x:v>36</x:v>
      </x:c>
      <x:c r="D738" s="6" t="n">
        <x:v>20580</x:v>
      </x:c>
      <x:c r="E738" s="6" t="n">
        <x:v>0</x:v>
      </x:c>
      <x:c r="F738" s="6" t="n">
        <x:v>0</x:v>
      </x:c>
      <x:c r="G738" s="6" t="n">
        <x:v>0</x:v>
      </x:c>
      <x:c r="H738" s="6" t="n">
        <x:v>-20580</x:v>
      </x:c>
    </x:row>
    <x:row r="739" ht="21" customHeight="1">
      <x:c r="A739" s="1" t="str">
        <x:v>C0014035</x:v>
      </x:c>
      <x:c r="B739" s="1" t="n">
        <x:v>6</x:v>
      </x:c>
      <x:c r="C739" s="1" t="n">
        <x:v>36</x:v>
      </x:c>
      <x:c r="D739" s="6" t="n">
        <x:v>20580</x:v>
      </x:c>
      <x:c r="E739" s="6" t="n">
        <x:v>0</x:v>
      </x:c>
      <x:c r="F739" s="6" t="n">
        <x:v>0</x:v>
      </x:c>
      <x:c r="G739" s="6" t="n">
        <x:v>0</x:v>
      </x:c>
      <x:c r="H739" s="6" t="n">
        <x:v>-20580</x:v>
      </x:c>
    </x:row>
    <x:row r="740" ht="21" customHeight="1">
      <x:c r="A740" s="1" t="str">
        <x:v>C0012420</x:v>
      </x:c>
      <x:c r="B740" s="1" t="n">
        <x:v>6</x:v>
      </x:c>
      <x:c r="C740" s="1" t="n">
        <x:v>36</x:v>
      </x:c>
      <x:c r="D740" s="6" t="n">
        <x:v>20580</x:v>
      </x:c>
      <x:c r="E740" s="6" t="n">
        <x:v>0</x:v>
      </x:c>
      <x:c r="F740" s="6" t="n">
        <x:v>0</x:v>
      </x:c>
      <x:c r="G740" s="6" t="n">
        <x:v>0</x:v>
      </x:c>
      <x:c r="H740" s="6" t="n">
        <x:v>-20580</x:v>
      </x:c>
    </x:row>
    <x:row r="741" ht="21" customHeight="1">
      <x:c r="A741" s="1" t="str">
        <x:v>C0016315</x:v>
      </x:c>
      <x:c r="B741" s="1" t="n">
        <x:v>6</x:v>
      </x:c>
      <x:c r="C741" s="1" t="n">
        <x:v>36</x:v>
      </x:c>
      <x:c r="D741" s="6" t="n">
        <x:v>20580</x:v>
      </x:c>
      <x:c r="E741" s="6" t="n">
        <x:v>0</x:v>
      </x:c>
      <x:c r="F741" s="6" t="n">
        <x:v>0</x:v>
      </x:c>
      <x:c r="G741" s="6" t="n">
        <x:v>0</x:v>
      </x:c>
      <x:c r="H741" s="6" t="n">
        <x:v>-20580</x:v>
      </x:c>
    </x:row>
    <x:row r="742" ht="21" customHeight="1">
      <x:c r="A742" s="1" t="str">
        <x:v>C0011651</x:v>
      </x:c>
      <x:c r="B742" s="1" t="n">
        <x:v>27</x:v>
      </x:c>
      <x:c r="C742" s="1" t="n">
        <x:v>87</x:v>
      </x:c>
      <x:c r="D742" s="6" t="n">
        <x:v>20551</x:v>
      </x:c>
      <x:c r="E742" s="6" t="n">
        <x:v>0</x:v>
      </x:c>
      <x:c r="F742" s="6" t="n">
        <x:v>0</x:v>
      </x:c>
      <x:c r="G742" s="6" t="n">
        <x:v>0</x:v>
      </x:c>
      <x:c r="H742" s="6" t="n">
        <x:v>-20551</x:v>
      </x:c>
    </x:row>
    <x:row r="743" ht="21" customHeight="1">
      <x:c r="A743" s="1" t="str">
        <x:v>C0008480</x:v>
      </x:c>
      <x:c r="B743" s="1" t="n">
        <x:v>27</x:v>
      </x:c>
      <x:c r="C743" s="1" t="n">
        <x:v>87</x:v>
      </x:c>
      <x:c r="D743" s="6" t="n">
        <x:v>20551</x:v>
      </x:c>
      <x:c r="E743" s="6" t="n">
        <x:v>41102</x:v>
      </x:c>
      <x:c r="F743" s="6" t="n">
        <x:v>0</x:v>
      </x:c>
      <x:c r="G743" s="6" t="n">
        <x:v>41102</x:v>
      </x:c>
      <x:c r="H743" s="6" t="n">
        <x:v>20551</x:v>
      </x:c>
    </x:row>
    <x:row r="744" ht="21" customHeight="1">
      <x:c r="A744" s="1" t="str">
        <x:v>C0006629</x:v>
      </x:c>
      <x:c r="B744" s="1" t="n">
        <x:v>27</x:v>
      </x:c>
      <x:c r="C744" s="1" t="n">
        <x:v>87</x:v>
      </x:c>
      <x:c r="D744" s="6" t="n">
        <x:v>20551</x:v>
      </x:c>
      <x:c r="E744" s="6" t="n">
        <x:v>41102</x:v>
      </x:c>
      <x:c r="F744" s="6" t="n">
        <x:v>0</x:v>
      </x:c>
      <x:c r="G744" s="6" t="n">
        <x:v>41102</x:v>
      </x:c>
      <x:c r="H744" s="6" t="n">
        <x:v>20551</x:v>
      </x:c>
    </x:row>
    <x:row r="745" ht="21" customHeight="1">
      <x:c r="A745" s="1" t="str">
        <x:v>C0013209</x:v>
      </x:c>
      <x:c r="B745" s="1" t="n">
        <x:v>27</x:v>
      </x:c>
      <x:c r="C745" s="1" t="n">
        <x:v>87</x:v>
      </x:c>
      <x:c r="D745" s="6" t="n">
        <x:v>20551</x:v>
      </x:c>
      <x:c r="E745" s="6" t="n">
        <x:v>0</x:v>
      </x:c>
      <x:c r="F745" s="6" t="n">
        <x:v>0</x:v>
      </x:c>
      <x:c r="G745" s="6" t="n">
        <x:v>0</x:v>
      </x:c>
      <x:c r="H745" s="6" t="n">
        <x:v>-20551</x:v>
      </x:c>
    </x:row>
    <x:row r="746" ht="21" customHeight="1">
      <x:c r="A746" s="1" t="str">
        <x:v>C0016612</x:v>
      </x:c>
      <x:c r="B746" s="1" t="n">
        <x:v>27</x:v>
      </x:c>
      <x:c r="C746" s="1" t="n">
        <x:v>87</x:v>
      </x:c>
      <x:c r="D746" s="6" t="n">
        <x:v>20551</x:v>
      </x:c>
      <x:c r="E746" s="6" t="n">
        <x:v>41102</x:v>
      </x:c>
      <x:c r="F746" s="6" t="n">
        <x:v>0</x:v>
      </x:c>
      <x:c r="G746" s="6" t="n">
        <x:v>41102</x:v>
      </x:c>
      <x:c r="H746" s="6" t="n">
        <x:v>20551</x:v>
      </x:c>
    </x:row>
    <x:row r="747" ht="21" customHeight="1">
      <x:c r="A747" s="1" t="str">
        <x:v>C0006082</x:v>
      </x:c>
      <x:c r="B747" s="1" t="n">
        <x:v>27</x:v>
      </x:c>
      <x:c r="C747" s="1" t="n">
        <x:v>87</x:v>
      </x:c>
      <x:c r="D747" s="6" t="n">
        <x:v>0</x:v>
      </x:c>
      <x:c r="E747" s="6" t="n">
        <x:v>20551</x:v>
      </x:c>
      <x:c r="F747" s="6" t="n">
        <x:v>0</x:v>
      </x:c>
      <x:c r="G747" s="6" t="n">
        <x:v>20551</x:v>
      </x:c>
      <x:c r="H747" s="6" t="n">
        <x:v>20551</x:v>
      </x:c>
    </x:row>
    <x:row r="748" ht="21" customHeight="1">
      <x:c r="A748" s="1" t="str">
        <x:v>C0004799</x:v>
      </x:c>
      <x:c r="B748" s="1" t="n">
        <x:v>27</x:v>
      </x:c>
      <x:c r="C748" s="1" t="n">
        <x:v>87</x:v>
      </x:c>
      <x:c r="D748" s="6" t="n">
        <x:v>20551</x:v>
      </x:c>
      <x:c r="E748" s="6" t="n">
        <x:v>0</x:v>
      </x:c>
      <x:c r="F748" s="6" t="n">
        <x:v>0</x:v>
      </x:c>
      <x:c r="G748" s="6" t="n">
        <x:v>0</x:v>
      </x:c>
      <x:c r="H748" s="6" t="n">
        <x:v>-20551</x:v>
      </x:c>
    </x:row>
    <x:row r="749" ht="21" customHeight="1">
      <x:c r="A749" s="1" t="str">
        <x:v>C0013284</x:v>
      </x:c>
      <x:c r="B749" s="1" t="n">
        <x:v>20</x:v>
      </x:c>
      <x:c r="C749" s="1" t="n">
        <x:v>110</x:v>
      </x:c>
      <x:c r="D749" s="6" t="n">
        <x:v>20447</x:v>
      </x:c>
      <x:c r="E749" s="6" t="n">
        <x:v>0</x:v>
      </x:c>
      <x:c r="F749" s="6" t="n">
        <x:v>0</x:v>
      </x:c>
      <x:c r="G749" s="6" t="n">
        <x:v>0</x:v>
      </x:c>
      <x:c r="H749" s="6" t="n">
        <x:v>-20447</x:v>
      </x:c>
    </x:row>
    <x:row r="750" ht="21" customHeight="1">
      <x:c r="A750" s="1" t="str">
        <x:v>C0000625</x:v>
      </x:c>
      <x:c r="B750" s="1" t="n">
        <x:v>20</x:v>
      </x:c>
      <x:c r="C750" s="1" t="n">
        <x:v>110</x:v>
      </x:c>
      <x:c r="D750" s="6" t="n">
        <x:v>20447</x:v>
      </x:c>
      <x:c r="E750" s="6" t="n">
        <x:v>40894</x:v>
      </x:c>
      <x:c r="F750" s="6" t="n">
        <x:v>0</x:v>
      </x:c>
      <x:c r="G750" s="6" t="n">
        <x:v>40894</x:v>
      </x:c>
      <x:c r="H750" s="6" t="n">
        <x:v>20447</x:v>
      </x:c>
    </x:row>
    <x:row r="751" ht="21" customHeight="1">
      <x:c r="A751" s="1" t="str">
        <x:v>C0011721</x:v>
      </x:c>
      <x:c r="B751" s="1" t="n">
        <x:v>20</x:v>
      </x:c>
      <x:c r="C751" s="1" t="n">
        <x:v>110</x:v>
      </x:c>
      <x:c r="D751" s="6" t="n">
        <x:v>20447</x:v>
      </x:c>
      <x:c r="E751" s="6" t="n">
        <x:v>40894</x:v>
      </x:c>
      <x:c r="F751" s="6" t="n">
        <x:v>0</x:v>
      </x:c>
      <x:c r="G751" s="6" t="n">
        <x:v>40894</x:v>
      </x:c>
      <x:c r="H751" s="6" t="n">
        <x:v>20447</x:v>
      </x:c>
    </x:row>
    <x:row r="752" ht="21" customHeight="1">
      <x:c r="A752" s="1" t="str">
        <x:v>C0009514</x:v>
      </x:c>
      <x:c r="B752" s="1" t="n">
        <x:v>20</x:v>
      </x:c>
      <x:c r="C752" s="1" t="n">
        <x:v>110</x:v>
      </x:c>
      <x:c r="D752" s="6" t="n">
        <x:v>0</x:v>
      </x:c>
      <x:c r="E752" s="6" t="n">
        <x:v>20447</x:v>
      </x:c>
      <x:c r="F752" s="6" t="n">
        <x:v>0</x:v>
      </x:c>
      <x:c r="G752" s="6" t="n">
        <x:v>20447</x:v>
      </x:c>
      <x:c r="H752" s="6" t="n">
        <x:v>20447</x:v>
      </x:c>
    </x:row>
    <x:row r="753" ht="21" customHeight="1">
      <x:c r="A753" s="1" t="str">
        <x:v>C0005490</x:v>
      </x:c>
      <x:c r="B753" s="1" t="n">
        <x:v>20</x:v>
      </x:c>
      <x:c r="C753" s="1" t="n">
        <x:v>110</x:v>
      </x:c>
      <x:c r="D753" s="6" t="n">
        <x:v>20447</x:v>
      </x:c>
      <x:c r="E753" s="6" t="n">
        <x:v>0</x:v>
      </x:c>
      <x:c r="F753" s="6" t="n">
        <x:v>0</x:v>
      </x:c>
      <x:c r="G753" s="6" t="n">
        <x:v>0</x:v>
      </x:c>
      <x:c r="H753" s="6" t="n">
        <x:v>-20447</x:v>
      </x:c>
    </x:row>
    <x:row r="754" ht="21" customHeight="1">
      <x:c r="A754" s="1" t="str">
        <x:v>C0003005</x:v>
      </x:c>
      <x:c r="B754" s="1" t="n">
        <x:v>3</x:v>
      </x:c>
      <x:c r="C754" s="1" t="n">
        <x:v>63</x:v>
      </x:c>
      <x:c r="D754" s="6" t="n">
        <x:v>20412</x:v>
      </x:c>
      <x:c r="E754" s="6" t="n">
        <x:v>0</x:v>
      </x:c>
      <x:c r="F754" s="6" t="n">
        <x:v>0</x:v>
      </x:c>
      <x:c r="G754" s="6" t="n">
        <x:v>0</x:v>
      </x:c>
      <x:c r="H754" s="6" t="n">
        <x:v>-20412</x:v>
      </x:c>
    </x:row>
    <x:row r="755" ht="21" customHeight="1">
      <x:c r="A755" s="1" t="str">
        <x:v>C0007435</x:v>
      </x:c>
      <x:c r="B755" s="1" t="n">
        <x:v>3</x:v>
      </x:c>
      <x:c r="C755" s="1" t="n">
        <x:v>63</x:v>
      </x:c>
      <x:c r="D755" s="6" t="n">
        <x:v>0</x:v>
      </x:c>
      <x:c r="E755" s="6" t="n">
        <x:v>20412</x:v>
      </x:c>
      <x:c r="F755" s="6" t="n">
        <x:v>0</x:v>
      </x:c>
      <x:c r="G755" s="6" t="n">
        <x:v>20412</x:v>
      </x:c>
      <x:c r="H755" s="6" t="n">
        <x:v>20412</x:v>
      </x:c>
    </x:row>
    <x:row r="756" ht="21" customHeight="1">
      <x:c r="A756" s="1" t="str">
        <x:v>C0010363</x:v>
      </x:c>
      <x:c r="B756" s="1" t="n">
        <x:v>3</x:v>
      </x:c>
      <x:c r="C756" s="1" t="n">
        <x:v>63</x:v>
      </x:c>
      <x:c r="D756" s="6" t="n">
        <x:v>20412</x:v>
      </x:c>
      <x:c r="E756" s="6" t="n">
        <x:v>40824</x:v>
      </x:c>
      <x:c r="F756" s="6" t="n">
        <x:v>0</x:v>
      </x:c>
      <x:c r="G756" s="6" t="n">
        <x:v>40824</x:v>
      </x:c>
      <x:c r="H756" s="6" t="n">
        <x:v>20412</x:v>
      </x:c>
    </x:row>
    <x:row r="757" ht="21" customHeight="1">
      <x:c r="A757" s="1" t="str">
        <x:v>C0006154</x:v>
      </x:c>
      <x:c r="B757" s="1" t="n">
        <x:v>3</x:v>
      </x:c>
      <x:c r="C757" s="1" t="n">
        <x:v>63</x:v>
      </x:c>
      <x:c r="D757" s="6" t="n">
        <x:v>20412</x:v>
      </x:c>
      <x:c r="E757" s="6" t="n">
        <x:v>40824</x:v>
      </x:c>
      <x:c r="F757" s="6" t="n">
        <x:v>0</x:v>
      </x:c>
      <x:c r="G757" s="6" t="n">
        <x:v>40824</x:v>
      </x:c>
      <x:c r="H757" s="6" t="n">
        <x:v>20412</x:v>
      </x:c>
    </x:row>
    <x:row r="758" ht="21" customHeight="1">
      <x:c r="A758" s="1" t="str">
        <x:v>C0001564</x:v>
      </x:c>
      <x:c r="B758" s="1" t="n">
        <x:v>3</x:v>
      </x:c>
      <x:c r="C758" s="1" t="n">
        <x:v>63</x:v>
      </x:c>
      <x:c r="D758" s="6" t="n">
        <x:v>20412</x:v>
      </x:c>
      <x:c r="E758" s="6" t="n">
        <x:v>0</x:v>
      </x:c>
      <x:c r="F758" s="6" t="n">
        <x:v>0</x:v>
      </x:c>
      <x:c r="G758" s="6" t="n">
        <x:v>0</x:v>
      </x:c>
      <x:c r="H758" s="6" t="n">
        <x:v>-20412</x:v>
      </x:c>
    </x:row>
    <x:row r="759" ht="21" customHeight="1">
      <x:c r="A759" s="1" t="str">
        <x:v>C0005585</x:v>
      </x:c>
      <x:c r="B759" s="1" t="n">
        <x:v>3</x:v>
      </x:c>
      <x:c r="C759" s="1" t="n">
        <x:v>63</x:v>
      </x:c>
      <x:c r="D759" s="6" t="n">
        <x:v>20412</x:v>
      </x:c>
      <x:c r="E759" s="6" t="n">
        <x:v>40824</x:v>
      </x:c>
      <x:c r="F759" s="6" t="n">
        <x:v>0</x:v>
      </x:c>
      <x:c r="G759" s="6" t="n">
        <x:v>40824</x:v>
      </x:c>
      <x:c r="H759" s="6" t="n">
        <x:v>20412</x:v>
      </x:c>
    </x:row>
    <x:row r="760" ht="21" customHeight="1">
      <x:c r="A760" s="1" t="str">
        <x:v>C0004230</x:v>
      </x:c>
      <x:c r="B760" s="1" t="n">
        <x:v>3</x:v>
      </x:c>
      <x:c r="C760" s="1" t="n">
        <x:v>63</x:v>
      </x:c>
      <x:c r="D760" s="6" t="n">
        <x:v>20412</x:v>
      </x:c>
      <x:c r="E760" s="6" t="n">
        <x:v>40824</x:v>
      </x:c>
      <x:c r="F760" s="6" t="n">
        <x:v>0</x:v>
      </x:c>
      <x:c r="G760" s="6" t="n">
        <x:v>40824</x:v>
      </x:c>
      <x:c r="H760" s="6" t="n">
        <x:v>20412</x:v>
      </x:c>
    </x:row>
    <x:row r="761" ht="21" customHeight="1">
      <x:c r="A761" s="1" t="str">
        <x:v>C0009979</x:v>
      </x:c>
      <x:c r="B761" s="1" t="n">
        <x:v>3</x:v>
      </x:c>
      <x:c r="C761" s="1" t="n">
        <x:v>63</x:v>
      </x:c>
      <x:c r="D761" s="6" t="n">
        <x:v>20412</x:v>
      </x:c>
      <x:c r="E761" s="6" t="n">
        <x:v>0</x:v>
      </x:c>
      <x:c r="F761" s="6" t="n">
        <x:v>0</x:v>
      </x:c>
      <x:c r="G761" s="6" t="n">
        <x:v>0</x:v>
      </x:c>
      <x:c r="H761" s="6" t="n">
        <x:v>-20412</x:v>
      </x:c>
    </x:row>
    <x:row r="762" ht="21" customHeight="1">
      <x:c r="A762" s="1" t="str">
        <x:v>C0016158</x:v>
      </x:c>
      <x:c r="B762" s="1" t="n">
        <x:v>15</x:v>
      </x:c>
      <x:c r="C762" s="1" t="n">
        <x:v>105</x:v>
      </x:c>
      <x:c r="D762" s="6" t="n">
        <x:v>20379</x:v>
      </x:c>
      <x:c r="E762" s="6" t="n">
        <x:v>0</x:v>
      </x:c>
      <x:c r="F762" s="6" t="n">
        <x:v>0</x:v>
      </x:c>
      <x:c r="G762" s="6" t="n">
        <x:v>0</x:v>
      </x:c>
      <x:c r="H762" s="6" t="n">
        <x:v>-20379</x:v>
      </x:c>
    </x:row>
    <x:row r="763" ht="21" customHeight="1">
      <x:c r="A763" s="1" t="str">
        <x:v>C0001783</x:v>
      </x:c>
      <x:c r="B763" s="1" t="n">
        <x:v>15</x:v>
      </x:c>
      <x:c r="C763" s="1" t="n">
        <x:v>105</x:v>
      </x:c>
      <x:c r="D763" s="6" t="n">
        <x:v>20379</x:v>
      </x:c>
      <x:c r="E763" s="6" t="n">
        <x:v>0</x:v>
      </x:c>
      <x:c r="F763" s="6" t="n">
        <x:v>0</x:v>
      </x:c>
      <x:c r="G763" s="6" t="n">
        <x:v>0</x:v>
      </x:c>
      <x:c r="H763" s="6" t="n">
        <x:v>-20379</x:v>
      </x:c>
    </x:row>
    <x:row r="764" ht="21" customHeight="1">
      <x:c r="A764" s="1" t="str">
        <x:v>C0010597</x:v>
      </x:c>
      <x:c r="B764" s="1" t="n">
        <x:v>15</x:v>
      </x:c>
      <x:c r="C764" s="1" t="n">
        <x:v>105</x:v>
      </x:c>
      <x:c r="D764" s="6" t="n">
        <x:v>20379</x:v>
      </x:c>
      <x:c r="E764" s="6" t="n">
        <x:v>0</x:v>
      </x:c>
      <x:c r="F764" s="6" t="n">
        <x:v>0</x:v>
      </x:c>
      <x:c r="G764" s="6" t="n">
        <x:v>0</x:v>
      </x:c>
      <x:c r="H764" s="6" t="n">
        <x:v>-20379</x:v>
      </x:c>
    </x:row>
    <x:row r="765" ht="21" customHeight="1">
      <x:c r="A765" s="1" t="str">
        <x:v>C0002860</x:v>
      </x:c>
      <x:c r="B765" s="1" t="n">
        <x:v>15</x:v>
      </x:c>
      <x:c r="C765" s="1" t="n">
        <x:v>105</x:v>
      </x:c>
      <x:c r="D765" s="6" t="n">
        <x:v>20379</x:v>
      </x:c>
      <x:c r="E765" s="6" t="n">
        <x:v>0</x:v>
      </x:c>
      <x:c r="F765" s="6" t="n">
        <x:v>0</x:v>
      </x:c>
      <x:c r="G765" s="6" t="n">
        <x:v>0</x:v>
      </x:c>
      <x:c r="H765" s="6" t="n">
        <x:v>-20379</x:v>
      </x:c>
    </x:row>
    <x:row r="766" ht="21" customHeight="1">
      <x:c r="A766" s="1" t="str">
        <x:v>C0012568</x:v>
      </x:c>
      <x:c r="B766" s="1" t="n">
        <x:v>15</x:v>
      </x:c>
      <x:c r="C766" s="1" t="n">
        <x:v>105</x:v>
      </x:c>
      <x:c r="D766" s="6" t="n">
        <x:v>20379</x:v>
      </x:c>
      <x:c r="E766" s="6" t="n">
        <x:v>40758</x:v>
      </x:c>
      <x:c r="F766" s="6" t="n">
        <x:v>0</x:v>
      </x:c>
      <x:c r="G766" s="6" t="n">
        <x:v>40758</x:v>
      </x:c>
      <x:c r="H766" s="6" t="n">
        <x:v>20379</x:v>
      </x:c>
    </x:row>
    <x:row r="767" ht="21" customHeight="1">
      <x:c r="A767" s="1" t="str">
        <x:v>C0012443</x:v>
      </x:c>
      <x:c r="B767" s="1" t="n">
        <x:v>15</x:v>
      </x:c>
      <x:c r="C767" s="1" t="n">
        <x:v>105</x:v>
      </x:c>
      <x:c r="D767" s="6" t="n">
        <x:v>20379</x:v>
      </x:c>
      <x:c r="E767" s="6" t="n">
        <x:v>40758</x:v>
      </x:c>
      <x:c r="F767" s="6" t="n">
        <x:v>0</x:v>
      </x:c>
      <x:c r="G767" s="6" t="n">
        <x:v>40758</x:v>
      </x:c>
      <x:c r="H767" s="6" t="n">
        <x:v>20379</x:v>
      </x:c>
    </x:row>
    <x:row r="768" ht="21" customHeight="1">
      <x:c r="A768" s="1" t="str">
        <x:v>C0005364</x:v>
      </x:c>
      <x:c r="B768" s="1" t="n">
        <x:v>15</x:v>
      </x:c>
      <x:c r="C768" s="1" t="n">
        <x:v>105</x:v>
      </x:c>
      <x:c r="D768" s="6" t="n">
        <x:v>20379</x:v>
      </x:c>
      <x:c r="E768" s="6" t="n">
        <x:v>0</x:v>
      </x:c>
      <x:c r="F768" s="6" t="n">
        <x:v>0</x:v>
      </x:c>
      <x:c r="G768" s="6" t="n">
        <x:v>0</x:v>
      </x:c>
      <x:c r="H768" s="6" t="n">
        <x:v>-20379</x:v>
      </x:c>
    </x:row>
    <x:row r="769" ht="21" customHeight="1">
      <x:c r="A769" s="1" t="str">
        <x:v>C0009664</x:v>
      </x:c>
      <x:c r="B769" s="1" t="n">
        <x:v>15</x:v>
      </x:c>
      <x:c r="C769" s="1" t="n">
        <x:v>105</x:v>
      </x:c>
      <x:c r="D769" s="6" t="n">
        <x:v>20379</x:v>
      </x:c>
      <x:c r="E769" s="6" t="n">
        <x:v>40758</x:v>
      </x:c>
      <x:c r="F769" s="6" t="n">
        <x:v>0</x:v>
      </x:c>
      <x:c r="G769" s="6" t="n">
        <x:v>40758</x:v>
      </x:c>
      <x:c r="H769" s="6" t="n">
        <x:v>20379</x:v>
      </x:c>
    </x:row>
    <x:row r="770" ht="21" customHeight="1">
      <x:c r="A770" s="1" t="str">
        <x:v>C0011033</x:v>
      </x:c>
      <x:c r="B770" s="1" t="n">
        <x:v>12</x:v>
      </x:c>
      <x:c r="C770" s="1" t="n">
        <x:v>42</x:v>
      </x:c>
      <x:c r="D770" s="6" t="n">
        <x:v>20279</x:v>
      </x:c>
      <x:c r="E770" s="6" t="n">
        <x:v>40558</x:v>
      </x:c>
      <x:c r="F770" s="6" t="n">
        <x:v>0</x:v>
      </x:c>
      <x:c r="G770" s="6" t="n">
        <x:v>40558</x:v>
      </x:c>
      <x:c r="H770" s="6" t="n">
        <x:v>20279</x:v>
      </x:c>
    </x:row>
    <x:row r="771" ht="21" customHeight="1">
      <x:c r="A771" s="1" t="str">
        <x:v>C0017711</x:v>
      </x:c>
      <x:c r="B771" s="1" t="n">
        <x:v>12</x:v>
      </x:c>
      <x:c r="C771" s="1" t="n">
        <x:v>42</x:v>
      </x:c>
      <x:c r="D771" s="6" t="n">
        <x:v>20279</x:v>
      </x:c>
      <x:c r="E771" s="6" t="n">
        <x:v>40558</x:v>
      </x:c>
      <x:c r="F771" s="6" t="n">
        <x:v>0</x:v>
      </x:c>
      <x:c r="G771" s="6" t="n">
        <x:v>40558</x:v>
      </x:c>
      <x:c r="H771" s="6" t="n">
        <x:v>20279</x:v>
      </x:c>
    </x:row>
    <x:row r="772" ht="21" customHeight="1">
      <x:c r="A772" s="1" t="str">
        <x:v>C0012972</x:v>
      </x:c>
      <x:c r="B772" s="1" t="n">
        <x:v>12</x:v>
      </x:c>
      <x:c r="C772" s="1" t="n">
        <x:v>42</x:v>
      </x:c>
      <x:c r="D772" s="6" t="n">
        <x:v>20279</x:v>
      </x:c>
      <x:c r="E772" s="6" t="n">
        <x:v>40558</x:v>
      </x:c>
      <x:c r="F772" s="6" t="n">
        <x:v>0</x:v>
      </x:c>
      <x:c r="G772" s="6" t="n">
        <x:v>40558</x:v>
      </x:c>
      <x:c r="H772" s="6" t="n">
        <x:v>20279</x:v>
      </x:c>
    </x:row>
    <x:row r="773" ht="21" customHeight="1">
      <x:c r="A773" s="1" t="str">
        <x:v>C0011512</x:v>
      </x:c>
      <x:c r="B773" s="1" t="n">
        <x:v>12</x:v>
      </x:c>
      <x:c r="C773" s="1" t="n">
        <x:v>42</x:v>
      </x:c>
      <x:c r="D773" s="6" t="n">
        <x:v>20279</x:v>
      </x:c>
      <x:c r="E773" s="6" t="n">
        <x:v>0</x:v>
      </x:c>
      <x:c r="F773" s="6" t="n">
        <x:v>0</x:v>
      </x:c>
      <x:c r="G773" s="6" t="n">
        <x:v>0</x:v>
      </x:c>
      <x:c r="H773" s="6" t="n">
        <x:v>-20279</x:v>
      </x:c>
    </x:row>
    <x:row r="774" ht="21" customHeight="1">
      <x:c r="A774" s="1" t="str">
        <x:v>C0017721</x:v>
      </x:c>
      <x:c r="B774" s="1" t="n">
        <x:v>12</x:v>
      </x:c>
      <x:c r="C774" s="1" t="n">
        <x:v>42</x:v>
      </x:c>
      <x:c r="D774" s="6" t="n">
        <x:v>0</x:v>
      </x:c>
      <x:c r="E774" s="6" t="n">
        <x:v>20279</x:v>
      </x:c>
      <x:c r="F774" s="6" t="n">
        <x:v>0</x:v>
      </x:c>
      <x:c r="G774" s="6" t="n">
        <x:v>20279</x:v>
      </x:c>
      <x:c r="H774" s="6" t="n">
        <x:v>20279</x:v>
      </x:c>
    </x:row>
    <x:row r="775" ht="21" customHeight="1">
      <x:c r="A775" s="1" t="str">
        <x:v>C0014644</x:v>
      </x:c>
      <x:c r="B775" s="1" t="n">
        <x:v>7</x:v>
      </x:c>
      <x:c r="C775" s="1" t="n">
        <x:v>67</x:v>
      </x:c>
      <x:c r="D775" s="6" t="n">
        <x:v>20258</x:v>
      </x:c>
      <x:c r="E775" s="6" t="n">
        <x:v>0</x:v>
      </x:c>
      <x:c r="F775" s="6" t="n">
        <x:v>0</x:v>
      </x:c>
      <x:c r="G775" s="6" t="n">
        <x:v>0</x:v>
      </x:c>
      <x:c r="H775" s="6" t="n">
        <x:v>-20258</x:v>
      </x:c>
    </x:row>
    <x:row r="776" ht="21" customHeight="1">
      <x:c r="A776" s="1" t="str">
        <x:v>C0008896</x:v>
      </x:c>
      <x:c r="B776" s="1" t="n">
        <x:v>7</x:v>
      </x:c>
      <x:c r="C776" s="1" t="n">
        <x:v>67</x:v>
      </x:c>
      <x:c r="D776" s="6" t="n">
        <x:v>0</x:v>
      </x:c>
      <x:c r="E776" s="6" t="n">
        <x:v>20258</x:v>
      </x:c>
      <x:c r="F776" s="6" t="n">
        <x:v>0</x:v>
      </x:c>
      <x:c r="G776" s="6" t="n">
        <x:v>20258</x:v>
      </x:c>
      <x:c r="H776" s="6" t="n">
        <x:v>20258</x:v>
      </x:c>
    </x:row>
    <x:row r="777" ht="21" customHeight="1">
      <x:c r="A777" s="1" t="str">
        <x:v>C0004824</x:v>
      </x:c>
      <x:c r="B777" s="1" t="n">
        <x:v>7</x:v>
      </x:c>
      <x:c r="C777" s="1" t="n">
        <x:v>67</x:v>
      </x:c>
      <x:c r="D777" s="6" t="n">
        <x:v>20258</x:v>
      </x:c>
      <x:c r="E777" s="6" t="n">
        <x:v>0</x:v>
      </x:c>
      <x:c r="F777" s="6" t="n">
        <x:v>0</x:v>
      </x:c>
      <x:c r="G777" s="6" t="n">
        <x:v>0</x:v>
      </x:c>
      <x:c r="H777" s="6" t="n">
        <x:v>-20258</x:v>
      </x:c>
    </x:row>
    <x:row r="778" ht="21" customHeight="1">
      <x:c r="A778" s="1" t="str">
        <x:v>C0013954</x:v>
      </x:c>
      <x:c r="B778" s="1" t="n">
        <x:v>7</x:v>
      </x:c>
      <x:c r="C778" s="1" t="n">
        <x:v>67</x:v>
      </x:c>
      <x:c r="D778" s="6" t="n">
        <x:v>0</x:v>
      </x:c>
      <x:c r="E778" s="6" t="n">
        <x:v>20258</x:v>
      </x:c>
      <x:c r="F778" s="6" t="n">
        <x:v>0</x:v>
      </x:c>
      <x:c r="G778" s="6" t="n">
        <x:v>20258</x:v>
      </x:c>
      <x:c r="H778" s="6" t="n">
        <x:v>20258</x:v>
      </x:c>
    </x:row>
    <x:row r="779" ht="21" customHeight="1">
      <x:c r="A779" s="1" t="str">
        <x:v>C0008568</x:v>
      </x:c>
      <x:c r="B779" s="1" t="n">
        <x:v>7</x:v>
      </x:c>
      <x:c r="C779" s="1" t="n">
        <x:v>67</x:v>
      </x:c>
      <x:c r="D779" s="6" t="n">
        <x:v>20258</x:v>
      </x:c>
      <x:c r="E779" s="6" t="n">
        <x:v>40516</x:v>
      </x:c>
      <x:c r="F779" s="6" t="n">
        <x:v>0</x:v>
      </x:c>
      <x:c r="G779" s="6" t="n">
        <x:v>40516</x:v>
      </x:c>
      <x:c r="H779" s="6" t="n">
        <x:v>20258</x:v>
      </x:c>
    </x:row>
    <x:row r="780" ht="21" customHeight="1">
      <x:c r="A780" s="1" t="str">
        <x:v>C0010698</x:v>
      </x:c>
      <x:c r="B780" s="1" t="n">
        <x:v>15</x:v>
      </x:c>
      <x:c r="C780" s="1" t="n">
        <x:v>75</x:v>
      </x:c>
      <x:c r="D780" s="6" t="n">
        <x:v>20254</x:v>
      </x:c>
      <x:c r="E780" s="6" t="n">
        <x:v>40508</x:v>
      </x:c>
      <x:c r="F780" s="6" t="n">
        <x:v>0</x:v>
      </x:c>
      <x:c r="G780" s="6" t="n">
        <x:v>40508</x:v>
      </x:c>
      <x:c r="H780" s="6" t="n">
        <x:v>20254</x:v>
      </x:c>
    </x:row>
    <x:row r="781" ht="21" customHeight="1">
      <x:c r="A781" s="1" t="str">
        <x:v>C0001227</x:v>
      </x:c>
      <x:c r="B781" s="1" t="n">
        <x:v>15</x:v>
      </x:c>
      <x:c r="C781" s="1" t="n">
        <x:v>75</x:v>
      </x:c>
      <x:c r="D781" s="6" t="n">
        <x:v>20254</x:v>
      </x:c>
      <x:c r="E781" s="6" t="n">
        <x:v>40508</x:v>
      </x:c>
      <x:c r="F781" s="6" t="n">
        <x:v>0</x:v>
      </x:c>
      <x:c r="G781" s="6" t="n">
        <x:v>40508</x:v>
      </x:c>
      <x:c r="H781" s="6" t="n">
        <x:v>20254</x:v>
      </x:c>
    </x:row>
    <x:row r="782" ht="21" customHeight="1">
      <x:c r="A782" s="1" t="str">
        <x:v>C0003230</x:v>
      </x:c>
      <x:c r="B782" s="1" t="n">
        <x:v>15</x:v>
      </x:c>
      <x:c r="C782" s="1" t="n">
        <x:v>75</x:v>
      </x:c>
      <x:c r="D782" s="6" t="n">
        <x:v>20254</x:v>
      </x:c>
      <x:c r="E782" s="6" t="n">
        <x:v>0</x:v>
      </x:c>
      <x:c r="F782" s="6" t="n">
        <x:v>0</x:v>
      </x:c>
      <x:c r="G782" s="6" t="n">
        <x:v>0</x:v>
      </x:c>
      <x:c r="H782" s="6" t="n">
        <x:v>-20254</x:v>
      </x:c>
    </x:row>
    <x:row r="783" ht="21" customHeight="1">
      <x:c r="A783" s="1" t="str">
        <x:v>C0014630</x:v>
      </x:c>
      <x:c r="B783" s="1" t="n">
        <x:v>15</x:v>
      </x:c>
      <x:c r="C783" s="1" t="n">
        <x:v>75</x:v>
      </x:c>
      <x:c r="D783" s="6" t="n">
        <x:v>20254</x:v>
      </x:c>
      <x:c r="E783" s="6" t="n">
        <x:v>40508</x:v>
      </x:c>
      <x:c r="F783" s="6" t="n">
        <x:v>0</x:v>
      </x:c>
      <x:c r="G783" s="6" t="n">
        <x:v>40508</x:v>
      </x:c>
      <x:c r="H783" s="6" t="n">
        <x:v>20254</x:v>
      </x:c>
    </x:row>
    <x:row r="784" ht="21" customHeight="1">
      <x:c r="A784" s="1" t="str">
        <x:v>C0013235</x:v>
      </x:c>
      <x:c r="B784" s="1" t="n">
        <x:v>15</x:v>
      </x:c>
      <x:c r="C784" s="1" t="n">
        <x:v>75</x:v>
      </x:c>
      <x:c r="D784" s="6" t="n">
        <x:v>20254</x:v>
      </x:c>
      <x:c r="E784" s="6" t="n">
        <x:v>0</x:v>
      </x:c>
      <x:c r="F784" s="6" t="n">
        <x:v>0</x:v>
      </x:c>
      <x:c r="G784" s="6" t="n">
        <x:v>0</x:v>
      </x:c>
      <x:c r="H784" s="6" t="n">
        <x:v>-20254</x:v>
      </x:c>
    </x:row>
    <x:row r="785" ht="21" customHeight="1">
      <x:c r="A785" s="1" t="str">
        <x:v>C0014714</x:v>
      </x:c>
      <x:c r="B785" s="1" t="n">
        <x:v>15</x:v>
      </x:c>
      <x:c r="C785" s="1" t="n">
        <x:v>75</x:v>
      </x:c>
      <x:c r="D785" s="6" t="n">
        <x:v>20254</x:v>
      </x:c>
      <x:c r="E785" s="6" t="n">
        <x:v>0</x:v>
      </x:c>
      <x:c r="F785" s="6" t="n">
        <x:v>0</x:v>
      </x:c>
      <x:c r="G785" s="6" t="n">
        <x:v>0</x:v>
      </x:c>
      <x:c r="H785" s="6" t="n">
        <x:v>-20254</x:v>
      </x:c>
    </x:row>
    <x:row r="786" ht="21" customHeight="1">
      <x:c r="A786" s="1" t="str">
        <x:v>C0005438</x:v>
      </x:c>
      <x:c r="B786" s="1" t="n">
        <x:v>15</x:v>
      </x:c>
      <x:c r="C786" s="1" t="n">
        <x:v>75</x:v>
      </x:c>
      <x:c r="D786" s="6" t="n">
        <x:v>20254</x:v>
      </x:c>
      <x:c r="E786" s="6" t="n">
        <x:v>40508</x:v>
      </x:c>
      <x:c r="F786" s="6" t="n">
        <x:v>0</x:v>
      </x:c>
      <x:c r="G786" s="6" t="n">
        <x:v>40508</x:v>
      </x:c>
      <x:c r="H786" s="6" t="n">
        <x:v>20254</x:v>
      </x:c>
    </x:row>
    <x:row r="787" ht="21" customHeight="1">
      <x:c r="A787" s="1" t="str">
        <x:v>C0009181</x:v>
      </x:c>
      <x:c r="B787" s="1" t="n">
        <x:v>3</x:v>
      </x:c>
      <x:c r="C787" s="1" t="n">
        <x:v>3</x:v>
      </x:c>
      <x:c r="D787" s="6" t="n">
        <x:v>20198</x:v>
      </x:c>
      <x:c r="E787" s="6" t="n">
        <x:v>0</x:v>
      </x:c>
      <x:c r="F787" s="6" t="n">
        <x:v>0</x:v>
      </x:c>
      <x:c r="G787" s="6" t="n">
        <x:v>0</x:v>
      </x:c>
      <x:c r="H787" s="6" t="n">
        <x:v>-20198</x:v>
      </x:c>
    </x:row>
    <x:row r="788" ht="21" customHeight="1">
      <x:c r="A788" s="1" t="str">
        <x:v>C0017463</x:v>
      </x:c>
      <x:c r="B788" s="1" t="n">
        <x:v>3</x:v>
      </x:c>
      <x:c r="C788" s="1" t="n">
        <x:v>3</x:v>
      </x:c>
      <x:c r="D788" s="6" t="n">
        <x:v>20198</x:v>
      </x:c>
      <x:c r="E788" s="6" t="n">
        <x:v>40396</x:v>
      </x:c>
      <x:c r="F788" s="6" t="n">
        <x:v>0</x:v>
      </x:c>
      <x:c r="G788" s="6" t="n">
        <x:v>40396</x:v>
      </x:c>
      <x:c r="H788" s="6" t="n">
        <x:v>20198</x:v>
      </x:c>
    </x:row>
    <x:row r="789" ht="21" customHeight="1">
      <x:c r="A789" s="1" t="str">
        <x:v>C0016987</x:v>
      </x:c>
      <x:c r="B789" s="1" t="n">
        <x:v>3</x:v>
      </x:c>
      <x:c r="C789" s="1" t="n">
        <x:v>3</x:v>
      </x:c>
      <x:c r="D789" s="6" t="n">
        <x:v>20198</x:v>
      </x:c>
      <x:c r="E789" s="6" t="n">
        <x:v>0</x:v>
      </x:c>
      <x:c r="F789" s="6" t="n">
        <x:v>0</x:v>
      </x:c>
      <x:c r="G789" s="6" t="n">
        <x:v>0</x:v>
      </x:c>
      <x:c r="H789" s="6" t="n">
        <x:v>-20198</x:v>
      </x:c>
    </x:row>
    <x:row r="790" ht="21" customHeight="1">
      <x:c r="A790" s="1" t="str">
        <x:v>C0002396</x:v>
      </x:c>
      <x:c r="B790" s="1" t="n">
        <x:v>3</x:v>
      </x:c>
      <x:c r="C790" s="1" t="n">
        <x:v>3</x:v>
      </x:c>
      <x:c r="D790" s="6" t="n">
        <x:v>20198</x:v>
      </x:c>
      <x:c r="E790" s="6" t="n">
        <x:v>40396</x:v>
      </x:c>
      <x:c r="F790" s="6" t="n">
        <x:v>0</x:v>
      </x:c>
      <x:c r="G790" s="6" t="n">
        <x:v>40396</x:v>
      </x:c>
      <x:c r="H790" s="6" t="n">
        <x:v>20198</x:v>
      </x:c>
    </x:row>
    <x:row r="791" ht="21" customHeight="1">
      <x:c r="A791" s="1" t="str">
        <x:v>C0009318</x:v>
      </x:c>
      <x:c r="B791" s="1" t="n">
        <x:v>3</x:v>
      </x:c>
      <x:c r="C791" s="1" t="n">
        <x:v>3</x:v>
      </x:c>
      <x:c r="D791" s="6" t="n">
        <x:v>0</x:v>
      </x:c>
      <x:c r="E791" s="6" t="n">
        <x:v>20198</x:v>
      </x:c>
      <x:c r="F791" s="6" t="n">
        <x:v>0</x:v>
      </x:c>
      <x:c r="G791" s="6" t="n">
        <x:v>20198</x:v>
      </x:c>
      <x:c r="H791" s="6" t="n">
        <x:v>20198</x:v>
      </x:c>
    </x:row>
    <x:row r="792" ht="21" customHeight="1">
      <x:c r="A792" s="1" t="str">
        <x:v>C0013285</x:v>
      </x:c>
      <x:c r="B792" s="1" t="n">
        <x:v>3</x:v>
      </x:c>
      <x:c r="C792" s="1" t="n">
        <x:v>3</x:v>
      </x:c>
      <x:c r="D792" s="6" t="n">
        <x:v>20198</x:v>
      </x:c>
      <x:c r="E792" s="6" t="n">
        <x:v>0</x:v>
      </x:c>
      <x:c r="F792" s="6" t="n">
        <x:v>0</x:v>
      </x:c>
      <x:c r="G792" s="6" t="n">
        <x:v>0</x:v>
      </x:c>
      <x:c r="H792" s="6" t="n">
        <x:v>-20198</x:v>
      </x:c>
    </x:row>
    <x:row r="793" ht="21" customHeight="1">
      <x:c r="A793" s="1" t="str">
        <x:v>C0002267</x:v>
      </x:c>
      <x:c r="B793" s="1" t="n">
        <x:v>3</x:v>
      </x:c>
      <x:c r="C793" s="1" t="n">
        <x:v>3</x:v>
      </x:c>
      <x:c r="D793" s="6" t="n">
        <x:v>20198</x:v>
      </x:c>
      <x:c r="E793" s="6" t="n">
        <x:v>40396</x:v>
      </x:c>
      <x:c r="F793" s="6" t="n">
        <x:v>0</x:v>
      </x:c>
      <x:c r="G793" s="6" t="n">
        <x:v>40396</x:v>
      </x:c>
      <x:c r="H793" s="6" t="n">
        <x:v>20198</x:v>
      </x:c>
    </x:row>
    <x:row r="794" ht="21" customHeight="1">
      <x:c r="A794" s="1" t="str">
        <x:v>C0004539</x:v>
      </x:c>
      <x:c r="B794" s="1" t="n">
        <x:v>3</x:v>
      </x:c>
      <x:c r="C794" s="1" t="n">
        <x:v>3</x:v>
      </x:c>
      <x:c r="D794" s="6" t="n">
        <x:v>20198</x:v>
      </x:c>
      <x:c r="E794" s="6" t="n">
        <x:v>0</x:v>
      </x:c>
      <x:c r="F794" s="6" t="n">
        <x:v>0</x:v>
      </x:c>
      <x:c r="G794" s="6" t="n">
        <x:v>0</x:v>
      </x:c>
      <x:c r="H794" s="6" t="n">
        <x:v>-20198</x:v>
      </x:c>
    </x:row>
    <x:row r="795" ht="21" customHeight="1">
      <x:c r="A795" s="1" t="str">
        <x:v>C0013690</x:v>
      </x:c>
      <x:c r="B795" s="1" t="n">
        <x:v>3</x:v>
      </x:c>
      <x:c r="C795" s="1" t="n">
        <x:v>3</x:v>
      </x:c>
      <x:c r="D795" s="6" t="n">
        <x:v>20198</x:v>
      </x:c>
      <x:c r="E795" s="6" t="n">
        <x:v>40396</x:v>
      </x:c>
      <x:c r="F795" s="6" t="n">
        <x:v>0</x:v>
      </x:c>
      <x:c r="G795" s="6" t="n">
        <x:v>40396</x:v>
      </x:c>
      <x:c r="H795" s="6" t="n">
        <x:v>20198</x:v>
      </x:c>
    </x:row>
    <x:row r="796" ht="21" customHeight="1">
      <x:c r="A796" s="1" t="str">
        <x:v>C0001762</x:v>
      </x:c>
      <x:c r="B796" s="1" t="n">
        <x:v>3</x:v>
      </x:c>
      <x:c r="C796" s="1" t="n">
        <x:v>3</x:v>
      </x:c>
      <x:c r="D796" s="6" t="n">
        <x:v>20198</x:v>
      </x:c>
      <x:c r="E796" s="6" t="n">
        <x:v>40396</x:v>
      </x:c>
      <x:c r="F796" s="6" t="n">
        <x:v>0</x:v>
      </x:c>
      <x:c r="G796" s="6" t="n">
        <x:v>40396</x:v>
      </x:c>
      <x:c r="H796" s="6" t="n">
        <x:v>20198</x:v>
      </x:c>
    </x:row>
    <x:row r="797" ht="21" customHeight="1">
      <x:c r="A797" s="1" t="str">
        <x:v>C0008511</x:v>
      </x:c>
      <x:c r="B797" s="1" t="n">
        <x:v>3</x:v>
      </x:c>
      <x:c r="C797" s="1" t="n">
        <x:v>3</x:v>
      </x:c>
      <x:c r="D797" s="6" t="n">
        <x:v>20198</x:v>
      </x:c>
      <x:c r="E797" s="6" t="n">
        <x:v>40396</x:v>
      </x:c>
      <x:c r="F797" s="6" t="n">
        <x:v>0</x:v>
      </x:c>
      <x:c r="G797" s="6" t="n">
        <x:v>40396</x:v>
      </x:c>
      <x:c r="H797" s="6" t="n">
        <x:v>20198</x:v>
      </x:c>
    </x:row>
    <x:row r="798" ht="21" customHeight="1">
      <x:c r="A798" s="1" t="str">
        <x:v>C0016049</x:v>
      </x:c>
      <x:c r="B798" s="1" t="n">
        <x:v>3</x:v>
      </x:c>
      <x:c r="C798" s="1" t="n">
        <x:v>3</x:v>
      </x:c>
      <x:c r="D798" s="6" t="n">
        <x:v>20198</x:v>
      </x:c>
      <x:c r="E798" s="6" t="n">
        <x:v>40396</x:v>
      </x:c>
      <x:c r="F798" s="6" t="n">
        <x:v>0</x:v>
      </x:c>
      <x:c r="G798" s="6" t="n">
        <x:v>40396</x:v>
      </x:c>
      <x:c r="H798" s="6" t="n">
        <x:v>20198</x:v>
      </x:c>
    </x:row>
    <x:row r="799" ht="21" customHeight="1">
      <x:c r="A799" s="1" t="str">
        <x:v>C0017794</x:v>
      </x:c>
      <x:c r="B799" s="1" t="n">
        <x:v>3</x:v>
      </x:c>
      <x:c r="C799" s="1" t="n">
        <x:v>3</x:v>
      </x:c>
      <x:c r="D799" s="6" t="n">
        <x:v>20198</x:v>
      </x:c>
      <x:c r="E799" s="6" t="n">
        <x:v>40396</x:v>
      </x:c>
      <x:c r="F799" s="6" t="n">
        <x:v>0</x:v>
      </x:c>
      <x:c r="G799" s="6" t="n">
        <x:v>40396</x:v>
      </x:c>
      <x:c r="H799" s="6" t="n">
        <x:v>20198</x:v>
      </x:c>
    </x:row>
    <x:row r="800" ht="21" customHeight="1">
      <x:c r="A800" s="1" t="str">
        <x:v>C0006996</x:v>
      </x:c>
      <x:c r="B800" s="1" t="n">
        <x:v>3</x:v>
      </x:c>
      <x:c r="C800" s="1" t="n">
        <x:v>3</x:v>
      </x:c>
      <x:c r="D800" s="6" t="n">
        <x:v>20198</x:v>
      </x:c>
      <x:c r="E800" s="6" t="n">
        <x:v>0</x:v>
      </x:c>
      <x:c r="F800" s="6" t="n">
        <x:v>0</x:v>
      </x:c>
      <x:c r="G800" s="6" t="n">
        <x:v>0</x:v>
      </x:c>
      <x:c r="H800" s="6" t="n">
        <x:v>-20198</x:v>
      </x:c>
    </x:row>
    <x:row r="801" ht="21" customHeight="1">
      <x:c r="A801" s="1" t="str">
        <x:v>C0010026</x:v>
      </x:c>
      <x:c r="B801" s="1" t="n">
        <x:v>3</x:v>
      </x:c>
      <x:c r="C801" s="1" t="n">
        <x:v>3</x:v>
      </x:c>
      <x:c r="D801" s="6" t="n">
        <x:v>20198</x:v>
      </x:c>
      <x:c r="E801" s="6" t="n">
        <x:v>0</x:v>
      </x:c>
      <x:c r="F801" s="6" t="n">
        <x:v>0</x:v>
      </x:c>
      <x:c r="G801" s="6" t="n">
        <x:v>0</x:v>
      </x:c>
      <x:c r="H801" s="6" t="n">
        <x:v>-20198</x:v>
      </x:c>
    </x:row>
    <x:row r="802" ht="21" customHeight="1">
      <x:c r="A802" s="1" t="str">
        <x:v>C0015934</x:v>
      </x:c>
      <x:c r="B802" s="1" t="n">
        <x:v>3</x:v>
      </x:c>
      <x:c r="C802" s="1" t="n">
        <x:v>3</x:v>
      </x:c>
      <x:c r="D802" s="6" t="n">
        <x:v>20198</x:v>
      </x:c>
      <x:c r="E802" s="6" t="n">
        <x:v>0</x:v>
      </x:c>
      <x:c r="F802" s="6" t="n">
        <x:v>0</x:v>
      </x:c>
      <x:c r="G802" s="6" t="n">
        <x:v>0</x:v>
      </x:c>
      <x:c r="H802" s="6" t="n">
        <x:v>-20198</x:v>
      </x:c>
    </x:row>
    <x:row r="803" ht="21" customHeight="1">
      <x:c r="A803" s="1" t="str">
        <x:v>C0011995</x:v>
      </x:c>
      <x:c r="B803" s="1" t="n">
        <x:v>29</x:v>
      </x:c>
      <x:c r="C803" s="1" t="n">
        <x:v>29</x:v>
      </x:c>
      <x:c r="D803" s="6" t="n">
        <x:v>20020</x:v>
      </x:c>
      <x:c r="E803" s="6" t="n">
        <x:v>0</x:v>
      </x:c>
      <x:c r="F803" s="6" t="n">
        <x:v>0</x:v>
      </x:c>
      <x:c r="G803" s="6" t="n">
        <x:v>0</x:v>
      </x:c>
      <x:c r="H803" s="6" t="n">
        <x:v>-20020</x:v>
      </x:c>
    </x:row>
    <x:row r="804" ht="21" customHeight="1">
      <x:c r="A804" s="1" t="str">
        <x:v>C0003707</x:v>
      </x:c>
      <x:c r="B804" s="1" t="n">
        <x:v>29</x:v>
      </x:c>
      <x:c r="C804" s="1" t="n">
        <x:v>29</x:v>
      </x:c>
      <x:c r="D804" s="6" t="n">
        <x:v>0</x:v>
      </x:c>
      <x:c r="E804" s="6" t="n">
        <x:v>20020</x:v>
      </x:c>
      <x:c r="F804" s="6" t="n">
        <x:v>0</x:v>
      </x:c>
      <x:c r="G804" s="6" t="n">
        <x:v>20020</x:v>
      </x:c>
      <x:c r="H804" s="6" t="n">
        <x:v>20020</x:v>
      </x:c>
    </x:row>
    <x:row r="805" ht="21" customHeight="1">
      <x:c r="A805" s="1" t="str">
        <x:v>C0006701</x:v>
      </x:c>
      <x:c r="B805" s="1" t="n">
        <x:v>29</x:v>
      </x:c>
      <x:c r="C805" s="1" t="n">
        <x:v>29</x:v>
      </x:c>
      <x:c r="D805" s="6" t="n">
        <x:v>20020</x:v>
      </x:c>
      <x:c r="E805" s="6" t="n">
        <x:v>0</x:v>
      </x:c>
      <x:c r="F805" s="6" t="n">
        <x:v>0</x:v>
      </x:c>
      <x:c r="G805" s="6" t="n">
        <x:v>0</x:v>
      </x:c>
      <x:c r="H805" s="6" t="n">
        <x:v>-20020</x:v>
      </x:c>
    </x:row>
    <x:row r="806" ht="21" customHeight="1">
      <x:c r="A806" s="1" t="str">
        <x:v>C0007008</x:v>
      </x:c>
      <x:c r="B806" s="1" t="n">
        <x:v>29</x:v>
      </x:c>
      <x:c r="C806" s="1" t="n">
        <x:v>29</x:v>
      </x:c>
      <x:c r="D806" s="6" t="n">
        <x:v>20020</x:v>
      </x:c>
      <x:c r="E806" s="6" t="n">
        <x:v>40040</x:v>
      </x:c>
      <x:c r="F806" s="6" t="n">
        <x:v>0</x:v>
      </x:c>
      <x:c r="G806" s="6" t="n">
        <x:v>40040</x:v>
      </x:c>
      <x:c r="H806" s="6" t="n">
        <x:v>20020</x:v>
      </x:c>
    </x:row>
    <x:row r="807" ht="21" customHeight="1">
      <x:c r="A807" s="1" t="str">
        <x:v>C0005657</x:v>
      </x:c>
      <x:c r="B807" s="1" t="n">
        <x:v>27</x:v>
      </x:c>
      <x:c r="C807" s="1" t="n">
        <x:v>117</x:v>
      </x:c>
      <x:c r="D807" s="6" t="n">
        <x:v>20017</x:v>
      </x:c>
      <x:c r="E807" s="6" t="n">
        <x:v>40034</x:v>
      </x:c>
      <x:c r="F807" s="6" t="n">
        <x:v>0</x:v>
      </x:c>
      <x:c r="G807" s="6" t="n">
        <x:v>40034</x:v>
      </x:c>
      <x:c r="H807" s="6" t="n">
        <x:v>20017</x:v>
      </x:c>
    </x:row>
    <x:row r="808" ht="21" customHeight="1">
      <x:c r="A808" s="1" t="str">
        <x:v>C0004244</x:v>
      </x:c>
      <x:c r="B808" s="1" t="n">
        <x:v>27</x:v>
      </x:c>
      <x:c r="C808" s="1" t="n">
        <x:v>117</x:v>
      </x:c>
      <x:c r="D808" s="6" t="n">
        <x:v>20017</x:v>
      </x:c>
      <x:c r="E808" s="6" t="n">
        <x:v>0</x:v>
      </x:c>
      <x:c r="F808" s="6" t="n">
        <x:v>0</x:v>
      </x:c>
      <x:c r="G808" s="6" t="n">
        <x:v>0</x:v>
      </x:c>
      <x:c r="H808" s="6" t="n">
        <x:v>-20017</x:v>
      </x:c>
    </x:row>
    <x:row r="809" ht="21" customHeight="1">
      <x:c r="A809" s="1" t="str">
        <x:v>C0002228</x:v>
      </x:c>
      <x:c r="B809" s="1" t="n">
        <x:v>27</x:v>
      </x:c>
      <x:c r="C809" s="1" t="n">
        <x:v>117</x:v>
      </x:c>
      <x:c r="D809" s="6" t="n">
        <x:v>20017</x:v>
      </x:c>
      <x:c r="E809" s="6" t="n">
        <x:v>40034</x:v>
      </x:c>
      <x:c r="F809" s="6" t="n">
        <x:v>0</x:v>
      </x:c>
      <x:c r="G809" s="6" t="n">
        <x:v>40034</x:v>
      </x:c>
      <x:c r="H809" s="6" t="n">
        <x:v>20017</x:v>
      </x:c>
    </x:row>
    <x:row r="810" ht="21" customHeight="1">
      <x:c r="A810" s="1" t="str">
        <x:v>C0012853</x:v>
      </x:c>
      <x:c r="B810" s="1" t="n">
        <x:v>27</x:v>
      </x:c>
      <x:c r="C810" s="1" t="n">
        <x:v>117</x:v>
      </x:c>
      <x:c r="D810" s="6" t="n">
        <x:v>20017</x:v>
      </x:c>
      <x:c r="E810" s="6" t="n">
        <x:v>40034</x:v>
      </x:c>
      <x:c r="F810" s="6" t="n">
        <x:v>0</x:v>
      </x:c>
      <x:c r="G810" s="6" t="n">
        <x:v>40034</x:v>
      </x:c>
      <x:c r="H810" s="6" t="n">
        <x:v>20017</x:v>
      </x:c>
    </x:row>
    <x:row r="811" ht="21" customHeight="1">
      <x:c r="A811" s="1" t="str">
        <x:v>C0002645</x:v>
      </x:c>
      <x:c r="B811" s="1" t="n">
        <x:v>27</x:v>
      </x:c>
      <x:c r="C811" s="1" t="n">
        <x:v>117</x:v>
      </x:c>
      <x:c r="D811" s="6" t="n">
        <x:v>0</x:v>
      </x:c>
      <x:c r="E811" s="6" t="n">
        <x:v>20017</x:v>
      </x:c>
      <x:c r="F811" s="6" t="n">
        <x:v>0</x:v>
      </x:c>
      <x:c r="G811" s="6" t="n">
        <x:v>20017</x:v>
      </x:c>
      <x:c r="H811" s="6" t="n">
        <x:v>20017</x:v>
      </x:c>
    </x:row>
    <x:row r="812" ht="21" customHeight="1">
      <x:c r="A812" s="1" t="str">
        <x:v>C0002264</x:v>
      </x:c>
      <x:c r="B812" s="1" t="n">
        <x:v>27</x:v>
      </x:c>
      <x:c r="C812" s="1" t="n">
        <x:v>117</x:v>
      </x:c>
      <x:c r="D812" s="6" t="n">
        <x:v>20017</x:v>
      </x:c>
      <x:c r="E812" s="6" t="n">
        <x:v>40034</x:v>
      </x:c>
      <x:c r="F812" s="6" t="n">
        <x:v>0</x:v>
      </x:c>
      <x:c r="G812" s="6" t="n">
        <x:v>40034</x:v>
      </x:c>
      <x:c r="H812" s="6" t="n">
        <x:v>20017</x:v>
      </x:c>
    </x:row>
    <x:row r="813" ht="21" customHeight="1">
      <x:c r="A813" s="1" t="str">
        <x:v>C0007505</x:v>
      </x:c>
      <x:c r="B813" s="1" t="n">
        <x:v>27</x:v>
      </x:c>
      <x:c r="C813" s="1" t="n">
        <x:v>117</x:v>
      </x:c>
      <x:c r="D813" s="6" t="n">
        <x:v>20017</x:v>
      </x:c>
      <x:c r="E813" s="6" t="n">
        <x:v>40034</x:v>
      </x:c>
      <x:c r="F813" s="6" t="n">
        <x:v>0</x:v>
      </x:c>
      <x:c r="G813" s="6" t="n">
        <x:v>40034</x:v>
      </x:c>
      <x:c r="H813" s="6" t="n">
        <x:v>20017</x:v>
      </x:c>
    </x:row>
    <x:row r="814" ht="21" customHeight="1">
      <x:c r="A814" s="1" t="str">
        <x:v>C0016151</x:v>
      </x:c>
      <x:c r="B814" s="1" t="n">
        <x:v>27</x:v>
      </x:c>
      <x:c r="C814" s="1" t="n">
        <x:v>117</x:v>
      </x:c>
      <x:c r="D814" s="6" t="n">
        <x:v>20017</x:v>
      </x:c>
      <x:c r="E814" s="6" t="n">
        <x:v>40034</x:v>
      </x:c>
      <x:c r="F814" s="6" t="n">
        <x:v>0</x:v>
      </x:c>
      <x:c r="G814" s="6" t="n">
        <x:v>40034</x:v>
      </x:c>
      <x:c r="H814" s="6" t="n">
        <x:v>20017</x:v>
      </x:c>
    </x:row>
    <x:row r="815" ht="21" customHeight="1">
      <x:c r="A815" s="1" t="str">
        <x:v>C0005323</x:v>
      </x:c>
      <x:c r="B815" s="1" t="n">
        <x:v>27</x:v>
      </x:c>
      <x:c r="C815" s="1" t="n">
        <x:v>117</x:v>
      </x:c>
      <x:c r="D815" s="6" t="n">
        <x:v>20017</x:v>
      </x:c>
      <x:c r="E815" s="6" t="n">
        <x:v>0</x:v>
      </x:c>
      <x:c r="F815" s="6" t="n">
        <x:v>0</x:v>
      </x:c>
      <x:c r="G815" s="6" t="n">
        <x:v>0</x:v>
      </x:c>
      <x:c r="H815" s="6" t="n">
        <x:v>-20017</x:v>
      </x:c>
    </x:row>
    <x:row r="816" ht="21" customHeight="1">
      <x:c r="A816" s="1" t="str">
        <x:v>C0000909</x:v>
      </x:c>
      <x:c r="B816" s="1" t="n">
        <x:v>27</x:v>
      </x:c>
      <x:c r="C816" s="1" t="n">
        <x:v>117</x:v>
      </x:c>
      <x:c r="D816" s="6" t="n">
        <x:v>20017</x:v>
      </x:c>
      <x:c r="E816" s="6" t="n">
        <x:v>0</x:v>
      </x:c>
      <x:c r="F816" s="6" t="n">
        <x:v>0</x:v>
      </x:c>
      <x:c r="G816" s="6" t="n">
        <x:v>0</x:v>
      </x:c>
      <x:c r="H816" s="6" t="n">
        <x:v>-20017</x:v>
      </x:c>
    </x:row>
    <x:row r="817" ht="21" customHeight="1">
      <x:c r="A817" s="1" t="str">
        <x:v>C0003116</x:v>
      </x:c>
      <x:c r="B817" s="1" t="n">
        <x:v>23</x:v>
      </x:c>
      <x:c r="C817" s="1" t="n">
        <x:v>23</x:v>
      </x:c>
      <x:c r="D817" s="6" t="n">
        <x:v>19935</x:v>
      </x:c>
      <x:c r="E817" s="6" t="n">
        <x:v>39870</x:v>
      </x:c>
      <x:c r="F817" s="6" t="n">
        <x:v>0</x:v>
      </x:c>
      <x:c r="G817" s="6" t="n">
        <x:v>39870</x:v>
      </x:c>
      <x:c r="H817" s="6" t="n">
        <x:v>19935</x:v>
      </x:c>
    </x:row>
    <x:row r="818" ht="21" customHeight="1">
      <x:c r="A818" s="1" t="str">
        <x:v>C0002329</x:v>
      </x:c>
      <x:c r="B818" s="1" t="n">
        <x:v>23</x:v>
      </x:c>
      <x:c r="C818" s="1" t="n">
        <x:v>23</x:v>
      </x:c>
      <x:c r="D818" s="6" t="n">
        <x:v>19935</x:v>
      </x:c>
      <x:c r="E818" s="6" t="n">
        <x:v>0</x:v>
      </x:c>
      <x:c r="F818" s="6" t="n">
        <x:v>0</x:v>
      </x:c>
      <x:c r="G818" s="6" t="n">
        <x:v>0</x:v>
      </x:c>
      <x:c r="H818" s="6" t="n">
        <x:v>-19935</x:v>
      </x:c>
    </x:row>
    <x:row r="819" ht="21" customHeight="1">
      <x:c r="A819" s="1" t="str">
        <x:v>C0002233</x:v>
      </x:c>
      <x:c r="B819" s="1" t="n">
        <x:v>23</x:v>
      </x:c>
      <x:c r="C819" s="1" t="n">
        <x:v>23</x:v>
      </x:c>
      <x:c r="D819" s="6" t="n">
        <x:v>19935</x:v>
      </x:c>
      <x:c r="E819" s="6" t="n">
        <x:v>0</x:v>
      </x:c>
      <x:c r="F819" s="6" t="n">
        <x:v>0</x:v>
      </x:c>
      <x:c r="G819" s="6" t="n">
        <x:v>0</x:v>
      </x:c>
      <x:c r="H819" s="6" t="n">
        <x:v>-19935</x:v>
      </x:c>
    </x:row>
    <x:row r="820" ht="21" customHeight="1">
      <x:c r="A820" s="1" t="str">
        <x:v>C0003906</x:v>
      </x:c>
      <x:c r="B820" s="1" t="n">
        <x:v>29</x:v>
      </x:c>
      <x:c r="C820" s="1" t="n">
        <x:v>89</x:v>
      </x:c>
      <x:c r="D820" s="6" t="n">
        <x:v>19879</x:v>
      </x:c>
      <x:c r="E820" s="6" t="n">
        <x:v>39758</x:v>
      </x:c>
      <x:c r="F820" s="6" t="n">
        <x:v>0</x:v>
      </x:c>
      <x:c r="G820" s="6" t="n">
        <x:v>39758</x:v>
      </x:c>
      <x:c r="H820" s="6" t="n">
        <x:v>19879</x:v>
      </x:c>
    </x:row>
    <x:row r="821" ht="21" customHeight="1">
      <x:c r="A821" s="1" t="str">
        <x:v>C0015925</x:v>
      </x:c>
      <x:c r="B821" s="1" t="n">
        <x:v>29</x:v>
      </x:c>
      <x:c r="C821" s="1" t="n">
        <x:v>89</x:v>
      </x:c>
      <x:c r="D821" s="6" t="n">
        <x:v>19879</x:v>
      </x:c>
      <x:c r="E821" s="6" t="n">
        <x:v>0</x:v>
      </x:c>
      <x:c r="F821" s="6" t="n">
        <x:v>0</x:v>
      </x:c>
      <x:c r="G821" s="6" t="n">
        <x:v>0</x:v>
      </x:c>
      <x:c r="H821" s="6" t="n">
        <x:v>-19879</x:v>
      </x:c>
    </x:row>
    <x:row r="822" ht="21" customHeight="1">
      <x:c r="A822" s="1" t="str">
        <x:v>C0016687</x:v>
      </x:c>
      <x:c r="B822" s="1" t="n">
        <x:v>29</x:v>
      </x:c>
      <x:c r="C822" s="1" t="n">
        <x:v>89</x:v>
      </x:c>
      <x:c r="D822" s="6" t="n">
        <x:v>19879</x:v>
      </x:c>
      <x:c r="E822" s="6" t="n">
        <x:v>39758</x:v>
      </x:c>
      <x:c r="F822" s="6" t="n">
        <x:v>0</x:v>
      </x:c>
      <x:c r="G822" s="6" t="n">
        <x:v>39758</x:v>
      </x:c>
      <x:c r="H822" s="6" t="n">
        <x:v>19879</x:v>
      </x:c>
    </x:row>
    <x:row r="823" ht="21" customHeight="1">
      <x:c r="A823" s="1" t="str">
        <x:v>C0016248</x:v>
      </x:c>
      <x:c r="B823" s="1" t="n">
        <x:v>7</x:v>
      </x:c>
      <x:c r="C823" s="1" t="n">
        <x:v>67</x:v>
      </x:c>
      <x:c r="D823" s="6" t="n">
        <x:v>19874</x:v>
      </x:c>
      <x:c r="E823" s="6" t="n">
        <x:v>39748</x:v>
      </x:c>
      <x:c r="F823" s="6" t="n">
        <x:v>0</x:v>
      </x:c>
      <x:c r="G823" s="6" t="n">
        <x:v>39748</x:v>
      </x:c>
      <x:c r="H823" s="6" t="n">
        <x:v>19874</x:v>
      </x:c>
    </x:row>
    <x:row r="824" ht="21" customHeight="1">
      <x:c r="A824" s="1" t="str">
        <x:v>C0017192</x:v>
      </x:c>
      <x:c r="B824" s="1" t="n">
        <x:v>7</x:v>
      </x:c>
      <x:c r="C824" s="1" t="n">
        <x:v>67</x:v>
      </x:c>
      <x:c r="D824" s="6" t="n">
        <x:v>19874</x:v>
      </x:c>
      <x:c r="E824" s="6" t="n">
        <x:v>39748</x:v>
      </x:c>
      <x:c r="F824" s="6" t="n">
        <x:v>0</x:v>
      </x:c>
      <x:c r="G824" s="6" t="n">
        <x:v>39748</x:v>
      </x:c>
      <x:c r="H824" s="6" t="n">
        <x:v>19874</x:v>
      </x:c>
    </x:row>
    <x:row r="825" ht="21" customHeight="1">
      <x:c r="A825" s="1" t="str">
        <x:v>C0011720</x:v>
      </x:c>
      <x:c r="B825" s="1" t="n">
        <x:v>7</x:v>
      </x:c>
      <x:c r="C825" s="1" t="n">
        <x:v>67</x:v>
      </x:c>
      <x:c r="D825" s="6" t="n">
        <x:v>19874</x:v>
      </x:c>
      <x:c r="E825" s="6" t="n">
        <x:v>0</x:v>
      </x:c>
      <x:c r="F825" s="6" t="n">
        <x:v>0</x:v>
      </x:c>
      <x:c r="G825" s="6" t="n">
        <x:v>0</x:v>
      </x:c>
      <x:c r="H825" s="6" t="n">
        <x:v>-19874</x:v>
      </x:c>
    </x:row>
    <x:row r="826" ht="21" customHeight="1">
      <x:c r="A826" s="1" t="str">
        <x:v>C0011698</x:v>
      </x:c>
      <x:c r="B826" s="1" t="n">
        <x:v>7</x:v>
      </x:c>
      <x:c r="C826" s="1" t="n">
        <x:v>67</x:v>
      </x:c>
      <x:c r="D826" s="6" t="n">
        <x:v>19874</x:v>
      </x:c>
      <x:c r="E826" s="6" t="n">
        <x:v>39748</x:v>
      </x:c>
      <x:c r="F826" s="6" t="n">
        <x:v>0</x:v>
      </x:c>
      <x:c r="G826" s="6" t="n">
        <x:v>39748</x:v>
      </x:c>
      <x:c r="H826" s="6" t="n">
        <x:v>19874</x:v>
      </x:c>
    </x:row>
    <x:row r="827" ht="21" customHeight="1">
      <x:c r="A827" s="1" t="str">
        <x:v>C0001496</x:v>
      </x:c>
      <x:c r="B827" s="1" t="n">
        <x:v>7</x:v>
      </x:c>
      <x:c r="C827" s="1" t="n">
        <x:v>67</x:v>
      </x:c>
      <x:c r="D827" s="6" t="n">
        <x:v>19874</x:v>
      </x:c>
      <x:c r="E827" s="6" t="n">
        <x:v>39748</x:v>
      </x:c>
      <x:c r="F827" s="6" t="n">
        <x:v>0</x:v>
      </x:c>
      <x:c r="G827" s="6" t="n">
        <x:v>39748</x:v>
      </x:c>
      <x:c r="H827" s="6" t="n">
        <x:v>19874</x:v>
      </x:c>
    </x:row>
    <x:row r="828" ht="21" customHeight="1">
      <x:c r="A828" s="1" t="str">
        <x:v>C0007557</x:v>
      </x:c>
      <x:c r="B828" s="1" t="n">
        <x:v>7</x:v>
      </x:c>
      <x:c r="C828" s="1" t="n">
        <x:v>67</x:v>
      </x:c>
      <x:c r="D828" s="6" t="n">
        <x:v>0</x:v>
      </x:c>
      <x:c r="E828" s="6" t="n">
        <x:v>19874</x:v>
      </x:c>
      <x:c r="F828" s="6" t="n">
        <x:v>0</x:v>
      </x:c>
      <x:c r="G828" s="6" t="n">
        <x:v>19874</x:v>
      </x:c>
      <x:c r="H828" s="6" t="n">
        <x:v>19874</x:v>
      </x:c>
    </x:row>
    <x:row r="829" ht="21" customHeight="1">
      <x:c r="A829" s="1" t="str">
        <x:v>C0010063</x:v>
      </x:c>
      <x:c r="B829" s="1" t="n">
        <x:v>7</x:v>
      </x:c>
      <x:c r="C829" s="1" t="n">
        <x:v>67</x:v>
      </x:c>
      <x:c r="D829" s="6" t="n">
        <x:v>19874</x:v>
      </x:c>
      <x:c r="E829" s="6" t="n">
        <x:v>39748</x:v>
      </x:c>
      <x:c r="F829" s="6" t="n">
        <x:v>0</x:v>
      </x:c>
      <x:c r="G829" s="6" t="n">
        <x:v>39748</x:v>
      </x:c>
      <x:c r="H829" s="6" t="n">
        <x:v>19874</x:v>
      </x:c>
    </x:row>
    <x:row r="830" ht="21" customHeight="1">
      <x:c r="A830" s="1" t="str">
        <x:v>C0009532</x:v>
      </x:c>
      <x:c r="B830" s="1" t="n">
        <x:v>7</x:v>
      </x:c>
      <x:c r="C830" s="1" t="n">
        <x:v>67</x:v>
      </x:c>
      <x:c r="D830" s="6" t="n">
        <x:v>19874</x:v>
      </x:c>
      <x:c r="E830" s="6" t="n">
        <x:v>39748</x:v>
      </x:c>
      <x:c r="F830" s="6" t="n">
        <x:v>0</x:v>
      </x:c>
      <x:c r="G830" s="6" t="n">
        <x:v>39748</x:v>
      </x:c>
      <x:c r="H830" s="6" t="n">
        <x:v>19874</x:v>
      </x:c>
    </x:row>
    <x:row r="831" ht="21" customHeight="1">
      <x:c r="A831" s="1" t="str">
        <x:v>C0011118</x:v>
      </x:c>
      <x:c r="B831" s="1" t="n">
        <x:v>7</x:v>
      </x:c>
      <x:c r="C831" s="1" t="n">
        <x:v>67</x:v>
      </x:c>
      <x:c r="D831" s="6" t="n">
        <x:v>19874</x:v>
      </x:c>
      <x:c r="E831" s="6" t="n">
        <x:v>39748</x:v>
      </x:c>
      <x:c r="F831" s="6" t="n">
        <x:v>0</x:v>
      </x:c>
      <x:c r="G831" s="6" t="n">
        <x:v>39748</x:v>
      </x:c>
      <x:c r="H831" s="6" t="n">
        <x:v>19874</x:v>
      </x:c>
    </x:row>
    <x:row r="832" ht="21" customHeight="1">
      <x:c r="A832" s="1" t="str">
        <x:v>C0007005</x:v>
      </x:c>
      <x:c r="B832" s="1" t="n">
        <x:v>22</x:v>
      </x:c>
      <x:c r="C832" s="1" t="n">
        <x:v>82</x:v>
      </x:c>
      <x:c r="D832" s="6" t="n">
        <x:v>0</x:v>
      </x:c>
      <x:c r="E832" s="6" t="n">
        <x:v>19847</x:v>
      </x:c>
      <x:c r="F832" s="6" t="n">
        <x:v>0</x:v>
      </x:c>
      <x:c r="G832" s="6" t="n">
        <x:v>19847</x:v>
      </x:c>
      <x:c r="H832" s="6" t="n">
        <x:v>19847</x:v>
      </x:c>
    </x:row>
    <x:row r="833" ht="21" customHeight="1">
      <x:c r="A833" s="1" t="str">
        <x:v>C0008704</x:v>
      </x:c>
      <x:c r="B833" s="1" t="n">
        <x:v>22</x:v>
      </x:c>
      <x:c r="C833" s="1" t="n">
        <x:v>82</x:v>
      </x:c>
      <x:c r="D833" s="6" t="n">
        <x:v>19847</x:v>
      </x:c>
      <x:c r="E833" s="6" t="n">
        <x:v>0</x:v>
      </x:c>
      <x:c r="F833" s="6" t="n">
        <x:v>0</x:v>
      </x:c>
      <x:c r="G833" s="6" t="n">
        <x:v>0</x:v>
      </x:c>
      <x:c r="H833" s="6" t="n">
        <x:v>-19847</x:v>
      </x:c>
    </x:row>
    <x:row r="834" ht="21" customHeight="1">
      <x:c r="A834" s="1" t="str">
        <x:v>C0003324</x:v>
      </x:c>
      <x:c r="B834" s="1" t="n">
        <x:v>22</x:v>
      </x:c>
      <x:c r="C834" s="1" t="n">
        <x:v>82</x:v>
      </x:c>
      <x:c r="D834" s="6" t="n">
        <x:v>19847</x:v>
      </x:c>
      <x:c r="E834" s="6" t="n">
        <x:v>0</x:v>
      </x:c>
      <x:c r="F834" s="6" t="n">
        <x:v>0</x:v>
      </x:c>
      <x:c r="G834" s="6" t="n">
        <x:v>0</x:v>
      </x:c>
      <x:c r="H834" s="6" t="n">
        <x:v>-19847</x:v>
      </x:c>
    </x:row>
    <x:row r="835" ht="21" customHeight="1">
      <x:c r="A835" s="1" t="str">
        <x:v>C0006735</x:v>
      </x:c>
      <x:c r="B835" s="1" t="n">
        <x:v>22</x:v>
      </x:c>
      <x:c r="C835" s="1" t="n">
        <x:v>82</x:v>
      </x:c>
      <x:c r="D835" s="6" t="n">
        <x:v>19847</x:v>
      </x:c>
      <x:c r="E835" s="6" t="n">
        <x:v>0</x:v>
      </x:c>
      <x:c r="F835" s="6" t="n">
        <x:v>0</x:v>
      </x:c>
      <x:c r="G835" s="6" t="n">
        <x:v>0</x:v>
      </x:c>
      <x:c r="H835" s="6" t="n">
        <x:v>-19847</x:v>
      </x:c>
    </x:row>
    <x:row r="836" ht="21" customHeight="1">
      <x:c r="A836" s="1" t="str">
        <x:v>C0010305</x:v>
      </x:c>
      <x:c r="B836" s="1" t="n">
        <x:v>22</x:v>
      </x:c>
      <x:c r="C836" s="1" t="n">
        <x:v>82</x:v>
      </x:c>
      <x:c r="D836" s="6" t="n">
        <x:v>19847</x:v>
      </x:c>
      <x:c r="E836" s="6" t="n">
        <x:v>39694</x:v>
      </x:c>
      <x:c r="F836" s="6" t="n">
        <x:v>0</x:v>
      </x:c>
      <x:c r="G836" s="6" t="n">
        <x:v>39694</x:v>
      </x:c>
      <x:c r="H836" s="6" t="n">
        <x:v>19847</x:v>
      </x:c>
    </x:row>
    <x:row r="837" ht="21" customHeight="1">
      <x:c r="A837" s="1" t="str">
        <x:v>C0007986</x:v>
      </x:c>
      <x:c r="B837" s="1" t="n">
        <x:v>22</x:v>
      </x:c>
      <x:c r="C837" s="1" t="n">
        <x:v>82</x:v>
      </x:c>
      <x:c r="D837" s="6" t="n">
        <x:v>19847</x:v>
      </x:c>
      <x:c r="E837" s="6" t="n">
        <x:v>0</x:v>
      </x:c>
      <x:c r="F837" s="6" t="n">
        <x:v>0</x:v>
      </x:c>
      <x:c r="G837" s="6" t="n">
        <x:v>0</x:v>
      </x:c>
      <x:c r="H837" s="6" t="n">
        <x:v>-19847</x:v>
      </x:c>
    </x:row>
    <x:row r="838" ht="21" customHeight="1">
      <x:c r="A838" s="1" t="str">
        <x:v>C0005866</x:v>
      </x:c>
      <x:c r="B838" s="1" t="n">
        <x:v>22</x:v>
      </x:c>
      <x:c r="C838" s="1" t="n">
        <x:v>82</x:v>
      </x:c>
      <x:c r="D838" s="6" t="n">
        <x:v>19847</x:v>
      </x:c>
      <x:c r="E838" s="6" t="n">
        <x:v>0</x:v>
      </x:c>
      <x:c r="F838" s="6" t="n">
        <x:v>0</x:v>
      </x:c>
      <x:c r="G838" s="6" t="n">
        <x:v>0</x:v>
      </x:c>
      <x:c r="H838" s="6" t="n">
        <x:v>-19847</x:v>
      </x:c>
    </x:row>
    <x:row r="839" ht="21" customHeight="1">
      <x:c r="A839" s="1" t="str">
        <x:v>C0006002</x:v>
      </x:c>
      <x:c r="B839" s="1" t="n">
        <x:v>22</x:v>
      </x:c>
      <x:c r="C839" s="1" t="n">
        <x:v>82</x:v>
      </x:c>
      <x:c r="D839" s="6" t="n">
        <x:v>19847</x:v>
      </x:c>
      <x:c r="E839" s="6" t="n">
        <x:v>39694</x:v>
      </x:c>
      <x:c r="F839" s="6" t="n">
        <x:v>0</x:v>
      </x:c>
      <x:c r="G839" s="6" t="n">
        <x:v>39694</x:v>
      </x:c>
      <x:c r="H839" s="6" t="n">
        <x:v>19847</x:v>
      </x:c>
    </x:row>
    <x:row r="840" ht="21" customHeight="1">
      <x:c r="A840" s="1" t="str">
        <x:v>C0016541</x:v>
      </x:c>
      <x:c r="B840" s="1" t="n">
        <x:v>22</x:v>
      </x:c>
      <x:c r="C840" s="1" t="n">
        <x:v>82</x:v>
      </x:c>
      <x:c r="D840" s="6" t="n">
        <x:v>19847</x:v>
      </x:c>
      <x:c r="E840" s="6" t="n">
        <x:v>39694</x:v>
      </x:c>
      <x:c r="F840" s="6" t="n">
        <x:v>0</x:v>
      </x:c>
      <x:c r="G840" s="6" t="n">
        <x:v>39694</x:v>
      </x:c>
      <x:c r="H840" s="6" t="n">
        <x:v>19847</x:v>
      </x:c>
    </x:row>
    <x:row r="841" ht="21" customHeight="1">
      <x:c r="A841" s="1" t="str">
        <x:v>C0007376</x:v>
      </x:c>
      <x:c r="B841" s="1" t="n">
        <x:v>22</x:v>
      </x:c>
      <x:c r="C841" s="1" t="n">
        <x:v>82</x:v>
      </x:c>
      <x:c r="D841" s="6" t="n">
        <x:v>19847</x:v>
      </x:c>
      <x:c r="E841" s="6" t="n">
        <x:v>39694</x:v>
      </x:c>
      <x:c r="F841" s="6" t="n">
        <x:v>0</x:v>
      </x:c>
      <x:c r="G841" s="6" t="n">
        <x:v>39694</x:v>
      </x:c>
      <x:c r="H841" s="6" t="n">
        <x:v>19847</x:v>
      </x:c>
    </x:row>
    <x:row r="842" ht="21" customHeight="1">
      <x:c r="A842" s="1" t="str">
        <x:v>C0004732</x:v>
      </x:c>
      <x:c r="B842" s="1" t="n">
        <x:v>21</x:v>
      </x:c>
      <x:c r="C842" s="1" t="n">
        <x:v>51</x:v>
      </x:c>
      <x:c r="D842" s="6" t="n">
        <x:v>19794</x:v>
      </x:c>
      <x:c r="E842" s="6" t="n">
        <x:v>39588</x:v>
      </x:c>
      <x:c r="F842" s="6" t="n">
        <x:v>0</x:v>
      </x:c>
      <x:c r="G842" s="6" t="n">
        <x:v>39588</x:v>
      </x:c>
      <x:c r="H842" s="6" t="n">
        <x:v>19794</x:v>
      </x:c>
    </x:row>
    <x:row r="843" ht="21" customHeight="1">
      <x:c r="A843" s="1" t="str">
        <x:v>C0014847</x:v>
      </x:c>
      <x:c r="B843" s="1" t="n">
        <x:v>21</x:v>
      </x:c>
      <x:c r="C843" s="1" t="n">
        <x:v>51</x:v>
      </x:c>
      <x:c r="D843" s="6" t="n">
        <x:v>19794</x:v>
      </x:c>
      <x:c r="E843" s="6" t="n">
        <x:v>0</x:v>
      </x:c>
      <x:c r="F843" s="6" t="n">
        <x:v>0</x:v>
      </x:c>
      <x:c r="G843" s="6" t="n">
        <x:v>0</x:v>
      </x:c>
      <x:c r="H843" s="6" t="n">
        <x:v>-19794</x:v>
      </x:c>
    </x:row>
    <x:row r="844" ht="21" customHeight="1">
      <x:c r="A844" s="1" t="str">
        <x:v>C0003146</x:v>
      </x:c>
      <x:c r="B844" s="1" t="n">
        <x:v>21</x:v>
      </x:c>
      <x:c r="C844" s="1" t="n">
        <x:v>51</x:v>
      </x:c>
      <x:c r="D844" s="6" t="n">
        <x:v>0</x:v>
      </x:c>
      <x:c r="E844" s="6" t="n">
        <x:v>19794</x:v>
      </x:c>
      <x:c r="F844" s="6" t="n">
        <x:v>0</x:v>
      </x:c>
      <x:c r="G844" s="6" t="n">
        <x:v>19794</x:v>
      </x:c>
      <x:c r="H844" s="6" t="n">
        <x:v>19794</x:v>
      </x:c>
    </x:row>
    <x:row r="845" ht="21" customHeight="1">
      <x:c r="A845" s="1" t="str">
        <x:v>C0017084</x:v>
      </x:c>
      <x:c r="B845" s="1" t="n">
        <x:v>21</x:v>
      </x:c>
      <x:c r="C845" s="1" t="n">
        <x:v>51</x:v>
      </x:c>
      <x:c r="D845" s="6" t="n">
        <x:v>0</x:v>
      </x:c>
      <x:c r="E845" s="6" t="n">
        <x:v>19794</x:v>
      </x:c>
      <x:c r="F845" s="6" t="n">
        <x:v>0</x:v>
      </x:c>
      <x:c r="G845" s="6" t="n">
        <x:v>19794</x:v>
      </x:c>
      <x:c r="H845" s="6" t="n">
        <x:v>19794</x:v>
      </x:c>
    </x:row>
    <x:row r="846" ht="21" customHeight="1">
      <x:c r="A846" s="1" t="str">
        <x:v>C0013570</x:v>
      </x:c>
      <x:c r="B846" s="1" t="n">
        <x:v>21</x:v>
      </x:c>
      <x:c r="C846" s="1" t="n">
        <x:v>51</x:v>
      </x:c>
      <x:c r="D846" s="6" t="n">
        <x:v>19794</x:v>
      </x:c>
      <x:c r="E846" s="6" t="n">
        <x:v>0</x:v>
      </x:c>
      <x:c r="F846" s="6" t="n">
        <x:v>0</x:v>
      </x:c>
      <x:c r="G846" s="6" t="n">
        <x:v>0</x:v>
      </x:c>
      <x:c r="H846" s="6" t="n">
        <x:v>-19794</x:v>
      </x:c>
    </x:row>
    <x:row r="847" ht="21" customHeight="1">
      <x:c r="A847" s="1" t="str">
        <x:v>C0011101</x:v>
      </x:c>
      <x:c r="B847" s="1" t="n">
        <x:v>21</x:v>
      </x:c>
      <x:c r="C847" s="1" t="n">
        <x:v>51</x:v>
      </x:c>
      <x:c r="D847" s="6" t="n">
        <x:v>19794</x:v>
      </x:c>
      <x:c r="E847" s="6" t="n">
        <x:v>0</x:v>
      </x:c>
      <x:c r="F847" s="6" t="n">
        <x:v>0</x:v>
      </x:c>
      <x:c r="G847" s="6" t="n">
        <x:v>0</x:v>
      </x:c>
      <x:c r="H847" s="6" t="n">
        <x:v>-19794</x:v>
      </x:c>
    </x:row>
    <x:row r="848" ht="21" customHeight="1">
      <x:c r="A848" s="1" t="str">
        <x:v>C0015011</x:v>
      </x:c>
      <x:c r="B848" s="1" t="n">
        <x:v>26</x:v>
      </x:c>
      <x:c r="C848" s="1" t="n">
        <x:v>26</x:v>
      </x:c>
      <x:c r="D848" s="6" t="n">
        <x:v>19780</x:v>
      </x:c>
      <x:c r="E848" s="6" t="n">
        <x:v>39560</x:v>
      </x:c>
      <x:c r="F848" s="6" t="n">
        <x:v>0</x:v>
      </x:c>
      <x:c r="G848" s="6" t="n">
        <x:v>39560</x:v>
      </x:c>
      <x:c r="H848" s="6" t="n">
        <x:v>19780</x:v>
      </x:c>
    </x:row>
    <x:row r="849" ht="21" customHeight="1">
      <x:c r="A849" s="1" t="str">
        <x:v>C0005624</x:v>
      </x:c>
      <x:c r="B849" s="1" t="n">
        <x:v>26</x:v>
      </x:c>
      <x:c r="C849" s="1" t="n">
        <x:v>26</x:v>
      </x:c>
      <x:c r="D849" s="6" t="n">
        <x:v>19780</x:v>
      </x:c>
      <x:c r="E849" s="6" t="n">
        <x:v>39560</x:v>
      </x:c>
      <x:c r="F849" s="6" t="n">
        <x:v>0</x:v>
      </x:c>
      <x:c r="G849" s="6" t="n">
        <x:v>39560</x:v>
      </x:c>
      <x:c r="H849" s="6" t="n">
        <x:v>19780</x:v>
      </x:c>
    </x:row>
    <x:row r="850" ht="21" customHeight="1">
      <x:c r="A850" s="1" t="str">
        <x:v>C0011358</x:v>
      </x:c>
      <x:c r="B850" s="1" t="n">
        <x:v>26</x:v>
      </x:c>
      <x:c r="C850" s="1" t="n">
        <x:v>26</x:v>
      </x:c>
      <x:c r="D850" s="6" t="n">
        <x:v>19780</x:v>
      </x:c>
      <x:c r="E850" s="6" t="n">
        <x:v>39560</x:v>
      </x:c>
      <x:c r="F850" s="6" t="n">
        <x:v>0</x:v>
      </x:c>
      <x:c r="G850" s="6" t="n">
        <x:v>39560</x:v>
      </x:c>
      <x:c r="H850" s="6" t="n">
        <x:v>19780</x:v>
      </x:c>
    </x:row>
    <x:row r="851" ht="21" customHeight="1">
      <x:c r="A851" s="1" t="str">
        <x:v>C0010895</x:v>
      </x:c>
      <x:c r="B851" s="1" t="n">
        <x:v>26</x:v>
      </x:c>
      <x:c r="C851" s="1" t="n">
        <x:v>26</x:v>
      </x:c>
      <x:c r="D851" s="6" t="n">
        <x:v>19780</x:v>
      </x:c>
      <x:c r="E851" s="6" t="n">
        <x:v>0</x:v>
      </x:c>
      <x:c r="F851" s="6" t="n">
        <x:v>0</x:v>
      </x:c>
      <x:c r="G851" s="6" t="n">
        <x:v>0</x:v>
      </x:c>
      <x:c r="H851" s="6" t="n">
        <x:v>-19780</x:v>
      </x:c>
    </x:row>
    <x:row r="852" ht="21" customHeight="1">
      <x:c r="A852" s="1" t="str">
        <x:v>C0015726</x:v>
      </x:c>
      <x:c r="B852" s="1" t="n">
        <x:v>26</x:v>
      </x:c>
      <x:c r="C852" s="1" t="n">
        <x:v>26</x:v>
      </x:c>
      <x:c r="D852" s="6" t="n">
        <x:v>19780</x:v>
      </x:c>
      <x:c r="E852" s="6" t="n">
        <x:v>39560</x:v>
      </x:c>
      <x:c r="F852" s="6" t="n">
        <x:v>0</x:v>
      </x:c>
      <x:c r="G852" s="6" t="n">
        <x:v>39560</x:v>
      </x:c>
      <x:c r="H852" s="6" t="n">
        <x:v>19780</x:v>
      </x:c>
    </x:row>
    <x:row r="853" ht="21" customHeight="1">
      <x:c r="A853" s="1" t="str">
        <x:v>C0011828</x:v>
      </x:c>
      <x:c r="B853" s="1" t="n">
        <x:v>20</x:v>
      </x:c>
      <x:c r="C853" s="1" t="n">
        <x:v>110</x:v>
      </x:c>
      <x:c r="D853" s="6" t="n">
        <x:v>19703</x:v>
      </x:c>
      <x:c r="E853" s="6" t="n">
        <x:v>0</x:v>
      </x:c>
      <x:c r="F853" s="6" t="n">
        <x:v>0</x:v>
      </x:c>
      <x:c r="G853" s="6" t="n">
        <x:v>0</x:v>
      </x:c>
      <x:c r="H853" s="6" t="n">
        <x:v>-19703</x:v>
      </x:c>
    </x:row>
    <x:row r="854" ht="21" customHeight="1">
      <x:c r="A854" s="1" t="str">
        <x:v>C0010221</x:v>
      </x:c>
      <x:c r="B854" s="1" t="n">
        <x:v>20</x:v>
      </x:c>
      <x:c r="C854" s="1" t="n">
        <x:v>110</x:v>
      </x:c>
      <x:c r="D854" s="6" t="n">
        <x:v>0</x:v>
      </x:c>
      <x:c r="E854" s="6" t="n">
        <x:v>19703</x:v>
      </x:c>
      <x:c r="F854" s="6" t="n">
        <x:v>0</x:v>
      </x:c>
      <x:c r="G854" s="6" t="n">
        <x:v>19703</x:v>
      </x:c>
      <x:c r="H854" s="6" t="n">
        <x:v>19703</x:v>
      </x:c>
    </x:row>
    <x:row r="855" ht="21" customHeight="1">
      <x:c r="A855" s="1" t="str">
        <x:v>C0008282</x:v>
      </x:c>
      <x:c r="B855" s="1" t="n">
        <x:v>20</x:v>
      </x:c>
      <x:c r="C855" s="1" t="n">
        <x:v>110</x:v>
      </x:c>
      <x:c r="D855" s="6" t="n">
        <x:v>19703</x:v>
      </x:c>
      <x:c r="E855" s="6" t="n">
        <x:v>0</x:v>
      </x:c>
      <x:c r="F855" s="6" t="n">
        <x:v>0</x:v>
      </x:c>
      <x:c r="G855" s="6" t="n">
        <x:v>0</x:v>
      </x:c>
      <x:c r="H855" s="6" t="n">
        <x:v>-19703</x:v>
      </x:c>
    </x:row>
    <x:row r="856" ht="21" customHeight="1">
      <x:c r="A856" s="1" t="str">
        <x:v>C0013357</x:v>
      </x:c>
      <x:c r="B856" s="1" t="n">
        <x:v>20</x:v>
      </x:c>
      <x:c r="C856" s="1" t="n">
        <x:v>110</x:v>
      </x:c>
      <x:c r="D856" s="6" t="n">
        <x:v>19703</x:v>
      </x:c>
      <x:c r="E856" s="6" t="n">
        <x:v>39406</x:v>
      </x:c>
      <x:c r="F856" s="6" t="n">
        <x:v>0</x:v>
      </x:c>
      <x:c r="G856" s="6" t="n">
        <x:v>39406</x:v>
      </x:c>
      <x:c r="H856" s="6" t="n">
        <x:v>19703</x:v>
      </x:c>
    </x:row>
    <x:row r="857" ht="21" customHeight="1">
      <x:c r="A857" s="1" t="str">
        <x:v>C0012577</x:v>
      </x:c>
      <x:c r="B857" s="1" t="n">
        <x:v>12</x:v>
      </x:c>
      <x:c r="C857" s="1" t="n">
        <x:v>102</x:v>
      </x:c>
      <x:c r="D857" s="6" t="n">
        <x:v>19623</x:v>
      </x:c>
      <x:c r="E857" s="6" t="n">
        <x:v>39246</x:v>
      </x:c>
      <x:c r="F857" s="6" t="n">
        <x:v>0</x:v>
      </x:c>
      <x:c r="G857" s="6" t="n">
        <x:v>39246</x:v>
      </x:c>
      <x:c r="H857" s="6" t="n">
        <x:v>19623</x:v>
      </x:c>
    </x:row>
    <x:row r="858" ht="21" customHeight="1">
      <x:c r="A858" s="1" t="str">
        <x:v>C0005365</x:v>
      </x:c>
      <x:c r="B858" s="1" t="n">
        <x:v>12</x:v>
      </x:c>
      <x:c r="C858" s="1" t="n">
        <x:v>102</x:v>
      </x:c>
      <x:c r="D858" s="6" t="n">
        <x:v>19623</x:v>
      </x:c>
      <x:c r="E858" s="6" t="n">
        <x:v>39246</x:v>
      </x:c>
      <x:c r="F858" s="6" t="n">
        <x:v>0</x:v>
      </x:c>
      <x:c r="G858" s="6" t="n">
        <x:v>39246</x:v>
      </x:c>
      <x:c r="H858" s="6" t="n">
        <x:v>19623</x:v>
      </x:c>
    </x:row>
    <x:row r="859" ht="21" customHeight="1">
      <x:c r="A859" s="1" t="str">
        <x:v>C0013295</x:v>
      </x:c>
      <x:c r="B859" s="1" t="n">
        <x:v>12</x:v>
      </x:c>
      <x:c r="C859" s="1" t="n">
        <x:v>102</x:v>
      </x:c>
      <x:c r="D859" s="6" t="n">
        <x:v>19623</x:v>
      </x:c>
      <x:c r="E859" s="6" t="n">
        <x:v>39246</x:v>
      </x:c>
      <x:c r="F859" s="6" t="n">
        <x:v>0</x:v>
      </x:c>
      <x:c r="G859" s="6" t="n">
        <x:v>39246</x:v>
      </x:c>
      <x:c r="H859" s="6" t="n">
        <x:v>19623</x:v>
      </x:c>
    </x:row>
    <x:row r="860" ht="21" customHeight="1">
      <x:c r="A860" s="1" t="str">
        <x:v>C0002961</x:v>
      </x:c>
      <x:c r="B860" s="1" t="n">
        <x:v>12</x:v>
      </x:c>
      <x:c r="C860" s="1" t="n">
        <x:v>102</x:v>
      </x:c>
      <x:c r="D860" s="6" t="n">
        <x:v>19623</x:v>
      </x:c>
      <x:c r="E860" s="6" t="n">
        <x:v>0</x:v>
      </x:c>
      <x:c r="F860" s="6" t="n">
        <x:v>0</x:v>
      </x:c>
      <x:c r="G860" s="6" t="n">
        <x:v>0</x:v>
      </x:c>
      <x:c r="H860" s="6" t="n">
        <x:v>-19623</x:v>
      </x:c>
    </x:row>
    <x:row r="861" ht="21" customHeight="1">
      <x:c r="A861" s="1" t="str">
        <x:v>C0016732</x:v>
      </x:c>
      <x:c r="B861" s="1" t="n">
        <x:v>12</x:v>
      </x:c>
      <x:c r="C861" s="1" t="n">
        <x:v>102</x:v>
      </x:c>
      <x:c r="D861" s="6" t="n">
        <x:v>19623</x:v>
      </x:c>
      <x:c r="E861" s="6" t="n">
        <x:v>39246</x:v>
      </x:c>
      <x:c r="F861" s="6" t="n">
        <x:v>0</x:v>
      </x:c>
      <x:c r="G861" s="6" t="n">
        <x:v>39246</x:v>
      </x:c>
      <x:c r="H861" s="6" t="n">
        <x:v>19623</x:v>
      </x:c>
    </x:row>
    <x:row r="862" ht="21" customHeight="1">
      <x:c r="A862" s="1" t="str">
        <x:v>C0007918</x:v>
      </x:c>
      <x:c r="B862" s="1" t="n">
        <x:v>12</x:v>
      </x:c>
      <x:c r="C862" s="1" t="n">
        <x:v>102</x:v>
      </x:c>
      <x:c r="D862" s="6" t="n">
        <x:v>19623</x:v>
      </x:c>
      <x:c r="E862" s="6" t="n">
        <x:v>0</x:v>
      </x:c>
      <x:c r="F862" s="6" t="n">
        <x:v>0</x:v>
      </x:c>
      <x:c r="G862" s="6" t="n">
        <x:v>0</x:v>
      </x:c>
      <x:c r="H862" s="6" t="n">
        <x:v>-19623</x:v>
      </x:c>
    </x:row>
    <x:row r="863" ht="21" customHeight="1">
      <x:c r="A863" s="1" t="str">
        <x:v>C0000727</x:v>
      </x:c>
      <x:c r="B863" s="1" t="n">
        <x:v>15</x:v>
      </x:c>
      <x:c r="C863" s="1" t="n">
        <x:v>45</x:v>
      </x:c>
      <x:c r="D863" s="6" t="n">
        <x:v>19594</x:v>
      </x:c>
      <x:c r="E863" s="6" t="n">
        <x:v>0</x:v>
      </x:c>
      <x:c r="F863" s="6" t="n">
        <x:v>0</x:v>
      </x:c>
      <x:c r="G863" s="6" t="n">
        <x:v>0</x:v>
      </x:c>
      <x:c r="H863" s="6" t="n">
        <x:v>-19594</x:v>
      </x:c>
    </x:row>
    <x:row r="864" ht="21" customHeight="1">
      <x:c r="A864" s="1" t="str">
        <x:v>C0014732</x:v>
      </x:c>
      <x:c r="B864" s="1" t="n">
        <x:v>15</x:v>
      </x:c>
      <x:c r="C864" s="1" t="n">
        <x:v>45</x:v>
      </x:c>
      <x:c r="D864" s="6" t="n">
        <x:v>19594</x:v>
      </x:c>
      <x:c r="E864" s="6" t="n">
        <x:v>0</x:v>
      </x:c>
      <x:c r="F864" s="6" t="n">
        <x:v>0</x:v>
      </x:c>
      <x:c r="G864" s="6" t="n">
        <x:v>0</x:v>
      </x:c>
      <x:c r="H864" s="6" t="n">
        <x:v>-19594</x:v>
      </x:c>
    </x:row>
    <x:row r="865" ht="21" customHeight="1">
      <x:c r="A865" s="1" t="str">
        <x:v>C0014938</x:v>
      </x:c>
      <x:c r="B865" s="1" t="n">
        <x:v>15</x:v>
      </x:c>
      <x:c r="C865" s="1" t="n">
        <x:v>45</x:v>
      </x:c>
      <x:c r="D865" s="6" t="n">
        <x:v>19594</x:v>
      </x:c>
      <x:c r="E865" s="6" t="n">
        <x:v>0</x:v>
      </x:c>
      <x:c r="F865" s="6" t="n">
        <x:v>0</x:v>
      </x:c>
      <x:c r="G865" s="6" t="n">
        <x:v>0</x:v>
      </x:c>
      <x:c r="H865" s="6" t="n">
        <x:v>-19594</x:v>
      </x:c>
    </x:row>
    <x:row r="866" ht="21" customHeight="1">
      <x:c r="A866" s="1" t="str">
        <x:v>C0007961</x:v>
      </x:c>
      <x:c r="B866" s="1" t="n">
        <x:v>13</x:v>
      </x:c>
      <x:c r="C866" s="1" t="n">
        <x:v>43</x:v>
      </x:c>
      <x:c r="D866" s="6" t="n">
        <x:v>19576</x:v>
      </x:c>
      <x:c r="E866" s="6" t="n">
        <x:v>39152</x:v>
      </x:c>
      <x:c r="F866" s="6" t="n">
        <x:v>0</x:v>
      </x:c>
      <x:c r="G866" s="6" t="n">
        <x:v>39152</x:v>
      </x:c>
      <x:c r="H866" s="6" t="n">
        <x:v>19576</x:v>
      </x:c>
    </x:row>
    <x:row r="867" ht="21" customHeight="1">
      <x:c r="A867" s="1" t="str">
        <x:v>C0017144</x:v>
      </x:c>
      <x:c r="B867" s="1" t="n">
        <x:v>13</x:v>
      </x:c>
      <x:c r="C867" s="1" t="n">
        <x:v>43</x:v>
      </x:c>
      <x:c r="D867" s="6" t="n">
        <x:v>19576</x:v>
      </x:c>
      <x:c r="E867" s="6" t="n">
        <x:v>0</x:v>
      </x:c>
      <x:c r="F867" s="6" t="n">
        <x:v>0</x:v>
      </x:c>
      <x:c r="G867" s="6" t="n">
        <x:v>0</x:v>
      </x:c>
      <x:c r="H867" s="6" t="n">
        <x:v>-19576</x:v>
      </x:c>
    </x:row>
    <x:row r="868" ht="21" customHeight="1">
      <x:c r="A868" s="1" t="str">
        <x:v>C0003867</x:v>
      </x:c>
      <x:c r="B868" s="1" t="n">
        <x:v>19</x:v>
      </x:c>
      <x:c r="C868" s="1" t="n">
        <x:v>19</x:v>
      </x:c>
      <x:c r="D868" s="6" t="n">
        <x:v>19540</x:v>
      </x:c>
      <x:c r="E868" s="6" t="n">
        <x:v>39080</x:v>
      </x:c>
      <x:c r="F868" s="6" t="n">
        <x:v>0</x:v>
      </x:c>
      <x:c r="G868" s="6" t="n">
        <x:v>39080</x:v>
      </x:c>
      <x:c r="H868" s="6" t="n">
        <x:v>19540</x:v>
      </x:c>
    </x:row>
    <x:row r="869" ht="21" customHeight="1">
      <x:c r="A869" s="1" t="str">
        <x:v>C0002248</x:v>
      </x:c>
      <x:c r="B869" s="1" t="n">
        <x:v>19</x:v>
      </x:c>
      <x:c r="C869" s="1" t="n">
        <x:v>19</x:v>
      </x:c>
      <x:c r="D869" s="6" t="n">
        <x:v>19540</x:v>
      </x:c>
      <x:c r="E869" s="6" t="n">
        <x:v>39080</x:v>
      </x:c>
      <x:c r="F869" s="6" t="n">
        <x:v>0</x:v>
      </x:c>
      <x:c r="G869" s="6" t="n">
        <x:v>39080</x:v>
      </x:c>
      <x:c r="H869" s="6" t="n">
        <x:v>19540</x:v>
      </x:c>
    </x:row>
    <x:row r="870" ht="21" customHeight="1">
      <x:c r="A870" s="1" t="str">
        <x:v>C0016351</x:v>
      </x:c>
      <x:c r="B870" s="1" t="n">
        <x:v>19</x:v>
      </x:c>
      <x:c r="C870" s="1" t="n">
        <x:v>19</x:v>
      </x:c>
      <x:c r="D870" s="6" t="n">
        <x:v>0</x:v>
      </x:c>
      <x:c r="E870" s="6" t="n">
        <x:v>19540</x:v>
      </x:c>
      <x:c r="F870" s="6" t="n">
        <x:v>0</x:v>
      </x:c>
      <x:c r="G870" s="6" t="n">
        <x:v>19540</x:v>
      </x:c>
      <x:c r="H870" s="6" t="n">
        <x:v>19540</x:v>
      </x:c>
    </x:row>
    <x:row r="871" ht="21" customHeight="1">
      <x:c r="A871" s="1" t="str">
        <x:v>C0006497</x:v>
      </x:c>
      <x:c r="B871" s="1" t="n">
        <x:v>19</x:v>
      </x:c>
      <x:c r="C871" s="1" t="n">
        <x:v>19</x:v>
      </x:c>
      <x:c r="D871" s="6" t="n">
        <x:v>19540</x:v>
      </x:c>
      <x:c r="E871" s="6" t="n">
        <x:v>0</x:v>
      </x:c>
      <x:c r="F871" s="6" t="n">
        <x:v>0</x:v>
      </x:c>
      <x:c r="G871" s="6" t="n">
        <x:v>0</x:v>
      </x:c>
      <x:c r="H871" s="6" t="n">
        <x:v>-19540</x:v>
      </x:c>
    </x:row>
    <x:row r="872" ht="21" customHeight="1">
      <x:c r="A872" s="1" t="str">
        <x:v>C0015542</x:v>
      </x:c>
      <x:c r="B872" s="1" t="n">
        <x:v>19</x:v>
      </x:c>
      <x:c r="C872" s="1" t="n">
        <x:v>19</x:v>
      </x:c>
      <x:c r="D872" s="6" t="n">
        <x:v>19540</x:v>
      </x:c>
      <x:c r="E872" s="6" t="n">
        <x:v>39080</x:v>
      </x:c>
      <x:c r="F872" s="6" t="n">
        <x:v>0</x:v>
      </x:c>
      <x:c r="G872" s="6" t="n">
        <x:v>39080</x:v>
      </x:c>
      <x:c r="H872" s="6" t="n">
        <x:v>19540</x:v>
      </x:c>
    </x:row>
    <x:row r="873" ht="21" customHeight="1">
      <x:c r="A873" s="1" t="str">
        <x:v>C0002983</x:v>
      </x:c>
      <x:c r="B873" s="1" t="n">
        <x:v>19</x:v>
      </x:c>
      <x:c r="C873" s="1" t="n">
        <x:v>19</x:v>
      </x:c>
      <x:c r="D873" s="6" t="n">
        <x:v>19540</x:v>
      </x:c>
      <x:c r="E873" s="6" t="n">
        <x:v>39080</x:v>
      </x:c>
      <x:c r="F873" s="6" t="n">
        <x:v>0</x:v>
      </x:c>
      <x:c r="G873" s="6" t="n">
        <x:v>39080</x:v>
      </x:c>
      <x:c r="H873" s="6" t="n">
        <x:v>19540</x:v>
      </x:c>
    </x:row>
    <x:row r="874" ht="21" customHeight="1">
      <x:c r="A874" s="1" t="str">
        <x:v>C0012917</x:v>
      </x:c>
      <x:c r="B874" s="1" t="n">
        <x:v>15</x:v>
      </x:c>
      <x:c r="C874" s="1" t="n">
        <x:v>75</x:v>
      </x:c>
      <x:c r="D874" s="6" t="n">
        <x:v>19534</x:v>
      </x:c>
      <x:c r="E874" s="6" t="n">
        <x:v>39068</x:v>
      </x:c>
      <x:c r="F874" s="6" t="n">
        <x:v>0</x:v>
      </x:c>
      <x:c r="G874" s="6" t="n">
        <x:v>39068</x:v>
      </x:c>
      <x:c r="H874" s="6" t="n">
        <x:v>19534</x:v>
      </x:c>
    </x:row>
    <x:row r="875" ht="21" customHeight="1">
      <x:c r="A875" s="1" t="str">
        <x:v>C0011886</x:v>
      </x:c>
      <x:c r="B875" s="1" t="n">
        <x:v>15</x:v>
      </x:c>
      <x:c r="C875" s="1" t="n">
        <x:v>75</x:v>
      </x:c>
      <x:c r="D875" s="6" t="n">
        <x:v>19534</x:v>
      </x:c>
      <x:c r="E875" s="6" t="n">
        <x:v>39068</x:v>
      </x:c>
      <x:c r="F875" s="6" t="n">
        <x:v>0</x:v>
      </x:c>
      <x:c r="G875" s="6" t="n">
        <x:v>39068</x:v>
      </x:c>
      <x:c r="H875" s="6" t="n">
        <x:v>19534</x:v>
      </x:c>
    </x:row>
    <x:row r="876" ht="21" customHeight="1">
      <x:c r="A876" s="1" t="str">
        <x:v>C0016558</x:v>
      </x:c>
      <x:c r="B876" s="1" t="n">
        <x:v>15</x:v>
      </x:c>
      <x:c r="C876" s="1" t="n">
        <x:v>75</x:v>
      </x:c>
      <x:c r="D876" s="6" t="n">
        <x:v>19534</x:v>
      </x:c>
      <x:c r="E876" s="6" t="n">
        <x:v>39068</x:v>
      </x:c>
      <x:c r="F876" s="6" t="n">
        <x:v>0</x:v>
      </x:c>
      <x:c r="G876" s="6" t="n">
        <x:v>39068</x:v>
      </x:c>
      <x:c r="H876" s="6" t="n">
        <x:v>19534</x:v>
      </x:c>
    </x:row>
    <x:row r="877" ht="21" customHeight="1">
      <x:c r="A877" s="1" t="str">
        <x:v>C0004321</x:v>
      </x:c>
      <x:c r="B877" s="1" t="n">
        <x:v>15</x:v>
      </x:c>
      <x:c r="C877" s="1" t="n">
        <x:v>75</x:v>
      </x:c>
      <x:c r="D877" s="6" t="n">
        <x:v>19534</x:v>
      </x:c>
      <x:c r="E877" s="6" t="n">
        <x:v>39068</x:v>
      </x:c>
      <x:c r="F877" s="6" t="n">
        <x:v>0</x:v>
      </x:c>
      <x:c r="G877" s="6" t="n">
        <x:v>39068</x:v>
      </x:c>
      <x:c r="H877" s="6" t="n">
        <x:v>19534</x:v>
      </x:c>
    </x:row>
    <x:row r="878" ht="21" customHeight="1">
      <x:c r="A878" s="1" t="str">
        <x:v>C0011984</x:v>
      </x:c>
      <x:c r="B878" s="1" t="n">
        <x:v>15</x:v>
      </x:c>
      <x:c r="C878" s="1" t="n">
        <x:v>75</x:v>
      </x:c>
      <x:c r="D878" s="6" t="n">
        <x:v>19534</x:v>
      </x:c>
      <x:c r="E878" s="6" t="n">
        <x:v>0</x:v>
      </x:c>
      <x:c r="F878" s="6" t="n">
        <x:v>0</x:v>
      </x:c>
      <x:c r="G878" s="6" t="n">
        <x:v>0</x:v>
      </x:c>
      <x:c r="H878" s="6" t="n">
        <x:v>-19534</x:v>
      </x:c>
    </x:row>
    <x:row r="879" ht="21" customHeight="1">
      <x:c r="A879" s="1" t="str">
        <x:v>C0000737</x:v>
      </x:c>
      <x:c r="B879" s="1" t="n">
        <x:v>15</x:v>
      </x:c>
      <x:c r="C879" s="1" t="n">
        <x:v>75</x:v>
      </x:c>
      <x:c r="D879" s="6" t="n">
        <x:v>19534</x:v>
      </x:c>
      <x:c r="E879" s="6" t="n">
        <x:v>39068</x:v>
      </x:c>
      <x:c r="F879" s="6" t="n">
        <x:v>0</x:v>
      </x:c>
      <x:c r="G879" s="6" t="n">
        <x:v>39068</x:v>
      </x:c>
      <x:c r="H879" s="6" t="n">
        <x:v>19534</x:v>
      </x:c>
    </x:row>
    <x:row r="880" ht="21" customHeight="1">
      <x:c r="A880" s="1" t="str">
        <x:v>C0014134</x:v>
      </x:c>
      <x:c r="B880" s="1" t="n">
        <x:v>15</x:v>
      </x:c>
      <x:c r="C880" s="1" t="n">
        <x:v>75</x:v>
      </x:c>
      <x:c r="D880" s="6" t="n">
        <x:v>19534</x:v>
      </x:c>
      <x:c r="E880" s="6" t="n">
        <x:v>39068</x:v>
      </x:c>
      <x:c r="F880" s="6" t="n">
        <x:v>0</x:v>
      </x:c>
      <x:c r="G880" s="6" t="n">
        <x:v>39068</x:v>
      </x:c>
      <x:c r="H880" s="6" t="n">
        <x:v>19534</x:v>
      </x:c>
    </x:row>
    <x:row r="881" ht="21" customHeight="1">
      <x:c r="A881" s="1" t="str">
        <x:v>C0013263</x:v>
      </x:c>
      <x:c r="B881" s="1" t="n">
        <x:v>29</x:v>
      </x:c>
      <x:c r="C881" s="1" t="n">
        <x:v>119</x:v>
      </x:c>
      <x:c r="D881" s="6" t="n">
        <x:v>0</x:v>
      </x:c>
      <x:c r="E881" s="6" t="n">
        <x:v>19524</x:v>
      </x:c>
      <x:c r="F881" s="6" t="n">
        <x:v>0</x:v>
      </x:c>
      <x:c r="G881" s="6" t="n">
        <x:v>19524</x:v>
      </x:c>
      <x:c r="H881" s="6" t="n">
        <x:v>19524</x:v>
      </x:c>
    </x:row>
    <x:row r="882" ht="21" customHeight="1">
      <x:c r="A882" s="1" t="str">
        <x:v>C0002422</x:v>
      </x:c>
      <x:c r="B882" s="1" t="n">
        <x:v>29</x:v>
      </x:c>
      <x:c r="C882" s="1" t="n">
        <x:v>119</x:v>
      </x:c>
      <x:c r="D882" s="6" t="n">
        <x:v>19524</x:v>
      </x:c>
      <x:c r="E882" s="6" t="n">
        <x:v>39048</x:v>
      </x:c>
      <x:c r="F882" s="6" t="n">
        <x:v>0</x:v>
      </x:c>
      <x:c r="G882" s="6" t="n">
        <x:v>39048</x:v>
      </x:c>
      <x:c r="H882" s="6" t="n">
        <x:v>19524</x:v>
      </x:c>
    </x:row>
    <x:row r="883" ht="21" customHeight="1">
      <x:c r="A883" s="1" t="str">
        <x:v>C0004110</x:v>
      </x:c>
      <x:c r="B883" s="1" t="n">
        <x:v>29</x:v>
      </x:c>
      <x:c r="C883" s="1" t="n">
        <x:v>119</x:v>
      </x:c>
      <x:c r="D883" s="6" t="n">
        <x:v>19524</x:v>
      </x:c>
      <x:c r="E883" s="6" t="n">
        <x:v>0</x:v>
      </x:c>
      <x:c r="F883" s="6" t="n">
        <x:v>0</x:v>
      </x:c>
      <x:c r="G883" s="6" t="n">
        <x:v>0</x:v>
      </x:c>
      <x:c r="H883" s="6" t="n">
        <x:v>-19524</x:v>
      </x:c>
    </x:row>
    <x:row r="884" ht="21" customHeight="1">
      <x:c r="A884" s="1" t="str">
        <x:v>C0000973</x:v>
      </x:c>
      <x:c r="B884" s="1" t="n">
        <x:v>29</x:v>
      </x:c>
      <x:c r="C884" s="1" t="n">
        <x:v>119</x:v>
      </x:c>
      <x:c r="D884" s="6" t="n">
        <x:v>19524</x:v>
      </x:c>
      <x:c r="E884" s="6" t="n">
        <x:v>39048</x:v>
      </x:c>
      <x:c r="F884" s="6" t="n">
        <x:v>0</x:v>
      </x:c>
      <x:c r="G884" s="6" t="n">
        <x:v>39048</x:v>
      </x:c>
      <x:c r="H884" s="6" t="n">
        <x:v>19524</x:v>
      </x:c>
    </x:row>
    <x:row r="885" ht="21" customHeight="1">
      <x:c r="A885" s="1" t="str">
        <x:v>C0002844</x:v>
      </x:c>
      <x:c r="B885" s="1" t="n">
        <x:v>29</x:v>
      </x:c>
      <x:c r="C885" s="1" t="n">
        <x:v>119</x:v>
      </x:c>
      <x:c r="D885" s="6" t="n">
        <x:v>19524</x:v>
      </x:c>
      <x:c r="E885" s="6" t="n">
        <x:v>0</x:v>
      </x:c>
      <x:c r="F885" s="6" t="n">
        <x:v>0</x:v>
      </x:c>
      <x:c r="G885" s="6" t="n">
        <x:v>0</x:v>
      </x:c>
      <x:c r="H885" s="6" t="n">
        <x:v>-19524</x:v>
      </x:c>
    </x:row>
    <x:row r="886" ht="21" customHeight="1">
      <x:c r="A886" s="1" t="str">
        <x:v>C0008886</x:v>
      </x:c>
      <x:c r="B886" s="1" t="n">
        <x:v>29</x:v>
      </x:c>
      <x:c r="C886" s="1" t="n">
        <x:v>119</x:v>
      </x:c>
      <x:c r="D886" s="6" t="n">
        <x:v>19524</x:v>
      </x:c>
      <x:c r="E886" s="6" t="n">
        <x:v>39048</x:v>
      </x:c>
      <x:c r="F886" s="6" t="n">
        <x:v>0</x:v>
      </x:c>
      <x:c r="G886" s="6" t="n">
        <x:v>39048</x:v>
      </x:c>
      <x:c r="H886" s="6" t="n">
        <x:v>19524</x:v>
      </x:c>
    </x:row>
    <x:row r="887" ht="21" customHeight="1">
      <x:c r="A887" s="1" t="str">
        <x:v>C0003339</x:v>
      </x:c>
      <x:c r="B887" s="1" t="n">
        <x:v>4</x:v>
      </x:c>
      <x:c r="C887" s="1" t="n">
        <x:v>94</x:v>
      </x:c>
      <x:c r="D887" s="6" t="n">
        <x:v>0</x:v>
      </x:c>
      <x:c r="E887" s="6" t="n">
        <x:v>19504</x:v>
      </x:c>
      <x:c r="F887" s="6" t="n">
        <x:v>0</x:v>
      </x:c>
      <x:c r="G887" s="6" t="n">
        <x:v>19504</x:v>
      </x:c>
      <x:c r="H887" s="6" t="n">
        <x:v>19504</x:v>
      </x:c>
    </x:row>
    <x:row r="888" ht="21" customHeight="1">
      <x:c r="A888" s="1" t="str">
        <x:v>C0011259</x:v>
      </x:c>
      <x:c r="B888" s="1" t="n">
        <x:v>4</x:v>
      </x:c>
      <x:c r="C888" s="1" t="n">
        <x:v>94</x:v>
      </x:c>
      <x:c r="D888" s="6" t="n">
        <x:v>19504</x:v>
      </x:c>
      <x:c r="E888" s="6" t="n">
        <x:v>39008</x:v>
      </x:c>
      <x:c r="F888" s="6" t="n">
        <x:v>0</x:v>
      </x:c>
      <x:c r="G888" s="6" t="n">
        <x:v>39008</x:v>
      </x:c>
      <x:c r="H888" s="6" t="n">
        <x:v>19504</x:v>
      </x:c>
    </x:row>
    <x:row r="889" ht="21" customHeight="1">
      <x:c r="A889" s="1" t="str">
        <x:v>C0001646</x:v>
      </x:c>
      <x:c r="B889" s="1" t="n">
        <x:v>4</x:v>
      </x:c>
      <x:c r="C889" s="1" t="n">
        <x:v>94</x:v>
      </x:c>
      <x:c r="D889" s="6" t="n">
        <x:v>0</x:v>
      </x:c>
      <x:c r="E889" s="6" t="n">
        <x:v>19504</x:v>
      </x:c>
      <x:c r="F889" s="6" t="n">
        <x:v>0</x:v>
      </x:c>
      <x:c r="G889" s="6" t="n">
        <x:v>19504</x:v>
      </x:c>
      <x:c r="H889" s="6" t="n">
        <x:v>19504</x:v>
      </x:c>
    </x:row>
    <x:row r="890" ht="21" customHeight="1">
      <x:c r="A890" s="1" t="str">
        <x:v>C0001308</x:v>
      </x:c>
      <x:c r="B890" s="1" t="n">
        <x:v>4</x:v>
      </x:c>
      <x:c r="C890" s="1" t="n">
        <x:v>94</x:v>
      </x:c>
      <x:c r="D890" s="6" t="n">
        <x:v>19504</x:v>
      </x:c>
      <x:c r="E890" s="6" t="n">
        <x:v>39008</x:v>
      </x:c>
      <x:c r="F890" s="6" t="n">
        <x:v>0</x:v>
      </x:c>
      <x:c r="G890" s="6" t="n">
        <x:v>39008</x:v>
      </x:c>
      <x:c r="H890" s="6" t="n">
        <x:v>19504</x:v>
      </x:c>
    </x:row>
    <x:row r="891" ht="21" customHeight="1">
      <x:c r="A891" s="1" t="str">
        <x:v>C0010605</x:v>
      </x:c>
      <x:c r="B891" s="1" t="n">
        <x:v>4</x:v>
      </x:c>
      <x:c r="C891" s="1" t="n">
        <x:v>94</x:v>
      </x:c>
      <x:c r="D891" s="6" t="n">
        <x:v>19504</x:v>
      </x:c>
      <x:c r="E891" s="6" t="n">
        <x:v>0</x:v>
      </x:c>
      <x:c r="F891" s="6" t="n">
        <x:v>0</x:v>
      </x:c>
      <x:c r="G891" s="6" t="n">
        <x:v>0</x:v>
      </x:c>
      <x:c r="H891" s="6" t="n">
        <x:v>-19504</x:v>
      </x:c>
    </x:row>
    <x:row r="892" ht="21" customHeight="1">
      <x:c r="A892" s="1" t="str">
        <x:v>C0012008</x:v>
      </x:c>
      <x:c r="B892" s="1" t="n">
        <x:v>11</x:v>
      </x:c>
      <x:c r="C892" s="1" t="n">
        <x:v>41</x:v>
      </x:c>
      <x:c r="D892" s="6" t="n">
        <x:v>19437</x:v>
      </x:c>
      <x:c r="E892" s="6" t="n">
        <x:v>38874</x:v>
      </x:c>
      <x:c r="F892" s="6" t="n">
        <x:v>0</x:v>
      </x:c>
      <x:c r="G892" s="6" t="n">
        <x:v>38874</x:v>
      </x:c>
      <x:c r="H892" s="6" t="n">
        <x:v>19437</x:v>
      </x:c>
    </x:row>
    <x:row r="893" ht="21" customHeight="1">
      <x:c r="A893" s="1" t="str">
        <x:v>C0013219</x:v>
      </x:c>
      <x:c r="B893" s="1" t="n">
        <x:v>11</x:v>
      </x:c>
      <x:c r="C893" s="1" t="n">
        <x:v>41</x:v>
      </x:c>
      <x:c r="D893" s="6" t="n">
        <x:v>19437</x:v>
      </x:c>
      <x:c r="E893" s="6" t="n">
        <x:v>38874</x:v>
      </x:c>
      <x:c r="F893" s="6" t="n">
        <x:v>0</x:v>
      </x:c>
      <x:c r="G893" s="6" t="n">
        <x:v>38874</x:v>
      </x:c>
      <x:c r="H893" s="6" t="n">
        <x:v>19437</x:v>
      </x:c>
    </x:row>
    <x:row r="894" ht="21" customHeight="1">
      <x:c r="A894" s="1" t="str">
        <x:v>C0006549</x:v>
      </x:c>
      <x:c r="B894" s="1" t="n">
        <x:v>11</x:v>
      </x:c>
      <x:c r="C894" s="1" t="n">
        <x:v>41</x:v>
      </x:c>
      <x:c r="D894" s="6" t="n">
        <x:v>19437</x:v>
      </x:c>
      <x:c r="E894" s="6" t="n">
        <x:v>0</x:v>
      </x:c>
      <x:c r="F894" s="6" t="n">
        <x:v>0</x:v>
      </x:c>
      <x:c r="G894" s="6" t="n">
        <x:v>0</x:v>
      </x:c>
      <x:c r="H894" s="6" t="n">
        <x:v>-19437</x:v>
      </x:c>
    </x:row>
    <x:row r="895" ht="21" customHeight="1">
      <x:c r="A895" s="1" t="str">
        <x:v>C0015301</x:v>
      </x:c>
      <x:c r="B895" s="1" t="n">
        <x:v>11</x:v>
      </x:c>
      <x:c r="C895" s="1" t="n">
        <x:v>41</x:v>
      </x:c>
      <x:c r="D895" s="6" t="n">
        <x:v>19437</x:v>
      </x:c>
      <x:c r="E895" s="6" t="n">
        <x:v>38874</x:v>
      </x:c>
      <x:c r="F895" s="6" t="n">
        <x:v>0</x:v>
      </x:c>
      <x:c r="G895" s="6" t="n">
        <x:v>38874</x:v>
      </x:c>
      <x:c r="H895" s="6" t="n">
        <x:v>19437</x:v>
      </x:c>
    </x:row>
    <x:row r="896" ht="21" customHeight="1">
      <x:c r="A896" s="1" t="str">
        <x:v>C0013936</x:v>
      </x:c>
      <x:c r="B896" s="1" t="n">
        <x:v>11</x:v>
      </x:c>
      <x:c r="C896" s="1" t="n">
        <x:v>41</x:v>
      </x:c>
      <x:c r="D896" s="6" t="n">
        <x:v>19437</x:v>
      </x:c>
      <x:c r="E896" s="6" t="n">
        <x:v>0</x:v>
      </x:c>
      <x:c r="F896" s="6" t="n">
        <x:v>0</x:v>
      </x:c>
      <x:c r="G896" s="6" t="n">
        <x:v>0</x:v>
      </x:c>
      <x:c r="H896" s="6" t="n">
        <x:v>-19437</x:v>
      </x:c>
    </x:row>
    <x:row r="897" ht="21" customHeight="1">
      <x:c r="A897" s="1" t="str">
        <x:v>C0001807</x:v>
      </x:c>
      <x:c r="B897" s="1" t="n">
        <x:v>11</x:v>
      </x:c>
      <x:c r="C897" s="1" t="n">
        <x:v>41</x:v>
      </x:c>
      <x:c r="D897" s="6" t="n">
        <x:v>19437</x:v>
      </x:c>
      <x:c r="E897" s="6" t="n">
        <x:v>0</x:v>
      </x:c>
      <x:c r="F897" s="6" t="n">
        <x:v>0</x:v>
      </x:c>
      <x:c r="G897" s="6" t="n">
        <x:v>0</x:v>
      </x:c>
      <x:c r="H897" s="6" t="n">
        <x:v>-19437</x:v>
      </x:c>
    </x:row>
    <x:row r="898" ht="21" customHeight="1">
      <x:c r="A898" s="1" t="str">
        <x:v>C0008172</x:v>
      </x:c>
      <x:c r="B898" s="1" t="n">
        <x:v>11</x:v>
      </x:c>
      <x:c r="C898" s="1" t="n">
        <x:v>41</x:v>
      </x:c>
      <x:c r="D898" s="6" t="n">
        <x:v>19437</x:v>
      </x:c>
      <x:c r="E898" s="6" t="n">
        <x:v>38874</x:v>
      </x:c>
      <x:c r="F898" s="6" t="n">
        <x:v>0</x:v>
      </x:c>
      <x:c r="G898" s="6" t="n">
        <x:v>38874</x:v>
      </x:c>
      <x:c r="H898" s="6" t="n">
        <x:v>19437</x:v>
      </x:c>
    </x:row>
    <x:row r="899" ht="21" customHeight="1">
      <x:c r="A899" s="1" t="str">
        <x:v>C0008133</x:v>
      </x:c>
      <x:c r="B899" s="1" t="n">
        <x:v>11</x:v>
      </x:c>
      <x:c r="C899" s="1" t="n">
        <x:v>41</x:v>
      </x:c>
      <x:c r="D899" s="6" t="n">
        <x:v>19437</x:v>
      </x:c>
      <x:c r="E899" s="6" t="n">
        <x:v>0</x:v>
      </x:c>
      <x:c r="F899" s="6" t="n">
        <x:v>0</x:v>
      </x:c>
      <x:c r="G899" s="6" t="n">
        <x:v>0</x:v>
      </x:c>
      <x:c r="H899" s="6" t="n">
        <x:v>-19437</x:v>
      </x:c>
    </x:row>
    <x:row r="900" ht="21" customHeight="1">
      <x:c r="A900" s="1" t="str">
        <x:v>C0012614</x:v>
      </x:c>
      <x:c r="B900" s="1" t="n">
        <x:v>11</x:v>
      </x:c>
      <x:c r="C900" s="1" t="n">
        <x:v>41</x:v>
      </x:c>
      <x:c r="D900" s="6" t="n">
        <x:v>0</x:v>
      </x:c>
      <x:c r="E900" s="6" t="n">
        <x:v>19437</x:v>
      </x:c>
      <x:c r="F900" s="6" t="n">
        <x:v>0</x:v>
      </x:c>
      <x:c r="G900" s="6" t="n">
        <x:v>19437</x:v>
      </x:c>
      <x:c r="H900" s="6" t="n">
        <x:v>19437</x:v>
      </x:c>
    </x:row>
    <x:row r="901" ht="21" customHeight="1">
      <x:c r="A901" s="1" t="str">
        <x:v>C0017491</x:v>
      </x:c>
      <x:c r="B901" s="1" t="n">
        <x:v>11</x:v>
      </x:c>
      <x:c r="C901" s="1" t="n">
        <x:v>41</x:v>
      </x:c>
      <x:c r="D901" s="6" t="n">
        <x:v>19437</x:v>
      </x:c>
      <x:c r="E901" s="6" t="n">
        <x:v>38874</x:v>
      </x:c>
      <x:c r="F901" s="6" t="n">
        <x:v>0</x:v>
      </x:c>
      <x:c r="G901" s="6" t="n">
        <x:v>38874</x:v>
      </x:c>
      <x:c r="H901" s="6" t="n">
        <x:v>19437</x:v>
      </x:c>
    </x:row>
    <x:row r="902" ht="21" customHeight="1">
      <x:c r="A902" s="1" t="str">
        <x:v>C0001597</x:v>
      </x:c>
      <x:c r="B902" s="1" t="n">
        <x:v>9</x:v>
      </x:c>
      <x:c r="C902" s="1" t="n">
        <x:v>9</x:v>
      </x:c>
      <x:c r="D902" s="6" t="n">
        <x:v>19358</x:v>
      </x:c>
      <x:c r="E902" s="6" t="n">
        <x:v>38716</x:v>
      </x:c>
      <x:c r="F902" s="6" t="n">
        <x:v>0</x:v>
      </x:c>
      <x:c r="G902" s="6" t="n">
        <x:v>38716</x:v>
      </x:c>
      <x:c r="H902" s="6" t="n">
        <x:v>19358</x:v>
      </x:c>
    </x:row>
    <x:row r="903" ht="21" customHeight="1">
      <x:c r="A903" s="1" t="str">
        <x:v>C0001852</x:v>
      </x:c>
      <x:c r="B903" s="1" t="n">
        <x:v>9</x:v>
      </x:c>
      <x:c r="C903" s="1" t="n">
        <x:v>9</x:v>
      </x:c>
      <x:c r="D903" s="6" t="n">
        <x:v>19358</x:v>
      </x:c>
      <x:c r="E903" s="6" t="n">
        <x:v>0</x:v>
      </x:c>
      <x:c r="F903" s="6" t="n">
        <x:v>0</x:v>
      </x:c>
      <x:c r="G903" s="6" t="n">
        <x:v>0</x:v>
      </x:c>
      <x:c r="H903" s="6" t="n">
        <x:v>-19358</x:v>
      </x:c>
    </x:row>
    <x:row r="904" ht="21" customHeight="1">
      <x:c r="A904" s="1" t="str">
        <x:v>C0000026</x:v>
      </x:c>
      <x:c r="B904" s="1" t="n">
        <x:v>9</x:v>
      </x:c>
      <x:c r="C904" s="1" t="n">
        <x:v>9</x:v>
      </x:c>
      <x:c r="D904" s="6" t="n">
        <x:v>19358</x:v>
      </x:c>
      <x:c r="E904" s="6" t="n">
        <x:v>38716</x:v>
      </x:c>
      <x:c r="F904" s="6" t="n">
        <x:v>0</x:v>
      </x:c>
      <x:c r="G904" s="6" t="n">
        <x:v>38716</x:v>
      </x:c>
      <x:c r="H904" s="6" t="n">
        <x:v>19358</x:v>
      </x:c>
    </x:row>
    <x:row r="905" ht="21" customHeight="1">
      <x:c r="A905" s="1" t="str">
        <x:v>C0007810</x:v>
      </x:c>
      <x:c r="B905" s="1" t="n">
        <x:v>9</x:v>
      </x:c>
      <x:c r="C905" s="1" t="n">
        <x:v>9</x:v>
      </x:c>
      <x:c r="D905" s="6" t="n">
        <x:v>19358</x:v>
      </x:c>
      <x:c r="E905" s="6" t="n">
        <x:v>0</x:v>
      </x:c>
      <x:c r="F905" s="6" t="n">
        <x:v>0</x:v>
      </x:c>
      <x:c r="G905" s="6" t="n">
        <x:v>0</x:v>
      </x:c>
      <x:c r="H905" s="6" t="n">
        <x:v>-19358</x:v>
      </x:c>
    </x:row>
    <x:row r="906" ht="21" customHeight="1">
      <x:c r="A906" s="1" t="str">
        <x:v>C0015591</x:v>
      </x:c>
      <x:c r="B906" s="1" t="n">
        <x:v>9</x:v>
      </x:c>
      <x:c r="C906" s="1" t="n">
        <x:v>9</x:v>
      </x:c>
      <x:c r="D906" s="6" t="n">
        <x:v>19358</x:v>
      </x:c>
      <x:c r="E906" s="6" t="n">
        <x:v>38716</x:v>
      </x:c>
      <x:c r="F906" s="6" t="n">
        <x:v>0</x:v>
      </x:c>
      <x:c r="G906" s="6" t="n">
        <x:v>38716</x:v>
      </x:c>
      <x:c r="H906" s="6" t="n">
        <x:v>19358</x:v>
      </x:c>
    </x:row>
    <x:row r="907" ht="21" customHeight="1">
      <x:c r="A907" s="1" t="str">
        <x:v>C0004451</x:v>
      </x:c>
      <x:c r="B907" s="1" t="n">
        <x:v>9</x:v>
      </x:c>
      <x:c r="C907" s="1" t="n">
        <x:v>9</x:v>
      </x:c>
      <x:c r="D907" s="6" t="n">
        <x:v>19358</x:v>
      </x:c>
      <x:c r="E907" s="6" t="n">
        <x:v>0</x:v>
      </x:c>
      <x:c r="F907" s="6" t="n">
        <x:v>0</x:v>
      </x:c>
      <x:c r="G907" s="6" t="n">
        <x:v>0</x:v>
      </x:c>
      <x:c r="H907" s="6" t="n">
        <x:v>-19358</x:v>
      </x:c>
    </x:row>
    <x:row r="908" ht="21" customHeight="1">
      <x:c r="A908" s="1" t="str">
        <x:v>C0001972</x:v>
      </x:c>
      <x:c r="B908" s="1" t="n">
        <x:v>9</x:v>
      </x:c>
      <x:c r="C908" s="1" t="n">
        <x:v>9</x:v>
      </x:c>
      <x:c r="D908" s="6" t="n">
        <x:v>19358</x:v>
      </x:c>
      <x:c r="E908" s="6" t="n">
        <x:v>0</x:v>
      </x:c>
      <x:c r="F908" s="6" t="n">
        <x:v>0</x:v>
      </x:c>
      <x:c r="G908" s="6" t="n">
        <x:v>0</x:v>
      </x:c>
      <x:c r="H908" s="6" t="n">
        <x:v>-19358</x:v>
      </x:c>
    </x:row>
    <x:row r="909" ht="21" customHeight="1">
      <x:c r="A909" s="1" t="str">
        <x:v>C0014186</x:v>
      </x:c>
      <x:c r="B909" s="1" t="n">
        <x:v>9</x:v>
      </x:c>
      <x:c r="C909" s="1" t="n">
        <x:v>9</x:v>
      </x:c>
      <x:c r="D909" s="6" t="n">
        <x:v>19358</x:v>
      </x:c>
      <x:c r="E909" s="6" t="n">
        <x:v>0</x:v>
      </x:c>
      <x:c r="F909" s="6" t="n">
        <x:v>0</x:v>
      </x:c>
      <x:c r="G909" s="6" t="n">
        <x:v>0</x:v>
      </x:c>
      <x:c r="H909" s="6" t="n">
        <x:v>-19358</x:v>
      </x:c>
    </x:row>
    <x:row r="910" ht="21" customHeight="1">
      <x:c r="A910" s="1" t="str">
        <x:v>C0003100</x:v>
      </x:c>
      <x:c r="B910" s="1" t="n">
        <x:v>9</x:v>
      </x:c>
      <x:c r="C910" s="1" t="n">
        <x:v>9</x:v>
      </x:c>
      <x:c r="D910" s="6" t="n">
        <x:v>19358</x:v>
      </x:c>
      <x:c r="E910" s="6" t="n">
        <x:v>38716</x:v>
      </x:c>
      <x:c r="F910" s="6" t="n">
        <x:v>0</x:v>
      </x:c>
      <x:c r="G910" s="6" t="n">
        <x:v>38716</x:v>
      </x:c>
      <x:c r="H910" s="6" t="n">
        <x:v>19358</x:v>
      </x:c>
    </x:row>
    <x:row r="911" ht="21" customHeight="1">
      <x:c r="A911" s="1" t="str">
        <x:v>C0006756</x:v>
      </x:c>
      <x:c r="B911" s="1" t="n">
        <x:v>9</x:v>
      </x:c>
      <x:c r="C911" s="1" t="n">
        <x:v>9</x:v>
      </x:c>
      <x:c r="D911" s="6" t="n">
        <x:v>19358</x:v>
      </x:c>
      <x:c r="E911" s="6" t="n">
        <x:v>0</x:v>
      </x:c>
      <x:c r="F911" s="6" t="n">
        <x:v>0</x:v>
      </x:c>
      <x:c r="G911" s="6" t="n">
        <x:v>0</x:v>
      </x:c>
      <x:c r="H911" s="6" t="n">
        <x:v>-19358</x:v>
      </x:c>
    </x:row>
    <x:row r="912" ht="21" customHeight="1">
      <x:c r="A912" s="1" t="str">
        <x:v>C0011425</x:v>
      </x:c>
      <x:c r="B912" s="1" t="n">
        <x:v>11</x:v>
      </x:c>
      <x:c r="C912" s="1" t="n">
        <x:v>11</x:v>
      </x:c>
      <x:c r="D912" s="6" t="n">
        <x:v>19341</x:v>
      </x:c>
      <x:c r="E912" s="6" t="n">
        <x:v>38682</x:v>
      </x:c>
      <x:c r="F912" s="6" t="n">
        <x:v>0</x:v>
      </x:c>
      <x:c r="G912" s="6" t="n">
        <x:v>38682</x:v>
      </x:c>
      <x:c r="H912" s="6" t="n">
        <x:v>19341</x:v>
      </x:c>
    </x:row>
    <x:row r="913" ht="21" customHeight="1">
      <x:c r="A913" s="1" t="str">
        <x:v>C0007855</x:v>
      </x:c>
      <x:c r="B913" s="1" t="n">
        <x:v>11</x:v>
      </x:c>
      <x:c r="C913" s="1" t="n">
        <x:v>11</x:v>
      </x:c>
      <x:c r="D913" s="6" t="n">
        <x:v>19341</x:v>
      </x:c>
      <x:c r="E913" s="6" t="n">
        <x:v>38682</x:v>
      </x:c>
      <x:c r="F913" s="6" t="n">
        <x:v>0</x:v>
      </x:c>
      <x:c r="G913" s="6" t="n">
        <x:v>38682</x:v>
      </x:c>
      <x:c r="H913" s="6" t="n">
        <x:v>19341</x:v>
      </x:c>
    </x:row>
    <x:row r="914" ht="21" customHeight="1">
      <x:c r="A914" s="1" t="str">
        <x:v>C0002755</x:v>
      </x:c>
      <x:c r="B914" s="1" t="n">
        <x:v>11</x:v>
      </x:c>
      <x:c r="C914" s="1" t="n">
        <x:v>71</x:v>
      </x:c>
      <x:c r="D914" s="6" t="n">
        <x:v>19270</x:v>
      </x:c>
      <x:c r="E914" s="6" t="n">
        <x:v>38540</x:v>
      </x:c>
      <x:c r="F914" s="6" t="n">
        <x:v>0</x:v>
      </x:c>
      <x:c r="G914" s="6" t="n">
        <x:v>38540</x:v>
      </x:c>
      <x:c r="H914" s="6" t="n">
        <x:v>19270</x:v>
      </x:c>
    </x:row>
    <x:row r="915" ht="21" customHeight="1">
      <x:c r="A915" s="1" t="str">
        <x:v>C0015915</x:v>
      </x:c>
      <x:c r="B915" s="1" t="n">
        <x:v>11</x:v>
      </x:c>
      <x:c r="C915" s="1" t="n">
        <x:v>71</x:v>
      </x:c>
      <x:c r="D915" s="6" t="n">
        <x:v>19270</x:v>
      </x:c>
      <x:c r="E915" s="6" t="n">
        <x:v>0</x:v>
      </x:c>
      <x:c r="F915" s="6" t="n">
        <x:v>0</x:v>
      </x:c>
      <x:c r="G915" s="6" t="n">
        <x:v>0</x:v>
      </x:c>
      <x:c r="H915" s="6" t="n">
        <x:v>-19270</x:v>
      </x:c>
    </x:row>
    <x:row r="916" ht="21" customHeight="1">
      <x:c r="A916" s="1" t="str">
        <x:v>C0008068</x:v>
      </x:c>
      <x:c r="B916" s="1" t="n">
        <x:v>11</x:v>
      </x:c>
      <x:c r="C916" s="1" t="n">
        <x:v>71</x:v>
      </x:c>
      <x:c r="D916" s="6" t="n">
        <x:v>19270</x:v>
      </x:c>
      <x:c r="E916" s="6" t="n">
        <x:v>0</x:v>
      </x:c>
      <x:c r="F916" s="6" t="n">
        <x:v>0</x:v>
      </x:c>
      <x:c r="G916" s="6" t="n">
        <x:v>0</x:v>
      </x:c>
      <x:c r="H916" s="6" t="n">
        <x:v>-19270</x:v>
      </x:c>
    </x:row>
    <x:row r="917" ht="21" customHeight="1">
      <x:c r="A917" s="1" t="str">
        <x:v>C0009715</x:v>
      </x:c>
      <x:c r="B917" s="1" t="n">
        <x:v>11</x:v>
      </x:c>
      <x:c r="C917" s="1" t="n">
        <x:v>71</x:v>
      </x:c>
      <x:c r="D917" s="6" t="n">
        <x:v>19270</x:v>
      </x:c>
      <x:c r="E917" s="6" t="n">
        <x:v>0</x:v>
      </x:c>
      <x:c r="F917" s="6" t="n">
        <x:v>0</x:v>
      </x:c>
      <x:c r="G917" s="6" t="n">
        <x:v>0</x:v>
      </x:c>
      <x:c r="H917" s="6" t="n">
        <x:v>-19270</x:v>
      </x:c>
    </x:row>
    <x:row r="918" ht="21" customHeight="1">
      <x:c r="A918" s="1" t="str">
        <x:v>C0014114</x:v>
      </x:c>
      <x:c r="B918" s="1" t="n">
        <x:v>11</x:v>
      </x:c>
      <x:c r="C918" s="1" t="n">
        <x:v>71</x:v>
      </x:c>
      <x:c r="D918" s="6" t="n">
        <x:v>0</x:v>
      </x:c>
      <x:c r="E918" s="6" t="n">
        <x:v>19270</x:v>
      </x:c>
      <x:c r="F918" s="6" t="n">
        <x:v>0</x:v>
      </x:c>
      <x:c r="G918" s="6" t="n">
        <x:v>19270</x:v>
      </x:c>
      <x:c r="H918" s="6" t="n">
        <x:v>19270</x:v>
      </x:c>
    </x:row>
    <x:row r="919" ht="21" customHeight="1">
      <x:c r="A919" s="1" t="str">
        <x:v>C0015155</x:v>
      </x:c>
      <x:c r="B919" s="1" t="n">
        <x:v>22</x:v>
      </x:c>
      <x:c r="C919" s="1" t="n">
        <x:v>112</x:v>
      </x:c>
      <x:c r="D919" s="6" t="n">
        <x:v>19205</x:v>
      </x:c>
      <x:c r="E919" s="6" t="n">
        <x:v>38410</x:v>
      </x:c>
      <x:c r="F919" s="6" t="n">
        <x:v>0</x:v>
      </x:c>
      <x:c r="G919" s="6" t="n">
        <x:v>38410</x:v>
      </x:c>
      <x:c r="H919" s="6" t="n">
        <x:v>19205</x:v>
      </x:c>
    </x:row>
    <x:row r="920" ht="21" customHeight="1">
      <x:c r="A920" s="1" t="str">
        <x:v>C0016865</x:v>
      </x:c>
      <x:c r="B920" s="1" t="n">
        <x:v>22</x:v>
      </x:c>
      <x:c r="C920" s="1" t="n">
        <x:v>112</x:v>
      </x:c>
      <x:c r="D920" s="6" t="n">
        <x:v>19205</x:v>
      </x:c>
      <x:c r="E920" s="6" t="n">
        <x:v>38410</x:v>
      </x:c>
      <x:c r="F920" s="6" t="n">
        <x:v>0</x:v>
      </x:c>
      <x:c r="G920" s="6" t="n">
        <x:v>38410</x:v>
      </x:c>
      <x:c r="H920" s="6" t="n">
        <x:v>19205</x:v>
      </x:c>
    </x:row>
    <x:row r="921" ht="21" customHeight="1">
      <x:c r="A921" s="1" t="str">
        <x:v>C0012400</x:v>
      </x:c>
      <x:c r="B921" s="1" t="n">
        <x:v>22</x:v>
      </x:c>
      <x:c r="C921" s="1" t="n">
        <x:v>112</x:v>
      </x:c>
      <x:c r="D921" s="6" t="n">
        <x:v>0</x:v>
      </x:c>
      <x:c r="E921" s="6" t="n">
        <x:v>19205</x:v>
      </x:c>
      <x:c r="F921" s="6" t="n">
        <x:v>0</x:v>
      </x:c>
      <x:c r="G921" s="6" t="n">
        <x:v>19205</x:v>
      </x:c>
      <x:c r="H921" s="6" t="n">
        <x:v>19205</x:v>
      </x:c>
    </x:row>
    <x:row r="922" ht="21" customHeight="1">
      <x:c r="A922" s="1" t="str">
        <x:v>C0013060</x:v>
      </x:c>
      <x:c r="B922" s="1" t="n">
        <x:v>22</x:v>
      </x:c>
      <x:c r="C922" s="1" t="n">
        <x:v>112</x:v>
      </x:c>
      <x:c r="D922" s="6" t="n">
        <x:v>19205</x:v>
      </x:c>
      <x:c r="E922" s="6" t="n">
        <x:v>38410</x:v>
      </x:c>
      <x:c r="F922" s="6" t="n">
        <x:v>0</x:v>
      </x:c>
      <x:c r="G922" s="6" t="n">
        <x:v>38410</x:v>
      </x:c>
      <x:c r="H922" s="6" t="n">
        <x:v>19205</x:v>
      </x:c>
    </x:row>
    <x:row r="923" ht="21" customHeight="1">
      <x:c r="A923" s="1" t="str">
        <x:v>C0011427</x:v>
      </x:c>
      <x:c r="B923" s="1" t="n">
        <x:v>22</x:v>
      </x:c>
      <x:c r="C923" s="1" t="n">
        <x:v>112</x:v>
      </x:c>
      <x:c r="D923" s="6" t="n">
        <x:v>19205</x:v>
      </x:c>
      <x:c r="E923" s="6" t="n">
        <x:v>0</x:v>
      </x:c>
      <x:c r="F923" s="6" t="n">
        <x:v>0</x:v>
      </x:c>
      <x:c r="G923" s="6" t="n">
        <x:v>0</x:v>
      </x:c>
      <x:c r="H923" s="6" t="n">
        <x:v>-19205</x:v>
      </x:c>
    </x:row>
    <x:row r="924" ht="21" customHeight="1">
      <x:c r="A924" s="1" t="str">
        <x:v>C0013313</x:v>
      </x:c>
      <x:c r="B924" s="1" t="n">
        <x:v>22</x:v>
      </x:c>
      <x:c r="C924" s="1" t="n">
        <x:v>112</x:v>
      </x:c>
      <x:c r="D924" s="6" t="n">
        <x:v>19205</x:v>
      </x:c>
      <x:c r="E924" s="6" t="n">
        <x:v>0</x:v>
      </x:c>
      <x:c r="F924" s="6" t="n">
        <x:v>0</x:v>
      </x:c>
      <x:c r="G924" s="6" t="n">
        <x:v>0</x:v>
      </x:c>
      <x:c r="H924" s="6" t="n">
        <x:v>-19205</x:v>
      </x:c>
    </x:row>
    <x:row r="925" ht="21" customHeight="1">
      <x:c r="A925" s="1" t="str">
        <x:v>C0005858</x:v>
      </x:c>
      <x:c r="B925" s="1" t="n">
        <x:v>20</x:v>
      </x:c>
      <x:c r="C925" s="1" t="n">
        <x:v>80</x:v>
      </x:c>
      <x:c r="D925" s="6" t="n">
        <x:v>18780</x:v>
      </x:c>
      <x:c r="E925" s="6" t="n">
        <x:v>0</x:v>
      </x:c>
      <x:c r="F925" s="6" t="n">
        <x:v>0</x:v>
      </x:c>
      <x:c r="G925" s="6" t="n">
        <x:v>0</x:v>
      </x:c>
      <x:c r="H925" s="6" t="n">
        <x:v>-18780</x:v>
      </x:c>
    </x:row>
    <x:row r="926" ht="21" customHeight="1">
      <x:c r="A926" s="1" t="str">
        <x:v>C0000562</x:v>
      </x:c>
      <x:c r="B926" s="1" t="n">
        <x:v>20</x:v>
      </x:c>
      <x:c r="C926" s="1" t="n">
        <x:v>80</x:v>
      </x:c>
      <x:c r="D926" s="6" t="n">
        <x:v>18780</x:v>
      </x:c>
      <x:c r="E926" s="6" t="n">
        <x:v>0</x:v>
      </x:c>
      <x:c r="F926" s="6" t="n">
        <x:v>0</x:v>
      </x:c>
      <x:c r="G926" s="6" t="n">
        <x:v>0</x:v>
      </x:c>
      <x:c r="H926" s="6" t="n">
        <x:v>-18780</x:v>
      </x:c>
    </x:row>
    <x:row r="927" ht="21" customHeight="1">
      <x:c r="A927" s="1" t="str">
        <x:v>C0017124</x:v>
      </x:c>
      <x:c r="B927" s="1" t="n">
        <x:v>20</x:v>
      </x:c>
      <x:c r="C927" s="1" t="n">
        <x:v>80</x:v>
      </x:c>
      <x:c r="D927" s="6" t="n">
        <x:v>18780</x:v>
      </x:c>
      <x:c r="E927" s="6" t="n">
        <x:v>37560</x:v>
      </x:c>
      <x:c r="F927" s="6" t="n">
        <x:v>0</x:v>
      </x:c>
      <x:c r="G927" s="6" t="n">
        <x:v>37560</x:v>
      </x:c>
      <x:c r="H927" s="6" t="n">
        <x:v>18780</x:v>
      </x:c>
    </x:row>
    <x:row r="928" ht="21" customHeight="1">
      <x:c r="A928" s="1" t="str">
        <x:v>C0002249</x:v>
      </x:c>
      <x:c r="B928" s="1" t="n">
        <x:v>20</x:v>
      </x:c>
      <x:c r="C928" s="1" t="n">
        <x:v>80</x:v>
      </x:c>
      <x:c r="D928" s="6" t="n">
        <x:v>18780</x:v>
      </x:c>
      <x:c r="E928" s="6" t="n">
        <x:v>37560</x:v>
      </x:c>
      <x:c r="F928" s="6" t="n">
        <x:v>0</x:v>
      </x:c>
      <x:c r="G928" s="6" t="n">
        <x:v>37560</x:v>
      </x:c>
      <x:c r="H928" s="6" t="n">
        <x:v>18780</x:v>
      </x:c>
    </x:row>
    <x:row r="929" ht="21" customHeight="1">
      <x:c r="A929" s="1" t="str">
        <x:v>C0010661</x:v>
      </x:c>
      <x:c r="B929" s="1" t="n">
        <x:v>20</x:v>
      </x:c>
      <x:c r="C929" s="1" t="n">
        <x:v>80</x:v>
      </x:c>
      <x:c r="D929" s="6" t="n">
        <x:v>18780</x:v>
      </x:c>
      <x:c r="E929" s="6" t="n">
        <x:v>37560</x:v>
      </x:c>
      <x:c r="F929" s="6" t="n">
        <x:v>0</x:v>
      </x:c>
      <x:c r="G929" s="6" t="n">
        <x:v>37560</x:v>
      </x:c>
      <x:c r="H929" s="6" t="n">
        <x:v>18780</x:v>
      </x:c>
    </x:row>
    <x:row r="930" ht="21" customHeight="1">
      <x:c r="A930" s="1" t="str">
        <x:v>C0013697</x:v>
      </x:c>
      <x:c r="B930" s="1" t="n">
        <x:v>20</x:v>
      </x:c>
      <x:c r="C930" s="1" t="n">
        <x:v>80</x:v>
      </x:c>
      <x:c r="D930" s="6" t="n">
        <x:v>18780</x:v>
      </x:c>
      <x:c r="E930" s="6" t="n">
        <x:v>37560</x:v>
      </x:c>
      <x:c r="F930" s="6" t="n">
        <x:v>0</x:v>
      </x:c>
      <x:c r="G930" s="6" t="n">
        <x:v>37560</x:v>
      </x:c>
      <x:c r="H930" s="6" t="n">
        <x:v>18780</x:v>
      </x:c>
    </x:row>
    <x:row r="931" ht="21" customHeight="1">
      <x:c r="A931" s="1" t="str">
        <x:v>C0007483</x:v>
      </x:c>
      <x:c r="B931" s="1" t="n">
        <x:v>20</x:v>
      </x:c>
      <x:c r="C931" s="1" t="n">
        <x:v>80</x:v>
      </x:c>
      <x:c r="D931" s="6" t="n">
        <x:v>18780</x:v>
      </x:c>
      <x:c r="E931" s="6" t="n">
        <x:v>37560</x:v>
      </x:c>
      <x:c r="F931" s="6" t="n">
        <x:v>0</x:v>
      </x:c>
      <x:c r="G931" s="6" t="n">
        <x:v>37560</x:v>
      </x:c>
      <x:c r="H931" s="6" t="n">
        <x:v>18780</x:v>
      </x:c>
    </x:row>
    <x:row r="932" ht="21" customHeight="1">
      <x:c r="A932" s="1" t="str">
        <x:v>C0015530</x:v>
      </x:c>
      <x:c r="B932" s="1" t="n">
        <x:v>20</x:v>
      </x:c>
      <x:c r="C932" s="1" t="n">
        <x:v>80</x:v>
      </x:c>
      <x:c r="D932" s="6" t="n">
        <x:v>18780</x:v>
      </x:c>
      <x:c r="E932" s="6" t="n">
        <x:v>37560</x:v>
      </x:c>
      <x:c r="F932" s="6" t="n">
        <x:v>0</x:v>
      </x:c>
      <x:c r="G932" s="6" t="n">
        <x:v>37560</x:v>
      </x:c>
      <x:c r="H932" s="6" t="n">
        <x:v>18780</x:v>
      </x:c>
    </x:row>
    <x:row r="933" ht="21" customHeight="1">
      <x:c r="A933" s="1" t="str">
        <x:v>C0016864</x:v>
      </x:c>
      <x:c r="B933" s="1" t="n">
        <x:v>1</x:v>
      </x:c>
      <x:c r="C933" s="1" t="n">
        <x:v>91</x:v>
      </x:c>
      <x:c r="D933" s="6" t="n">
        <x:v>18750</x:v>
      </x:c>
      <x:c r="E933" s="6" t="n">
        <x:v>0</x:v>
      </x:c>
      <x:c r="F933" s="6" t="n">
        <x:v>0</x:v>
      </x:c>
      <x:c r="G933" s="6" t="n">
        <x:v>0</x:v>
      </x:c>
      <x:c r="H933" s="6" t="n">
        <x:v>-18750</x:v>
      </x:c>
    </x:row>
    <x:row r="934" ht="21" customHeight="1">
      <x:c r="A934" s="1" t="str">
        <x:v>C0008872</x:v>
      </x:c>
      <x:c r="B934" s="1" t="n">
        <x:v>1</x:v>
      </x:c>
      <x:c r="C934" s="1" t="n">
        <x:v>91</x:v>
      </x:c>
      <x:c r="D934" s="6" t="n">
        <x:v>18750</x:v>
      </x:c>
      <x:c r="E934" s="6" t="n">
        <x:v>37500</x:v>
      </x:c>
      <x:c r="F934" s="6" t="n">
        <x:v>0</x:v>
      </x:c>
      <x:c r="G934" s="6" t="n">
        <x:v>37500</x:v>
      </x:c>
      <x:c r="H934" s="6" t="n">
        <x:v>18750</x:v>
      </x:c>
    </x:row>
    <x:row r="935" ht="21" customHeight="1">
      <x:c r="A935" s="1" t="str">
        <x:v>C0007338</x:v>
      </x:c>
      <x:c r="B935" s="1" t="n">
        <x:v>1</x:v>
      </x:c>
      <x:c r="C935" s="1" t="n">
        <x:v>91</x:v>
      </x:c>
      <x:c r="D935" s="6" t="n">
        <x:v>18750</x:v>
      </x:c>
      <x:c r="E935" s="6" t="n">
        <x:v>0</x:v>
      </x:c>
      <x:c r="F935" s="6" t="n">
        <x:v>0</x:v>
      </x:c>
      <x:c r="G935" s="6" t="n">
        <x:v>0</x:v>
      </x:c>
      <x:c r="H935" s="6" t="n">
        <x:v>-18750</x:v>
      </x:c>
    </x:row>
    <x:row r="936" ht="21" customHeight="1">
      <x:c r="A936" s="1" t="str">
        <x:v>C0017133</x:v>
      </x:c>
      <x:c r="B936" s="1" t="n">
        <x:v>1</x:v>
      </x:c>
      <x:c r="C936" s="1" t="n">
        <x:v>91</x:v>
      </x:c>
      <x:c r="D936" s="6" t="n">
        <x:v>18750</x:v>
      </x:c>
      <x:c r="E936" s="6" t="n">
        <x:v>0</x:v>
      </x:c>
      <x:c r="F936" s="6" t="n">
        <x:v>0</x:v>
      </x:c>
      <x:c r="G936" s="6" t="n">
        <x:v>0</x:v>
      </x:c>
      <x:c r="H936" s="6" t="n">
        <x:v>-18750</x:v>
      </x:c>
    </x:row>
    <x:row r="937" ht="21" customHeight="1">
      <x:c r="A937" s="1" t="str">
        <x:v>C0003219</x:v>
      </x:c>
      <x:c r="B937" s="1" t="n">
        <x:v>1</x:v>
      </x:c>
      <x:c r="C937" s="1" t="n">
        <x:v>91</x:v>
      </x:c>
      <x:c r="D937" s="6" t="n">
        <x:v>0</x:v>
      </x:c>
      <x:c r="E937" s="6" t="n">
        <x:v>18750</x:v>
      </x:c>
      <x:c r="F937" s="6" t="n">
        <x:v>0</x:v>
      </x:c>
      <x:c r="G937" s="6" t="n">
        <x:v>18750</x:v>
      </x:c>
      <x:c r="H937" s="6" t="n">
        <x:v>18750</x:v>
      </x:c>
    </x:row>
    <x:row r="938" ht="21" customHeight="1">
      <x:c r="A938" s="1" t="str">
        <x:v>C0003427</x:v>
      </x:c>
      <x:c r="B938" s="1" t="n">
        <x:v>1</x:v>
      </x:c>
      <x:c r="C938" s="1" t="n">
        <x:v>91</x:v>
      </x:c>
      <x:c r="D938" s="6" t="n">
        <x:v>18750</x:v>
      </x:c>
      <x:c r="E938" s="6" t="n">
        <x:v>0</x:v>
      </x:c>
      <x:c r="F938" s="6" t="n">
        <x:v>0</x:v>
      </x:c>
      <x:c r="G938" s="6" t="n">
        <x:v>0</x:v>
      </x:c>
      <x:c r="H938" s="6" t="n">
        <x:v>-18750</x:v>
      </x:c>
    </x:row>
    <x:row r="939" ht="21" customHeight="1">
      <x:c r="A939" s="1" t="str">
        <x:v>C0000742</x:v>
      </x:c>
      <x:c r="B939" s="1" t="n">
        <x:v>1</x:v>
      </x:c>
      <x:c r="C939" s="1" t="n">
        <x:v>91</x:v>
      </x:c>
      <x:c r="D939" s="6" t="n">
        <x:v>18750</x:v>
      </x:c>
      <x:c r="E939" s="6" t="n">
        <x:v>37500</x:v>
      </x:c>
      <x:c r="F939" s="6" t="n">
        <x:v>0</x:v>
      </x:c>
      <x:c r="G939" s="6" t="n">
        <x:v>37500</x:v>
      </x:c>
      <x:c r="H939" s="6" t="n">
        <x:v>18750</x:v>
      </x:c>
    </x:row>
    <x:row r="940" ht="21" customHeight="1">
      <x:c r="A940" s="1" t="str">
        <x:v>C0013098</x:v>
      </x:c>
      <x:c r="B940" s="1" t="n">
        <x:v>5</x:v>
      </x:c>
      <x:c r="C940" s="1" t="n">
        <x:v>5</x:v>
      </x:c>
      <x:c r="D940" s="6" t="n">
        <x:v>18730</x:v>
      </x:c>
      <x:c r="E940" s="6" t="n">
        <x:v>0</x:v>
      </x:c>
      <x:c r="F940" s="6" t="n">
        <x:v>0</x:v>
      </x:c>
      <x:c r="G940" s="6" t="n">
        <x:v>0</x:v>
      </x:c>
      <x:c r="H940" s="6" t="n">
        <x:v>-18730</x:v>
      </x:c>
    </x:row>
    <x:row r="941" ht="21" customHeight="1">
      <x:c r="A941" s="1" t="str">
        <x:v>C0013521</x:v>
      </x:c>
      <x:c r="B941" s="1" t="n">
        <x:v>5</x:v>
      </x:c>
      <x:c r="C941" s="1" t="n">
        <x:v>5</x:v>
      </x:c>
      <x:c r="D941" s="6" t="n">
        <x:v>18730</x:v>
      </x:c>
      <x:c r="E941" s="6" t="n">
        <x:v>0</x:v>
      </x:c>
      <x:c r="F941" s="6" t="n">
        <x:v>0</x:v>
      </x:c>
      <x:c r="G941" s="6" t="n">
        <x:v>0</x:v>
      </x:c>
      <x:c r="H941" s="6" t="n">
        <x:v>-18730</x:v>
      </x:c>
    </x:row>
    <x:row r="942" ht="21" customHeight="1">
      <x:c r="A942" s="1" t="str">
        <x:v>C0004613</x:v>
      </x:c>
      <x:c r="B942" s="1" t="n">
        <x:v>5</x:v>
      </x:c>
      <x:c r="C942" s="1" t="n">
        <x:v>5</x:v>
      </x:c>
      <x:c r="D942" s="6" t="n">
        <x:v>18730</x:v>
      </x:c>
      <x:c r="E942" s="6" t="n">
        <x:v>0</x:v>
      </x:c>
      <x:c r="F942" s="6" t="n">
        <x:v>0</x:v>
      </x:c>
      <x:c r="G942" s="6" t="n">
        <x:v>0</x:v>
      </x:c>
      <x:c r="H942" s="6" t="n">
        <x:v>-18730</x:v>
      </x:c>
    </x:row>
    <x:row r="943" ht="21" customHeight="1">
      <x:c r="A943" s="1" t="str">
        <x:v>C0008957</x:v>
      </x:c>
      <x:c r="B943" s="1" t="n">
        <x:v>5</x:v>
      </x:c>
      <x:c r="C943" s="1" t="n">
        <x:v>5</x:v>
      </x:c>
      <x:c r="D943" s="6" t="n">
        <x:v>18730</x:v>
      </x:c>
      <x:c r="E943" s="6" t="n">
        <x:v>37460</x:v>
      </x:c>
      <x:c r="F943" s="6" t="n">
        <x:v>0</x:v>
      </x:c>
      <x:c r="G943" s="6" t="n">
        <x:v>37460</x:v>
      </x:c>
      <x:c r="H943" s="6" t="n">
        <x:v>18730</x:v>
      </x:c>
    </x:row>
    <x:row r="944" ht="21" customHeight="1">
      <x:c r="A944" s="1" t="str">
        <x:v>C0003823</x:v>
      </x:c>
      <x:c r="B944" s="1" t="n">
        <x:v>5</x:v>
      </x:c>
      <x:c r="C944" s="1" t="n">
        <x:v>5</x:v>
      </x:c>
      <x:c r="D944" s="6" t="n">
        <x:v>18730</x:v>
      </x:c>
      <x:c r="E944" s="6" t="n">
        <x:v>37460</x:v>
      </x:c>
      <x:c r="F944" s="6" t="n">
        <x:v>0</x:v>
      </x:c>
      <x:c r="G944" s="6" t="n">
        <x:v>37460</x:v>
      </x:c>
      <x:c r="H944" s="6" t="n">
        <x:v>18730</x:v>
      </x:c>
    </x:row>
    <x:row r="945" ht="21" customHeight="1">
      <x:c r="A945" s="1" t="str">
        <x:v>C0016589</x:v>
      </x:c>
      <x:c r="B945" s="1" t="n">
        <x:v>5</x:v>
      </x:c>
      <x:c r="C945" s="1" t="n">
        <x:v>5</x:v>
      </x:c>
      <x:c r="D945" s="6" t="n">
        <x:v>18730</x:v>
      </x:c>
      <x:c r="E945" s="6" t="n">
        <x:v>0</x:v>
      </x:c>
      <x:c r="F945" s="6" t="n">
        <x:v>0</x:v>
      </x:c>
      <x:c r="G945" s="6" t="n">
        <x:v>0</x:v>
      </x:c>
      <x:c r="H945" s="6" t="n">
        <x:v>-18730</x:v>
      </x:c>
    </x:row>
    <x:row r="946" ht="21" customHeight="1">
      <x:c r="A946" s="1" t="str">
        <x:v>C0011397</x:v>
      </x:c>
      <x:c r="B946" s="1" t="n">
        <x:v>5</x:v>
      </x:c>
      <x:c r="C946" s="1" t="n">
        <x:v>5</x:v>
      </x:c>
      <x:c r="D946" s="6" t="n">
        <x:v>18730</x:v>
      </x:c>
      <x:c r="E946" s="6" t="n">
        <x:v>0</x:v>
      </x:c>
      <x:c r="F946" s="6" t="n">
        <x:v>0</x:v>
      </x:c>
      <x:c r="G946" s="6" t="n">
        <x:v>0</x:v>
      </x:c>
      <x:c r="H946" s="6" t="n">
        <x:v>-18730</x:v>
      </x:c>
    </x:row>
    <x:row r="947" ht="21" customHeight="1">
      <x:c r="A947" s="1" t="str">
        <x:v>C0007666</x:v>
      </x:c>
      <x:c r="B947" s="1" t="n">
        <x:v>5</x:v>
      </x:c>
      <x:c r="C947" s="1" t="n">
        <x:v>5</x:v>
      </x:c>
      <x:c r="D947" s="6" t="n">
        <x:v>18730</x:v>
      </x:c>
      <x:c r="E947" s="6" t="n">
        <x:v>37460</x:v>
      </x:c>
      <x:c r="F947" s="6" t="n">
        <x:v>0</x:v>
      </x:c>
      <x:c r="G947" s="6" t="n">
        <x:v>37460</x:v>
      </x:c>
      <x:c r="H947" s="6" t="n">
        <x:v>18730</x:v>
      </x:c>
    </x:row>
    <x:row r="948" ht="21" customHeight="1">
      <x:c r="A948" s="1" t="str">
        <x:v>C0006114</x:v>
      </x:c>
      <x:c r="B948" s="1" t="n">
        <x:v>8</x:v>
      </x:c>
      <x:c r="C948" s="1" t="n">
        <x:v>38</x:v>
      </x:c>
      <x:c r="D948" s="6" t="n">
        <x:v>0</x:v>
      </x:c>
      <x:c r="E948" s="6" t="n">
        <x:v>18715</x:v>
      </x:c>
      <x:c r="F948" s="6" t="n">
        <x:v>0</x:v>
      </x:c>
      <x:c r="G948" s="6" t="n">
        <x:v>18715</x:v>
      </x:c>
      <x:c r="H948" s="6" t="n">
        <x:v>18715</x:v>
      </x:c>
    </x:row>
    <x:row r="949" ht="21" customHeight="1">
      <x:c r="A949" s="1" t="str">
        <x:v>C0013999</x:v>
      </x:c>
      <x:c r="B949" s="1" t="n">
        <x:v>8</x:v>
      </x:c>
      <x:c r="C949" s="1" t="n">
        <x:v>38</x:v>
      </x:c>
      <x:c r="D949" s="6" t="n">
        <x:v>18715</x:v>
      </x:c>
      <x:c r="E949" s="6" t="n">
        <x:v>37430</x:v>
      </x:c>
      <x:c r="F949" s="6" t="n">
        <x:v>0</x:v>
      </x:c>
      <x:c r="G949" s="6" t="n">
        <x:v>37430</x:v>
      </x:c>
      <x:c r="H949" s="6" t="n">
        <x:v>18715</x:v>
      </x:c>
    </x:row>
    <x:row r="950" ht="21" customHeight="1">
      <x:c r="A950" s="1" t="str">
        <x:v>C0006488</x:v>
      </x:c>
      <x:c r="B950" s="1" t="n">
        <x:v>8</x:v>
      </x:c>
      <x:c r="C950" s="1" t="n">
        <x:v>38</x:v>
      </x:c>
      <x:c r="D950" s="6" t="n">
        <x:v>18715</x:v>
      </x:c>
      <x:c r="E950" s="6" t="n">
        <x:v>37430</x:v>
      </x:c>
      <x:c r="F950" s="6" t="n">
        <x:v>0</x:v>
      </x:c>
      <x:c r="G950" s="6" t="n">
        <x:v>37430</x:v>
      </x:c>
      <x:c r="H950" s="6" t="n">
        <x:v>18715</x:v>
      </x:c>
    </x:row>
    <x:row r="951" ht="21" customHeight="1">
      <x:c r="A951" s="1" t="str">
        <x:v>C0006435</x:v>
      </x:c>
      <x:c r="B951" s="1" t="n">
        <x:v>8</x:v>
      </x:c>
      <x:c r="C951" s="1" t="n">
        <x:v>38</x:v>
      </x:c>
      <x:c r="D951" s="6" t="n">
        <x:v>18715</x:v>
      </x:c>
      <x:c r="E951" s="6" t="n">
        <x:v>37430</x:v>
      </x:c>
      <x:c r="F951" s="6" t="n">
        <x:v>0</x:v>
      </x:c>
      <x:c r="G951" s="6" t="n">
        <x:v>37430</x:v>
      </x:c>
      <x:c r="H951" s="6" t="n">
        <x:v>18715</x:v>
      </x:c>
    </x:row>
    <x:row r="952" ht="21" customHeight="1">
      <x:c r="A952" s="1" t="str">
        <x:v>C0008637</x:v>
      </x:c>
      <x:c r="B952" s="1" t="n">
        <x:v>8</x:v>
      </x:c>
      <x:c r="C952" s="1" t="n">
        <x:v>38</x:v>
      </x:c>
      <x:c r="D952" s="6" t="n">
        <x:v>18715</x:v>
      </x:c>
      <x:c r="E952" s="6" t="n">
        <x:v>37430</x:v>
      </x:c>
      <x:c r="F952" s="6" t="n">
        <x:v>0</x:v>
      </x:c>
      <x:c r="G952" s="6" t="n">
        <x:v>37430</x:v>
      </x:c>
      <x:c r="H952" s="6" t="n">
        <x:v>18715</x:v>
      </x:c>
    </x:row>
    <x:row r="953" ht="21" customHeight="1">
      <x:c r="A953" s="1" t="str">
        <x:v>C0015687</x:v>
      </x:c>
      <x:c r="B953" s="1" t="n">
        <x:v>8</x:v>
      </x:c>
      <x:c r="C953" s="1" t="n">
        <x:v>38</x:v>
      </x:c>
      <x:c r="D953" s="6" t="n">
        <x:v>18715</x:v>
      </x:c>
      <x:c r="E953" s="6" t="n">
        <x:v>37430</x:v>
      </x:c>
      <x:c r="F953" s="6" t="n">
        <x:v>0</x:v>
      </x:c>
      <x:c r="G953" s="6" t="n">
        <x:v>37430</x:v>
      </x:c>
      <x:c r="H953" s="6" t="n">
        <x:v>18715</x:v>
      </x:c>
    </x:row>
    <x:row r="954" ht="21" customHeight="1">
      <x:c r="A954" s="1" t="str">
        <x:v>C0002610</x:v>
      </x:c>
      <x:c r="B954" s="1" t="n">
        <x:v>8</x:v>
      </x:c>
      <x:c r="C954" s="1" t="n">
        <x:v>38</x:v>
      </x:c>
      <x:c r="D954" s="6" t="n">
        <x:v>18715</x:v>
      </x:c>
      <x:c r="E954" s="6" t="n">
        <x:v>37430</x:v>
      </x:c>
      <x:c r="F954" s="6" t="n">
        <x:v>0</x:v>
      </x:c>
      <x:c r="G954" s="6" t="n">
        <x:v>37430</x:v>
      </x:c>
      <x:c r="H954" s="6" t="n">
        <x:v>18715</x:v>
      </x:c>
    </x:row>
    <x:row r="955" ht="21" customHeight="1">
      <x:c r="A955" s="1" t="str">
        <x:v>C0003669</x:v>
      </x:c>
      <x:c r="B955" s="1" t="n">
        <x:v>8</x:v>
      </x:c>
      <x:c r="C955" s="1" t="n">
        <x:v>38</x:v>
      </x:c>
      <x:c r="D955" s="6" t="n">
        <x:v>18715</x:v>
      </x:c>
      <x:c r="E955" s="6" t="n">
        <x:v>37430</x:v>
      </x:c>
      <x:c r="F955" s="6" t="n">
        <x:v>0</x:v>
      </x:c>
      <x:c r="G955" s="6" t="n">
        <x:v>37430</x:v>
      </x:c>
      <x:c r="H955" s="6" t="n">
        <x:v>18715</x:v>
      </x:c>
    </x:row>
    <x:row r="956" ht="21" customHeight="1">
      <x:c r="A956" s="1" t="str">
        <x:v>C0005818</x:v>
      </x:c>
      <x:c r="B956" s="1" t="n">
        <x:v>8</x:v>
      </x:c>
      <x:c r="C956" s="1" t="n">
        <x:v>38</x:v>
      </x:c>
      <x:c r="D956" s="6" t="n">
        <x:v>18715</x:v>
      </x:c>
      <x:c r="E956" s="6" t="n">
        <x:v>0</x:v>
      </x:c>
      <x:c r="F956" s="6" t="n">
        <x:v>0</x:v>
      </x:c>
      <x:c r="G956" s="6" t="n">
        <x:v>0</x:v>
      </x:c>
      <x:c r="H956" s="6" t="n">
        <x:v>-18715</x:v>
      </x:c>
    </x:row>
    <x:row r="957" ht="21" customHeight="1">
      <x:c r="A957" s="1" t="str">
        <x:v>C0003345</x:v>
      </x:c>
      <x:c r="B957" s="1" t="n">
        <x:v>15</x:v>
      </x:c>
      <x:c r="C957" s="1" t="n">
        <x:v>105</x:v>
      </x:c>
      <x:c r="D957" s="6" t="n">
        <x:v>18691</x:v>
      </x:c>
      <x:c r="E957" s="6" t="n">
        <x:v>37382</x:v>
      </x:c>
      <x:c r="F957" s="6" t="n">
        <x:v>0</x:v>
      </x:c>
      <x:c r="G957" s="6" t="n">
        <x:v>37382</x:v>
      </x:c>
      <x:c r="H957" s="6" t="n">
        <x:v>18691</x:v>
      </x:c>
    </x:row>
    <x:row r="958" ht="21" customHeight="1">
      <x:c r="A958" s="1" t="str">
        <x:v>C0001199</x:v>
      </x:c>
      <x:c r="B958" s="1" t="n">
        <x:v>15</x:v>
      </x:c>
      <x:c r="C958" s="1" t="n">
        <x:v>105</x:v>
      </x:c>
      <x:c r="D958" s="6" t="n">
        <x:v>18691</x:v>
      </x:c>
      <x:c r="E958" s="6" t="n">
        <x:v>0</x:v>
      </x:c>
      <x:c r="F958" s="6" t="n">
        <x:v>0</x:v>
      </x:c>
      <x:c r="G958" s="6" t="n">
        <x:v>0</x:v>
      </x:c>
      <x:c r="H958" s="6" t="n">
        <x:v>-18691</x:v>
      </x:c>
    </x:row>
    <x:row r="959" ht="21" customHeight="1">
      <x:c r="A959" s="1" t="str">
        <x:v>C0011197</x:v>
      </x:c>
      <x:c r="B959" s="1" t="n">
        <x:v>15</x:v>
      </x:c>
      <x:c r="C959" s="1" t="n">
        <x:v>105</x:v>
      </x:c>
      <x:c r="D959" s="6" t="n">
        <x:v>18691</x:v>
      </x:c>
      <x:c r="E959" s="6" t="n">
        <x:v>37382</x:v>
      </x:c>
      <x:c r="F959" s="6" t="n">
        <x:v>0</x:v>
      </x:c>
      <x:c r="G959" s="6" t="n">
        <x:v>37382</x:v>
      </x:c>
      <x:c r="H959" s="6" t="n">
        <x:v>18691</x:v>
      </x:c>
    </x:row>
    <x:row r="960" ht="21" customHeight="1">
      <x:c r="A960" s="1" t="str">
        <x:v>C0009551</x:v>
      </x:c>
      <x:c r="B960" s="1" t="n">
        <x:v>15</x:v>
      </x:c>
      <x:c r="C960" s="1" t="n">
        <x:v>105</x:v>
      </x:c>
      <x:c r="D960" s="6" t="n">
        <x:v>0</x:v>
      </x:c>
      <x:c r="E960" s="6" t="n">
        <x:v>18691</x:v>
      </x:c>
      <x:c r="F960" s="6" t="n">
        <x:v>0</x:v>
      </x:c>
      <x:c r="G960" s="6" t="n">
        <x:v>18691</x:v>
      </x:c>
      <x:c r="H960" s="6" t="n">
        <x:v>18691</x:v>
      </x:c>
    </x:row>
    <x:row r="961" ht="21" customHeight="1">
      <x:c r="A961" s="1" t="str">
        <x:v>C0012275</x:v>
      </x:c>
      <x:c r="B961" s="1" t="n">
        <x:v>15</x:v>
      </x:c>
      <x:c r="C961" s="1" t="n">
        <x:v>105</x:v>
      </x:c>
      <x:c r="D961" s="6" t="n">
        <x:v>18691</x:v>
      </x:c>
      <x:c r="E961" s="6" t="n">
        <x:v>0</x:v>
      </x:c>
      <x:c r="F961" s="6" t="n">
        <x:v>0</x:v>
      </x:c>
      <x:c r="G961" s="6" t="n">
        <x:v>0</x:v>
      </x:c>
      <x:c r="H961" s="6" t="n">
        <x:v>-18691</x:v>
      </x:c>
    </x:row>
    <x:row r="962" ht="21" customHeight="1">
      <x:c r="A962" s="1" t="str">
        <x:v>C0012766</x:v>
      </x:c>
      <x:c r="B962" s="1" t="n">
        <x:v>3</x:v>
      </x:c>
      <x:c r="C962" s="1" t="n">
        <x:v>63</x:v>
      </x:c>
      <x:c r="D962" s="6" t="n">
        <x:v>18499</x:v>
      </x:c>
      <x:c r="E962" s="6" t="n">
        <x:v>0</x:v>
      </x:c>
      <x:c r="F962" s="6" t="n">
        <x:v>0</x:v>
      </x:c>
      <x:c r="G962" s="6" t="n">
        <x:v>0</x:v>
      </x:c>
      <x:c r="H962" s="6" t="n">
        <x:v>-18499</x:v>
      </x:c>
    </x:row>
    <x:row r="963" ht="21" customHeight="1">
      <x:c r="A963" s="1" t="str">
        <x:v>C0004994</x:v>
      </x:c>
      <x:c r="B963" s="1" t="n">
        <x:v>3</x:v>
      </x:c>
      <x:c r="C963" s="1" t="n">
        <x:v>63</x:v>
      </x:c>
      <x:c r="D963" s="6" t="n">
        <x:v>18499</x:v>
      </x:c>
      <x:c r="E963" s="6" t="n">
        <x:v>0</x:v>
      </x:c>
      <x:c r="F963" s="6" t="n">
        <x:v>0</x:v>
      </x:c>
      <x:c r="G963" s="6" t="n">
        <x:v>0</x:v>
      </x:c>
      <x:c r="H963" s="6" t="n">
        <x:v>-18499</x:v>
      </x:c>
    </x:row>
    <x:row r="964" ht="21" customHeight="1">
      <x:c r="A964" s="1" t="str">
        <x:v>C0015472</x:v>
      </x:c>
      <x:c r="B964" s="1" t="n">
        <x:v>3</x:v>
      </x:c>
      <x:c r="C964" s="1" t="n">
        <x:v>63</x:v>
      </x:c>
      <x:c r="D964" s="6" t="n">
        <x:v>18499</x:v>
      </x:c>
      <x:c r="E964" s="6" t="n">
        <x:v>36998</x:v>
      </x:c>
      <x:c r="F964" s="6" t="n">
        <x:v>0</x:v>
      </x:c>
      <x:c r="G964" s="6" t="n">
        <x:v>36998</x:v>
      </x:c>
      <x:c r="H964" s="6" t="n">
        <x:v>18499</x:v>
      </x:c>
    </x:row>
    <x:row r="965" ht="21" customHeight="1">
      <x:c r="A965" s="1" t="str">
        <x:v>C0005064</x:v>
      </x:c>
      <x:c r="B965" s="1" t="n">
        <x:v>5</x:v>
      </x:c>
      <x:c r="C965" s="1" t="n">
        <x:v>5</x:v>
      </x:c>
      <x:c r="D965" s="6" t="n">
        <x:v>18396</x:v>
      </x:c>
      <x:c r="E965" s="6" t="n">
        <x:v>0</x:v>
      </x:c>
      <x:c r="F965" s="6" t="n">
        <x:v>0</x:v>
      </x:c>
      <x:c r="G965" s="6" t="n">
        <x:v>0</x:v>
      </x:c>
      <x:c r="H965" s="6" t="n">
        <x:v>-18396</x:v>
      </x:c>
    </x:row>
    <x:row r="966" ht="21" customHeight="1">
      <x:c r="A966" s="1" t="str">
        <x:v>C0017811</x:v>
      </x:c>
      <x:c r="B966" s="1" t="n">
        <x:v>5</x:v>
      </x:c>
      <x:c r="C966" s="1" t="n">
        <x:v>5</x:v>
      </x:c>
      <x:c r="D966" s="6" t="n">
        <x:v>0</x:v>
      </x:c>
      <x:c r="E966" s="6" t="n">
        <x:v>18396</x:v>
      </x:c>
      <x:c r="F966" s="6" t="n">
        <x:v>0</x:v>
      </x:c>
      <x:c r="G966" s="6" t="n">
        <x:v>18396</x:v>
      </x:c>
      <x:c r="H966" s="6" t="n">
        <x:v>18396</x:v>
      </x:c>
    </x:row>
    <x:row r="967" ht="21" customHeight="1">
      <x:c r="A967" s="1" t="str">
        <x:v>C0004599</x:v>
      </x:c>
      <x:c r="B967" s="1" t="n">
        <x:v>5</x:v>
      </x:c>
      <x:c r="C967" s="1" t="n">
        <x:v>5</x:v>
      </x:c>
      <x:c r="D967" s="6" t="n">
        <x:v>18396</x:v>
      </x:c>
      <x:c r="E967" s="6" t="n">
        <x:v>0</x:v>
      </x:c>
      <x:c r="F967" s="6" t="n">
        <x:v>0</x:v>
      </x:c>
      <x:c r="G967" s="6" t="n">
        <x:v>0</x:v>
      </x:c>
      <x:c r="H967" s="6" t="n">
        <x:v>-18396</x:v>
      </x:c>
    </x:row>
    <x:row r="968" ht="21" customHeight="1">
      <x:c r="A968" s="1" t="str">
        <x:v>C0009872</x:v>
      </x:c>
      <x:c r="B968" s="1" t="n">
        <x:v>5</x:v>
      </x:c>
      <x:c r="C968" s="1" t="n">
        <x:v>5</x:v>
      </x:c>
      <x:c r="D968" s="6" t="n">
        <x:v>18396</x:v>
      </x:c>
      <x:c r="E968" s="6" t="n">
        <x:v>0</x:v>
      </x:c>
      <x:c r="F968" s="6" t="n">
        <x:v>0</x:v>
      </x:c>
      <x:c r="G968" s="6" t="n">
        <x:v>0</x:v>
      </x:c>
      <x:c r="H968" s="6" t="n">
        <x:v>-18396</x:v>
      </x:c>
    </x:row>
    <x:row r="969" ht="21" customHeight="1">
      <x:c r="A969" s="1" t="str">
        <x:v>C0007673</x:v>
      </x:c>
      <x:c r="B969" s="1" t="n">
        <x:v>5</x:v>
      </x:c>
      <x:c r="C969" s="1" t="n">
        <x:v>5</x:v>
      </x:c>
      <x:c r="D969" s="6" t="n">
        <x:v>18396</x:v>
      </x:c>
      <x:c r="E969" s="6" t="n">
        <x:v>36792</x:v>
      </x:c>
      <x:c r="F969" s="6" t="n">
        <x:v>0</x:v>
      </x:c>
      <x:c r="G969" s="6" t="n">
        <x:v>36792</x:v>
      </x:c>
      <x:c r="H969" s="6" t="n">
        <x:v>18396</x:v>
      </x:c>
    </x:row>
    <x:row r="970" ht="21" customHeight="1">
      <x:c r="A970" s="1" t="str">
        <x:v>C0014073</x:v>
      </x:c>
      <x:c r="B970" s="1" t="n">
        <x:v>5</x:v>
      </x:c>
      <x:c r="C970" s="1" t="n">
        <x:v>5</x:v>
      </x:c>
      <x:c r="D970" s="6" t="n">
        <x:v>18396</x:v>
      </x:c>
      <x:c r="E970" s="6" t="n">
        <x:v>0</x:v>
      </x:c>
      <x:c r="F970" s="6" t="n">
        <x:v>0</x:v>
      </x:c>
      <x:c r="G970" s="6" t="n">
        <x:v>0</x:v>
      </x:c>
      <x:c r="H970" s="6" t="n">
        <x:v>-18396</x:v>
      </x:c>
    </x:row>
    <x:row r="971" ht="21" customHeight="1">
      <x:c r="A971" s="1" t="str">
        <x:v>C0014323</x:v>
      </x:c>
      <x:c r="B971" s="1" t="n">
        <x:v>5</x:v>
      </x:c>
      <x:c r="C971" s="1" t="n">
        <x:v>5</x:v>
      </x:c>
      <x:c r="D971" s="6" t="n">
        <x:v>18396</x:v>
      </x:c>
      <x:c r="E971" s="6" t="n">
        <x:v>36792</x:v>
      </x:c>
      <x:c r="F971" s="6" t="n">
        <x:v>0</x:v>
      </x:c>
      <x:c r="G971" s="6" t="n">
        <x:v>36792</x:v>
      </x:c>
      <x:c r="H971" s="6" t="n">
        <x:v>18396</x:v>
      </x:c>
    </x:row>
    <x:row r="972" ht="21" customHeight="1">
      <x:c r="A972" s="1" t="str">
        <x:v>C0007812</x:v>
      </x:c>
      <x:c r="B972" s="1" t="n">
        <x:v>5</x:v>
      </x:c>
      <x:c r="C972" s="1" t="n">
        <x:v>5</x:v>
      </x:c>
      <x:c r="D972" s="6" t="n">
        <x:v>18396</x:v>
      </x:c>
      <x:c r="E972" s="6" t="n">
        <x:v>36792</x:v>
      </x:c>
      <x:c r="F972" s="6" t="n">
        <x:v>0</x:v>
      </x:c>
      <x:c r="G972" s="6" t="n">
        <x:v>36792</x:v>
      </x:c>
      <x:c r="H972" s="6" t="n">
        <x:v>18396</x:v>
      </x:c>
    </x:row>
    <x:row r="973" ht="21" customHeight="1">
      <x:c r="A973" s="1" t="str">
        <x:v>C0006115</x:v>
      </x:c>
      <x:c r="B973" s="1" t="n">
        <x:v>5</x:v>
      </x:c>
      <x:c r="C973" s="1" t="n">
        <x:v>5</x:v>
      </x:c>
      <x:c r="D973" s="6" t="n">
        <x:v>18396</x:v>
      </x:c>
      <x:c r="E973" s="6" t="n">
        <x:v>36792</x:v>
      </x:c>
      <x:c r="F973" s="6" t="n">
        <x:v>0</x:v>
      </x:c>
      <x:c r="G973" s="6" t="n">
        <x:v>36792</x:v>
      </x:c>
      <x:c r="H973" s="6" t="n">
        <x:v>18396</x:v>
      </x:c>
    </x:row>
    <x:row r="974" ht="21" customHeight="1">
      <x:c r="A974" s="1" t="str">
        <x:v>C0013246</x:v>
      </x:c>
      <x:c r="B974" s="1" t="n">
        <x:v>5</x:v>
      </x:c>
      <x:c r="C974" s="1" t="n">
        <x:v>5</x:v>
      </x:c>
      <x:c r="D974" s="6" t="n">
        <x:v>18396</x:v>
      </x:c>
      <x:c r="E974" s="6" t="n">
        <x:v>0</x:v>
      </x:c>
      <x:c r="F974" s="6" t="n">
        <x:v>0</x:v>
      </x:c>
      <x:c r="G974" s="6" t="n">
        <x:v>0</x:v>
      </x:c>
      <x:c r="H974" s="6" t="n">
        <x:v>-18396</x:v>
      </x:c>
    </x:row>
    <x:row r="975" ht="21" customHeight="1">
      <x:c r="A975" s="1" t="str">
        <x:v>C0000185</x:v>
      </x:c>
      <x:c r="B975" s="1" t="n">
        <x:v>2</x:v>
      </x:c>
      <x:c r="C975" s="1" t="n">
        <x:v>62</x:v>
      </x:c>
      <x:c r="D975" s="6" t="n">
        <x:v>18369</x:v>
      </x:c>
      <x:c r="E975" s="6" t="n">
        <x:v>36738</x:v>
      </x:c>
      <x:c r="F975" s="6" t="n">
        <x:v>0</x:v>
      </x:c>
      <x:c r="G975" s="6" t="n">
        <x:v>36738</x:v>
      </x:c>
      <x:c r="H975" s="6" t="n">
        <x:v>18369</x:v>
      </x:c>
    </x:row>
    <x:row r="976" ht="21" customHeight="1">
      <x:c r="A976" s="1" t="str">
        <x:v>C0009996</x:v>
      </x:c>
      <x:c r="B976" s="1" t="n">
        <x:v>2</x:v>
      </x:c>
      <x:c r="C976" s="1" t="n">
        <x:v>62</x:v>
      </x:c>
      <x:c r="D976" s="6" t="n">
        <x:v>18369</x:v>
      </x:c>
      <x:c r="E976" s="6" t="n">
        <x:v>0</x:v>
      </x:c>
      <x:c r="F976" s="6" t="n">
        <x:v>0</x:v>
      </x:c>
      <x:c r="G976" s="6" t="n">
        <x:v>0</x:v>
      </x:c>
      <x:c r="H976" s="6" t="n">
        <x:v>-18369</x:v>
      </x:c>
    </x:row>
    <x:row r="977" ht="21" customHeight="1">
      <x:c r="A977" s="1" t="str">
        <x:v>C0014622</x:v>
      </x:c>
      <x:c r="B977" s="1" t="n">
        <x:v>2</x:v>
      </x:c>
      <x:c r="C977" s="1" t="n">
        <x:v>62</x:v>
      </x:c>
      <x:c r="D977" s="6" t="n">
        <x:v>18369</x:v>
      </x:c>
      <x:c r="E977" s="6" t="n">
        <x:v>0</x:v>
      </x:c>
      <x:c r="F977" s="6" t="n">
        <x:v>0</x:v>
      </x:c>
      <x:c r="G977" s="6" t="n">
        <x:v>0</x:v>
      </x:c>
      <x:c r="H977" s="6" t="n">
        <x:v>-18369</x:v>
      </x:c>
    </x:row>
    <x:row r="978" ht="21" customHeight="1">
      <x:c r="A978" s="1" t="str">
        <x:v>C0008275</x:v>
      </x:c>
      <x:c r="B978" s="1" t="n">
        <x:v>2</x:v>
      </x:c>
      <x:c r="C978" s="1" t="n">
        <x:v>62</x:v>
      </x:c>
      <x:c r="D978" s="6" t="n">
        <x:v>18369</x:v>
      </x:c>
      <x:c r="E978" s="6" t="n">
        <x:v>0</x:v>
      </x:c>
      <x:c r="F978" s="6" t="n">
        <x:v>0</x:v>
      </x:c>
      <x:c r="G978" s="6" t="n">
        <x:v>0</x:v>
      </x:c>
      <x:c r="H978" s="6" t="n">
        <x:v>-18369</x:v>
      </x:c>
    </x:row>
    <x:row r="979" ht="21" customHeight="1">
      <x:c r="A979" s="1" t="str">
        <x:v>C0013526</x:v>
      </x:c>
      <x:c r="B979" s="1" t="n">
        <x:v>2</x:v>
      </x:c>
      <x:c r="C979" s="1" t="n">
        <x:v>62</x:v>
      </x:c>
      <x:c r="D979" s="6" t="n">
        <x:v>18369</x:v>
      </x:c>
      <x:c r="E979" s="6" t="n">
        <x:v>0</x:v>
      </x:c>
      <x:c r="F979" s="6" t="n">
        <x:v>0</x:v>
      </x:c>
      <x:c r="G979" s="6" t="n">
        <x:v>0</x:v>
      </x:c>
      <x:c r="H979" s="6" t="n">
        <x:v>-18369</x:v>
      </x:c>
    </x:row>
    <x:row r="980" ht="21" customHeight="1">
      <x:c r="A980" s="1" t="str">
        <x:v>C0013660</x:v>
      </x:c>
      <x:c r="B980" s="1" t="n">
        <x:v>2</x:v>
      </x:c>
      <x:c r="C980" s="1" t="n">
        <x:v>62</x:v>
      </x:c>
      <x:c r="D980" s="6" t="n">
        <x:v>18369</x:v>
      </x:c>
      <x:c r="E980" s="6" t="n">
        <x:v>0</x:v>
      </x:c>
      <x:c r="F980" s="6" t="n">
        <x:v>0</x:v>
      </x:c>
      <x:c r="G980" s="6" t="n">
        <x:v>0</x:v>
      </x:c>
      <x:c r="H980" s="6" t="n">
        <x:v>-18369</x:v>
      </x:c>
    </x:row>
    <x:row r="981" ht="21" customHeight="1">
      <x:c r="A981" s="1" t="str">
        <x:v>C0007066</x:v>
      </x:c>
      <x:c r="B981" s="1" t="n">
        <x:v>2</x:v>
      </x:c>
      <x:c r="C981" s="1" t="n">
        <x:v>62</x:v>
      </x:c>
      <x:c r="D981" s="6" t="n">
        <x:v>18369</x:v>
      </x:c>
      <x:c r="E981" s="6" t="n">
        <x:v>0</x:v>
      </x:c>
      <x:c r="F981" s="6" t="n">
        <x:v>0</x:v>
      </x:c>
      <x:c r="G981" s="6" t="n">
        <x:v>0</x:v>
      </x:c>
      <x:c r="H981" s="6" t="n">
        <x:v>-18369</x:v>
      </x:c>
    </x:row>
    <x:row r="982" ht="21" customHeight="1">
      <x:c r="A982" s="1" t="str">
        <x:v>C0006519</x:v>
      </x:c>
      <x:c r="B982" s="1" t="n">
        <x:v>2</x:v>
      </x:c>
      <x:c r="C982" s="1" t="n">
        <x:v>62</x:v>
      </x:c>
      <x:c r="D982" s="6" t="n">
        <x:v>0</x:v>
      </x:c>
      <x:c r="E982" s="6" t="n">
        <x:v>18369</x:v>
      </x:c>
      <x:c r="F982" s="6" t="n">
        <x:v>0</x:v>
      </x:c>
      <x:c r="G982" s="6" t="n">
        <x:v>18369</x:v>
      </x:c>
      <x:c r="H982" s="6" t="n">
        <x:v>18369</x:v>
      </x:c>
    </x:row>
    <x:row r="983" ht="21" customHeight="1">
      <x:c r="A983" s="1" t="str">
        <x:v>C0003762</x:v>
      </x:c>
      <x:c r="B983" s="1" t="n">
        <x:v>2</x:v>
      </x:c>
      <x:c r="C983" s="1" t="n">
        <x:v>62</x:v>
      </x:c>
      <x:c r="D983" s="6" t="n">
        <x:v>18369</x:v>
      </x:c>
      <x:c r="E983" s="6" t="n">
        <x:v>0</x:v>
      </x:c>
      <x:c r="F983" s="6" t="n">
        <x:v>0</x:v>
      </x:c>
      <x:c r="G983" s="6" t="n">
        <x:v>0</x:v>
      </x:c>
      <x:c r="H983" s="6" t="n">
        <x:v>-18369</x:v>
      </x:c>
    </x:row>
    <x:row r="984" ht="21" customHeight="1">
      <x:c r="A984" s="1" t="str">
        <x:v>C0012067</x:v>
      </x:c>
      <x:c r="B984" s="1" t="n">
        <x:v>15</x:v>
      </x:c>
      <x:c r="C984" s="1" t="n">
        <x:v>15</x:v>
      </x:c>
      <x:c r="D984" s="6" t="n">
        <x:v>18212</x:v>
      </x:c>
      <x:c r="E984" s="6" t="n">
        <x:v>36424</x:v>
      </x:c>
      <x:c r="F984" s="6" t="n">
        <x:v>0</x:v>
      </x:c>
      <x:c r="G984" s="6" t="n">
        <x:v>36424</x:v>
      </x:c>
      <x:c r="H984" s="6" t="n">
        <x:v>18212</x:v>
      </x:c>
    </x:row>
    <x:row r="985" ht="21" customHeight="1">
      <x:c r="A985" s="1" t="str">
        <x:v>C0007339</x:v>
      </x:c>
      <x:c r="B985" s="1" t="n">
        <x:v>15</x:v>
      </x:c>
      <x:c r="C985" s="1" t="n">
        <x:v>15</x:v>
      </x:c>
      <x:c r="D985" s="6" t="n">
        <x:v>18212</x:v>
      </x:c>
      <x:c r="E985" s="6" t="n">
        <x:v>0</x:v>
      </x:c>
      <x:c r="F985" s="6" t="n">
        <x:v>0</x:v>
      </x:c>
      <x:c r="G985" s="6" t="n">
        <x:v>0</x:v>
      </x:c>
      <x:c r="H985" s="6" t="n">
        <x:v>-18212</x:v>
      </x:c>
    </x:row>
    <x:row r="986" ht="21" customHeight="1">
      <x:c r="A986" s="1" t="str">
        <x:v>C0011957</x:v>
      </x:c>
      <x:c r="B986" s="1" t="n">
        <x:v>15</x:v>
      </x:c>
      <x:c r="C986" s="1" t="n">
        <x:v>15</x:v>
      </x:c>
      <x:c r="D986" s="6" t="n">
        <x:v>18212</x:v>
      </x:c>
      <x:c r="E986" s="6" t="n">
        <x:v>0</x:v>
      </x:c>
      <x:c r="F986" s="6" t="n">
        <x:v>0</x:v>
      </x:c>
      <x:c r="G986" s="6" t="n">
        <x:v>0</x:v>
      </x:c>
      <x:c r="H986" s="6" t="n">
        <x:v>-18212</x:v>
      </x:c>
    </x:row>
    <x:row r="987" ht="21" customHeight="1">
      <x:c r="A987" s="1" t="str">
        <x:v>C0008043</x:v>
      </x:c>
      <x:c r="B987" s="1" t="n">
        <x:v>15</x:v>
      </x:c>
      <x:c r="C987" s="1" t="n">
        <x:v>15</x:v>
      </x:c>
      <x:c r="D987" s="6" t="n">
        <x:v>18212</x:v>
      </x:c>
      <x:c r="E987" s="6" t="n">
        <x:v>36424</x:v>
      </x:c>
      <x:c r="F987" s="6" t="n">
        <x:v>0</x:v>
      </x:c>
      <x:c r="G987" s="6" t="n">
        <x:v>36424</x:v>
      </x:c>
      <x:c r="H987" s="6" t="n">
        <x:v>18212</x:v>
      </x:c>
    </x:row>
    <x:row r="988" ht="21" customHeight="1">
      <x:c r="A988" s="1" t="str">
        <x:v>C0007998</x:v>
      </x:c>
      <x:c r="B988" s="1" t="n">
        <x:v>15</x:v>
      </x:c>
      <x:c r="C988" s="1" t="n">
        <x:v>15</x:v>
      </x:c>
      <x:c r="D988" s="6" t="n">
        <x:v>18212</x:v>
      </x:c>
      <x:c r="E988" s="6" t="n">
        <x:v>36424</x:v>
      </x:c>
      <x:c r="F988" s="6" t="n">
        <x:v>0</x:v>
      </x:c>
      <x:c r="G988" s="6" t="n">
        <x:v>36424</x:v>
      </x:c>
      <x:c r="H988" s="6" t="n">
        <x:v>18212</x:v>
      </x:c>
    </x:row>
    <x:row r="989" ht="21" customHeight="1">
      <x:c r="A989" s="1" t="str">
        <x:v>C0001819</x:v>
      </x:c>
      <x:c r="B989" s="1" t="n">
        <x:v>15</x:v>
      </x:c>
      <x:c r="C989" s="1" t="n">
        <x:v>15</x:v>
      </x:c>
      <x:c r="D989" s="6" t="n">
        <x:v>18212</x:v>
      </x:c>
      <x:c r="E989" s="6" t="n">
        <x:v>0</x:v>
      </x:c>
      <x:c r="F989" s="6" t="n">
        <x:v>0</x:v>
      </x:c>
      <x:c r="G989" s="6" t="n">
        <x:v>0</x:v>
      </x:c>
      <x:c r="H989" s="6" t="n">
        <x:v>-18212</x:v>
      </x:c>
    </x:row>
    <x:row r="990" ht="21" customHeight="1">
      <x:c r="A990" s="1" t="str">
        <x:v>C0013371</x:v>
      </x:c>
      <x:c r="B990" s="1" t="n">
        <x:v>15</x:v>
      </x:c>
      <x:c r="C990" s="1" t="n">
        <x:v>15</x:v>
      </x:c>
      <x:c r="D990" s="6" t="n">
        <x:v>18212</x:v>
      </x:c>
      <x:c r="E990" s="6" t="n">
        <x:v>36424</x:v>
      </x:c>
      <x:c r="F990" s="6" t="n">
        <x:v>0</x:v>
      </x:c>
      <x:c r="G990" s="6" t="n">
        <x:v>36424</x:v>
      </x:c>
      <x:c r="H990" s="6" t="n">
        <x:v>18212</x:v>
      </x:c>
    </x:row>
    <x:row r="991" ht="21" customHeight="1">
      <x:c r="A991" s="1" t="str">
        <x:v>C0004081</x:v>
      </x:c>
      <x:c r="B991" s="1" t="n">
        <x:v>15</x:v>
      </x:c>
      <x:c r="C991" s="1" t="n">
        <x:v>15</x:v>
      </x:c>
      <x:c r="D991" s="6" t="n">
        <x:v>18212</x:v>
      </x:c>
      <x:c r="E991" s="6" t="n">
        <x:v>36424</x:v>
      </x:c>
      <x:c r="F991" s="6" t="n">
        <x:v>0</x:v>
      </x:c>
      <x:c r="G991" s="6" t="n">
        <x:v>36424</x:v>
      </x:c>
      <x:c r="H991" s="6" t="n">
        <x:v>18212</x:v>
      </x:c>
    </x:row>
    <x:row r="992" ht="21" customHeight="1">
      <x:c r="A992" s="1" t="str">
        <x:v>C0009714</x:v>
      </x:c>
      <x:c r="B992" s="1" t="n">
        <x:v>15</x:v>
      </x:c>
      <x:c r="C992" s="1" t="n">
        <x:v>15</x:v>
      </x:c>
      <x:c r="D992" s="6" t="n">
        <x:v>18212</x:v>
      </x:c>
      <x:c r="E992" s="6" t="n">
        <x:v>36424</x:v>
      </x:c>
      <x:c r="F992" s="6" t="n">
        <x:v>0</x:v>
      </x:c>
      <x:c r="G992" s="6" t="n">
        <x:v>36424</x:v>
      </x:c>
      <x:c r="H992" s="6" t="n">
        <x:v>18212</x:v>
      </x:c>
    </x:row>
    <x:row r="993" ht="21" customHeight="1">
      <x:c r="A993" s="1" t="str">
        <x:v>C0017489</x:v>
      </x:c>
      <x:c r="B993" s="1" t="n">
        <x:v>29</x:v>
      </x:c>
      <x:c r="C993" s="1" t="n">
        <x:v>119</x:v>
      </x:c>
      <x:c r="D993" s="6" t="n">
        <x:v>0</x:v>
      </x:c>
      <x:c r="E993" s="6" t="n">
        <x:v>18165</x:v>
      </x:c>
      <x:c r="F993" s="6" t="n">
        <x:v>0</x:v>
      </x:c>
      <x:c r="G993" s="6" t="n">
        <x:v>18165</x:v>
      </x:c>
      <x:c r="H993" s="6" t="n">
        <x:v>18165</x:v>
      </x:c>
    </x:row>
    <x:row r="994" ht="21" customHeight="1">
      <x:c r="A994" s="1" t="str">
        <x:v>C0006265</x:v>
      </x:c>
      <x:c r="B994" s="1" t="n">
        <x:v>29</x:v>
      </x:c>
      <x:c r="C994" s="1" t="n">
        <x:v>119</x:v>
      </x:c>
      <x:c r="D994" s="6" t="n">
        <x:v>18165</x:v>
      </x:c>
      <x:c r="E994" s="6" t="n">
        <x:v>0</x:v>
      </x:c>
      <x:c r="F994" s="6" t="n">
        <x:v>0</x:v>
      </x:c>
      <x:c r="G994" s="6" t="n">
        <x:v>0</x:v>
      </x:c>
      <x:c r="H994" s="6" t="n">
        <x:v>-18165</x:v>
      </x:c>
    </x:row>
    <x:row r="995" ht="21" customHeight="1">
      <x:c r="A995" s="1" t="str">
        <x:v>C0008161</x:v>
      </x:c>
      <x:c r="B995" s="1" t="n">
        <x:v>29</x:v>
      </x:c>
      <x:c r="C995" s="1" t="n">
        <x:v>119</x:v>
      </x:c>
      <x:c r="D995" s="6" t="n">
        <x:v>18165</x:v>
      </x:c>
      <x:c r="E995" s="6" t="n">
        <x:v>0</x:v>
      </x:c>
      <x:c r="F995" s="6" t="n">
        <x:v>0</x:v>
      </x:c>
      <x:c r="G995" s="6" t="n">
        <x:v>0</x:v>
      </x:c>
      <x:c r="H995" s="6" t="n">
        <x:v>-18165</x:v>
      </x:c>
    </x:row>
    <x:row r="996" ht="21" customHeight="1">
      <x:c r="A996" s="1" t="str">
        <x:v>C0013725</x:v>
      </x:c>
      <x:c r="B996" s="1" t="n">
        <x:v>29</x:v>
      </x:c>
      <x:c r="C996" s="1" t="n">
        <x:v>119</x:v>
      </x:c>
      <x:c r="D996" s="6" t="n">
        <x:v>18165</x:v>
      </x:c>
      <x:c r="E996" s="6" t="n">
        <x:v>0</x:v>
      </x:c>
      <x:c r="F996" s="6" t="n">
        <x:v>0</x:v>
      </x:c>
      <x:c r="G996" s="6" t="n">
        <x:v>0</x:v>
      </x:c>
      <x:c r="H996" s="6" t="n">
        <x:v>-18165</x:v>
      </x:c>
    </x:row>
    <x:row r="997" ht="21" customHeight="1">
      <x:c r="A997" s="1" t="str">
        <x:v>C0001469</x:v>
      </x:c>
      <x:c r="B997" s="1" t="n">
        <x:v>29</x:v>
      </x:c>
      <x:c r="C997" s="1" t="n">
        <x:v>119</x:v>
      </x:c>
      <x:c r="D997" s="6" t="n">
        <x:v>18165</x:v>
      </x:c>
      <x:c r="E997" s="6" t="n">
        <x:v>0</x:v>
      </x:c>
      <x:c r="F997" s="6" t="n">
        <x:v>0</x:v>
      </x:c>
      <x:c r="G997" s="6" t="n">
        <x:v>0</x:v>
      </x:c>
      <x:c r="H997" s="6" t="n">
        <x:v>-18165</x:v>
      </x:c>
    </x:row>
    <x:row r="998" ht="21" customHeight="1">
      <x:c r="A998" s="1" t="str">
        <x:v>C0006247</x:v>
      </x:c>
      <x:c r="B998" s="1" t="n">
        <x:v>29</x:v>
      </x:c>
      <x:c r="C998" s="1" t="n">
        <x:v>119</x:v>
      </x:c>
      <x:c r="D998" s="6" t="n">
        <x:v>18165</x:v>
      </x:c>
      <x:c r="E998" s="6" t="n">
        <x:v>36330</x:v>
      </x:c>
      <x:c r="F998" s="6" t="n">
        <x:v>0</x:v>
      </x:c>
      <x:c r="G998" s="6" t="n">
        <x:v>36330</x:v>
      </x:c>
      <x:c r="H998" s="6" t="n">
        <x:v>18165</x:v>
      </x:c>
    </x:row>
    <x:row r="999" ht="21" customHeight="1">
      <x:c r="A999" s="1" t="str">
        <x:v>C0005371</x:v>
      </x:c>
      <x:c r="B999" s="1" t="n">
        <x:v>29</x:v>
      </x:c>
      <x:c r="C999" s="1" t="n">
        <x:v>119</x:v>
      </x:c>
      <x:c r="D999" s="6" t="n">
        <x:v>18165</x:v>
      </x:c>
      <x:c r="E999" s="6" t="n">
        <x:v>36330</x:v>
      </x:c>
      <x:c r="F999" s="6" t="n">
        <x:v>0</x:v>
      </x:c>
      <x:c r="G999" s="6" t="n">
        <x:v>36330</x:v>
      </x:c>
      <x:c r="H999" s="6" t="n">
        <x:v>18165</x:v>
      </x:c>
    </x:row>
    <x:row r="1000" ht="21" customHeight="1">
      <x:c r="A1000" s="1" t="str">
        <x:v>C0016647</x:v>
      </x:c>
      <x:c r="B1000" s="1" t="n">
        <x:v>29</x:v>
      </x:c>
      <x:c r="C1000" s="1" t="n">
        <x:v>119</x:v>
      </x:c>
      <x:c r="D1000" s="6" t="n">
        <x:v>18165</x:v>
      </x:c>
      <x:c r="E1000" s="6" t="n">
        <x:v>36330</x:v>
      </x:c>
      <x:c r="F1000" s="6" t="n">
        <x:v>0</x:v>
      </x:c>
      <x:c r="G1000" s="6" t="n">
        <x:v>36330</x:v>
      </x:c>
      <x:c r="H1000" s="6" t="n">
        <x:v>18165</x:v>
      </x:c>
    </x:row>
    <x:row r="1001" ht="21" customHeight="1">
      <x:c r="A1001" s="1" t="str">
        <x:v>C0015604</x:v>
      </x:c>
      <x:c r="B1001" s="1" t="n">
        <x:v>29</x:v>
      </x:c>
      <x:c r="C1001" s="1" t="n">
        <x:v>119</x:v>
      </x:c>
      <x:c r="D1001" s="6" t="n">
        <x:v>18165</x:v>
      </x:c>
      <x:c r="E1001" s="6" t="n">
        <x:v>36330</x:v>
      </x:c>
      <x:c r="F1001" s="6" t="n">
        <x:v>0</x:v>
      </x:c>
      <x:c r="G1001" s="6" t="n">
        <x:v>36330</x:v>
      </x:c>
      <x:c r="H1001" s="6" t="n">
        <x:v>18165</x:v>
      </x:c>
    </x:row>
    <x:row r="1002" ht="21" customHeight="1">
      <x:c r="A1002" s="1" t="str">
        <x:v>C0013178</x:v>
      </x:c>
      <x:c r="B1002" s="1" t="n">
        <x:v>12</x:v>
      </x:c>
      <x:c r="C1002" s="1" t="n">
        <x:v>72</x:v>
      </x:c>
      <x:c r="D1002" s="6" t="n">
        <x:v>18082</x:v>
      </x:c>
      <x:c r="E1002" s="6" t="n">
        <x:v>0</x:v>
      </x:c>
      <x:c r="F1002" s="6" t="n">
        <x:v>0</x:v>
      </x:c>
      <x:c r="G1002" s="6" t="n">
        <x:v>0</x:v>
      </x:c>
      <x:c r="H1002" s="6" t="n">
        <x:v>-18082</x:v>
      </x:c>
    </x:row>
    <x:row r="1003" ht="21" customHeight="1">
      <x:c r="A1003" s="1" t="str">
        <x:v>C0012294</x:v>
      </x:c>
      <x:c r="B1003" s="1" t="n">
        <x:v>12</x:v>
      </x:c>
      <x:c r="C1003" s="1" t="n">
        <x:v>72</x:v>
      </x:c>
      <x:c r="D1003" s="6" t="n">
        <x:v>18082</x:v>
      </x:c>
      <x:c r="E1003" s="6" t="n">
        <x:v>0</x:v>
      </x:c>
      <x:c r="F1003" s="6" t="n">
        <x:v>0</x:v>
      </x:c>
      <x:c r="G1003" s="6" t="n">
        <x:v>0</x:v>
      </x:c>
      <x:c r="H1003" s="6" t="n">
        <x:v>-18082</x:v>
      </x:c>
    </x:row>
    <x:row r="1004" ht="21" customHeight="1">
      <x:c r="A1004" s="1" t="str">
        <x:v>C0015381</x:v>
      </x:c>
      <x:c r="B1004" s="1" t="n">
        <x:v>12</x:v>
      </x:c>
      <x:c r="C1004" s="1" t="n">
        <x:v>72</x:v>
      </x:c>
      <x:c r="D1004" s="6" t="n">
        <x:v>18082</x:v>
      </x:c>
      <x:c r="E1004" s="6" t="n">
        <x:v>36164</x:v>
      </x:c>
      <x:c r="F1004" s="6" t="n">
        <x:v>0</x:v>
      </x:c>
      <x:c r="G1004" s="6" t="n">
        <x:v>36164</x:v>
      </x:c>
      <x:c r="H1004" s="6" t="n">
        <x:v>18082</x:v>
      </x:c>
    </x:row>
    <x:row r="1005" ht="21" customHeight="1">
      <x:c r="A1005" s="1" t="str">
        <x:v>C0007051</x:v>
      </x:c>
      <x:c r="B1005" s="1" t="n">
        <x:v>12</x:v>
      </x:c>
      <x:c r="C1005" s="1" t="n">
        <x:v>72</x:v>
      </x:c>
      <x:c r="D1005" s="6" t="n">
        <x:v>18082</x:v>
      </x:c>
      <x:c r="E1005" s="6" t="n">
        <x:v>0</x:v>
      </x:c>
      <x:c r="F1005" s="6" t="n">
        <x:v>0</x:v>
      </x:c>
      <x:c r="G1005" s="6" t="n">
        <x:v>0</x:v>
      </x:c>
      <x:c r="H1005" s="6" t="n">
        <x:v>-18082</x:v>
      </x:c>
    </x:row>
    <x:row r="1006" ht="21" customHeight="1">
      <x:c r="A1006" s="1" t="str">
        <x:v>C0013260</x:v>
      </x:c>
      <x:c r="B1006" s="1" t="n">
        <x:v>12</x:v>
      </x:c>
      <x:c r="C1006" s="1" t="n">
        <x:v>72</x:v>
      </x:c>
      <x:c r="D1006" s="6" t="n">
        <x:v>0</x:v>
      </x:c>
      <x:c r="E1006" s="6" t="n">
        <x:v>18082</x:v>
      </x:c>
      <x:c r="F1006" s="6" t="n">
        <x:v>0</x:v>
      </x:c>
      <x:c r="G1006" s="6" t="n">
        <x:v>18082</x:v>
      </x:c>
      <x:c r="H1006" s="6" t="n">
        <x:v>18082</x:v>
      </x:c>
    </x:row>
    <x:row r="1007" ht="21" customHeight="1">
      <x:c r="A1007" s="1" t="str">
        <x:v>C0016495</x:v>
      </x:c>
      <x:c r="B1007" s="1" t="n">
        <x:v>12</x:v>
      </x:c>
      <x:c r="C1007" s="1" t="n">
        <x:v>72</x:v>
      </x:c>
      <x:c r="D1007" s="6" t="n">
        <x:v>18082</x:v>
      </x:c>
      <x:c r="E1007" s="6" t="n">
        <x:v>0</x:v>
      </x:c>
      <x:c r="F1007" s="6" t="n">
        <x:v>0</x:v>
      </x:c>
      <x:c r="G1007" s="6" t="n">
        <x:v>0</x:v>
      </x:c>
      <x:c r="H1007" s="6" t="n">
        <x:v>-18082</x:v>
      </x:c>
    </x:row>
    <x:row r="1008" ht="21" customHeight="1">
      <x:c r="A1008" s="1" t="str">
        <x:v>C0016028</x:v>
      </x:c>
      <x:c r="B1008" s="1" t="n">
        <x:v>12</x:v>
      </x:c>
      <x:c r="C1008" s="1" t="n">
        <x:v>72</x:v>
      </x:c>
      <x:c r="D1008" s="6" t="n">
        <x:v>18082</x:v>
      </x:c>
      <x:c r="E1008" s="6" t="n">
        <x:v>0</x:v>
      </x:c>
      <x:c r="F1008" s="6" t="n">
        <x:v>0</x:v>
      </x:c>
      <x:c r="G1008" s="6" t="n">
        <x:v>0</x:v>
      </x:c>
      <x:c r="H1008" s="6" t="n">
        <x:v>-18082</x:v>
      </x:c>
    </x:row>
    <x:row r="1009" ht="21" customHeight="1">
      <x:c r="A1009" s="1" t="str">
        <x:v>C0005456</x:v>
      </x:c>
      <x:c r="B1009" s="1" t="n">
        <x:v>28</x:v>
      </x:c>
      <x:c r="C1009" s="1" t="n">
        <x:v>58</x:v>
      </x:c>
      <x:c r="D1009" s="6" t="n">
        <x:v>18049</x:v>
      </x:c>
      <x:c r="E1009" s="6" t="n">
        <x:v>0</x:v>
      </x:c>
      <x:c r="F1009" s="6" t="n">
        <x:v>0</x:v>
      </x:c>
      <x:c r="G1009" s="6" t="n">
        <x:v>0</x:v>
      </x:c>
      <x:c r="H1009" s="6" t="n">
        <x:v>-18049</x:v>
      </x:c>
    </x:row>
    <x:row r="1010" ht="21" customHeight="1">
      <x:c r="A1010" s="1" t="str">
        <x:v>C0010300</x:v>
      </x:c>
      <x:c r="B1010" s="1" t="n">
        <x:v>28</x:v>
      </x:c>
      <x:c r="C1010" s="1" t="n">
        <x:v>58</x:v>
      </x:c>
      <x:c r="D1010" s="6" t="n">
        <x:v>18049</x:v>
      </x:c>
      <x:c r="E1010" s="6" t="n">
        <x:v>0</x:v>
      </x:c>
      <x:c r="F1010" s="6" t="n">
        <x:v>0</x:v>
      </x:c>
      <x:c r="G1010" s="6" t="n">
        <x:v>0</x:v>
      </x:c>
      <x:c r="H1010" s="6" t="n">
        <x:v>-18049</x:v>
      </x:c>
    </x:row>
    <x:row r="1011" ht="21" customHeight="1">
      <x:c r="A1011" s="1" t="str">
        <x:v>C0000174</x:v>
      </x:c>
      <x:c r="B1011" s="1" t="n">
        <x:v>28</x:v>
      </x:c>
      <x:c r="C1011" s="1" t="n">
        <x:v>58</x:v>
      </x:c>
      <x:c r="D1011" s="6" t="n">
        <x:v>18049</x:v>
      </x:c>
      <x:c r="E1011" s="6" t="n">
        <x:v>0</x:v>
      </x:c>
      <x:c r="F1011" s="6" t="n">
        <x:v>0</x:v>
      </x:c>
      <x:c r="G1011" s="6" t="n">
        <x:v>0</x:v>
      </x:c>
      <x:c r="H1011" s="6" t="n">
        <x:v>-18049</x:v>
      </x:c>
    </x:row>
    <x:row r="1012" ht="21" customHeight="1">
      <x:c r="A1012" s="1" t="str">
        <x:v>C0005257</x:v>
      </x:c>
      <x:c r="B1012" s="1" t="n">
        <x:v>28</x:v>
      </x:c>
      <x:c r="C1012" s="1" t="n">
        <x:v>58</x:v>
      </x:c>
      <x:c r="D1012" s="6" t="n">
        <x:v>0</x:v>
      </x:c>
      <x:c r="E1012" s="6" t="n">
        <x:v>18049</x:v>
      </x:c>
      <x:c r="F1012" s="6" t="n">
        <x:v>0</x:v>
      </x:c>
      <x:c r="G1012" s="6" t="n">
        <x:v>18049</x:v>
      </x:c>
      <x:c r="H1012" s="6" t="n">
        <x:v>18049</x:v>
      </x:c>
    </x:row>
    <x:row r="1013" ht="21" customHeight="1">
      <x:c r="A1013" s="1" t="str">
        <x:v>C0005036</x:v>
      </x:c>
      <x:c r="B1013" s="1" t="n">
        <x:v>28</x:v>
      </x:c>
      <x:c r="C1013" s="1" t="n">
        <x:v>58</x:v>
      </x:c>
      <x:c r="D1013" s="6" t="n">
        <x:v>0</x:v>
      </x:c>
      <x:c r="E1013" s="6" t="n">
        <x:v>18049</x:v>
      </x:c>
      <x:c r="F1013" s="6" t="n">
        <x:v>0</x:v>
      </x:c>
      <x:c r="G1013" s="6" t="n">
        <x:v>18049</x:v>
      </x:c>
      <x:c r="H1013" s="6" t="n">
        <x:v>18049</x:v>
      </x:c>
    </x:row>
    <x:row r="1014" ht="21" customHeight="1">
      <x:c r="A1014" s="1" t="str">
        <x:v>C0006492</x:v>
      </x:c>
      <x:c r="B1014" s="1" t="n">
        <x:v>21</x:v>
      </x:c>
      <x:c r="C1014" s="1" t="n">
        <x:v>111</x:v>
      </x:c>
      <x:c r="D1014" s="6" t="n">
        <x:v>18014</x:v>
      </x:c>
      <x:c r="E1014" s="6" t="n">
        <x:v>0</x:v>
      </x:c>
      <x:c r="F1014" s="6" t="n">
        <x:v>0</x:v>
      </x:c>
      <x:c r="G1014" s="6" t="n">
        <x:v>0</x:v>
      </x:c>
      <x:c r="H1014" s="6" t="n">
        <x:v>-18014</x:v>
      </x:c>
    </x:row>
    <x:row r="1015" ht="21" customHeight="1">
      <x:c r="A1015" s="1" t="str">
        <x:v>C0014583</x:v>
      </x:c>
      <x:c r="B1015" s="1" t="n">
        <x:v>21</x:v>
      </x:c>
      <x:c r="C1015" s="1" t="n">
        <x:v>111</x:v>
      </x:c>
      <x:c r="D1015" s="6" t="n">
        <x:v>18014</x:v>
      </x:c>
      <x:c r="E1015" s="6" t="n">
        <x:v>36028</x:v>
      </x:c>
      <x:c r="F1015" s="6" t="n">
        <x:v>0</x:v>
      </x:c>
      <x:c r="G1015" s="6" t="n">
        <x:v>36028</x:v>
      </x:c>
      <x:c r="H1015" s="6" t="n">
        <x:v>18014</x:v>
      </x:c>
    </x:row>
    <x:row r="1016" ht="21" customHeight="1">
      <x:c r="A1016" s="1" t="str">
        <x:v>C0002901</x:v>
      </x:c>
      <x:c r="B1016" s="1" t="n">
        <x:v>24</x:v>
      </x:c>
      <x:c r="C1016" s="1" t="n">
        <x:v>24</x:v>
      </x:c>
      <x:c r="D1016" s="6" t="n">
        <x:v>17856</x:v>
      </x:c>
      <x:c r="E1016" s="6" t="n">
        <x:v>0</x:v>
      </x:c>
      <x:c r="F1016" s="6" t="n">
        <x:v>0</x:v>
      </x:c>
      <x:c r="G1016" s="6" t="n">
        <x:v>0</x:v>
      </x:c>
      <x:c r="H1016" s="6" t="n">
        <x:v>-17856</x:v>
      </x:c>
    </x:row>
    <x:row r="1017" ht="21" customHeight="1">
      <x:c r="A1017" s="1" t="str">
        <x:v>C0012778</x:v>
      </x:c>
      <x:c r="B1017" s="1" t="n">
        <x:v>24</x:v>
      </x:c>
      <x:c r="C1017" s="1" t="n">
        <x:v>24</x:v>
      </x:c>
      <x:c r="D1017" s="6" t="n">
        <x:v>17856</x:v>
      </x:c>
      <x:c r="E1017" s="6" t="n">
        <x:v>0</x:v>
      </x:c>
      <x:c r="F1017" s="6" t="n">
        <x:v>0</x:v>
      </x:c>
      <x:c r="G1017" s="6" t="n">
        <x:v>0</x:v>
      </x:c>
      <x:c r="H1017" s="6" t="n">
        <x:v>-17856</x:v>
      </x:c>
    </x:row>
    <x:row r="1018" ht="21" customHeight="1">
      <x:c r="A1018" s="1" t="str">
        <x:v>C0008778</x:v>
      </x:c>
      <x:c r="B1018" s="1" t="n">
        <x:v>24</x:v>
      </x:c>
      <x:c r="C1018" s="1" t="n">
        <x:v>24</x:v>
      </x:c>
      <x:c r="D1018" s="6" t="n">
        <x:v>17856</x:v>
      </x:c>
      <x:c r="E1018" s="6" t="n">
        <x:v>0</x:v>
      </x:c>
      <x:c r="F1018" s="6" t="n">
        <x:v>0</x:v>
      </x:c>
      <x:c r="G1018" s="6" t="n">
        <x:v>0</x:v>
      </x:c>
      <x:c r="H1018" s="6" t="n">
        <x:v>-17856</x:v>
      </x:c>
    </x:row>
    <x:row r="1019" ht="21" customHeight="1">
      <x:c r="A1019" s="1" t="str">
        <x:v>C0017983</x:v>
      </x:c>
      <x:c r="B1019" s="1" t="n">
        <x:v>24</x:v>
      </x:c>
      <x:c r="C1019" s="1" t="n">
        <x:v>24</x:v>
      </x:c>
      <x:c r="D1019" s="6" t="n">
        <x:v>17856</x:v>
      </x:c>
      <x:c r="E1019" s="6" t="n">
        <x:v>35712</x:v>
      </x:c>
      <x:c r="F1019" s="6" t="n">
        <x:v>0</x:v>
      </x:c>
      <x:c r="G1019" s="6" t="n">
        <x:v>35712</x:v>
      </x:c>
      <x:c r="H1019" s="6" t="n">
        <x:v>17856</x:v>
      </x:c>
    </x:row>
    <x:row r="1020" ht="21" customHeight="1">
      <x:c r="A1020" s="1" t="str">
        <x:v>C0016275</x:v>
      </x:c>
      <x:c r="B1020" s="1" t="n">
        <x:v>24</x:v>
      </x:c>
      <x:c r="C1020" s="1" t="n">
        <x:v>24</x:v>
      </x:c>
      <x:c r="D1020" s="6" t="n">
        <x:v>17856</x:v>
      </x:c>
      <x:c r="E1020" s="6" t="n">
        <x:v>0</x:v>
      </x:c>
      <x:c r="F1020" s="6" t="n">
        <x:v>0</x:v>
      </x:c>
      <x:c r="G1020" s="6" t="n">
        <x:v>0</x:v>
      </x:c>
      <x:c r="H1020" s="6" t="n">
        <x:v>-17856</x:v>
      </x:c>
    </x:row>
    <x:row r="1021" ht="21" customHeight="1">
      <x:c r="A1021" s="1" t="str">
        <x:v>C0014095</x:v>
      </x:c>
      <x:c r="B1021" s="1" t="n">
        <x:v>14</x:v>
      </x:c>
      <x:c r="C1021" s="1" t="n">
        <x:v>44</x:v>
      </x:c>
      <x:c r="D1021" s="6" t="n">
        <x:v>17690</x:v>
      </x:c>
      <x:c r="E1021" s="6" t="n">
        <x:v>35380</x:v>
      </x:c>
      <x:c r="F1021" s="6" t="n">
        <x:v>0</x:v>
      </x:c>
      <x:c r="G1021" s="6" t="n">
        <x:v>35380</x:v>
      </x:c>
      <x:c r="H1021" s="6" t="n">
        <x:v>17690</x:v>
      </x:c>
    </x:row>
    <x:row r="1022" ht="21" customHeight="1">
      <x:c r="A1022" s="1" t="str">
        <x:v>C0011833</x:v>
      </x:c>
      <x:c r="B1022" s="1" t="n">
        <x:v>14</x:v>
      </x:c>
      <x:c r="C1022" s="1" t="n">
        <x:v>44</x:v>
      </x:c>
      <x:c r="D1022" s="6" t="n">
        <x:v>17690</x:v>
      </x:c>
      <x:c r="E1022" s="6" t="n">
        <x:v>35380</x:v>
      </x:c>
      <x:c r="F1022" s="6" t="n">
        <x:v>0</x:v>
      </x:c>
      <x:c r="G1022" s="6" t="n">
        <x:v>35380</x:v>
      </x:c>
      <x:c r="H1022" s="6" t="n">
        <x:v>17690</x:v>
      </x:c>
    </x:row>
    <x:row r="1023" ht="21" customHeight="1">
      <x:c r="A1023" s="1" t="str">
        <x:v>C0000465</x:v>
      </x:c>
      <x:c r="B1023" s="1" t="n">
        <x:v>14</x:v>
      </x:c>
      <x:c r="C1023" s="1" t="n">
        <x:v>44</x:v>
      </x:c>
      <x:c r="D1023" s="6" t="n">
        <x:v>17690</x:v>
      </x:c>
      <x:c r="E1023" s="6" t="n">
        <x:v>0</x:v>
      </x:c>
      <x:c r="F1023" s="6" t="n">
        <x:v>0</x:v>
      </x:c>
      <x:c r="G1023" s="6" t="n">
        <x:v>0</x:v>
      </x:c>
      <x:c r="H1023" s="6" t="n">
        <x:v>-17690</x:v>
      </x:c>
    </x:row>
    <x:row r="1024" ht="21" customHeight="1">
      <x:c r="A1024" s="1" t="str">
        <x:v>C0009809</x:v>
      </x:c>
      <x:c r="B1024" s="1" t="n">
        <x:v>14</x:v>
      </x:c>
      <x:c r="C1024" s="1" t="n">
        <x:v>44</x:v>
      </x:c>
      <x:c r="D1024" s="6" t="n">
        <x:v>0</x:v>
      </x:c>
      <x:c r="E1024" s="6" t="n">
        <x:v>17690</x:v>
      </x:c>
      <x:c r="F1024" s="6" t="n">
        <x:v>0</x:v>
      </x:c>
      <x:c r="G1024" s="6" t="n">
        <x:v>17690</x:v>
      </x:c>
      <x:c r="H1024" s="6" t="n">
        <x:v>17690</x:v>
      </x:c>
    </x:row>
    <x:row r="1025" ht="21" customHeight="1">
      <x:c r="A1025" s="1" t="str">
        <x:v>C0013333</x:v>
      </x:c>
      <x:c r="B1025" s="1" t="n">
        <x:v>14</x:v>
      </x:c>
      <x:c r="C1025" s="1" t="n">
        <x:v>44</x:v>
      </x:c>
      <x:c r="D1025" s="6" t="n">
        <x:v>17690</x:v>
      </x:c>
      <x:c r="E1025" s="6" t="n">
        <x:v>0</x:v>
      </x:c>
      <x:c r="F1025" s="6" t="n">
        <x:v>0</x:v>
      </x:c>
      <x:c r="G1025" s="6" t="n">
        <x:v>0</x:v>
      </x:c>
      <x:c r="H1025" s="6" t="n">
        <x:v>-17690</x:v>
      </x:c>
    </x:row>
    <x:row r="1026" ht="21" customHeight="1">
      <x:c r="A1026" s="1" t="str">
        <x:v>C0008194</x:v>
      </x:c>
      <x:c r="B1026" s="1" t="n">
        <x:v>14</x:v>
      </x:c>
      <x:c r="C1026" s="1" t="n">
        <x:v>44</x:v>
      </x:c>
      <x:c r="D1026" s="6" t="n">
        <x:v>0</x:v>
      </x:c>
      <x:c r="E1026" s="6" t="n">
        <x:v>17690</x:v>
      </x:c>
      <x:c r="F1026" s="6" t="n">
        <x:v>0</x:v>
      </x:c>
      <x:c r="G1026" s="6" t="n">
        <x:v>17690</x:v>
      </x:c>
      <x:c r="H1026" s="6" t="n">
        <x:v>17690</x:v>
      </x:c>
    </x:row>
    <x:row r="1027" ht="21" customHeight="1">
      <x:c r="A1027" s="1" t="str">
        <x:v>C0006213</x:v>
      </x:c>
      <x:c r="B1027" s="1" t="n">
        <x:v>9</x:v>
      </x:c>
      <x:c r="C1027" s="1" t="n">
        <x:v>39</x:v>
      </x:c>
      <x:c r="D1027" s="6" t="n">
        <x:v>17658</x:v>
      </x:c>
      <x:c r="E1027" s="6" t="n">
        <x:v>0</x:v>
      </x:c>
      <x:c r="F1027" s="6" t="n">
        <x:v>0</x:v>
      </x:c>
      <x:c r="G1027" s="6" t="n">
        <x:v>0</x:v>
      </x:c>
      <x:c r="H1027" s="6" t="n">
        <x:v>-17658</x:v>
      </x:c>
    </x:row>
    <x:row r="1028" ht="21" customHeight="1">
      <x:c r="A1028" s="1" t="str">
        <x:v>C0008376</x:v>
      </x:c>
      <x:c r="B1028" s="1" t="n">
        <x:v>9</x:v>
      </x:c>
      <x:c r="C1028" s="1" t="n">
        <x:v>39</x:v>
      </x:c>
      <x:c r="D1028" s="6" t="n">
        <x:v>17658</x:v>
      </x:c>
      <x:c r="E1028" s="6" t="n">
        <x:v>0</x:v>
      </x:c>
      <x:c r="F1028" s="6" t="n">
        <x:v>0</x:v>
      </x:c>
      <x:c r="G1028" s="6" t="n">
        <x:v>0</x:v>
      </x:c>
      <x:c r="H1028" s="6" t="n">
        <x:v>-17658</x:v>
      </x:c>
    </x:row>
    <x:row r="1029" ht="21" customHeight="1">
      <x:c r="A1029" s="1" t="str">
        <x:v>C0017457</x:v>
      </x:c>
      <x:c r="B1029" s="1" t="n">
        <x:v>9</x:v>
      </x:c>
      <x:c r="C1029" s="1" t="n">
        <x:v>39</x:v>
      </x:c>
      <x:c r="D1029" s="6" t="n">
        <x:v>17658</x:v>
      </x:c>
      <x:c r="E1029" s="6" t="n">
        <x:v>35316</x:v>
      </x:c>
      <x:c r="F1029" s="6" t="n">
        <x:v>0</x:v>
      </x:c>
      <x:c r="G1029" s="6" t="n">
        <x:v>35316</x:v>
      </x:c>
      <x:c r="H1029" s="6" t="n">
        <x:v>17658</x:v>
      </x:c>
    </x:row>
    <x:row r="1030" ht="21" customHeight="1">
      <x:c r="A1030" s="1" t="str">
        <x:v>C0008077</x:v>
      </x:c>
      <x:c r="B1030" s="1" t="n">
        <x:v>9</x:v>
      </x:c>
      <x:c r="C1030" s="1" t="n">
        <x:v>39</x:v>
      </x:c>
      <x:c r="D1030" s="6" t="n">
        <x:v>17658</x:v>
      </x:c>
      <x:c r="E1030" s="6" t="n">
        <x:v>35316</x:v>
      </x:c>
      <x:c r="F1030" s="6" t="n">
        <x:v>0</x:v>
      </x:c>
      <x:c r="G1030" s="6" t="n">
        <x:v>35316</x:v>
      </x:c>
      <x:c r="H1030" s="6" t="n">
        <x:v>17658</x:v>
      </x:c>
    </x:row>
    <x:row r="1031" ht="21" customHeight="1">
      <x:c r="A1031" s="1" t="str">
        <x:v>C0004194</x:v>
      </x:c>
      <x:c r="B1031" s="1" t="n">
        <x:v>9</x:v>
      </x:c>
      <x:c r="C1031" s="1" t="n">
        <x:v>39</x:v>
      </x:c>
      <x:c r="D1031" s="6" t="n">
        <x:v>17658</x:v>
      </x:c>
      <x:c r="E1031" s="6" t="n">
        <x:v>0</x:v>
      </x:c>
      <x:c r="F1031" s="6" t="n">
        <x:v>0</x:v>
      </x:c>
      <x:c r="G1031" s="6" t="n">
        <x:v>0</x:v>
      </x:c>
      <x:c r="H1031" s="6" t="n">
        <x:v>-17658</x:v>
      </x:c>
    </x:row>
    <x:row r="1032" ht="21" customHeight="1">
      <x:c r="A1032" s="1" t="str">
        <x:v>C0001248</x:v>
      </x:c>
      <x:c r="B1032" s="1" t="n">
        <x:v>9</x:v>
      </x:c>
      <x:c r="C1032" s="1" t="n">
        <x:v>39</x:v>
      </x:c>
      <x:c r="D1032" s="6" t="n">
        <x:v>17658</x:v>
      </x:c>
      <x:c r="E1032" s="6" t="n">
        <x:v>0</x:v>
      </x:c>
      <x:c r="F1032" s="6" t="n">
        <x:v>0</x:v>
      </x:c>
      <x:c r="G1032" s="6" t="n">
        <x:v>0</x:v>
      </x:c>
      <x:c r="H1032" s="6" t="n">
        <x:v>-17658</x:v>
      </x:c>
    </x:row>
    <x:row r="1033" ht="21" customHeight="1">
      <x:c r="A1033" s="1" t="str">
        <x:v>C0013436</x:v>
      </x:c>
      <x:c r="B1033" s="1" t="n">
        <x:v>9</x:v>
      </x:c>
      <x:c r="C1033" s="1" t="n">
        <x:v>39</x:v>
      </x:c>
      <x:c r="D1033" s="6" t="n">
        <x:v>17658</x:v>
      </x:c>
      <x:c r="E1033" s="6" t="n">
        <x:v>0</x:v>
      </x:c>
      <x:c r="F1033" s="6" t="n">
        <x:v>0</x:v>
      </x:c>
      <x:c r="G1033" s="6" t="n">
        <x:v>0</x:v>
      </x:c>
      <x:c r="H1033" s="6" t="n">
        <x:v>-17658</x:v>
      </x:c>
    </x:row>
    <x:row r="1034" ht="21" customHeight="1">
      <x:c r="A1034" s="1" t="str">
        <x:v>C0016464</x:v>
      </x:c>
      <x:c r="B1034" s="1" t="n">
        <x:v>9</x:v>
      </x:c>
      <x:c r="C1034" s="1" t="n">
        <x:v>39</x:v>
      </x:c>
      <x:c r="D1034" s="6" t="n">
        <x:v>17658</x:v>
      </x:c>
      <x:c r="E1034" s="6" t="n">
        <x:v>35316</x:v>
      </x:c>
      <x:c r="F1034" s="6" t="n">
        <x:v>0</x:v>
      </x:c>
      <x:c r="G1034" s="6" t="n">
        <x:v>35316</x:v>
      </x:c>
      <x:c r="H1034" s="6" t="n">
        <x:v>17658</x:v>
      </x:c>
    </x:row>
    <x:row r="1035" ht="21" customHeight="1">
      <x:c r="A1035" s="1" t="str">
        <x:v>C0007052</x:v>
      </x:c>
      <x:c r="B1035" s="1" t="n">
        <x:v>15</x:v>
      </x:c>
      <x:c r="C1035" s="1" t="n">
        <x:v>15</x:v>
      </x:c>
      <x:c r="D1035" s="6" t="n">
        <x:v>17575</x:v>
      </x:c>
      <x:c r="E1035" s="6" t="n">
        <x:v>0</x:v>
      </x:c>
      <x:c r="F1035" s="6" t="n">
        <x:v>0</x:v>
      </x:c>
      <x:c r="G1035" s="6" t="n">
        <x:v>0</x:v>
      </x:c>
      <x:c r="H1035" s="6" t="n">
        <x:v>-17575</x:v>
      </x:c>
    </x:row>
    <x:row r="1036" ht="21" customHeight="1">
      <x:c r="A1036" s="1" t="str">
        <x:v>C0004149</x:v>
      </x:c>
      <x:c r="B1036" s="1" t="n">
        <x:v>15</x:v>
      </x:c>
      <x:c r="C1036" s="1" t="n">
        <x:v>15</x:v>
      </x:c>
      <x:c r="D1036" s="6" t="n">
        <x:v>17575</x:v>
      </x:c>
      <x:c r="E1036" s="6" t="n">
        <x:v>35150</x:v>
      </x:c>
      <x:c r="F1036" s="6" t="n">
        <x:v>0</x:v>
      </x:c>
      <x:c r="G1036" s="6" t="n">
        <x:v>35150</x:v>
      </x:c>
      <x:c r="H1036" s="6" t="n">
        <x:v>17575</x:v>
      </x:c>
    </x:row>
    <x:row r="1037" ht="21" customHeight="1">
      <x:c r="A1037" s="1" t="str">
        <x:v>C0016204</x:v>
      </x:c>
      <x:c r="B1037" s="1" t="n">
        <x:v>15</x:v>
      </x:c>
      <x:c r="C1037" s="1" t="n">
        <x:v>15</x:v>
      </x:c>
      <x:c r="D1037" s="6" t="n">
        <x:v>17575</x:v>
      </x:c>
      <x:c r="E1037" s="6" t="n">
        <x:v>35150</x:v>
      </x:c>
      <x:c r="F1037" s="6" t="n">
        <x:v>0</x:v>
      </x:c>
      <x:c r="G1037" s="6" t="n">
        <x:v>35150</x:v>
      </x:c>
      <x:c r="H1037" s="6" t="n">
        <x:v>17575</x:v>
      </x:c>
    </x:row>
    <x:row r="1038" ht="21" customHeight="1">
      <x:c r="A1038" s="1" t="str">
        <x:v>C0000043</x:v>
      </x:c>
      <x:c r="B1038" s="1" t="n">
        <x:v>15</x:v>
      </x:c>
      <x:c r="C1038" s="1" t="n">
        <x:v>15</x:v>
      </x:c>
      <x:c r="D1038" s="6" t="n">
        <x:v>17575</x:v>
      </x:c>
      <x:c r="E1038" s="6" t="n">
        <x:v>35150</x:v>
      </x:c>
      <x:c r="F1038" s="6" t="n">
        <x:v>0</x:v>
      </x:c>
      <x:c r="G1038" s="6" t="n">
        <x:v>35150</x:v>
      </x:c>
      <x:c r="H1038" s="6" t="n">
        <x:v>17575</x:v>
      </x:c>
    </x:row>
    <x:row r="1039" ht="21" customHeight="1">
      <x:c r="A1039" s="1" t="str">
        <x:v>C0003930</x:v>
      </x:c>
      <x:c r="B1039" s="1" t="n">
        <x:v>15</x:v>
      </x:c>
      <x:c r="C1039" s="1" t="n">
        <x:v>15</x:v>
      </x:c>
      <x:c r="D1039" s="6" t="n">
        <x:v>17575</x:v>
      </x:c>
      <x:c r="E1039" s="6" t="n">
        <x:v>35150</x:v>
      </x:c>
      <x:c r="F1039" s="6" t="n">
        <x:v>0</x:v>
      </x:c>
      <x:c r="G1039" s="6" t="n">
        <x:v>35150</x:v>
      </x:c>
      <x:c r="H1039" s="6" t="n">
        <x:v>17575</x:v>
      </x:c>
    </x:row>
    <x:row r="1040" ht="21" customHeight="1">
      <x:c r="A1040" s="1" t="str">
        <x:v>C0002722</x:v>
      </x:c>
      <x:c r="B1040" s="1" t="n">
        <x:v>15</x:v>
      </x:c>
      <x:c r="C1040" s="1" t="n">
        <x:v>15</x:v>
      </x:c>
      <x:c r="D1040" s="6" t="n">
        <x:v>17575</x:v>
      </x:c>
      <x:c r="E1040" s="6" t="n">
        <x:v>35150</x:v>
      </x:c>
      <x:c r="F1040" s="6" t="n">
        <x:v>0</x:v>
      </x:c>
      <x:c r="G1040" s="6" t="n">
        <x:v>35150</x:v>
      </x:c>
      <x:c r="H1040" s="6" t="n">
        <x:v>17575</x:v>
      </x:c>
    </x:row>
    <x:row r="1041" ht="21" customHeight="1">
      <x:c r="A1041" s="1" t="str">
        <x:v>C0010376</x:v>
      </x:c>
      <x:c r="B1041" s="1" t="n">
        <x:v>15</x:v>
      </x:c>
      <x:c r="C1041" s="1" t="n">
        <x:v>15</x:v>
      </x:c>
      <x:c r="D1041" s="6" t="n">
        <x:v>17575</x:v>
      </x:c>
      <x:c r="E1041" s="6" t="n">
        <x:v>0</x:v>
      </x:c>
      <x:c r="F1041" s="6" t="n">
        <x:v>0</x:v>
      </x:c>
      <x:c r="G1041" s="6" t="n">
        <x:v>0</x:v>
      </x:c>
      <x:c r="H1041" s="6" t="n">
        <x:v>-17575</x:v>
      </x:c>
    </x:row>
    <x:row r="1042" ht="21" customHeight="1">
      <x:c r="A1042" s="1" t="str">
        <x:v>C0006474</x:v>
      </x:c>
      <x:c r="B1042" s="1" t="n">
        <x:v>18</x:v>
      </x:c>
      <x:c r="C1042" s="1" t="n">
        <x:v>78</x:v>
      </x:c>
      <x:c r="D1042" s="6" t="n">
        <x:v>17504</x:v>
      </x:c>
      <x:c r="E1042" s="6" t="n">
        <x:v>35008</x:v>
      </x:c>
      <x:c r="F1042" s="6" t="n">
        <x:v>0</x:v>
      </x:c>
      <x:c r="G1042" s="6" t="n">
        <x:v>35008</x:v>
      </x:c>
      <x:c r="H1042" s="6" t="n">
        <x:v>17504</x:v>
      </x:c>
    </x:row>
    <x:row r="1043" ht="21" customHeight="1">
      <x:c r="A1043" s="1" t="str">
        <x:v>C0004778</x:v>
      </x:c>
      <x:c r="B1043" s="1" t="n">
        <x:v>18</x:v>
      </x:c>
      <x:c r="C1043" s="1" t="n">
        <x:v>78</x:v>
      </x:c>
      <x:c r="D1043" s="6" t="n">
        <x:v>17504</x:v>
      </x:c>
      <x:c r="E1043" s="6" t="n">
        <x:v>35008</x:v>
      </x:c>
      <x:c r="F1043" s="6" t="n">
        <x:v>0</x:v>
      </x:c>
      <x:c r="G1043" s="6" t="n">
        <x:v>35008</x:v>
      </x:c>
      <x:c r="H1043" s="6" t="n">
        <x:v>17504</x:v>
      </x:c>
    </x:row>
    <x:row r="1044" ht="21" customHeight="1">
      <x:c r="A1044" s="1" t="str">
        <x:v>C0004219</x:v>
      </x:c>
      <x:c r="B1044" s="1" t="n">
        <x:v>18</x:v>
      </x:c>
      <x:c r="C1044" s="1" t="n">
        <x:v>78</x:v>
      </x:c>
      <x:c r="D1044" s="6" t="n">
        <x:v>17504</x:v>
      </x:c>
      <x:c r="E1044" s="6" t="n">
        <x:v>0</x:v>
      </x:c>
      <x:c r="F1044" s="6" t="n">
        <x:v>0</x:v>
      </x:c>
      <x:c r="G1044" s="6" t="n">
        <x:v>0</x:v>
      </x:c>
      <x:c r="H1044" s="6" t="n">
        <x:v>-17504</x:v>
      </x:c>
    </x:row>
    <x:row r="1045" ht="21" customHeight="1">
      <x:c r="A1045" s="1" t="str">
        <x:v>C0005056</x:v>
      </x:c>
      <x:c r="B1045" s="1" t="n">
        <x:v>18</x:v>
      </x:c>
      <x:c r="C1045" s="1" t="n">
        <x:v>78</x:v>
      </x:c>
      <x:c r="D1045" s="6" t="n">
        <x:v>17504</x:v>
      </x:c>
      <x:c r="E1045" s="6" t="n">
        <x:v>35008</x:v>
      </x:c>
      <x:c r="F1045" s="6" t="n">
        <x:v>0</x:v>
      </x:c>
      <x:c r="G1045" s="6" t="n">
        <x:v>35008</x:v>
      </x:c>
      <x:c r="H1045" s="6" t="n">
        <x:v>17504</x:v>
      </x:c>
    </x:row>
    <x:row r="1046" ht="21" customHeight="1">
      <x:c r="A1046" s="1" t="str">
        <x:v>C0016580</x:v>
      </x:c>
      <x:c r="B1046" s="1" t="n">
        <x:v>18</x:v>
      </x:c>
      <x:c r="C1046" s="1" t="n">
        <x:v>78</x:v>
      </x:c>
      <x:c r="D1046" s="6" t="n">
        <x:v>0</x:v>
      </x:c>
      <x:c r="E1046" s="6" t="n">
        <x:v>17504</x:v>
      </x:c>
      <x:c r="F1046" s="6" t="n">
        <x:v>0</x:v>
      </x:c>
      <x:c r="G1046" s="6" t="n">
        <x:v>17504</x:v>
      </x:c>
      <x:c r="H1046" s="6" t="n">
        <x:v>17504</x:v>
      </x:c>
    </x:row>
    <x:row r="1047" ht="21" customHeight="1">
      <x:c r="A1047" s="1" t="str">
        <x:v>C0016461</x:v>
      </x:c>
      <x:c r="B1047" s="1" t="n">
        <x:v>18</x:v>
      </x:c>
      <x:c r="C1047" s="1" t="n">
        <x:v>78</x:v>
      </x:c>
      <x:c r="D1047" s="6" t="n">
        <x:v>17504</x:v>
      </x:c>
      <x:c r="E1047" s="6" t="n">
        <x:v>35008</x:v>
      </x:c>
      <x:c r="F1047" s="6" t="n">
        <x:v>0</x:v>
      </x:c>
      <x:c r="G1047" s="6" t="n">
        <x:v>35008</x:v>
      </x:c>
      <x:c r="H1047" s="6" t="n">
        <x:v>17504</x:v>
      </x:c>
    </x:row>
    <x:row r="1048" ht="21" customHeight="1">
      <x:c r="A1048" s="1" t="str">
        <x:v>C0002361</x:v>
      </x:c>
      <x:c r="B1048" s="1" t="n">
        <x:v>10</x:v>
      </x:c>
      <x:c r="C1048" s="1" t="n">
        <x:v>40</x:v>
      </x:c>
      <x:c r="D1048" s="6" t="n">
        <x:v>17438</x:v>
      </x:c>
      <x:c r="E1048" s="6" t="n">
        <x:v>0</x:v>
      </x:c>
      <x:c r="F1048" s="6" t="n">
        <x:v>0</x:v>
      </x:c>
      <x:c r="G1048" s="6" t="n">
        <x:v>0</x:v>
      </x:c>
      <x:c r="H1048" s="6" t="n">
        <x:v>-17438</x:v>
      </x:c>
    </x:row>
    <x:row r="1049" ht="21" customHeight="1">
      <x:c r="A1049" s="1" t="str">
        <x:v>C0012029</x:v>
      </x:c>
      <x:c r="B1049" s="1" t="n">
        <x:v>10</x:v>
      </x:c>
      <x:c r="C1049" s="1" t="n">
        <x:v>40</x:v>
      </x:c>
      <x:c r="D1049" s="6" t="n">
        <x:v>17438</x:v>
      </x:c>
      <x:c r="E1049" s="6" t="n">
        <x:v>0</x:v>
      </x:c>
      <x:c r="F1049" s="6" t="n">
        <x:v>0</x:v>
      </x:c>
      <x:c r="G1049" s="6" t="n">
        <x:v>0</x:v>
      </x:c>
      <x:c r="H1049" s="6" t="n">
        <x:v>-17438</x:v>
      </x:c>
    </x:row>
    <x:row r="1050" ht="21" customHeight="1">
      <x:c r="A1050" s="1" t="str">
        <x:v>C0005504</x:v>
      </x:c>
      <x:c r="B1050" s="1" t="n">
        <x:v>10</x:v>
      </x:c>
      <x:c r="C1050" s="1" t="n">
        <x:v>40</x:v>
      </x:c>
      <x:c r="D1050" s="6" t="n">
        <x:v>17438</x:v>
      </x:c>
      <x:c r="E1050" s="6" t="n">
        <x:v>34876</x:v>
      </x:c>
      <x:c r="F1050" s="6" t="n">
        <x:v>0</x:v>
      </x:c>
      <x:c r="G1050" s="6" t="n">
        <x:v>34876</x:v>
      </x:c>
      <x:c r="H1050" s="6" t="n">
        <x:v>17438</x:v>
      </x:c>
    </x:row>
    <x:row r="1051" ht="21" customHeight="1">
      <x:c r="A1051" s="1" t="str">
        <x:v>C0007229</x:v>
      </x:c>
      <x:c r="B1051" s="1" t="n">
        <x:v>10</x:v>
      </x:c>
      <x:c r="C1051" s="1" t="n">
        <x:v>40</x:v>
      </x:c>
      <x:c r="D1051" s="6" t="n">
        <x:v>17438</x:v>
      </x:c>
      <x:c r="E1051" s="6" t="n">
        <x:v>0</x:v>
      </x:c>
      <x:c r="F1051" s="6" t="n">
        <x:v>0</x:v>
      </x:c>
      <x:c r="G1051" s="6" t="n">
        <x:v>0</x:v>
      </x:c>
      <x:c r="H1051" s="6" t="n">
        <x:v>-17438</x:v>
      </x:c>
    </x:row>
    <x:row r="1052" ht="21" customHeight="1">
      <x:c r="A1052" s="1" t="str">
        <x:v>C0008843</x:v>
      </x:c>
      <x:c r="B1052" s="1" t="n">
        <x:v>10</x:v>
      </x:c>
      <x:c r="C1052" s="1" t="n">
        <x:v>40</x:v>
      </x:c>
      <x:c r="D1052" s="6" t="n">
        <x:v>17438</x:v>
      </x:c>
      <x:c r="E1052" s="6" t="n">
        <x:v>0</x:v>
      </x:c>
      <x:c r="F1052" s="6" t="n">
        <x:v>0</x:v>
      </x:c>
      <x:c r="G1052" s="6" t="n">
        <x:v>0</x:v>
      </x:c>
      <x:c r="H1052" s="6" t="n">
        <x:v>-17438</x:v>
      </x:c>
    </x:row>
    <x:row r="1053" ht="21" customHeight="1">
      <x:c r="A1053" s="1" t="str">
        <x:v>C0005223</x:v>
      </x:c>
      <x:c r="B1053" s="1" t="n">
        <x:v>8</x:v>
      </x:c>
      <x:c r="C1053" s="1" t="n">
        <x:v>98</x:v>
      </x:c>
      <x:c r="D1053" s="6" t="n">
        <x:v>17394</x:v>
      </x:c>
      <x:c r="E1053" s="6" t="n">
        <x:v>34788</x:v>
      </x:c>
      <x:c r="F1053" s="6" t="n">
        <x:v>0</x:v>
      </x:c>
      <x:c r="G1053" s="6" t="n">
        <x:v>34788</x:v>
      </x:c>
      <x:c r="H1053" s="6" t="n">
        <x:v>17394</x:v>
      </x:c>
    </x:row>
    <x:row r="1054" ht="21" customHeight="1">
      <x:c r="A1054" s="1" t="str">
        <x:v>C0017742</x:v>
      </x:c>
      <x:c r="B1054" s="1" t="n">
        <x:v>8</x:v>
      </x:c>
      <x:c r="C1054" s="1" t="n">
        <x:v>98</x:v>
      </x:c>
      <x:c r="D1054" s="6" t="n">
        <x:v>17394</x:v>
      </x:c>
      <x:c r="E1054" s="6" t="n">
        <x:v>34788</x:v>
      </x:c>
      <x:c r="F1054" s="6" t="n">
        <x:v>0</x:v>
      </x:c>
      <x:c r="G1054" s="6" t="n">
        <x:v>34788</x:v>
      </x:c>
      <x:c r="H1054" s="6" t="n">
        <x:v>17394</x:v>
      </x:c>
    </x:row>
    <x:row r="1055" ht="21" customHeight="1">
      <x:c r="A1055" s="1" t="str">
        <x:v>C0011152</x:v>
      </x:c>
      <x:c r="B1055" s="1" t="n">
        <x:v>19</x:v>
      </x:c>
      <x:c r="C1055" s="1" t="n">
        <x:v>19</x:v>
      </x:c>
      <x:c r="D1055" s="6" t="n">
        <x:v>17293</x:v>
      </x:c>
      <x:c r="E1055" s="6" t="n">
        <x:v>34586</x:v>
      </x:c>
      <x:c r="F1055" s="6" t="n">
        <x:v>0</x:v>
      </x:c>
      <x:c r="G1055" s="6" t="n">
        <x:v>34586</x:v>
      </x:c>
      <x:c r="H1055" s="6" t="n">
        <x:v>17293</x:v>
      </x:c>
    </x:row>
    <x:row r="1056" ht="21" customHeight="1">
      <x:c r="A1056" s="1" t="str">
        <x:v>C0012537</x:v>
      </x:c>
      <x:c r="B1056" s="1" t="n">
        <x:v>19</x:v>
      </x:c>
      <x:c r="C1056" s="1" t="n">
        <x:v>19</x:v>
      </x:c>
      <x:c r="D1056" s="6" t="n">
        <x:v>0</x:v>
      </x:c>
      <x:c r="E1056" s="6" t="n">
        <x:v>17293</x:v>
      </x:c>
      <x:c r="F1056" s="6" t="n">
        <x:v>0</x:v>
      </x:c>
      <x:c r="G1056" s="6" t="n">
        <x:v>17293</x:v>
      </x:c>
      <x:c r="H1056" s="6" t="n">
        <x:v>17293</x:v>
      </x:c>
    </x:row>
    <x:row r="1057" ht="21" customHeight="1">
      <x:c r="A1057" s="1" t="str">
        <x:v>C0010244</x:v>
      </x:c>
      <x:c r="B1057" s="1" t="n">
        <x:v>19</x:v>
      </x:c>
      <x:c r="C1057" s="1" t="n">
        <x:v>19</x:v>
      </x:c>
      <x:c r="D1057" s="6" t="n">
        <x:v>17293</x:v>
      </x:c>
      <x:c r="E1057" s="6" t="n">
        <x:v>0</x:v>
      </x:c>
      <x:c r="F1057" s="6" t="n">
        <x:v>0</x:v>
      </x:c>
      <x:c r="G1057" s="6" t="n">
        <x:v>0</x:v>
      </x:c>
      <x:c r="H1057" s="6" t="n">
        <x:v>-17293</x:v>
      </x:c>
    </x:row>
    <x:row r="1058" ht="21" customHeight="1">
      <x:c r="A1058" s="1" t="str">
        <x:v>C0010604</x:v>
      </x:c>
      <x:c r="B1058" s="1" t="n">
        <x:v>19</x:v>
      </x:c>
      <x:c r="C1058" s="1" t="n">
        <x:v>19</x:v>
      </x:c>
      <x:c r="D1058" s="6" t="n">
        <x:v>17293</x:v>
      </x:c>
      <x:c r="E1058" s="6" t="n">
        <x:v>34586</x:v>
      </x:c>
      <x:c r="F1058" s="6" t="n">
        <x:v>0</x:v>
      </x:c>
      <x:c r="G1058" s="6" t="n">
        <x:v>34586</x:v>
      </x:c>
      <x:c r="H1058" s="6" t="n">
        <x:v>17293</x:v>
      </x:c>
    </x:row>
    <x:row r="1059" ht="21" customHeight="1">
      <x:c r="A1059" s="1" t="str">
        <x:v>C0016220</x:v>
      </x:c>
      <x:c r="B1059" s="1" t="n">
        <x:v>19</x:v>
      </x:c>
      <x:c r="C1059" s="1" t="n">
        <x:v>19</x:v>
      </x:c>
      <x:c r="D1059" s="6" t="n">
        <x:v>17293</x:v>
      </x:c>
      <x:c r="E1059" s="6" t="n">
        <x:v>0</x:v>
      </x:c>
      <x:c r="F1059" s="6" t="n">
        <x:v>0</x:v>
      </x:c>
      <x:c r="G1059" s="6" t="n">
        <x:v>0</x:v>
      </x:c>
      <x:c r="H1059" s="6" t="n">
        <x:v>-17293</x:v>
      </x:c>
    </x:row>
    <x:row r="1060" ht="21" customHeight="1">
      <x:c r="A1060" s="1" t="str">
        <x:v>C0006256</x:v>
      </x:c>
      <x:c r="B1060" s="1" t="n">
        <x:v>19</x:v>
      </x:c>
      <x:c r="C1060" s="1" t="n">
        <x:v>19</x:v>
      </x:c>
      <x:c r="D1060" s="6" t="n">
        <x:v>17293</x:v>
      </x:c>
      <x:c r="E1060" s="6" t="n">
        <x:v>34586</x:v>
      </x:c>
      <x:c r="F1060" s="6" t="n">
        <x:v>0</x:v>
      </x:c>
      <x:c r="G1060" s="6" t="n">
        <x:v>34586</x:v>
      </x:c>
      <x:c r="H1060" s="6" t="n">
        <x:v>17293</x:v>
      </x:c>
    </x:row>
    <x:row r="1061" ht="21" customHeight="1">
      <x:c r="A1061" s="1" t="str">
        <x:v>C0006478</x:v>
      </x:c>
      <x:c r="B1061" s="1" t="n">
        <x:v>19</x:v>
      </x:c>
      <x:c r="C1061" s="1" t="n">
        <x:v>19</x:v>
      </x:c>
      <x:c r="D1061" s="6" t="n">
        <x:v>17293</x:v>
      </x:c>
      <x:c r="E1061" s="6" t="n">
        <x:v>0</x:v>
      </x:c>
      <x:c r="F1061" s="6" t="n">
        <x:v>0</x:v>
      </x:c>
      <x:c r="G1061" s="6" t="n">
        <x:v>0</x:v>
      </x:c>
      <x:c r="H1061" s="6" t="n">
        <x:v>-17293</x:v>
      </x:c>
    </x:row>
    <x:row r="1062" ht="21" customHeight="1">
      <x:c r="A1062" s="1" t="str">
        <x:v>C0010247</x:v>
      </x:c>
      <x:c r="B1062" s="1" t="n">
        <x:v>19</x:v>
      </x:c>
      <x:c r="C1062" s="1" t="n">
        <x:v>19</x:v>
      </x:c>
      <x:c r="D1062" s="6" t="n">
        <x:v>17293</x:v>
      </x:c>
      <x:c r="E1062" s="6" t="n">
        <x:v>34586</x:v>
      </x:c>
      <x:c r="F1062" s="6" t="n">
        <x:v>0</x:v>
      </x:c>
      <x:c r="G1062" s="6" t="n">
        <x:v>34586</x:v>
      </x:c>
      <x:c r="H1062" s="6" t="n">
        <x:v>17293</x:v>
      </x:c>
    </x:row>
    <x:row r="1063" ht="21" customHeight="1">
      <x:c r="A1063" s="1" t="str">
        <x:v>C0004618</x:v>
      </x:c>
      <x:c r="B1063" s="1" t="n">
        <x:v>14</x:v>
      </x:c>
      <x:c r="C1063" s="1" t="n">
        <x:v>104</x:v>
      </x:c>
      <x:c r="D1063" s="6" t="n">
        <x:v>17175</x:v>
      </x:c>
      <x:c r="E1063" s="6" t="n">
        <x:v>0</x:v>
      </x:c>
      <x:c r="F1063" s="6" t="n">
        <x:v>0</x:v>
      </x:c>
      <x:c r="G1063" s="6" t="n">
        <x:v>0</x:v>
      </x:c>
      <x:c r="H1063" s="6" t="n">
        <x:v>-17175</x:v>
      </x:c>
    </x:row>
    <x:row r="1064" ht="21" customHeight="1">
      <x:c r="A1064" s="1" t="str">
        <x:v>C0002771</x:v>
      </x:c>
      <x:c r="B1064" s="1" t="n">
        <x:v>14</x:v>
      </x:c>
      <x:c r="C1064" s="1" t="n">
        <x:v>104</x:v>
      </x:c>
      <x:c r="D1064" s="6" t="n">
        <x:v>17175</x:v>
      </x:c>
      <x:c r="E1064" s="6" t="n">
        <x:v>34350</x:v>
      </x:c>
      <x:c r="F1064" s="6" t="n">
        <x:v>0</x:v>
      </x:c>
      <x:c r="G1064" s="6" t="n">
        <x:v>34350</x:v>
      </x:c>
      <x:c r="H1064" s="6" t="n">
        <x:v>17175</x:v>
      </x:c>
    </x:row>
    <x:row r="1065" ht="21" customHeight="1">
      <x:c r="A1065" s="1" t="str">
        <x:v>C0000310</x:v>
      </x:c>
      <x:c r="B1065" s="1" t="n">
        <x:v>14</x:v>
      </x:c>
      <x:c r="C1065" s="1" t="n">
        <x:v>104</x:v>
      </x:c>
      <x:c r="D1065" s="6" t="n">
        <x:v>0</x:v>
      </x:c>
      <x:c r="E1065" s="6" t="n">
        <x:v>17175</x:v>
      </x:c>
      <x:c r="F1065" s="6" t="n">
        <x:v>0</x:v>
      </x:c>
      <x:c r="G1065" s="6" t="n">
        <x:v>17175</x:v>
      </x:c>
      <x:c r="H1065" s="6" t="n">
        <x:v>17175</x:v>
      </x:c>
    </x:row>
    <x:row r="1066" ht="21" customHeight="1">
      <x:c r="A1066" s="1" t="str">
        <x:v>C0017071</x:v>
      </x:c>
      <x:c r="B1066" s="1" t="n">
        <x:v>14</x:v>
      </x:c>
      <x:c r="C1066" s="1" t="n">
        <x:v>104</x:v>
      </x:c>
      <x:c r="D1066" s="6" t="n">
        <x:v>0</x:v>
      </x:c>
      <x:c r="E1066" s="6" t="n">
        <x:v>17175</x:v>
      </x:c>
      <x:c r="F1066" s="6" t="n">
        <x:v>0</x:v>
      </x:c>
      <x:c r="G1066" s="6" t="n">
        <x:v>17175</x:v>
      </x:c>
      <x:c r="H1066" s="6" t="n">
        <x:v>17175</x:v>
      </x:c>
    </x:row>
    <x:row r="1067" ht="21" customHeight="1">
      <x:c r="A1067" s="1" t="str">
        <x:v>C0001427</x:v>
      </x:c>
      <x:c r="B1067" s="1" t="n">
        <x:v>14</x:v>
      </x:c>
      <x:c r="C1067" s="1" t="n">
        <x:v>104</x:v>
      </x:c>
      <x:c r="D1067" s="6" t="n">
        <x:v>0</x:v>
      </x:c>
      <x:c r="E1067" s="6" t="n">
        <x:v>17175</x:v>
      </x:c>
      <x:c r="F1067" s="6" t="n">
        <x:v>0</x:v>
      </x:c>
      <x:c r="G1067" s="6" t="n">
        <x:v>17175</x:v>
      </x:c>
      <x:c r="H1067" s="6" t="n">
        <x:v>17175</x:v>
      </x:c>
    </x:row>
    <x:row r="1068" ht="21" customHeight="1">
      <x:c r="A1068" s="1" t="str">
        <x:v>C0008533</x:v>
      </x:c>
      <x:c r="B1068" s="1" t="n">
        <x:v>14</x:v>
      </x:c>
      <x:c r="C1068" s="1" t="n">
        <x:v>104</x:v>
      </x:c>
      <x:c r="D1068" s="6" t="n">
        <x:v>17175</x:v>
      </x:c>
      <x:c r="E1068" s="6" t="n">
        <x:v>0</x:v>
      </x:c>
      <x:c r="F1068" s="6" t="n">
        <x:v>0</x:v>
      </x:c>
      <x:c r="G1068" s="6" t="n">
        <x:v>0</x:v>
      </x:c>
      <x:c r="H1068" s="6" t="n">
        <x:v>-17175</x:v>
      </x:c>
    </x:row>
    <x:row r="1069" ht="21" customHeight="1">
      <x:c r="A1069" s="1" t="str">
        <x:v>C0000518</x:v>
      </x:c>
      <x:c r="B1069" s="1" t="n">
        <x:v>14</x:v>
      </x:c>
      <x:c r="C1069" s="1" t="n">
        <x:v>104</x:v>
      </x:c>
      <x:c r="D1069" s="6" t="n">
        <x:v>17175</x:v>
      </x:c>
      <x:c r="E1069" s="6" t="n">
        <x:v>34350</x:v>
      </x:c>
      <x:c r="F1069" s="6" t="n">
        <x:v>0</x:v>
      </x:c>
      <x:c r="G1069" s="6" t="n">
        <x:v>34350</x:v>
      </x:c>
      <x:c r="H1069" s="6" t="n">
        <x:v>17175</x:v>
      </x:c>
    </x:row>
    <x:row r="1070" ht="21" customHeight="1">
      <x:c r="A1070" s="1" t="str">
        <x:v>C0016665</x:v>
      </x:c>
      <x:c r="B1070" s="1" t="n">
        <x:v>20</x:v>
      </x:c>
      <x:c r="C1070" s="1" t="n">
        <x:v>50</x:v>
      </x:c>
      <x:c r="D1070" s="6" t="n">
        <x:v>17119</x:v>
      </x:c>
      <x:c r="E1070" s="6" t="n">
        <x:v>0</x:v>
      </x:c>
      <x:c r="F1070" s="6" t="n">
        <x:v>0</x:v>
      </x:c>
      <x:c r="G1070" s="6" t="n">
        <x:v>0</x:v>
      </x:c>
      <x:c r="H1070" s="6" t="n">
        <x:v>-17119</x:v>
      </x:c>
    </x:row>
    <x:row r="1071" ht="21" customHeight="1">
      <x:c r="A1071" s="1" t="str">
        <x:v>C0004050</x:v>
      </x:c>
      <x:c r="B1071" s="1" t="n">
        <x:v>20</x:v>
      </x:c>
      <x:c r="C1071" s="1" t="n">
        <x:v>50</x:v>
      </x:c>
      <x:c r="D1071" s="6" t="n">
        <x:v>17119</x:v>
      </x:c>
      <x:c r="E1071" s="6" t="n">
        <x:v>34238</x:v>
      </x:c>
      <x:c r="F1071" s="6" t="n">
        <x:v>0</x:v>
      </x:c>
      <x:c r="G1071" s="6" t="n">
        <x:v>34238</x:v>
      </x:c>
      <x:c r="H1071" s="6" t="n">
        <x:v>17119</x:v>
      </x:c>
    </x:row>
    <x:row r="1072" ht="21" customHeight="1">
      <x:c r="A1072" s="1" t="str">
        <x:v>C0005322</x:v>
      </x:c>
      <x:c r="B1072" s="1" t="n">
        <x:v>20</x:v>
      </x:c>
      <x:c r="C1072" s="1" t="n">
        <x:v>50</x:v>
      </x:c>
      <x:c r="D1072" s="6" t="n">
        <x:v>17119</x:v>
      </x:c>
      <x:c r="E1072" s="6" t="n">
        <x:v>0</x:v>
      </x:c>
      <x:c r="F1072" s="6" t="n">
        <x:v>0</x:v>
      </x:c>
      <x:c r="G1072" s="6" t="n">
        <x:v>0</x:v>
      </x:c>
      <x:c r="H1072" s="6" t="n">
        <x:v>-17119</x:v>
      </x:c>
    </x:row>
    <x:row r="1073" ht="21" customHeight="1">
      <x:c r="A1073" s="1" t="str">
        <x:v>C0008496</x:v>
      </x:c>
      <x:c r="B1073" s="1" t="n">
        <x:v>20</x:v>
      </x:c>
      <x:c r="C1073" s="1" t="n">
        <x:v>50</x:v>
      </x:c>
      <x:c r="D1073" s="6" t="n">
        <x:v>17119</x:v>
      </x:c>
      <x:c r="E1073" s="6" t="n">
        <x:v>0</x:v>
      </x:c>
      <x:c r="F1073" s="6" t="n">
        <x:v>0</x:v>
      </x:c>
      <x:c r="G1073" s="6" t="n">
        <x:v>0</x:v>
      </x:c>
      <x:c r="H1073" s="6" t="n">
        <x:v>-17119</x:v>
      </x:c>
    </x:row>
    <x:row r="1074" ht="21" customHeight="1">
      <x:c r="A1074" s="1" t="str">
        <x:v>C0002533</x:v>
      </x:c>
      <x:c r="B1074" s="1" t="n">
        <x:v>20</x:v>
      </x:c>
      <x:c r="C1074" s="1" t="n">
        <x:v>50</x:v>
      </x:c>
      <x:c r="D1074" s="6" t="n">
        <x:v>0</x:v>
      </x:c>
      <x:c r="E1074" s="6" t="n">
        <x:v>17119</x:v>
      </x:c>
      <x:c r="F1074" s="6" t="n">
        <x:v>0</x:v>
      </x:c>
      <x:c r="G1074" s="6" t="n">
        <x:v>17119</x:v>
      </x:c>
      <x:c r="H1074" s="6" t="n">
        <x:v>17119</x:v>
      </x:c>
    </x:row>
    <x:row r="1075" ht="21" customHeight="1">
      <x:c r="A1075" s="1" t="str">
        <x:v>C0002522</x:v>
      </x:c>
      <x:c r="B1075" s="1" t="n">
        <x:v>30</x:v>
      </x:c>
      <x:c r="C1075" s="1" t="n">
        <x:v>90</x:v>
      </x:c>
      <x:c r="D1075" s="6" t="n">
        <x:v>17072</x:v>
      </x:c>
      <x:c r="E1075" s="6" t="n">
        <x:v>34144</x:v>
      </x:c>
      <x:c r="F1075" s="6" t="n">
        <x:v>0</x:v>
      </x:c>
      <x:c r="G1075" s="6" t="n">
        <x:v>34144</x:v>
      </x:c>
      <x:c r="H1075" s="6" t="n">
        <x:v>17072</x:v>
      </x:c>
    </x:row>
    <x:row r="1076" ht="21" customHeight="1">
      <x:c r="A1076" s="1" t="str">
        <x:v>C0010990</x:v>
      </x:c>
      <x:c r="B1076" s="1" t="n">
        <x:v>30</x:v>
      </x:c>
      <x:c r="C1076" s="1" t="n">
        <x:v>90</x:v>
      </x:c>
      <x:c r="D1076" s="6" t="n">
        <x:v>17072</x:v>
      </x:c>
      <x:c r="E1076" s="6" t="n">
        <x:v>0</x:v>
      </x:c>
      <x:c r="F1076" s="6" t="n">
        <x:v>0</x:v>
      </x:c>
      <x:c r="G1076" s="6" t="n">
        <x:v>0</x:v>
      </x:c>
      <x:c r="H1076" s="6" t="n">
        <x:v>-17072</x:v>
      </x:c>
    </x:row>
    <x:row r="1077" ht="21" customHeight="1">
      <x:c r="A1077" s="1" t="str">
        <x:v>C0009860</x:v>
      </x:c>
      <x:c r="B1077" s="1" t="n">
        <x:v>30</x:v>
      </x:c>
      <x:c r="C1077" s="1" t="n">
        <x:v>90</x:v>
      </x:c>
      <x:c r="D1077" s="6" t="n">
        <x:v>17072</x:v>
      </x:c>
      <x:c r="E1077" s="6" t="n">
        <x:v>0</x:v>
      </x:c>
      <x:c r="F1077" s="6" t="n">
        <x:v>0</x:v>
      </x:c>
      <x:c r="G1077" s="6" t="n">
        <x:v>0</x:v>
      </x:c>
      <x:c r="H1077" s="6" t="n">
        <x:v>-17072</x:v>
      </x:c>
    </x:row>
    <x:row r="1078" ht="21" customHeight="1">
      <x:c r="A1078" s="1" t="str">
        <x:v>C0016694</x:v>
      </x:c>
      <x:c r="B1078" s="1" t="n">
        <x:v>30</x:v>
      </x:c>
      <x:c r="C1078" s="1" t="n">
        <x:v>90</x:v>
      </x:c>
      <x:c r="D1078" s="6" t="n">
        <x:v>17072</x:v>
      </x:c>
      <x:c r="E1078" s="6" t="n">
        <x:v>34144</x:v>
      </x:c>
      <x:c r="F1078" s="6" t="n">
        <x:v>0</x:v>
      </x:c>
      <x:c r="G1078" s="6" t="n">
        <x:v>34144</x:v>
      </x:c>
      <x:c r="H1078" s="6" t="n">
        <x:v>17072</x:v>
      </x:c>
    </x:row>
    <x:row r="1079" ht="21" customHeight="1">
      <x:c r="A1079" s="1" t="str">
        <x:v>C0009846</x:v>
      </x:c>
      <x:c r="B1079" s="1" t="n">
        <x:v>30</x:v>
      </x:c>
      <x:c r="C1079" s="1" t="n">
        <x:v>90</x:v>
      </x:c>
      <x:c r="D1079" s="6" t="n">
        <x:v>17072</x:v>
      </x:c>
      <x:c r="E1079" s="6" t="n">
        <x:v>0</x:v>
      </x:c>
      <x:c r="F1079" s="6" t="n">
        <x:v>0</x:v>
      </x:c>
      <x:c r="G1079" s="6" t="n">
        <x:v>0</x:v>
      </x:c>
      <x:c r="H1079" s="6" t="n">
        <x:v>-17072</x:v>
      </x:c>
    </x:row>
    <x:row r="1080" ht="21" customHeight="1">
      <x:c r="A1080" s="1" t="str">
        <x:v>C0005787</x:v>
      </x:c>
      <x:c r="B1080" s="1" t="n">
        <x:v>20</x:v>
      </x:c>
      <x:c r="C1080" s="1" t="n">
        <x:v>80</x:v>
      </x:c>
      <x:c r="D1080" s="6" t="n">
        <x:v>16904</x:v>
      </x:c>
      <x:c r="E1080" s="6" t="n">
        <x:v>33808</x:v>
      </x:c>
      <x:c r="F1080" s="6" t="n">
        <x:v>0</x:v>
      </x:c>
      <x:c r="G1080" s="6" t="n">
        <x:v>33808</x:v>
      </x:c>
      <x:c r="H1080" s="6" t="n">
        <x:v>16904</x:v>
      </x:c>
    </x:row>
    <x:row r="1081" ht="21" customHeight="1">
      <x:c r="A1081" s="1" t="str">
        <x:v>C0016799</x:v>
      </x:c>
      <x:c r="B1081" s="1" t="n">
        <x:v>20</x:v>
      </x:c>
      <x:c r="C1081" s="1" t="n">
        <x:v>80</x:v>
      </x:c>
      <x:c r="D1081" s="6" t="n">
        <x:v>0</x:v>
      </x:c>
      <x:c r="E1081" s="6" t="n">
        <x:v>16904</x:v>
      </x:c>
      <x:c r="F1081" s="6" t="n">
        <x:v>0</x:v>
      </x:c>
      <x:c r="G1081" s="6" t="n">
        <x:v>16904</x:v>
      </x:c>
      <x:c r="H1081" s="6" t="n">
        <x:v>16904</x:v>
      </x:c>
    </x:row>
    <x:row r="1082" ht="21" customHeight="1">
      <x:c r="A1082" s="1" t="str">
        <x:v>C0008622</x:v>
      </x:c>
      <x:c r="B1082" s="1" t="n">
        <x:v>20</x:v>
      </x:c>
      <x:c r="C1082" s="1" t="n">
        <x:v>80</x:v>
      </x:c>
      <x:c r="D1082" s="6" t="n">
        <x:v>16904</x:v>
      </x:c>
      <x:c r="E1082" s="6" t="n">
        <x:v>33808</x:v>
      </x:c>
      <x:c r="F1082" s="6" t="n">
        <x:v>0</x:v>
      </x:c>
      <x:c r="G1082" s="6" t="n">
        <x:v>33808</x:v>
      </x:c>
      <x:c r="H1082" s="6" t="n">
        <x:v>16904</x:v>
      </x:c>
    </x:row>
    <x:row r="1083" ht="21" customHeight="1">
      <x:c r="A1083" s="1" t="str">
        <x:v>C0013071</x:v>
      </x:c>
      <x:c r="B1083" s="1" t="n">
        <x:v>20</x:v>
      </x:c>
      <x:c r="C1083" s="1" t="n">
        <x:v>80</x:v>
      </x:c>
      <x:c r="D1083" s="6" t="n">
        <x:v>16904</x:v>
      </x:c>
      <x:c r="E1083" s="6" t="n">
        <x:v>33808</x:v>
      </x:c>
      <x:c r="F1083" s="6" t="n">
        <x:v>0</x:v>
      </x:c>
      <x:c r="G1083" s="6" t="n">
        <x:v>33808</x:v>
      </x:c>
      <x:c r="H1083" s="6" t="n">
        <x:v>16904</x:v>
      </x:c>
    </x:row>
    <x:row r="1084" ht="21" customHeight="1">
      <x:c r="A1084" s="1" t="str">
        <x:v>C0004486</x:v>
      </x:c>
      <x:c r="B1084" s="1" t="n">
        <x:v>20</x:v>
      </x:c>
      <x:c r="C1084" s="1" t="n">
        <x:v>80</x:v>
      </x:c>
      <x:c r="D1084" s="6" t="n">
        <x:v>16904</x:v>
      </x:c>
      <x:c r="E1084" s="6" t="n">
        <x:v>0</x:v>
      </x:c>
      <x:c r="F1084" s="6" t="n">
        <x:v>0</x:v>
      </x:c>
      <x:c r="G1084" s="6" t="n">
        <x:v>0</x:v>
      </x:c>
      <x:c r="H1084" s="6" t="n">
        <x:v>-16904</x:v>
      </x:c>
    </x:row>
    <x:row r="1085" ht="21" customHeight="1">
      <x:c r="A1085" s="1" t="str">
        <x:v>C0005881</x:v>
      </x:c>
      <x:c r="B1085" s="1" t="n">
        <x:v>20</x:v>
      </x:c>
      <x:c r="C1085" s="1" t="n">
        <x:v>80</x:v>
      </x:c>
      <x:c r="D1085" s="6" t="n">
        <x:v>16904</x:v>
      </x:c>
      <x:c r="E1085" s="6" t="n">
        <x:v>0</x:v>
      </x:c>
      <x:c r="F1085" s="6" t="n">
        <x:v>0</x:v>
      </x:c>
      <x:c r="G1085" s="6" t="n">
        <x:v>0</x:v>
      </x:c>
      <x:c r="H1085" s="6" t="n">
        <x:v>-16904</x:v>
      </x:c>
    </x:row>
    <x:row r="1086" ht="21" customHeight="1">
      <x:c r="A1086" s="1" t="str">
        <x:v>C0007854</x:v>
      </x:c>
      <x:c r="B1086" s="1" t="n">
        <x:v>20</x:v>
      </x:c>
      <x:c r="C1086" s="1" t="n">
        <x:v>80</x:v>
      </x:c>
      <x:c r="D1086" s="6" t="n">
        <x:v>16904</x:v>
      </x:c>
      <x:c r="E1086" s="6" t="n">
        <x:v>0</x:v>
      </x:c>
      <x:c r="F1086" s="6" t="n">
        <x:v>0</x:v>
      </x:c>
      <x:c r="G1086" s="6" t="n">
        <x:v>0</x:v>
      </x:c>
      <x:c r="H1086" s="6" t="n">
        <x:v>-16904</x:v>
      </x:c>
    </x:row>
    <x:row r="1087" ht="21" customHeight="1">
      <x:c r="A1087" s="1" t="str">
        <x:v>C0013455</x:v>
      </x:c>
      <x:c r="B1087" s="1" t="n">
        <x:v>20</x:v>
      </x:c>
      <x:c r="C1087" s="1" t="n">
        <x:v>80</x:v>
      </x:c>
      <x:c r="D1087" s="6" t="n">
        <x:v>16904</x:v>
      </x:c>
      <x:c r="E1087" s="6" t="n">
        <x:v>33808</x:v>
      </x:c>
      <x:c r="F1087" s="6" t="n">
        <x:v>0</x:v>
      </x:c>
      <x:c r="G1087" s="6" t="n">
        <x:v>33808</x:v>
      </x:c>
      <x:c r="H1087" s="6" t="n">
        <x:v>16904</x:v>
      </x:c>
    </x:row>
    <x:row r="1088" ht="21" customHeight="1">
      <x:c r="A1088" s="1" t="str">
        <x:v>C0000238</x:v>
      </x:c>
      <x:c r="B1088" s="1" t="n">
        <x:v>20</x:v>
      </x:c>
      <x:c r="C1088" s="1" t="n">
        <x:v>80</x:v>
      </x:c>
      <x:c r="D1088" s="6" t="n">
        <x:v>16904</x:v>
      </x:c>
      <x:c r="E1088" s="6" t="n">
        <x:v>0</x:v>
      </x:c>
      <x:c r="F1088" s="6" t="n">
        <x:v>0</x:v>
      </x:c>
      <x:c r="G1088" s="6" t="n">
        <x:v>0</x:v>
      </x:c>
      <x:c r="H1088" s="6" t="n">
        <x:v>-16904</x:v>
      </x:c>
    </x:row>
    <x:row r="1089" ht="21" customHeight="1">
      <x:c r="A1089" s="1" t="str">
        <x:v>C0008585</x:v>
      </x:c>
      <x:c r="B1089" s="1" t="n">
        <x:v>20</x:v>
      </x:c>
      <x:c r="C1089" s="1" t="n">
        <x:v>80</x:v>
      </x:c>
      <x:c r="D1089" s="6" t="n">
        <x:v>16904</x:v>
      </x:c>
      <x:c r="E1089" s="6" t="n">
        <x:v>33808</x:v>
      </x:c>
      <x:c r="F1089" s="6" t="n">
        <x:v>0</x:v>
      </x:c>
      <x:c r="G1089" s="6" t="n">
        <x:v>33808</x:v>
      </x:c>
      <x:c r="H1089" s="6" t="n">
        <x:v>16904</x:v>
      </x:c>
    </x:row>
    <x:row r="1090" ht="21" customHeight="1">
      <x:c r="A1090" s="1" t="str">
        <x:v>C0011849</x:v>
      </x:c>
      <x:c r="B1090" s="1" t="n">
        <x:v>20</x:v>
      </x:c>
      <x:c r="C1090" s="1" t="n">
        <x:v>80</x:v>
      </x:c>
      <x:c r="D1090" s="6" t="n">
        <x:v>16904</x:v>
      </x:c>
      <x:c r="E1090" s="6" t="n">
        <x:v>0</x:v>
      </x:c>
      <x:c r="F1090" s="6" t="n">
        <x:v>0</x:v>
      </x:c>
      <x:c r="G1090" s="6" t="n">
        <x:v>0</x:v>
      </x:c>
      <x:c r="H1090" s="6" t="n">
        <x:v>-16904</x:v>
      </x:c>
    </x:row>
    <x:row r="1091" ht="21" customHeight="1">
      <x:c r="A1091" s="1" t="str">
        <x:v>C0012770</x:v>
      </x:c>
      <x:c r="B1091" s="1" t="n">
        <x:v>20</x:v>
      </x:c>
      <x:c r="C1091" s="1" t="n">
        <x:v>80</x:v>
      </x:c>
      <x:c r="D1091" s="6" t="n">
        <x:v>16904</x:v>
      </x:c>
      <x:c r="E1091" s="6" t="n">
        <x:v>33808</x:v>
      </x:c>
      <x:c r="F1091" s="6" t="n">
        <x:v>0</x:v>
      </x:c>
      <x:c r="G1091" s="6" t="n">
        <x:v>33808</x:v>
      </x:c>
      <x:c r="H1091" s="6" t="n">
        <x:v>16904</x:v>
      </x:c>
    </x:row>
    <x:row r="1092" ht="21" customHeight="1">
      <x:c r="A1092" s="1" t="str">
        <x:v>C0005977</x:v>
      </x:c>
      <x:c r="B1092" s="1" t="n">
        <x:v>7</x:v>
      </x:c>
      <x:c r="C1092" s="1" t="n">
        <x:v>97</x:v>
      </x:c>
      <x:c r="D1092" s="6" t="n">
        <x:v>16891</x:v>
      </x:c>
      <x:c r="E1092" s="6" t="n">
        <x:v>33782</x:v>
      </x:c>
      <x:c r="F1092" s="6" t="n">
        <x:v>0</x:v>
      </x:c>
      <x:c r="G1092" s="6" t="n">
        <x:v>33782</x:v>
      </x:c>
      <x:c r="H1092" s="6" t="n">
        <x:v>16891</x:v>
      </x:c>
    </x:row>
    <x:row r="1093" ht="21" customHeight="1">
      <x:c r="A1093" s="1" t="str">
        <x:v>C0002123</x:v>
      </x:c>
      <x:c r="B1093" s="1" t="n">
        <x:v>7</x:v>
      </x:c>
      <x:c r="C1093" s="1" t="n">
        <x:v>97</x:v>
      </x:c>
      <x:c r="D1093" s="6" t="n">
        <x:v>16891</x:v>
      </x:c>
      <x:c r="E1093" s="6" t="n">
        <x:v>0</x:v>
      </x:c>
      <x:c r="F1093" s="6" t="n">
        <x:v>0</x:v>
      </x:c>
      <x:c r="G1093" s="6" t="n">
        <x:v>0</x:v>
      </x:c>
      <x:c r="H1093" s="6" t="n">
        <x:v>-16891</x:v>
      </x:c>
    </x:row>
    <x:row r="1094" ht="21" customHeight="1">
      <x:c r="A1094" s="1" t="str">
        <x:v>C0005502</x:v>
      </x:c>
      <x:c r="B1094" s="1" t="n">
        <x:v>7</x:v>
      </x:c>
      <x:c r="C1094" s="1" t="n">
        <x:v>97</x:v>
      </x:c>
      <x:c r="D1094" s="6" t="n">
        <x:v>16891</x:v>
      </x:c>
      <x:c r="E1094" s="6" t="n">
        <x:v>33782</x:v>
      </x:c>
      <x:c r="F1094" s="6" t="n">
        <x:v>0</x:v>
      </x:c>
      <x:c r="G1094" s="6" t="n">
        <x:v>33782</x:v>
      </x:c>
      <x:c r="H1094" s="6" t="n">
        <x:v>16891</x:v>
      </x:c>
    </x:row>
    <x:row r="1095" ht="21" customHeight="1">
      <x:c r="A1095" s="1" t="str">
        <x:v>C0010914</x:v>
      </x:c>
      <x:c r="B1095" s="1" t="n">
        <x:v>7</x:v>
      </x:c>
      <x:c r="C1095" s="1" t="n">
        <x:v>97</x:v>
      </x:c>
      <x:c r="D1095" s="6" t="n">
        <x:v>16891</x:v>
      </x:c>
      <x:c r="E1095" s="6" t="n">
        <x:v>0</x:v>
      </x:c>
      <x:c r="F1095" s="6" t="n">
        <x:v>0</x:v>
      </x:c>
      <x:c r="G1095" s="6" t="n">
        <x:v>0</x:v>
      </x:c>
      <x:c r="H1095" s="6" t="n">
        <x:v>-16891</x:v>
      </x:c>
    </x:row>
    <x:row r="1096" ht="21" customHeight="1">
      <x:c r="A1096" s="1" t="str">
        <x:v>C0013349</x:v>
      </x:c>
      <x:c r="B1096" s="1" t="n">
        <x:v>28</x:v>
      </x:c>
      <x:c r="C1096" s="1" t="n">
        <x:v>58</x:v>
      </x:c>
      <x:c r="D1096" s="6" t="n">
        <x:v>16794</x:v>
      </x:c>
      <x:c r="E1096" s="6" t="n">
        <x:v>33588</x:v>
      </x:c>
      <x:c r="F1096" s="6" t="n">
        <x:v>0</x:v>
      </x:c>
      <x:c r="G1096" s="6" t="n">
        <x:v>33588</x:v>
      </x:c>
      <x:c r="H1096" s="6" t="n">
        <x:v>16794</x:v>
      </x:c>
    </x:row>
    <x:row r="1097" ht="21" customHeight="1">
      <x:c r="A1097" s="1" t="str">
        <x:v>C0005119</x:v>
      </x:c>
      <x:c r="B1097" s="1" t="n">
        <x:v>28</x:v>
      </x:c>
      <x:c r="C1097" s="1" t="n">
        <x:v>58</x:v>
      </x:c>
      <x:c r="D1097" s="6" t="n">
        <x:v>16794</x:v>
      </x:c>
      <x:c r="E1097" s="6" t="n">
        <x:v>0</x:v>
      </x:c>
      <x:c r="F1097" s="6" t="n">
        <x:v>0</x:v>
      </x:c>
      <x:c r="G1097" s="6" t="n">
        <x:v>0</x:v>
      </x:c>
      <x:c r="H1097" s="6" t="n">
        <x:v>-16794</x:v>
      </x:c>
    </x:row>
    <x:row r="1098" ht="21" customHeight="1">
      <x:c r="A1098" s="1" t="str">
        <x:v>C0007916</x:v>
      </x:c>
      <x:c r="B1098" s="1" t="n">
        <x:v>28</x:v>
      </x:c>
      <x:c r="C1098" s="1" t="n">
        <x:v>58</x:v>
      </x:c>
      <x:c r="D1098" s="6" t="n">
        <x:v>16794</x:v>
      </x:c>
      <x:c r="E1098" s="6" t="n">
        <x:v>33588</x:v>
      </x:c>
      <x:c r="F1098" s="6" t="n">
        <x:v>0</x:v>
      </x:c>
      <x:c r="G1098" s="6" t="n">
        <x:v>33588</x:v>
      </x:c>
      <x:c r="H1098" s="6" t="n">
        <x:v>16794</x:v>
      </x:c>
    </x:row>
    <x:row r="1099" ht="21" customHeight="1">
      <x:c r="A1099" s="1" t="str">
        <x:v>C0004669</x:v>
      </x:c>
      <x:c r="B1099" s="1" t="n">
        <x:v>28</x:v>
      </x:c>
      <x:c r="C1099" s="1" t="n">
        <x:v>58</x:v>
      </x:c>
      <x:c r="D1099" s="6" t="n">
        <x:v>16794</x:v>
      </x:c>
      <x:c r="E1099" s="6" t="n">
        <x:v>0</x:v>
      </x:c>
      <x:c r="F1099" s="6" t="n">
        <x:v>0</x:v>
      </x:c>
      <x:c r="G1099" s="6" t="n">
        <x:v>0</x:v>
      </x:c>
      <x:c r="H1099" s="6" t="n">
        <x:v>-16794</x:v>
      </x:c>
    </x:row>
    <x:row r="1100" ht="21" customHeight="1">
      <x:c r="A1100" s="1" t="str">
        <x:v>C0005167</x:v>
      </x:c>
      <x:c r="B1100" s="1" t="n">
        <x:v>14</x:v>
      </x:c>
      <x:c r="C1100" s="1" t="n">
        <x:v>14</x:v>
      </x:c>
      <x:c r="D1100" s="6" t="n">
        <x:v>16584</x:v>
      </x:c>
      <x:c r="E1100" s="6" t="n">
        <x:v>0</x:v>
      </x:c>
      <x:c r="F1100" s="6" t="n">
        <x:v>0</x:v>
      </x:c>
      <x:c r="G1100" s="6" t="n">
        <x:v>0</x:v>
      </x:c>
      <x:c r="H1100" s="6" t="n">
        <x:v>-16584</x:v>
      </x:c>
    </x:row>
    <x:row r="1101" ht="21" customHeight="1">
      <x:c r="A1101" s="1" t="str">
        <x:v>C0011186</x:v>
      </x:c>
      <x:c r="B1101" s="1" t="n">
        <x:v>14</x:v>
      </x:c>
      <x:c r="C1101" s="1" t="n">
        <x:v>14</x:v>
      </x:c>
      <x:c r="D1101" s="6" t="n">
        <x:v>16584</x:v>
      </x:c>
      <x:c r="E1101" s="6" t="n">
        <x:v>33168</x:v>
      </x:c>
      <x:c r="F1101" s="6" t="n">
        <x:v>0</x:v>
      </x:c>
      <x:c r="G1101" s="6" t="n">
        <x:v>33168</x:v>
      </x:c>
      <x:c r="H1101" s="6" t="n">
        <x:v>16584</x:v>
      </x:c>
    </x:row>
    <x:row r="1102" ht="21" customHeight="1">
      <x:c r="A1102" s="1" t="str">
        <x:v>C0017245</x:v>
      </x:c>
      <x:c r="B1102" s="1" t="n">
        <x:v>14</x:v>
      </x:c>
      <x:c r="C1102" s="1" t="n">
        <x:v>14</x:v>
      </x:c>
      <x:c r="D1102" s="6" t="n">
        <x:v>16584</x:v>
      </x:c>
      <x:c r="E1102" s="6" t="n">
        <x:v>0</x:v>
      </x:c>
      <x:c r="F1102" s="6" t="n">
        <x:v>0</x:v>
      </x:c>
      <x:c r="G1102" s="6" t="n">
        <x:v>0</x:v>
      </x:c>
      <x:c r="H1102" s="6" t="n">
        <x:v>-16584</x:v>
      </x:c>
    </x:row>
    <x:row r="1103" ht="21" customHeight="1">
      <x:c r="A1103" s="1" t="str">
        <x:v>C0011535</x:v>
      </x:c>
      <x:c r="B1103" s="1" t="n">
        <x:v>14</x:v>
      </x:c>
      <x:c r="C1103" s="1" t="n">
        <x:v>14</x:v>
      </x:c>
      <x:c r="D1103" s="6" t="n">
        <x:v>0</x:v>
      </x:c>
      <x:c r="E1103" s="6" t="n">
        <x:v>16584</x:v>
      </x:c>
      <x:c r="F1103" s="6" t="n">
        <x:v>0</x:v>
      </x:c>
      <x:c r="G1103" s="6" t="n">
        <x:v>16584</x:v>
      </x:c>
      <x:c r="H1103" s="6" t="n">
        <x:v>16584</x:v>
      </x:c>
    </x:row>
    <x:row r="1104" ht="21" customHeight="1">
      <x:c r="A1104" s="1" t="str">
        <x:v>C0012080</x:v>
      </x:c>
      <x:c r="B1104" s="1" t="n">
        <x:v>14</x:v>
      </x:c>
      <x:c r="C1104" s="1" t="n">
        <x:v>14</x:v>
      </x:c>
      <x:c r="D1104" s="6" t="n">
        <x:v>16584</x:v>
      </x:c>
      <x:c r="E1104" s="6" t="n">
        <x:v>0</x:v>
      </x:c>
      <x:c r="F1104" s="6" t="n">
        <x:v>0</x:v>
      </x:c>
      <x:c r="G1104" s="6" t="n">
        <x:v>0</x:v>
      </x:c>
      <x:c r="H1104" s="6" t="n">
        <x:v>-16584</x:v>
      </x:c>
    </x:row>
    <x:row r="1105" ht="21" customHeight="1">
      <x:c r="A1105" s="1" t="str">
        <x:v>C0007901</x:v>
      </x:c>
      <x:c r="B1105" s="1" t="n">
        <x:v>25</x:v>
      </x:c>
      <x:c r="C1105" s="1" t="n">
        <x:v>55</x:v>
      </x:c>
      <x:c r="D1105" s="6" t="n">
        <x:v>16560</x:v>
      </x:c>
      <x:c r="E1105" s="6" t="n">
        <x:v>33120</x:v>
      </x:c>
      <x:c r="F1105" s="6" t="n">
        <x:v>0</x:v>
      </x:c>
      <x:c r="G1105" s="6" t="n">
        <x:v>33120</x:v>
      </x:c>
      <x:c r="H1105" s="6" t="n">
        <x:v>16560</x:v>
      </x:c>
    </x:row>
    <x:row r="1106" ht="21" customHeight="1">
      <x:c r="A1106" s="1" t="str">
        <x:v>C0002204</x:v>
      </x:c>
      <x:c r="B1106" s="1" t="n">
        <x:v>25</x:v>
      </x:c>
      <x:c r="C1106" s="1" t="n">
        <x:v>55</x:v>
      </x:c>
      <x:c r="D1106" s="6" t="n">
        <x:v>16560</x:v>
      </x:c>
      <x:c r="E1106" s="6" t="n">
        <x:v>0</x:v>
      </x:c>
      <x:c r="F1106" s="6" t="n">
        <x:v>0</x:v>
      </x:c>
      <x:c r="G1106" s="6" t="n">
        <x:v>0</x:v>
      </x:c>
      <x:c r="H1106" s="6" t="n">
        <x:v>-16560</x:v>
      </x:c>
    </x:row>
    <x:row r="1107" ht="21" customHeight="1">
      <x:c r="A1107" s="1" t="str">
        <x:v>C0009420</x:v>
      </x:c>
      <x:c r="B1107" s="1" t="n">
        <x:v>25</x:v>
      </x:c>
      <x:c r="C1107" s="1" t="n">
        <x:v>55</x:v>
      </x:c>
      <x:c r="D1107" s="6" t="n">
        <x:v>16560</x:v>
      </x:c>
      <x:c r="E1107" s="6" t="n">
        <x:v>0</x:v>
      </x:c>
      <x:c r="F1107" s="6" t="n">
        <x:v>0</x:v>
      </x:c>
      <x:c r="G1107" s="6" t="n">
        <x:v>0</x:v>
      </x:c>
      <x:c r="H1107" s="6" t="n">
        <x:v>-16560</x:v>
      </x:c>
    </x:row>
    <x:row r="1108" ht="21" customHeight="1">
      <x:c r="A1108" s="1" t="str">
        <x:v>C0007324</x:v>
      </x:c>
      <x:c r="B1108" s="1" t="n">
        <x:v>25</x:v>
      </x:c>
      <x:c r="C1108" s="1" t="n">
        <x:v>55</x:v>
      </x:c>
      <x:c r="D1108" s="6" t="n">
        <x:v>16560</x:v>
      </x:c>
      <x:c r="E1108" s="6" t="n">
        <x:v>0</x:v>
      </x:c>
      <x:c r="F1108" s="6" t="n">
        <x:v>0</x:v>
      </x:c>
      <x:c r="G1108" s="6" t="n">
        <x:v>0</x:v>
      </x:c>
      <x:c r="H1108" s="6" t="n">
        <x:v>-16560</x:v>
      </x:c>
    </x:row>
    <x:row r="1109" ht="21" customHeight="1">
      <x:c r="A1109" s="1" t="str">
        <x:v>C0007015</x:v>
      </x:c>
      <x:c r="B1109" s="1" t="n">
        <x:v>25</x:v>
      </x:c>
      <x:c r="C1109" s="1" t="n">
        <x:v>55</x:v>
      </x:c>
      <x:c r="D1109" s="6" t="n">
        <x:v>16560</x:v>
      </x:c>
      <x:c r="E1109" s="6" t="n">
        <x:v>33120</x:v>
      </x:c>
      <x:c r="F1109" s="6" t="n">
        <x:v>0</x:v>
      </x:c>
      <x:c r="G1109" s="6" t="n">
        <x:v>33120</x:v>
      </x:c>
      <x:c r="H1109" s="6" t="n">
        <x:v>16560</x:v>
      </x:c>
    </x:row>
    <x:row r="1110" ht="21" customHeight="1">
      <x:c r="A1110" s="1" t="str">
        <x:v>C0007805</x:v>
      </x:c>
      <x:c r="B1110" s="1" t="n">
        <x:v>25</x:v>
      </x:c>
      <x:c r="C1110" s="1" t="n">
        <x:v>55</x:v>
      </x:c>
      <x:c r="D1110" s="6" t="n">
        <x:v>16560</x:v>
      </x:c>
      <x:c r="E1110" s="6" t="n">
        <x:v>33120</x:v>
      </x:c>
      <x:c r="F1110" s="6" t="n">
        <x:v>0</x:v>
      </x:c>
      <x:c r="G1110" s="6" t="n">
        <x:v>33120</x:v>
      </x:c>
      <x:c r="H1110" s="6" t="n">
        <x:v>16560</x:v>
      </x:c>
    </x:row>
    <x:row r="1111" ht="21" customHeight="1">
      <x:c r="A1111" s="1" t="str">
        <x:v>C0008301</x:v>
      </x:c>
      <x:c r="B1111" s="1" t="n">
        <x:v>25</x:v>
      </x:c>
      <x:c r="C1111" s="1" t="n">
        <x:v>55</x:v>
      </x:c>
      <x:c r="D1111" s="6" t="n">
        <x:v>0</x:v>
      </x:c>
      <x:c r="E1111" s="6" t="n">
        <x:v>16560</x:v>
      </x:c>
      <x:c r="F1111" s="6" t="n">
        <x:v>0</x:v>
      </x:c>
      <x:c r="G1111" s="6" t="n">
        <x:v>16560</x:v>
      </x:c>
      <x:c r="H1111" s="6" t="n">
        <x:v>16560</x:v>
      </x:c>
    </x:row>
    <x:row r="1112" ht="21" customHeight="1">
      <x:c r="A1112" s="1" t="str">
        <x:v>C0015823</x:v>
      </x:c>
      <x:c r="B1112" s="1" t="n">
        <x:v>25</x:v>
      </x:c>
      <x:c r="C1112" s="1" t="n">
        <x:v>55</x:v>
      </x:c>
      <x:c r="D1112" s="6" t="n">
        <x:v>16560</x:v>
      </x:c>
      <x:c r="E1112" s="6" t="n">
        <x:v>0</x:v>
      </x:c>
      <x:c r="F1112" s="6" t="n">
        <x:v>0</x:v>
      </x:c>
      <x:c r="G1112" s="6" t="n">
        <x:v>0</x:v>
      </x:c>
      <x:c r="H1112" s="6" t="n">
        <x:v>-16560</x:v>
      </x:c>
    </x:row>
    <x:row r="1113" ht="21" customHeight="1">
      <x:c r="A1113" s="1" t="str">
        <x:v>C0006211</x:v>
      </x:c>
      <x:c r="B1113" s="1" t="n">
        <x:v>26</x:v>
      </x:c>
      <x:c r="C1113" s="1" t="n">
        <x:v>26</x:v>
      </x:c>
      <x:c r="D1113" s="6" t="n">
        <x:v>16346</x:v>
      </x:c>
      <x:c r="E1113" s="6" t="n">
        <x:v>32692</x:v>
      </x:c>
      <x:c r="F1113" s="6" t="n">
        <x:v>0</x:v>
      </x:c>
      <x:c r="G1113" s="6" t="n">
        <x:v>32692</x:v>
      </x:c>
      <x:c r="H1113" s="6" t="n">
        <x:v>16346</x:v>
      </x:c>
    </x:row>
    <x:row r="1114" ht="21" customHeight="1">
      <x:c r="A1114" s="1" t="str">
        <x:v>C0017443</x:v>
      </x:c>
      <x:c r="B1114" s="1" t="n">
        <x:v>26</x:v>
      </x:c>
      <x:c r="C1114" s="1" t="n">
        <x:v>26</x:v>
      </x:c>
      <x:c r="D1114" s="6" t="n">
        <x:v>16346</x:v>
      </x:c>
      <x:c r="E1114" s="6" t="n">
        <x:v>0</x:v>
      </x:c>
      <x:c r="F1114" s="6" t="n">
        <x:v>0</x:v>
      </x:c>
      <x:c r="G1114" s="6" t="n">
        <x:v>0</x:v>
      </x:c>
      <x:c r="H1114" s="6" t="n">
        <x:v>-16346</x:v>
      </x:c>
    </x:row>
    <x:row r="1115" ht="21" customHeight="1">
      <x:c r="A1115" s="1" t="str">
        <x:v>C0005654</x:v>
      </x:c>
      <x:c r="B1115" s="1" t="n">
        <x:v>26</x:v>
      </x:c>
      <x:c r="C1115" s="1" t="n">
        <x:v>26</x:v>
      </x:c>
      <x:c r="D1115" s="6" t="n">
        <x:v>0</x:v>
      </x:c>
      <x:c r="E1115" s="6" t="n">
        <x:v>16346</x:v>
      </x:c>
      <x:c r="F1115" s="6" t="n">
        <x:v>0</x:v>
      </x:c>
      <x:c r="G1115" s="6" t="n">
        <x:v>16346</x:v>
      </x:c>
      <x:c r="H1115" s="6" t="n">
        <x:v>16346</x:v>
      </x:c>
    </x:row>
    <x:row r="1116" ht="21" customHeight="1">
      <x:c r="A1116" s="1" t="str">
        <x:v>C0000764</x:v>
      </x:c>
      <x:c r="B1116" s="1" t="n">
        <x:v>26</x:v>
      </x:c>
      <x:c r="C1116" s="1" t="n">
        <x:v>26</x:v>
      </x:c>
      <x:c r="D1116" s="6" t="n">
        <x:v>16346</x:v>
      </x:c>
      <x:c r="E1116" s="6" t="n">
        <x:v>0</x:v>
      </x:c>
      <x:c r="F1116" s="6" t="n">
        <x:v>0</x:v>
      </x:c>
      <x:c r="G1116" s="6" t="n">
        <x:v>0</x:v>
      </x:c>
      <x:c r="H1116" s="6" t="n">
        <x:v>-16346</x:v>
      </x:c>
    </x:row>
    <x:row r="1117" ht="21" customHeight="1">
      <x:c r="A1117" s="1" t="str">
        <x:v>C0002508</x:v>
      </x:c>
      <x:c r="B1117" s="1" t="n">
        <x:v>26</x:v>
      </x:c>
      <x:c r="C1117" s="1" t="n">
        <x:v>26</x:v>
      </x:c>
      <x:c r="D1117" s="6" t="n">
        <x:v>16346</x:v>
      </x:c>
      <x:c r="E1117" s="6" t="n">
        <x:v>32692</x:v>
      </x:c>
      <x:c r="F1117" s="6" t="n">
        <x:v>0</x:v>
      </x:c>
      <x:c r="G1117" s="6" t="n">
        <x:v>32692</x:v>
      </x:c>
      <x:c r="H1117" s="6" t="n">
        <x:v>16346</x:v>
      </x:c>
    </x:row>
    <x:row r="1118" ht="21" customHeight="1">
      <x:c r="A1118" s="1" t="str">
        <x:v>C0013717</x:v>
      </x:c>
      <x:c r="B1118" s="1" t="n">
        <x:v>26</x:v>
      </x:c>
      <x:c r="C1118" s="1" t="n">
        <x:v>26</x:v>
      </x:c>
      <x:c r="D1118" s="6" t="n">
        <x:v>16346</x:v>
      </x:c>
      <x:c r="E1118" s="6" t="n">
        <x:v>0</x:v>
      </x:c>
      <x:c r="F1118" s="6" t="n">
        <x:v>0</x:v>
      </x:c>
      <x:c r="G1118" s="6" t="n">
        <x:v>0</x:v>
      </x:c>
      <x:c r="H1118" s="6" t="n">
        <x:v>-16346</x:v>
      </x:c>
    </x:row>
    <x:row r="1119" ht="21" customHeight="1">
      <x:c r="A1119" s="1" t="str">
        <x:v>C0012371</x:v>
      </x:c>
      <x:c r="B1119" s="1" t="n">
        <x:v>26</x:v>
      </x:c>
      <x:c r="C1119" s="1" t="n">
        <x:v>26</x:v>
      </x:c>
      <x:c r="D1119" s="6" t="n">
        <x:v>16346</x:v>
      </x:c>
      <x:c r="E1119" s="6" t="n">
        <x:v>0</x:v>
      </x:c>
      <x:c r="F1119" s="6" t="n">
        <x:v>0</x:v>
      </x:c>
      <x:c r="G1119" s="6" t="n">
        <x:v>0</x:v>
      </x:c>
      <x:c r="H1119" s="6" t="n">
        <x:v>-16346</x:v>
      </x:c>
    </x:row>
    <x:row r="1120" ht="21" customHeight="1">
      <x:c r="A1120" s="1" t="str">
        <x:v>C0014716</x:v>
      </x:c>
      <x:c r="B1120" s="1" t="n">
        <x:v>26</x:v>
      </x:c>
      <x:c r="C1120" s="1" t="n">
        <x:v>26</x:v>
      </x:c>
      <x:c r="D1120" s="6" t="n">
        <x:v>0</x:v>
      </x:c>
      <x:c r="E1120" s="6" t="n">
        <x:v>16346</x:v>
      </x:c>
      <x:c r="F1120" s="6" t="n">
        <x:v>0</x:v>
      </x:c>
      <x:c r="G1120" s="6" t="n">
        <x:v>16346</x:v>
      </x:c>
      <x:c r="H1120" s="6" t="n">
        <x:v>16346</x:v>
      </x:c>
    </x:row>
    <x:row r="1121" ht="21" customHeight="1">
      <x:c r="A1121" s="1" t="str">
        <x:v>C0014752</x:v>
      </x:c>
      <x:c r="B1121" s="1" t="n">
        <x:v>8</x:v>
      </x:c>
      <x:c r="C1121" s="1" t="n">
        <x:v>8</x:v>
      </x:c>
      <x:c r="D1121" s="6" t="n">
        <x:v>16308</x:v>
      </x:c>
      <x:c r="E1121" s="6" t="n">
        <x:v>32616</x:v>
      </x:c>
      <x:c r="F1121" s="6" t="n">
        <x:v>0</x:v>
      </x:c>
      <x:c r="G1121" s="6" t="n">
        <x:v>32616</x:v>
      </x:c>
      <x:c r="H1121" s="6" t="n">
        <x:v>16308</x:v>
      </x:c>
    </x:row>
    <x:row r="1122" ht="21" customHeight="1">
      <x:c r="A1122" s="1" t="str">
        <x:v>C0009726</x:v>
      </x:c>
      <x:c r="B1122" s="1" t="n">
        <x:v>8</x:v>
      </x:c>
      <x:c r="C1122" s="1" t="n">
        <x:v>8</x:v>
      </x:c>
      <x:c r="D1122" s="6" t="n">
        <x:v>16308</x:v>
      </x:c>
      <x:c r="E1122" s="6" t="n">
        <x:v>0</x:v>
      </x:c>
      <x:c r="F1122" s="6" t="n">
        <x:v>0</x:v>
      </x:c>
      <x:c r="G1122" s="6" t="n">
        <x:v>0</x:v>
      </x:c>
      <x:c r="H1122" s="6" t="n">
        <x:v>-16308</x:v>
      </x:c>
    </x:row>
    <x:row r="1123" ht="21" customHeight="1">
      <x:c r="A1123" s="1" t="str">
        <x:v>C0000693</x:v>
      </x:c>
      <x:c r="B1123" s="1" t="n">
        <x:v>8</x:v>
      </x:c>
      <x:c r="C1123" s="1" t="n">
        <x:v>8</x:v>
      </x:c>
      <x:c r="D1123" s="6" t="n">
        <x:v>16308</x:v>
      </x:c>
      <x:c r="E1123" s="6" t="n">
        <x:v>32616</x:v>
      </x:c>
      <x:c r="F1123" s="6" t="n">
        <x:v>0</x:v>
      </x:c>
      <x:c r="G1123" s="6" t="n">
        <x:v>32616</x:v>
      </x:c>
      <x:c r="H1123" s="6" t="n">
        <x:v>16308</x:v>
      </x:c>
    </x:row>
    <x:row r="1124" ht="21" customHeight="1">
      <x:c r="A1124" s="1" t="str">
        <x:v>C0015296</x:v>
      </x:c>
      <x:c r="B1124" s="1" t="n">
        <x:v>8</x:v>
      </x:c>
      <x:c r="C1124" s="1" t="n">
        <x:v>8</x:v>
      </x:c>
      <x:c r="D1124" s="6" t="n">
        <x:v>16308</x:v>
      </x:c>
      <x:c r="E1124" s="6" t="n">
        <x:v>0</x:v>
      </x:c>
      <x:c r="F1124" s="6" t="n">
        <x:v>0</x:v>
      </x:c>
      <x:c r="G1124" s="6" t="n">
        <x:v>0</x:v>
      </x:c>
      <x:c r="H1124" s="6" t="n">
        <x:v>-16308</x:v>
      </x:c>
    </x:row>
    <x:row r="1125" ht="21" customHeight="1">
      <x:c r="A1125" s="1" t="str">
        <x:v>C0010330</x:v>
      </x:c>
      <x:c r="B1125" s="1" t="n">
        <x:v>8</x:v>
      </x:c>
      <x:c r="C1125" s="1" t="n">
        <x:v>8</x:v>
      </x:c>
      <x:c r="D1125" s="6" t="n">
        <x:v>16305</x:v>
      </x:c>
      <x:c r="E1125" s="6" t="n">
        <x:v>32610</x:v>
      </x:c>
      <x:c r="F1125" s="6" t="n">
        <x:v>0</x:v>
      </x:c>
      <x:c r="G1125" s="6" t="n">
        <x:v>32610</x:v>
      </x:c>
      <x:c r="H1125" s="6" t="n">
        <x:v>16305</x:v>
      </x:c>
    </x:row>
    <x:row r="1126" ht="21" customHeight="1">
      <x:c r="A1126" s="1" t="str">
        <x:v>C0002239</x:v>
      </x:c>
      <x:c r="B1126" s="1" t="n">
        <x:v>8</x:v>
      </x:c>
      <x:c r="C1126" s="1" t="n">
        <x:v>8</x:v>
      </x:c>
      <x:c r="D1126" s="6" t="n">
        <x:v>16305</x:v>
      </x:c>
      <x:c r="E1126" s="6" t="n">
        <x:v>32610</x:v>
      </x:c>
      <x:c r="F1126" s="6" t="n">
        <x:v>0</x:v>
      </x:c>
      <x:c r="G1126" s="6" t="n">
        <x:v>32610</x:v>
      </x:c>
      <x:c r="H1126" s="6" t="n">
        <x:v>16305</x:v>
      </x:c>
    </x:row>
    <x:row r="1127" ht="21" customHeight="1">
      <x:c r="A1127" s="1" t="str">
        <x:v>C0004170</x:v>
      </x:c>
      <x:c r="B1127" s="1" t="n">
        <x:v>8</x:v>
      </x:c>
      <x:c r="C1127" s="1" t="n">
        <x:v>8</x:v>
      </x:c>
      <x:c r="D1127" s="6" t="n">
        <x:v>16305</x:v>
      </x:c>
      <x:c r="E1127" s="6" t="n">
        <x:v>32610</x:v>
      </x:c>
      <x:c r="F1127" s="6" t="n">
        <x:v>0</x:v>
      </x:c>
      <x:c r="G1127" s="6" t="n">
        <x:v>32610</x:v>
      </x:c>
      <x:c r="H1127" s="6" t="n">
        <x:v>16305</x:v>
      </x:c>
    </x:row>
    <x:row r="1128" ht="21" customHeight="1">
      <x:c r="A1128" s="1" t="str">
        <x:v>C0012651</x:v>
      </x:c>
      <x:c r="B1128" s="1" t="n">
        <x:v>8</x:v>
      </x:c>
      <x:c r="C1128" s="1" t="n">
        <x:v>8</x:v>
      </x:c>
      <x:c r="D1128" s="6" t="n">
        <x:v>0</x:v>
      </x:c>
      <x:c r="E1128" s="6" t="n">
        <x:v>16305</x:v>
      </x:c>
      <x:c r="F1128" s="6" t="n">
        <x:v>0</x:v>
      </x:c>
      <x:c r="G1128" s="6" t="n">
        <x:v>16305</x:v>
      </x:c>
      <x:c r="H1128" s="6" t="n">
        <x:v>16305</x:v>
      </x:c>
    </x:row>
    <x:row r="1129" ht="21" customHeight="1">
      <x:c r="A1129" s="1" t="str">
        <x:v>C0006477</x:v>
      </x:c>
      <x:c r="B1129" s="1" t="n">
        <x:v>8</x:v>
      </x:c>
      <x:c r="C1129" s="1" t="n">
        <x:v>8</x:v>
      </x:c>
      <x:c r="D1129" s="6" t="n">
        <x:v>16305</x:v>
      </x:c>
      <x:c r="E1129" s="6" t="n">
        <x:v>0</x:v>
      </x:c>
      <x:c r="F1129" s="6" t="n">
        <x:v>0</x:v>
      </x:c>
      <x:c r="G1129" s="6" t="n">
        <x:v>0</x:v>
      </x:c>
      <x:c r="H1129" s="6" t="n">
        <x:v>-16305</x:v>
      </x:c>
    </x:row>
    <x:row r="1130" ht="21" customHeight="1">
      <x:c r="A1130" s="1" t="str">
        <x:v>C0003193</x:v>
      </x:c>
      <x:c r="B1130" s="1" t="n">
        <x:v>8</x:v>
      </x:c>
      <x:c r="C1130" s="1" t="n">
        <x:v>8</x:v>
      </x:c>
      <x:c r="D1130" s="6" t="n">
        <x:v>16305</x:v>
      </x:c>
      <x:c r="E1130" s="6" t="n">
        <x:v>0</x:v>
      </x:c>
      <x:c r="F1130" s="6" t="n">
        <x:v>0</x:v>
      </x:c>
      <x:c r="G1130" s="6" t="n">
        <x:v>0</x:v>
      </x:c>
      <x:c r="H1130" s="6" t="n">
        <x:v>-16305</x:v>
      </x:c>
    </x:row>
    <x:row r="1131" ht="21" customHeight="1">
      <x:c r="A1131" s="1" t="str">
        <x:v>C0004024</x:v>
      </x:c>
      <x:c r="B1131" s="1" t="n">
        <x:v>22</x:v>
      </x:c>
      <x:c r="C1131" s="1" t="n">
        <x:v>52</x:v>
      </x:c>
      <x:c r="D1131" s="6" t="n">
        <x:v>16208</x:v>
      </x:c>
      <x:c r="E1131" s="6" t="n">
        <x:v>32416</x:v>
      </x:c>
      <x:c r="F1131" s="6" t="n">
        <x:v>0</x:v>
      </x:c>
      <x:c r="G1131" s="6" t="n">
        <x:v>32416</x:v>
      </x:c>
      <x:c r="H1131" s="6" t="n">
        <x:v>16208</x:v>
      </x:c>
    </x:row>
    <x:row r="1132" ht="21" customHeight="1">
      <x:c r="A1132" s="1" t="str">
        <x:v>C0006258</x:v>
      </x:c>
      <x:c r="B1132" s="1" t="n">
        <x:v>22</x:v>
      </x:c>
      <x:c r="C1132" s="1" t="n">
        <x:v>52</x:v>
      </x:c>
      <x:c r="D1132" s="6" t="n">
        <x:v>16208</x:v>
      </x:c>
      <x:c r="E1132" s="6" t="n">
        <x:v>32416</x:v>
      </x:c>
      <x:c r="F1132" s="6" t="n">
        <x:v>0</x:v>
      </x:c>
      <x:c r="G1132" s="6" t="n">
        <x:v>32416</x:v>
      </x:c>
      <x:c r="H1132" s="6" t="n">
        <x:v>16208</x:v>
      </x:c>
    </x:row>
    <x:row r="1133" ht="21" customHeight="1">
      <x:c r="A1133" s="1" t="str">
        <x:v>C0005272</x:v>
      </x:c>
      <x:c r="B1133" s="1" t="n">
        <x:v>22</x:v>
      </x:c>
      <x:c r="C1133" s="1" t="n">
        <x:v>52</x:v>
      </x:c>
      <x:c r="D1133" s="6" t="n">
        <x:v>16208</x:v>
      </x:c>
      <x:c r="E1133" s="6" t="n">
        <x:v>32416</x:v>
      </x:c>
      <x:c r="F1133" s="6" t="n">
        <x:v>0</x:v>
      </x:c>
      <x:c r="G1133" s="6" t="n">
        <x:v>32416</x:v>
      </x:c>
      <x:c r="H1133" s="6" t="n">
        <x:v>16208</x:v>
      </x:c>
    </x:row>
    <x:row r="1134" ht="21" customHeight="1">
      <x:c r="A1134" s="1" t="str">
        <x:v>C0008233</x:v>
      </x:c>
      <x:c r="B1134" s="1" t="n">
        <x:v>22</x:v>
      </x:c>
      <x:c r="C1134" s="1" t="n">
        <x:v>52</x:v>
      </x:c>
      <x:c r="D1134" s="6" t="n">
        <x:v>0</x:v>
      </x:c>
      <x:c r="E1134" s="6" t="n">
        <x:v>16208</x:v>
      </x:c>
      <x:c r="F1134" s="6" t="n">
        <x:v>0</x:v>
      </x:c>
      <x:c r="G1134" s="6" t="n">
        <x:v>16208</x:v>
      </x:c>
      <x:c r="H1134" s="6" t="n">
        <x:v>16208</x:v>
      </x:c>
    </x:row>
    <x:row r="1135" ht="21" customHeight="1">
      <x:c r="A1135" s="1" t="str">
        <x:v>C0005372</x:v>
      </x:c>
      <x:c r="B1135" s="1" t="n">
        <x:v>22</x:v>
      </x:c>
      <x:c r="C1135" s="1" t="n">
        <x:v>52</x:v>
      </x:c>
      <x:c r="D1135" s="6" t="n">
        <x:v>0</x:v>
      </x:c>
      <x:c r="E1135" s="6" t="n">
        <x:v>16208</x:v>
      </x:c>
      <x:c r="F1135" s="6" t="n">
        <x:v>0</x:v>
      </x:c>
      <x:c r="G1135" s="6" t="n">
        <x:v>16208</x:v>
      </x:c>
      <x:c r="H1135" s="6" t="n">
        <x:v>16208</x:v>
      </x:c>
    </x:row>
    <x:row r="1136" ht="21" customHeight="1">
      <x:c r="A1136" s="1" t="str">
        <x:v>C0001493</x:v>
      </x:c>
      <x:c r="B1136" s="1" t="n">
        <x:v>22</x:v>
      </x:c>
      <x:c r="C1136" s="1" t="n">
        <x:v>52</x:v>
      </x:c>
      <x:c r="D1136" s="6" t="n">
        <x:v>16208</x:v>
      </x:c>
      <x:c r="E1136" s="6" t="n">
        <x:v>32416</x:v>
      </x:c>
      <x:c r="F1136" s="6" t="n">
        <x:v>0</x:v>
      </x:c>
      <x:c r="G1136" s="6" t="n">
        <x:v>32416</x:v>
      </x:c>
      <x:c r="H1136" s="6" t="n">
        <x:v>16208</x:v>
      </x:c>
    </x:row>
    <x:row r="1137" ht="21" customHeight="1">
      <x:c r="A1137" s="1" t="str">
        <x:v>C0016150</x:v>
      </x:c>
      <x:c r="B1137" s="1" t="n">
        <x:v>22</x:v>
      </x:c>
      <x:c r="C1137" s="1" t="n">
        <x:v>52</x:v>
      </x:c>
      <x:c r="D1137" s="6" t="n">
        <x:v>16208</x:v>
      </x:c>
      <x:c r="E1137" s="6" t="n">
        <x:v>0</x:v>
      </x:c>
      <x:c r="F1137" s="6" t="n">
        <x:v>0</x:v>
      </x:c>
      <x:c r="G1137" s="6" t="n">
        <x:v>0</x:v>
      </x:c>
      <x:c r="H1137" s="6" t="n">
        <x:v>-16208</x:v>
      </x:c>
    </x:row>
    <x:row r="1138" ht="21" customHeight="1">
      <x:c r="A1138" s="1" t="str">
        <x:v>C0010784</x:v>
      </x:c>
      <x:c r="B1138" s="1" t="n">
        <x:v>29</x:v>
      </x:c>
      <x:c r="C1138" s="1" t="n">
        <x:v>59</x:v>
      </x:c>
      <x:c r="D1138" s="6" t="n">
        <x:v>16166</x:v>
      </x:c>
      <x:c r="E1138" s="6" t="n">
        <x:v>0</x:v>
      </x:c>
      <x:c r="F1138" s="6" t="n">
        <x:v>0</x:v>
      </x:c>
      <x:c r="G1138" s="6" t="n">
        <x:v>0</x:v>
      </x:c>
      <x:c r="H1138" s="6" t="n">
        <x:v>-16166</x:v>
      </x:c>
    </x:row>
    <x:row r="1139" ht="21" customHeight="1">
      <x:c r="A1139" s="1" t="str">
        <x:v>C0007902</x:v>
      </x:c>
      <x:c r="B1139" s="1" t="n">
        <x:v>29</x:v>
      </x:c>
      <x:c r="C1139" s="1" t="n">
        <x:v>59</x:v>
      </x:c>
      <x:c r="D1139" s="6" t="n">
        <x:v>0</x:v>
      </x:c>
      <x:c r="E1139" s="6" t="n">
        <x:v>16166</x:v>
      </x:c>
      <x:c r="F1139" s="6" t="n">
        <x:v>0</x:v>
      </x:c>
      <x:c r="G1139" s="6" t="n">
        <x:v>16166</x:v>
      </x:c>
      <x:c r="H1139" s="6" t="n">
        <x:v>16166</x:v>
      </x:c>
    </x:row>
    <x:row r="1140" ht="21" customHeight="1">
      <x:c r="A1140" s="1" t="str">
        <x:v>C0005872</x:v>
      </x:c>
      <x:c r="B1140" s="1" t="n">
        <x:v>29</x:v>
      </x:c>
      <x:c r="C1140" s="1" t="n">
        <x:v>59</x:v>
      </x:c>
      <x:c r="D1140" s="6" t="n">
        <x:v>16166</x:v>
      </x:c>
      <x:c r="E1140" s="6" t="n">
        <x:v>32332</x:v>
      </x:c>
      <x:c r="F1140" s="6" t="n">
        <x:v>0</x:v>
      </x:c>
      <x:c r="G1140" s="6" t="n">
        <x:v>32332</x:v>
      </x:c>
      <x:c r="H1140" s="6" t="n">
        <x:v>16166</x:v>
      </x:c>
    </x:row>
    <x:row r="1141" ht="21" customHeight="1">
      <x:c r="A1141" s="1" t="str">
        <x:v>C0016326</x:v>
      </x:c>
      <x:c r="B1141" s="1" t="n">
        <x:v>29</x:v>
      </x:c>
      <x:c r="C1141" s="1" t="n">
        <x:v>59</x:v>
      </x:c>
      <x:c r="D1141" s="6" t="n">
        <x:v>0</x:v>
      </x:c>
      <x:c r="E1141" s="6" t="n">
        <x:v>16166</x:v>
      </x:c>
      <x:c r="F1141" s="6" t="n">
        <x:v>0</x:v>
      </x:c>
      <x:c r="G1141" s="6" t="n">
        <x:v>16166</x:v>
      </x:c>
      <x:c r="H1141" s="6" t="n">
        <x:v>16166</x:v>
      </x:c>
    </x:row>
    <x:row r="1142" ht="21" customHeight="1">
      <x:c r="A1142" s="1" t="str">
        <x:v>C0003529</x:v>
      </x:c>
      <x:c r="B1142" s="1" t="n">
        <x:v>29</x:v>
      </x:c>
      <x:c r="C1142" s="1" t="n">
        <x:v>59</x:v>
      </x:c>
      <x:c r="D1142" s="6" t="n">
        <x:v>16166</x:v>
      </x:c>
      <x:c r="E1142" s="6" t="n">
        <x:v>32332</x:v>
      </x:c>
      <x:c r="F1142" s="6" t="n">
        <x:v>0</x:v>
      </x:c>
      <x:c r="G1142" s="6" t="n">
        <x:v>32332</x:v>
      </x:c>
      <x:c r="H1142" s="6" t="n">
        <x:v>16166</x:v>
      </x:c>
    </x:row>
    <x:row r="1143" ht="21" customHeight="1">
      <x:c r="A1143" s="1" t="str">
        <x:v>C0009063</x:v>
      </x:c>
      <x:c r="B1143" s="1" t="n">
        <x:v>29</x:v>
      </x:c>
      <x:c r="C1143" s="1" t="n">
        <x:v>59</x:v>
      </x:c>
      <x:c r="D1143" s="6" t="n">
        <x:v>16166</x:v>
      </x:c>
      <x:c r="E1143" s="6" t="n">
        <x:v>0</x:v>
      </x:c>
      <x:c r="F1143" s="6" t="n">
        <x:v>0</x:v>
      </x:c>
      <x:c r="G1143" s="6" t="n">
        <x:v>0</x:v>
      </x:c>
      <x:c r="H1143" s="6" t="n">
        <x:v>-16166</x:v>
      </x:c>
    </x:row>
    <x:row r="1144" ht="21" customHeight="1">
      <x:c r="A1144" s="1" t="str">
        <x:v>C0006539</x:v>
      </x:c>
      <x:c r="B1144" s="1" t="n">
        <x:v>29</x:v>
      </x:c>
      <x:c r="C1144" s="1" t="n">
        <x:v>59</x:v>
      </x:c>
      <x:c r="D1144" s="6" t="n">
        <x:v>16166</x:v>
      </x:c>
      <x:c r="E1144" s="6" t="n">
        <x:v>32332</x:v>
      </x:c>
      <x:c r="F1144" s="6" t="n">
        <x:v>0</x:v>
      </x:c>
      <x:c r="G1144" s="6" t="n">
        <x:v>32332</x:v>
      </x:c>
      <x:c r="H1144" s="6" t="n">
        <x:v>16166</x:v>
      </x:c>
    </x:row>
    <x:row r="1145" ht="21" customHeight="1">
      <x:c r="A1145" s="1" t="str">
        <x:v>C0007551</x:v>
      </x:c>
      <x:c r="B1145" s="1" t="n">
        <x:v>7</x:v>
      </x:c>
      <x:c r="C1145" s="1" t="n">
        <x:v>67</x:v>
      </x:c>
      <x:c r="D1145" s="6" t="n">
        <x:v>16124</x:v>
      </x:c>
      <x:c r="E1145" s="6" t="n">
        <x:v>0</x:v>
      </x:c>
      <x:c r="F1145" s="6" t="n">
        <x:v>0</x:v>
      </x:c>
      <x:c r="G1145" s="6" t="n">
        <x:v>0</x:v>
      </x:c>
      <x:c r="H1145" s="6" t="n">
        <x:v>-16124</x:v>
      </x:c>
    </x:row>
    <x:row r="1146" ht="21" customHeight="1">
      <x:c r="A1146" s="1" t="str">
        <x:v>C0011521</x:v>
      </x:c>
      <x:c r="B1146" s="1" t="n">
        <x:v>7</x:v>
      </x:c>
      <x:c r="C1146" s="1" t="n">
        <x:v>67</x:v>
      </x:c>
      <x:c r="D1146" s="6" t="n">
        <x:v>16124</x:v>
      </x:c>
      <x:c r="E1146" s="6" t="n">
        <x:v>0</x:v>
      </x:c>
      <x:c r="F1146" s="6" t="n">
        <x:v>0</x:v>
      </x:c>
      <x:c r="G1146" s="6" t="n">
        <x:v>0</x:v>
      </x:c>
      <x:c r="H1146" s="6" t="n">
        <x:v>-16124</x:v>
      </x:c>
    </x:row>
    <x:row r="1147" ht="21" customHeight="1">
      <x:c r="A1147" s="1" t="str">
        <x:v>C0010192</x:v>
      </x:c>
      <x:c r="B1147" s="1" t="n">
        <x:v>7</x:v>
      </x:c>
      <x:c r="C1147" s="1" t="n">
        <x:v>67</x:v>
      </x:c>
      <x:c r="D1147" s="6" t="n">
        <x:v>16124</x:v>
      </x:c>
      <x:c r="E1147" s="6" t="n">
        <x:v>0</x:v>
      </x:c>
      <x:c r="F1147" s="6" t="n">
        <x:v>0</x:v>
      </x:c>
      <x:c r="G1147" s="6" t="n">
        <x:v>0</x:v>
      </x:c>
      <x:c r="H1147" s="6" t="n">
        <x:v>-16124</x:v>
      </x:c>
    </x:row>
    <x:row r="1148" ht="21" customHeight="1">
      <x:c r="A1148" s="1" t="str">
        <x:v>C0001386</x:v>
      </x:c>
      <x:c r="B1148" s="1" t="n">
        <x:v>7</x:v>
      </x:c>
      <x:c r="C1148" s="1" t="n">
        <x:v>67</x:v>
      </x:c>
      <x:c r="D1148" s="6" t="n">
        <x:v>16124</x:v>
      </x:c>
      <x:c r="E1148" s="6" t="n">
        <x:v>32248</x:v>
      </x:c>
      <x:c r="F1148" s="6" t="n">
        <x:v>0</x:v>
      </x:c>
      <x:c r="G1148" s="6" t="n">
        <x:v>32248</x:v>
      </x:c>
      <x:c r="H1148" s="6" t="n">
        <x:v>16124</x:v>
      </x:c>
    </x:row>
    <x:row r="1149" ht="21" customHeight="1">
      <x:c r="A1149" s="1" t="str">
        <x:v>C0015416</x:v>
      </x:c>
      <x:c r="B1149" s="1" t="n">
        <x:v>7</x:v>
      </x:c>
      <x:c r="C1149" s="1" t="n">
        <x:v>67</x:v>
      </x:c>
      <x:c r="D1149" s="6" t="n">
        <x:v>16124</x:v>
      </x:c>
      <x:c r="E1149" s="6" t="n">
        <x:v>32248</x:v>
      </x:c>
      <x:c r="F1149" s="6" t="n">
        <x:v>0</x:v>
      </x:c>
      <x:c r="G1149" s="6" t="n">
        <x:v>32248</x:v>
      </x:c>
      <x:c r="H1149" s="6" t="n">
        <x:v>16124</x:v>
      </x:c>
    </x:row>
    <x:row r="1150" ht="21" customHeight="1">
      <x:c r="A1150" s="1" t="str">
        <x:v>C0002673</x:v>
      </x:c>
      <x:c r="B1150" s="1" t="n">
        <x:v>7</x:v>
      </x:c>
      <x:c r="C1150" s="1" t="n">
        <x:v>67</x:v>
      </x:c>
      <x:c r="D1150" s="6" t="n">
        <x:v>16124</x:v>
      </x:c>
      <x:c r="E1150" s="6" t="n">
        <x:v>32248</x:v>
      </x:c>
      <x:c r="F1150" s="6" t="n">
        <x:v>0</x:v>
      </x:c>
      <x:c r="G1150" s="6" t="n">
        <x:v>32248</x:v>
      </x:c>
      <x:c r="H1150" s="6" t="n">
        <x:v>16124</x:v>
      </x:c>
    </x:row>
    <x:row r="1151" ht="21" customHeight="1">
      <x:c r="A1151" s="1" t="str">
        <x:v>C0015240</x:v>
      </x:c>
      <x:c r="B1151" s="1" t="n">
        <x:v>7</x:v>
      </x:c>
      <x:c r="C1151" s="1" t="n">
        <x:v>67</x:v>
      </x:c>
      <x:c r="D1151" s="6" t="n">
        <x:v>16124</x:v>
      </x:c>
      <x:c r="E1151" s="6" t="n">
        <x:v>32248</x:v>
      </x:c>
      <x:c r="F1151" s="6" t="n">
        <x:v>0</x:v>
      </x:c>
      <x:c r="G1151" s="6" t="n">
        <x:v>32248</x:v>
      </x:c>
      <x:c r="H1151" s="6" t="n">
        <x:v>16124</x:v>
      </x:c>
    </x:row>
    <x:row r="1152" ht="21" customHeight="1">
      <x:c r="A1152" s="1" t="str">
        <x:v>C0015358</x:v>
      </x:c>
      <x:c r="B1152" s="1" t="n">
        <x:v>7</x:v>
      </x:c>
      <x:c r="C1152" s="1" t="n">
        <x:v>67</x:v>
      </x:c>
      <x:c r="D1152" s="6" t="n">
        <x:v>0</x:v>
      </x:c>
      <x:c r="E1152" s="6" t="n">
        <x:v>16124</x:v>
      </x:c>
      <x:c r="F1152" s="6" t="n">
        <x:v>0</x:v>
      </x:c>
      <x:c r="G1152" s="6" t="n">
        <x:v>16124</x:v>
      </x:c>
      <x:c r="H1152" s="6" t="n">
        <x:v>16124</x:v>
      </x:c>
    </x:row>
    <x:row r="1153" ht="21" customHeight="1">
      <x:c r="A1153" s="1" t="str">
        <x:v>C0010818</x:v>
      </x:c>
      <x:c r="B1153" s="1" t="n">
        <x:v>14</x:v>
      </x:c>
      <x:c r="C1153" s="1" t="n">
        <x:v>74</x:v>
      </x:c>
      <x:c r="D1153" s="6" t="n">
        <x:v>16109</x:v>
      </x:c>
      <x:c r="E1153" s="6" t="n">
        <x:v>32218</x:v>
      </x:c>
      <x:c r="F1153" s="6" t="n">
        <x:v>0</x:v>
      </x:c>
      <x:c r="G1153" s="6" t="n">
        <x:v>32218</x:v>
      </x:c>
      <x:c r="H1153" s="6" t="n">
        <x:v>16109</x:v>
      </x:c>
    </x:row>
    <x:row r="1154" ht="21" customHeight="1">
      <x:c r="A1154" s="1" t="str">
        <x:v>C0010541</x:v>
      </x:c>
      <x:c r="B1154" s="1" t="n">
        <x:v>14</x:v>
      </x:c>
      <x:c r="C1154" s="1" t="n">
        <x:v>74</x:v>
      </x:c>
      <x:c r="D1154" s="6" t="n">
        <x:v>16109</x:v>
      </x:c>
      <x:c r="E1154" s="6" t="n">
        <x:v>32218</x:v>
      </x:c>
      <x:c r="F1154" s="6" t="n">
        <x:v>0</x:v>
      </x:c>
      <x:c r="G1154" s="6" t="n">
        <x:v>32218</x:v>
      </x:c>
      <x:c r="H1154" s="6" t="n">
        <x:v>16109</x:v>
      </x:c>
    </x:row>
    <x:row r="1155" ht="21" customHeight="1">
      <x:c r="A1155" s="1" t="str">
        <x:v>C0003662</x:v>
      </x:c>
      <x:c r="B1155" s="1" t="n">
        <x:v>14</x:v>
      </x:c>
      <x:c r="C1155" s="1" t="n">
        <x:v>74</x:v>
      </x:c>
      <x:c r="D1155" s="6" t="n">
        <x:v>0</x:v>
      </x:c>
      <x:c r="E1155" s="6" t="n">
        <x:v>16109</x:v>
      </x:c>
      <x:c r="F1155" s="6" t="n">
        <x:v>0</x:v>
      </x:c>
      <x:c r="G1155" s="6" t="n">
        <x:v>16109</x:v>
      </x:c>
      <x:c r="H1155" s="6" t="n">
        <x:v>16109</x:v>
      </x:c>
    </x:row>
    <x:row r="1156" ht="21" customHeight="1">
      <x:c r="A1156" s="1" t="str">
        <x:v>C0009856</x:v>
      </x:c>
      <x:c r="B1156" s="1" t="n">
        <x:v>14</x:v>
      </x:c>
      <x:c r="C1156" s="1" t="n">
        <x:v>74</x:v>
      </x:c>
      <x:c r="D1156" s="6" t="n">
        <x:v>16109</x:v>
      </x:c>
      <x:c r="E1156" s="6" t="n">
        <x:v>32218</x:v>
      </x:c>
      <x:c r="F1156" s="6" t="n">
        <x:v>0</x:v>
      </x:c>
      <x:c r="G1156" s="6" t="n">
        <x:v>32218</x:v>
      </x:c>
      <x:c r="H1156" s="6" t="n">
        <x:v>16109</x:v>
      </x:c>
    </x:row>
    <x:row r="1157" ht="21" customHeight="1">
      <x:c r="A1157" s="1" t="str">
        <x:v>C0009568</x:v>
      </x:c>
      <x:c r="B1157" s="1" t="n">
        <x:v>14</x:v>
      </x:c>
      <x:c r="C1157" s="1" t="n">
        <x:v>74</x:v>
      </x:c>
      <x:c r="D1157" s="6" t="n">
        <x:v>0</x:v>
      </x:c>
      <x:c r="E1157" s="6" t="n">
        <x:v>16109</x:v>
      </x:c>
      <x:c r="F1157" s="6" t="n">
        <x:v>0</x:v>
      </x:c>
      <x:c r="G1157" s="6" t="n">
        <x:v>16109</x:v>
      </x:c>
      <x:c r="H1157" s="6" t="n">
        <x:v>16109</x:v>
      </x:c>
    </x:row>
    <x:row r="1158" ht="21" customHeight="1">
      <x:c r="A1158" s="1" t="str">
        <x:v>C0012821</x:v>
      </x:c>
      <x:c r="B1158" s="1" t="n">
        <x:v>14</x:v>
      </x:c>
      <x:c r="C1158" s="1" t="n">
        <x:v>74</x:v>
      </x:c>
      <x:c r="D1158" s="6" t="n">
        <x:v>16109</x:v>
      </x:c>
      <x:c r="E1158" s="6" t="n">
        <x:v>32218</x:v>
      </x:c>
      <x:c r="F1158" s="6" t="n">
        <x:v>0</x:v>
      </x:c>
      <x:c r="G1158" s="6" t="n">
        <x:v>32218</x:v>
      </x:c>
      <x:c r="H1158" s="6" t="n">
        <x:v>16109</x:v>
      </x:c>
    </x:row>
    <x:row r="1159" ht="21" customHeight="1">
      <x:c r="A1159" s="1" t="str">
        <x:v>C0000222</x:v>
      </x:c>
      <x:c r="B1159" s="1" t="n">
        <x:v>14</x:v>
      </x:c>
      <x:c r="C1159" s="1" t="n">
        <x:v>74</x:v>
      </x:c>
      <x:c r="D1159" s="6" t="n">
        <x:v>0</x:v>
      </x:c>
      <x:c r="E1159" s="6" t="n">
        <x:v>16109</x:v>
      </x:c>
      <x:c r="F1159" s="6" t="n">
        <x:v>0</x:v>
      </x:c>
      <x:c r="G1159" s="6" t="n">
        <x:v>16109</x:v>
      </x:c>
      <x:c r="H1159" s="6" t="n">
        <x:v>16109</x:v>
      </x:c>
    </x:row>
    <x:row r="1160" ht="21" customHeight="1">
      <x:c r="A1160" s="1" t="str">
        <x:v>C0001647</x:v>
      </x:c>
      <x:c r="B1160" s="1" t="n">
        <x:v>20</x:v>
      </x:c>
      <x:c r="C1160" s="1" t="n">
        <x:v>20</x:v>
      </x:c>
      <x:c r="D1160" s="6" t="n">
        <x:v>16097</x:v>
      </x:c>
      <x:c r="E1160" s="6" t="n">
        <x:v>0</x:v>
      </x:c>
      <x:c r="F1160" s="6" t="n">
        <x:v>0</x:v>
      </x:c>
      <x:c r="G1160" s="6" t="n">
        <x:v>0</x:v>
      </x:c>
      <x:c r="H1160" s="6" t="n">
        <x:v>-16097</x:v>
      </x:c>
    </x:row>
    <x:row r="1161" ht="21" customHeight="1">
      <x:c r="A1161" s="1" t="str">
        <x:v>C0008244</x:v>
      </x:c>
      <x:c r="B1161" s="1" t="n">
        <x:v>20</x:v>
      </x:c>
      <x:c r="C1161" s="1" t="n">
        <x:v>20</x:v>
      </x:c>
      <x:c r="D1161" s="6" t="n">
        <x:v>16097</x:v>
      </x:c>
      <x:c r="E1161" s="6" t="n">
        <x:v>32194</x:v>
      </x:c>
      <x:c r="F1161" s="6" t="n">
        <x:v>0</x:v>
      </x:c>
      <x:c r="G1161" s="6" t="n">
        <x:v>32194</x:v>
      </x:c>
      <x:c r="H1161" s="6" t="n">
        <x:v>16097</x:v>
      </x:c>
    </x:row>
    <x:row r="1162" ht="21" customHeight="1">
      <x:c r="A1162" s="1" t="str">
        <x:v>C0015837</x:v>
      </x:c>
      <x:c r="B1162" s="1" t="n">
        <x:v>20</x:v>
      </x:c>
      <x:c r="C1162" s="1" t="n">
        <x:v>20</x:v>
      </x:c>
      <x:c r="D1162" s="6" t="n">
        <x:v>16097</x:v>
      </x:c>
      <x:c r="E1162" s="6" t="n">
        <x:v>0</x:v>
      </x:c>
      <x:c r="F1162" s="6" t="n">
        <x:v>0</x:v>
      </x:c>
      <x:c r="G1162" s="6" t="n">
        <x:v>0</x:v>
      </x:c>
      <x:c r="H1162" s="6" t="n">
        <x:v>-16097</x:v>
      </x:c>
    </x:row>
    <x:row r="1163" ht="21" customHeight="1">
      <x:c r="A1163" s="1" t="str">
        <x:v>C0004843</x:v>
      </x:c>
      <x:c r="B1163" s="1" t="n">
        <x:v>20</x:v>
      </x:c>
      <x:c r="C1163" s="1" t="n">
        <x:v>20</x:v>
      </x:c>
      <x:c r="D1163" s="6" t="n">
        <x:v>16097</x:v>
      </x:c>
      <x:c r="E1163" s="6" t="n">
        <x:v>0</x:v>
      </x:c>
      <x:c r="F1163" s="6" t="n">
        <x:v>0</x:v>
      </x:c>
      <x:c r="G1163" s="6" t="n">
        <x:v>0</x:v>
      </x:c>
      <x:c r="H1163" s="6" t="n">
        <x:v>-16097</x:v>
      </x:c>
    </x:row>
    <x:row r="1164" ht="21" customHeight="1">
      <x:c r="A1164" s="1" t="str">
        <x:v>C0008164</x:v>
      </x:c>
      <x:c r="B1164" s="1" t="n">
        <x:v>20</x:v>
      </x:c>
      <x:c r="C1164" s="1" t="n">
        <x:v>20</x:v>
      </x:c>
      <x:c r="D1164" s="6" t="n">
        <x:v>16097</x:v>
      </x:c>
      <x:c r="E1164" s="6" t="n">
        <x:v>32194</x:v>
      </x:c>
      <x:c r="F1164" s="6" t="n">
        <x:v>0</x:v>
      </x:c>
      <x:c r="G1164" s="6" t="n">
        <x:v>32194</x:v>
      </x:c>
      <x:c r="H1164" s="6" t="n">
        <x:v>16097</x:v>
      </x:c>
    </x:row>
    <x:row r="1165" ht="21" customHeight="1">
      <x:c r="A1165" s="1" t="str">
        <x:v>C0009339</x:v>
      </x:c>
      <x:c r="B1165" s="1" t="n">
        <x:v>20</x:v>
      </x:c>
      <x:c r="C1165" s="1" t="n">
        <x:v>20</x:v>
      </x:c>
      <x:c r="D1165" s="6" t="n">
        <x:v>16097</x:v>
      </x:c>
      <x:c r="E1165" s="6" t="n">
        <x:v>0</x:v>
      </x:c>
      <x:c r="F1165" s="6" t="n">
        <x:v>0</x:v>
      </x:c>
      <x:c r="G1165" s="6" t="n">
        <x:v>0</x:v>
      </x:c>
      <x:c r="H1165" s="6" t="n">
        <x:v>-16097</x:v>
      </x:c>
    </x:row>
    <x:row r="1166" ht="21" customHeight="1">
      <x:c r="A1166" s="1" t="str">
        <x:v>C0016066</x:v>
      </x:c>
      <x:c r="B1166" s="1" t="n">
        <x:v>2</x:v>
      </x:c>
      <x:c r="C1166" s="1" t="n">
        <x:v>2</x:v>
      </x:c>
      <x:c r="D1166" s="6" t="n">
        <x:v>16092</x:v>
      </x:c>
      <x:c r="E1166" s="6" t="n">
        <x:v>0</x:v>
      </x:c>
      <x:c r="F1166" s="6" t="n">
        <x:v>0</x:v>
      </x:c>
      <x:c r="G1166" s="6" t="n">
        <x:v>0</x:v>
      </x:c>
      <x:c r="H1166" s="6" t="n">
        <x:v>-16092</x:v>
      </x:c>
    </x:row>
    <x:row r="1167" ht="21" customHeight="1">
      <x:c r="A1167" s="1" t="str">
        <x:v>C0004601</x:v>
      </x:c>
      <x:c r="B1167" s="1" t="n">
        <x:v>2</x:v>
      </x:c>
      <x:c r="C1167" s="1" t="n">
        <x:v>2</x:v>
      </x:c>
      <x:c r="D1167" s="6" t="n">
        <x:v>16092</x:v>
      </x:c>
      <x:c r="E1167" s="6" t="n">
        <x:v>0</x:v>
      </x:c>
      <x:c r="F1167" s="6" t="n">
        <x:v>0</x:v>
      </x:c>
      <x:c r="G1167" s="6" t="n">
        <x:v>0</x:v>
      </x:c>
      <x:c r="H1167" s="6" t="n">
        <x:v>-16092</x:v>
      </x:c>
    </x:row>
    <x:row r="1168" ht="21" customHeight="1">
      <x:c r="A1168" s="1" t="str">
        <x:v>C0012459</x:v>
      </x:c>
      <x:c r="B1168" s="1" t="n">
        <x:v>2</x:v>
      </x:c>
      <x:c r="C1168" s="1" t="n">
        <x:v>2</x:v>
      </x:c>
      <x:c r="D1168" s="6" t="n">
        <x:v>0</x:v>
      </x:c>
      <x:c r="E1168" s="6" t="n">
        <x:v>16092</x:v>
      </x:c>
      <x:c r="F1168" s="6" t="n">
        <x:v>0</x:v>
      </x:c>
      <x:c r="G1168" s="6" t="n">
        <x:v>16092</x:v>
      </x:c>
      <x:c r="H1168" s="6" t="n">
        <x:v>16092</x:v>
      </x:c>
    </x:row>
    <x:row r="1169" ht="21" customHeight="1">
      <x:c r="A1169" s="1" t="str">
        <x:v>C0009644</x:v>
      </x:c>
      <x:c r="B1169" s="1" t="n">
        <x:v>2</x:v>
      </x:c>
      <x:c r="C1169" s="1" t="n">
        <x:v>2</x:v>
      </x:c>
      <x:c r="D1169" s="6" t="n">
        <x:v>16092</x:v>
      </x:c>
      <x:c r="E1169" s="6" t="n">
        <x:v>0</x:v>
      </x:c>
      <x:c r="F1169" s="6" t="n">
        <x:v>0</x:v>
      </x:c>
      <x:c r="G1169" s="6" t="n">
        <x:v>0</x:v>
      </x:c>
      <x:c r="H1169" s="6" t="n">
        <x:v>-16092</x:v>
      </x:c>
    </x:row>
    <x:row r="1170" ht="21" customHeight="1">
      <x:c r="A1170" s="1" t="str">
        <x:v>C0002550</x:v>
      </x:c>
      <x:c r="B1170" s="1" t="n">
        <x:v>2</x:v>
      </x:c>
      <x:c r="C1170" s="1" t="n">
        <x:v>2</x:v>
      </x:c>
      <x:c r="D1170" s="6" t="n">
        <x:v>16092</x:v>
      </x:c>
      <x:c r="E1170" s="6" t="n">
        <x:v>0</x:v>
      </x:c>
      <x:c r="F1170" s="6" t="n">
        <x:v>0</x:v>
      </x:c>
      <x:c r="G1170" s="6" t="n">
        <x:v>0</x:v>
      </x:c>
      <x:c r="H1170" s="6" t="n">
        <x:v>-16092</x:v>
      </x:c>
    </x:row>
    <x:row r="1171" ht="21" customHeight="1">
      <x:c r="A1171" s="1" t="str">
        <x:v>C0009692</x:v>
      </x:c>
      <x:c r="B1171" s="1" t="n">
        <x:v>2</x:v>
      </x:c>
      <x:c r="C1171" s="1" t="n">
        <x:v>2</x:v>
      </x:c>
      <x:c r="D1171" s="6" t="n">
        <x:v>16092</x:v>
      </x:c>
      <x:c r="E1171" s="6" t="n">
        <x:v>32184</x:v>
      </x:c>
      <x:c r="F1171" s="6" t="n">
        <x:v>0</x:v>
      </x:c>
      <x:c r="G1171" s="6" t="n">
        <x:v>32184</x:v>
      </x:c>
      <x:c r="H1171" s="6" t="n">
        <x:v>16092</x:v>
      </x:c>
    </x:row>
    <x:row r="1172" ht="21" customHeight="1">
      <x:c r="A1172" s="1" t="str">
        <x:v>C0009405</x:v>
      </x:c>
      <x:c r="B1172" s="1" t="n">
        <x:v>2</x:v>
      </x:c>
      <x:c r="C1172" s="1" t="n">
        <x:v>2</x:v>
      </x:c>
      <x:c r="D1172" s="6" t="n">
        <x:v>16092</x:v>
      </x:c>
      <x:c r="E1172" s="6" t="n">
        <x:v>32184</x:v>
      </x:c>
      <x:c r="F1172" s="6" t="n">
        <x:v>0</x:v>
      </x:c>
      <x:c r="G1172" s="6" t="n">
        <x:v>32184</x:v>
      </x:c>
      <x:c r="H1172" s="6" t="n">
        <x:v>16092</x:v>
      </x:c>
    </x:row>
    <x:row r="1173" ht="21" customHeight="1">
      <x:c r="A1173" s="1" t="str">
        <x:v>C0015981</x:v>
      </x:c>
      <x:c r="B1173" s="1" t="n">
        <x:v>2</x:v>
      </x:c>
      <x:c r="C1173" s="1" t="n">
        <x:v>2</x:v>
      </x:c>
      <x:c r="D1173" s="6" t="n">
        <x:v>16092</x:v>
      </x:c>
      <x:c r="E1173" s="6" t="n">
        <x:v>0</x:v>
      </x:c>
      <x:c r="F1173" s="6" t="n">
        <x:v>0</x:v>
      </x:c>
      <x:c r="G1173" s="6" t="n">
        <x:v>0</x:v>
      </x:c>
      <x:c r="H1173" s="6" t="n">
        <x:v>-16092</x:v>
      </x:c>
    </x:row>
    <x:row r="1174" ht="21" customHeight="1">
      <x:c r="A1174" s="1" t="str">
        <x:v>C0007605</x:v>
      </x:c>
      <x:c r="B1174" s="1" t="n">
        <x:v>2</x:v>
      </x:c>
      <x:c r="C1174" s="1" t="n">
        <x:v>2</x:v>
      </x:c>
      <x:c r="D1174" s="6" t="n">
        <x:v>16092</x:v>
      </x:c>
      <x:c r="E1174" s="6" t="n">
        <x:v>32184</x:v>
      </x:c>
      <x:c r="F1174" s="6" t="n">
        <x:v>0</x:v>
      </x:c>
      <x:c r="G1174" s="6" t="n">
        <x:v>32184</x:v>
      </x:c>
      <x:c r="H1174" s="6" t="n">
        <x:v>16092</x:v>
      </x:c>
    </x:row>
    <x:row r="1175" ht="21" customHeight="1">
      <x:c r="A1175" s="1" t="str">
        <x:v>C0016775</x:v>
      </x:c>
      <x:c r="B1175" s="1" t="n">
        <x:v>2</x:v>
      </x:c>
      <x:c r="C1175" s="1" t="n">
        <x:v>2</x:v>
      </x:c>
      <x:c r="D1175" s="6" t="n">
        <x:v>16092</x:v>
      </x:c>
      <x:c r="E1175" s="6" t="n">
        <x:v>32184</x:v>
      </x:c>
      <x:c r="F1175" s="6" t="n">
        <x:v>0</x:v>
      </x:c>
      <x:c r="G1175" s="6" t="n">
        <x:v>32184</x:v>
      </x:c>
      <x:c r="H1175" s="6" t="n">
        <x:v>16092</x:v>
      </x:c>
    </x:row>
    <x:row r="1176" ht="21" customHeight="1">
      <x:c r="A1176" s="1" t="str">
        <x:v>C0016757</x:v>
      </x:c>
      <x:c r="B1176" s="1" t="n">
        <x:v>2</x:v>
      </x:c>
      <x:c r="C1176" s="1" t="n">
        <x:v>2</x:v>
      </x:c>
      <x:c r="D1176" s="6" t="n">
        <x:v>16092</x:v>
      </x:c>
      <x:c r="E1176" s="6" t="n">
        <x:v>32184</x:v>
      </x:c>
      <x:c r="F1176" s="6" t="n">
        <x:v>0</x:v>
      </x:c>
      <x:c r="G1176" s="6" t="n">
        <x:v>32184</x:v>
      </x:c>
      <x:c r="H1176" s="6" t="n">
        <x:v>16092</x:v>
      </x:c>
    </x:row>
    <x:row r="1177" ht="21" customHeight="1">
      <x:c r="A1177" s="1" t="str">
        <x:v>C0003388</x:v>
      </x:c>
      <x:c r="B1177" s="1" t="n">
        <x:v>2</x:v>
      </x:c>
      <x:c r="C1177" s="1" t="n">
        <x:v>2</x:v>
      </x:c>
      <x:c r="D1177" s="6" t="n">
        <x:v>16092</x:v>
      </x:c>
      <x:c r="E1177" s="6" t="n">
        <x:v>32184</x:v>
      </x:c>
      <x:c r="F1177" s="6" t="n">
        <x:v>0</x:v>
      </x:c>
      <x:c r="G1177" s="6" t="n">
        <x:v>32184</x:v>
      </x:c>
      <x:c r="H1177" s="6" t="n">
        <x:v>16092</x:v>
      </x:c>
    </x:row>
    <x:row r="1178" ht="21" customHeight="1">
      <x:c r="A1178" s="1" t="str">
        <x:v>C0005455</x:v>
      </x:c>
      <x:c r="B1178" s="1" t="n">
        <x:v>2</x:v>
      </x:c>
      <x:c r="C1178" s="1" t="n">
        <x:v>2</x:v>
      </x:c>
      <x:c r="D1178" s="6" t="n">
        <x:v>16092</x:v>
      </x:c>
      <x:c r="E1178" s="6" t="n">
        <x:v>0</x:v>
      </x:c>
      <x:c r="F1178" s="6" t="n">
        <x:v>0</x:v>
      </x:c>
      <x:c r="G1178" s="6" t="n">
        <x:v>0</x:v>
      </x:c>
      <x:c r="H1178" s="6" t="n">
        <x:v>-16092</x:v>
      </x:c>
    </x:row>
    <x:row r="1179" ht="21" customHeight="1">
      <x:c r="A1179" s="1" t="str">
        <x:v>C0014381</x:v>
      </x:c>
      <x:c r="B1179" s="1" t="n">
        <x:v>2</x:v>
      </x:c>
      <x:c r="C1179" s="1" t="n">
        <x:v>2</x:v>
      </x:c>
      <x:c r="D1179" s="6" t="n">
        <x:v>16092</x:v>
      </x:c>
      <x:c r="E1179" s="6" t="n">
        <x:v>0</x:v>
      </x:c>
      <x:c r="F1179" s="6" t="n">
        <x:v>0</x:v>
      </x:c>
      <x:c r="G1179" s="6" t="n">
        <x:v>0</x:v>
      </x:c>
      <x:c r="H1179" s="6" t="n">
        <x:v>-16092</x:v>
      </x:c>
    </x:row>
    <x:row r="1180" ht="21" customHeight="1">
      <x:c r="A1180" s="1" t="str">
        <x:v>C0010360</x:v>
      </x:c>
      <x:c r="B1180" s="1" t="n">
        <x:v>24</x:v>
      </x:c>
      <x:c r="C1180" s="1" t="n">
        <x:v>114</x:v>
      </x:c>
      <x:c r="D1180" s="6" t="n">
        <x:v>16088</x:v>
      </x:c>
      <x:c r="E1180" s="6" t="n">
        <x:v>32176</x:v>
      </x:c>
      <x:c r="F1180" s="6" t="n">
        <x:v>0</x:v>
      </x:c>
      <x:c r="G1180" s="6" t="n">
        <x:v>32176</x:v>
      </x:c>
      <x:c r="H1180" s="6" t="n">
        <x:v>16088</x:v>
      </x:c>
    </x:row>
    <x:row r="1181" ht="21" customHeight="1">
      <x:c r="A1181" s="1" t="str">
        <x:v>C0002922</x:v>
      </x:c>
      <x:c r="B1181" s="1" t="n">
        <x:v>24</x:v>
      </x:c>
      <x:c r="C1181" s="1" t="n">
        <x:v>114</x:v>
      </x:c>
      <x:c r="D1181" s="6" t="n">
        <x:v>16088</x:v>
      </x:c>
      <x:c r="E1181" s="6" t="n">
        <x:v>32176</x:v>
      </x:c>
      <x:c r="F1181" s="6" t="n">
        <x:v>0</x:v>
      </x:c>
      <x:c r="G1181" s="6" t="n">
        <x:v>32176</x:v>
      </x:c>
      <x:c r="H1181" s="6" t="n">
        <x:v>16088</x:v>
      </x:c>
    </x:row>
    <x:row r="1182" ht="21" customHeight="1">
      <x:c r="A1182" s="1" t="str">
        <x:v>C0008557</x:v>
      </x:c>
      <x:c r="B1182" s="1" t="n">
        <x:v>24</x:v>
      </x:c>
      <x:c r="C1182" s="1" t="n">
        <x:v>114</x:v>
      </x:c>
      <x:c r="D1182" s="6" t="n">
        <x:v>16088</x:v>
      </x:c>
      <x:c r="E1182" s="6" t="n">
        <x:v>32176</x:v>
      </x:c>
      <x:c r="F1182" s="6" t="n">
        <x:v>0</x:v>
      </x:c>
      <x:c r="G1182" s="6" t="n">
        <x:v>32176</x:v>
      </x:c>
      <x:c r="H1182" s="6" t="n">
        <x:v>16088</x:v>
      </x:c>
    </x:row>
    <x:row r="1183" ht="21" customHeight="1">
      <x:c r="A1183" s="1" t="str">
        <x:v>C0013559</x:v>
      </x:c>
      <x:c r="B1183" s="1" t="n">
        <x:v>24</x:v>
      </x:c>
      <x:c r="C1183" s="1" t="n">
        <x:v>114</x:v>
      </x:c>
      <x:c r="D1183" s="6" t="n">
        <x:v>16088</x:v>
      </x:c>
      <x:c r="E1183" s="6" t="n">
        <x:v>0</x:v>
      </x:c>
      <x:c r="F1183" s="6" t="n">
        <x:v>0</x:v>
      </x:c>
      <x:c r="G1183" s="6" t="n">
        <x:v>0</x:v>
      </x:c>
      <x:c r="H1183" s="6" t="n">
        <x:v>-16088</x:v>
      </x:c>
    </x:row>
    <x:row r="1184" ht="21" customHeight="1">
      <x:c r="A1184" s="1" t="str">
        <x:v>C0013596</x:v>
      </x:c>
      <x:c r="B1184" s="1" t="n">
        <x:v>24</x:v>
      </x:c>
      <x:c r="C1184" s="1" t="n">
        <x:v>114</x:v>
      </x:c>
      <x:c r="D1184" s="6" t="n">
        <x:v>16088</x:v>
      </x:c>
      <x:c r="E1184" s="6" t="n">
        <x:v>0</x:v>
      </x:c>
      <x:c r="F1184" s="6" t="n">
        <x:v>0</x:v>
      </x:c>
      <x:c r="G1184" s="6" t="n">
        <x:v>0</x:v>
      </x:c>
      <x:c r="H1184" s="6" t="n">
        <x:v>-16088</x:v>
      </x:c>
    </x:row>
    <x:row r="1185" ht="21" customHeight="1">
      <x:c r="A1185" s="1" t="str">
        <x:v>C0008482</x:v>
      </x:c>
      <x:c r="B1185" s="1" t="n">
        <x:v>21</x:v>
      </x:c>
      <x:c r="C1185" s="1" t="n">
        <x:v>21</x:v>
      </x:c>
      <x:c r="D1185" s="6" t="n">
        <x:v>16060</x:v>
      </x:c>
      <x:c r="E1185" s="6" t="n">
        <x:v>32120</x:v>
      </x:c>
      <x:c r="F1185" s="6" t="n">
        <x:v>0</x:v>
      </x:c>
      <x:c r="G1185" s="6" t="n">
        <x:v>32120</x:v>
      </x:c>
      <x:c r="H1185" s="6" t="n">
        <x:v>16060</x:v>
      </x:c>
    </x:row>
    <x:row r="1186" ht="21" customHeight="1">
      <x:c r="A1186" s="1" t="str">
        <x:v>C0014496</x:v>
      </x:c>
      <x:c r="B1186" s="1" t="n">
        <x:v>21</x:v>
      </x:c>
      <x:c r="C1186" s="1" t="n">
        <x:v>21</x:v>
      </x:c>
      <x:c r="D1186" s="6" t="n">
        <x:v>16060</x:v>
      </x:c>
      <x:c r="E1186" s="6" t="n">
        <x:v>32120</x:v>
      </x:c>
      <x:c r="F1186" s="6" t="n">
        <x:v>0</x:v>
      </x:c>
      <x:c r="G1186" s="6" t="n">
        <x:v>32120</x:v>
      </x:c>
      <x:c r="H1186" s="6" t="n">
        <x:v>16060</x:v>
      </x:c>
    </x:row>
    <x:row r="1187" ht="21" customHeight="1">
      <x:c r="A1187" s="1" t="str">
        <x:v>C0011619</x:v>
      </x:c>
      <x:c r="B1187" s="1" t="n">
        <x:v>21</x:v>
      </x:c>
      <x:c r="C1187" s="1" t="n">
        <x:v>21</x:v>
      </x:c>
      <x:c r="D1187" s="6" t="n">
        <x:v>16060</x:v>
      </x:c>
      <x:c r="E1187" s="6" t="n">
        <x:v>32120</x:v>
      </x:c>
      <x:c r="F1187" s="6" t="n">
        <x:v>0</x:v>
      </x:c>
      <x:c r="G1187" s="6" t="n">
        <x:v>32120</x:v>
      </x:c>
      <x:c r="H1187" s="6" t="n">
        <x:v>16060</x:v>
      </x:c>
    </x:row>
    <x:row r="1188" ht="21" customHeight="1">
      <x:c r="A1188" s="1" t="str">
        <x:v>C0000063</x:v>
      </x:c>
      <x:c r="B1188" s="1" t="n">
        <x:v>21</x:v>
      </x:c>
      <x:c r="C1188" s="1" t="n">
        <x:v>21</x:v>
      </x:c>
      <x:c r="D1188" s="6" t="n">
        <x:v>16060</x:v>
      </x:c>
      <x:c r="E1188" s="6" t="n">
        <x:v>32120</x:v>
      </x:c>
      <x:c r="F1188" s="6" t="n">
        <x:v>0</x:v>
      </x:c>
      <x:c r="G1188" s="6" t="n">
        <x:v>32120</x:v>
      </x:c>
      <x:c r="H1188" s="6" t="n">
        <x:v>16060</x:v>
      </x:c>
    </x:row>
    <x:row r="1189" ht="21" customHeight="1">
      <x:c r="A1189" s="1" t="str">
        <x:v>C0006344</x:v>
      </x:c>
      <x:c r="B1189" s="1" t="n">
        <x:v>21</x:v>
      </x:c>
      <x:c r="C1189" s="1" t="n">
        <x:v>21</x:v>
      </x:c>
      <x:c r="D1189" s="6" t="n">
        <x:v>16060</x:v>
      </x:c>
      <x:c r="E1189" s="6" t="n">
        <x:v>0</x:v>
      </x:c>
      <x:c r="F1189" s="6" t="n">
        <x:v>0</x:v>
      </x:c>
      <x:c r="G1189" s="6" t="n">
        <x:v>0</x:v>
      </x:c>
      <x:c r="H1189" s="6" t="n">
        <x:v>-16060</x:v>
      </x:c>
    </x:row>
    <x:row r="1190" ht="21" customHeight="1">
      <x:c r="A1190" s="1" t="str">
        <x:v>C0011090</x:v>
      </x:c>
      <x:c r="B1190" s="1" t="n">
        <x:v>21</x:v>
      </x:c>
      <x:c r="C1190" s="1" t="n">
        <x:v>21</x:v>
      </x:c>
      <x:c r="D1190" s="6" t="n">
        <x:v>16060</x:v>
      </x:c>
      <x:c r="E1190" s="6" t="n">
        <x:v>32120</x:v>
      </x:c>
      <x:c r="F1190" s="6" t="n">
        <x:v>0</x:v>
      </x:c>
      <x:c r="G1190" s="6" t="n">
        <x:v>32120</x:v>
      </x:c>
      <x:c r="H1190" s="6" t="n">
        <x:v>16060</x:v>
      </x:c>
    </x:row>
    <x:row r="1191" ht="21" customHeight="1">
      <x:c r="A1191" s="1" t="str">
        <x:v>C0004688</x:v>
      </x:c>
      <x:c r="B1191" s="1" t="n">
        <x:v>21</x:v>
      </x:c>
      <x:c r="C1191" s="1" t="n">
        <x:v>21</x:v>
      </x:c>
      <x:c r="D1191" s="6" t="n">
        <x:v>16060</x:v>
      </x:c>
      <x:c r="E1191" s="6" t="n">
        <x:v>0</x:v>
      </x:c>
      <x:c r="F1191" s="6" t="n">
        <x:v>0</x:v>
      </x:c>
      <x:c r="G1191" s="6" t="n">
        <x:v>0</x:v>
      </x:c>
      <x:c r="H1191" s="6" t="n">
        <x:v>-16060</x:v>
      </x:c>
    </x:row>
    <x:row r="1192" ht="21" customHeight="1">
      <x:c r="A1192" s="1" t="str">
        <x:v>C0004281</x:v>
      </x:c>
      <x:c r="B1192" s="1" t="n">
        <x:v>21</x:v>
      </x:c>
      <x:c r="C1192" s="1" t="n">
        <x:v>21</x:v>
      </x:c>
      <x:c r="D1192" s="6" t="n">
        <x:v>16060</x:v>
      </x:c>
      <x:c r="E1192" s="6" t="n">
        <x:v>32120</x:v>
      </x:c>
      <x:c r="F1192" s="6" t="n">
        <x:v>0</x:v>
      </x:c>
      <x:c r="G1192" s="6" t="n">
        <x:v>32120</x:v>
      </x:c>
      <x:c r="H1192" s="6" t="n">
        <x:v>16060</x:v>
      </x:c>
    </x:row>
    <x:row r="1193" ht="21" customHeight="1">
      <x:c r="A1193" s="1" t="str">
        <x:v>C0006121</x:v>
      </x:c>
      <x:c r="B1193" s="1" t="n">
        <x:v>22</x:v>
      </x:c>
      <x:c r="C1193" s="1" t="n">
        <x:v>52</x:v>
      </x:c>
      <x:c r="D1193" s="6" t="n">
        <x:v>15965</x:v>
      </x:c>
      <x:c r="E1193" s="6" t="n">
        <x:v>0</x:v>
      </x:c>
      <x:c r="F1193" s="6" t="n">
        <x:v>0</x:v>
      </x:c>
      <x:c r="G1193" s="6" t="n">
        <x:v>0</x:v>
      </x:c>
      <x:c r="H1193" s="6" t="n">
        <x:v>-15965</x:v>
      </x:c>
    </x:row>
    <x:row r="1194" ht="21" customHeight="1">
      <x:c r="A1194" s="1" t="str">
        <x:v>C0016310</x:v>
      </x:c>
      <x:c r="B1194" s="1" t="n">
        <x:v>22</x:v>
      </x:c>
      <x:c r="C1194" s="1" t="n">
        <x:v>52</x:v>
      </x:c>
      <x:c r="D1194" s="6" t="n">
        <x:v>15965</x:v>
      </x:c>
      <x:c r="E1194" s="6" t="n">
        <x:v>31930</x:v>
      </x:c>
      <x:c r="F1194" s="6" t="n">
        <x:v>0</x:v>
      </x:c>
      <x:c r="G1194" s="6" t="n">
        <x:v>31930</x:v>
      </x:c>
      <x:c r="H1194" s="6" t="n">
        <x:v>15965</x:v>
      </x:c>
    </x:row>
    <x:row r="1195" ht="21" customHeight="1">
      <x:c r="A1195" s="1" t="str">
        <x:v>C0015047</x:v>
      </x:c>
      <x:c r="B1195" s="1" t="n">
        <x:v>22</x:v>
      </x:c>
      <x:c r="C1195" s="1" t="n">
        <x:v>52</x:v>
      </x:c>
      <x:c r="D1195" s="6" t="n">
        <x:v>15965</x:v>
      </x:c>
      <x:c r="E1195" s="6" t="n">
        <x:v>0</x:v>
      </x:c>
      <x:c r="F1195" s="6" t="n">
        <x:v>0</x:v>
      </x:c>
      <x:c r="G1195" s="6" t="n">
        <x:v>0</x:v>
      </x:c>
      <x:c r="H1195" s="6" t="n">
        <x:v>-15965</x:v>
      </x:c>
    </x:row>
    <x:row r="1196" ht="21" customHeight="1">
      <x:c r="A1196" s="1" t="str">
        <x:v>C0012229</x:v>
      </x:c>
      <x:c r="B1196" s="1" t="n">
        <x:v>22</x:v>
      </x:c>
      <x:c r="C1196" s="1" t="n">
        <x:v>52</x:v>
      </x:c>
      <x:c r="D1196" s="6" t="n">
        <x:v>15965</x:v>
      </x:c>
      <x:c r="E1196" s="6" t="n">
        <x:v>31930</x:v>
      </x:c>
      <x:c r="F1196" s="6" t="n">
        <x:v>0</x:v>
      </x:c>
      <x:c r="G1196" s="6" t="n">
        <x:v>31930</x:v>
      </x:c>
      <x:c r="H1196" s="6" t="n">
        <x:v>15965</x:v>
      </x:c>
    </x:row>
    <x:row r="1197" ht="21" customHeight="1">
      <x:c r="A1197" s="1" t="str">
        <x:v>C0008375</x:v>
      </x:c>
      <x:c r="B1197" s="1" t="n">
        <x:v>22</x:v>
      </x:c>
      <x:c r="C1197" s="1" t="n">
        <x:v>52</x:v>
      </x:c>
      <x:c r="D1197" s="6" t="n">
        <x:v>15965</x:v>
      </x:c>
      <x:c r="E1197" s="6" t="n">
        <x:v>31930</x:v>
      </x:c>
      <x:c r="F1197" s="6" t="n">
        <x:v>0</x:v>
      </x:c>
      <x:c r="G1197" s="6" t="n">
        <x:v>31930</x:v>
      </x:c>
      <x:c r="H1197" s="6" t="n">
        <x:v>15965</x:v>
      </x:c>
    </x:row>
    <x:row r="1198" ht="21" customHeight="1">
      <x:c r="A1198" s="1" t="str">
        <x:v>C0017614</x:v>
      </x:c>
      <x:c r="B1198" s="1" t="n">
        <x:v>22</x:v>
      </x:c>
      <x:c r="C1198" s="1" t="n">
        <x:v>52</x:v>
      </x:c>
      <x:c r="D1198" s="6" t="n">
        <x:v>15965</x:v>
      </x:c>
      <x:c r="E1198" s="6" t="n">
        <x:v>31930</x:v>
      </x:c>
      <x:c r="F1198" s="6" t="n">
        <x:v>0</x:v>
      </x:c>
      <x:c r="G1198" s="6" t="n">
        <x:v>31930</x:v>
      </x:c>
      <x:c r="H1198" s="6" t="n">
        <x:v>15965</x:v>
      </x:c>
    </x:row>
    <x:row r="1199" ht="21" customHeight="1">
      <x:c r="A1199" s="1" t="str">
        <x:v>C0003900</x:v>
      </x:c>
      <x:c r="B1199" s="1" t="n">
        <x:v>17</x:v>
      </x:c>
      <x:c r="C1199" s="1" t="n">
        <x:v>47</x:v>
      </x:c>
      <x:c r="D1199" s="6" t="n">
        <x:v>15890</x:v>
      </x:c>
      <x:c r="E1199" s="6" t="n">
        <x:v>31780</x:v>
      </x:c>
      <x:c r="F1199" s="6" t="n">
        <x:v>0</x:v>
      </x:c>
      <x:c r="G1199" s="6" t="n">
        <x:v>31780</x:v>
      </x:c>
      <x:c r="H1199" s="6" t="n">
        <x:v>15890</x:v>
      </x:c>
    </x:row>
    <x:row r="1200" ht="21" customHeight="1">
      <x:c r="A1200" s="1" t="str">
        <x:v>C0009484</x:v>
      </x:c>
      <x:c r="B1200" s="1" t="n">
        <x:v>17</x:v>
      </x:c>
      <x:c r="C1200" s="1" t="n">
        <x:v>47</x:v>
      </x:c>
      <x:c r="D1200" s="6" t="n">
        <x:v>15890</x:v>
      </x:c>
      <x:c r="E1200" s="6" t="n">
        <x:v>31780</x:v>
      </x:c>
      <x:c r="F1200" s="6" t="n">
        <x:v>0</x:v>
      </x:c>
      <x:c r="G1200" s="6" t="n">
        <x:v>31780</x:v>
      </x:c>
      <x:c r="H1200" s="6" t="n">
        <x:v>15890</x:v>
      </x:c>
    </x:row>
    <x:row r="1201" ht="21" customHeight="1">
      <x:c r="A1201" s="1" t="str">
        <x:v>C0010262</x:v>
      </x:c>
      <x:c r="B1201" s="1" t="n">
        <x:v>17</x:v>
      </x:c>
      <x:c r="C1201" s="1" t="n">
        <x:v>47</x:v>
      </x:c>
      <x:c r="D1201" s="6" t="n">
        <x:v>15890</x:v>
      </x:c>
      <x:c r="E1201" s="6" t="n">
        <x:v>31780</x:v>
      </x:c>
      <x:c r="F1201" s="6" t="n">
        <x:v>0</x:v>
      </x:c>
      <x:c r="G1201" s="6" t="n">
        <x:v>31780</x:v>
      </x:c>
      <x:c r="H1201" s="6" t="n">
        <x:v>15890</x:v>
      </x:c>
    </x:row>
    <x:row r="1202" ht="21" customHeight="1">
      <x:c r="A1202" s="1" t="str">
        <x:v>C0015962</x:v>
      </x:c>
      <x:c r="B1202" s="1" t="n">
        <x:v>17</x:v>
      </x:c>
      <x:c r="C1202" s="1" t="n">
        <x:v>47</x:v>
      </x:c>
      <x:c r="D1202" s="6" t="n">
        <x:v>0</x:v>
      </x:c>
      <x:c r="E1202" s="6" t="n">
        <x:v>15890</x:v>
      </x:c>
      <x:c r="F1202" s="6" t="n">
        <x:v>0</x:v>
      </x:c>
      <x:c r="G1202" s="6" t="n">
        <x:v>15890</x:v>
      </x:c>
      <x:c r="H1202" s="6" t="n">
        <x:v>15890</x:v>
      </x:c>
    </x:row>
    <x:row r="1203" ht="21" customHeight="1">
      <x:c r="A1203" s="1" t="str">
        <x:v>C0012449</x:v>
      </x:c>
      <x:c r="B1203" s="1" t="n">
        <x:v>17</x:v>
      </x:c>
      <x:c r="C1203" s="1" t="n">
        <x:v>47</x:v>
      </x:c>
      <x:c r="D1203" s="6" t="n">
        <x:v>15890</x:v>
      </x:c>
      <x:c r="E1203" s="6" t="n">
        <x:v>0</x:v>
      </x:c>
      <x:c r="F1203" s="6" t="n">
        <x:v>0</x:v>
      </x:c>
      <x:c r="G1203" s="6" t="n">
        <x:v>0</x:v>
      </x:c>
      <x:c r="H1203" s="6" t="n">
        <x:v>-15890</x:v>
      </x:c>
    </x:row>
    <x:row r="1204" ht="21" customHeight="1">
      <x:c r="A1204" s="1" t="str">
        <x:v>C0000326</x:v>
      </x:c>
      <x:c r="B1204" s="1" t="n">
        <x:v>19</x:v>
      </x:c>
      <x:c r="C1204" s="1" t="n">
        <x:v>109</x:v>
      </x:c>
      <x:c r="D1204" s="6" t="n">
        <x:v>15847</x:v>
      </x:c>
      <x:c r="E1204" s="6" t="n">
        <x:v>0</x:v>
      </x:c>
      <x:c r="F1204" s="6" t="n">
        <x:v>0</x:v>
      </x:c>
      <x:c r="G1204" s="6" t="n">
        <x:v>0</x:v>
      </x:c>
      <x:c r="H1204" s="6" t="n">
        <x:v>-15847</x:v>
      </x:c>
    </x:row>
    <x:row r="1205" ht="21" customHeight="1">
      <x:c r="A1205" s="1" t="str">
        <x:v>C0001309</x:v>
      </x:c>
      <x:c r="B1205" s="1" t="n">
        <x:v>19</x:v>
      </x:c>
      <x:c r="C1205" s="1" t="n">
        <x:v>109</x:v>
      </x:c>
      <x:c r="D1205" s="6" t="n">
        <x:v>15847</x:v>
      </x:c>
      <x:c r="E1205" s="6" t="n">
        <x:v>31694</x:v>
      </x:c>
      <x:c r="F1205" s="6" t="n">
        <x:v>0</x:v>
      </x:c>
      <x:c r="G1205" s="6" t="n">
        <x:v>31694</x:v>
      </x:c>
      <x:c r="H1205" s="6" t="n">
        <x:v>15847</x:v>
      </x:c>
    </x:row>
    <x:row r="1206" ht="21" customHeight="1">
      <x:c r="A1206" s="1" t="str">
        <x:v>C0002313</x:v>
      </x:c>
      <x:c r="B1206" s="1" t="n">
        <x:v>17</x:v>
      </x:c>
      <x:c r="C1206" s="1" t="n">
        <x:v>17</x:v>
      </x:c>
      <x:c r="D1206" s="6" t="n">
        <x:v>15845</x:v>
      </x:c>
      <x:c r="E1206" s="6" t="n">
        <x:v>31690</x:v>
      </x:c>
      <x:c r="F1206" s="6" t="n">
        <x:v>0</x:v>
      </x:c>
      <x:c r="G1206" s="6" t="n">
        <x:v>31690</x:v>
      </x:c>
      <x:c r="H1206" s="6" t="n">
        <x:v>15845</x:v>
      </x:c>
    </x:row>
    <x:row r="1207" ht="21" customHeight="1">
      <x:c r="A1207" s="1" t="str">
        <x:v>C0016186</x:v>
      </x:c>
      <x:c r="B1207" s="1" t="n">
        <x:v>17</x:v>
      </x:c>
      <x:c r="C1207" s="1" t="n">
        <x:v>17</x:v>
      </x:c>
      <x:c r="D1207" s="6" t="n">
        <x:v>15845</x:v>
      </x:c>
      <x:c r="E1207" s="6" t="n">
        <x:v>31690</x:v>
      </x:c>
      <x:c r="F1207" s="6" t="n">
        <x:v>0</x:v>
      </x:c>
      <x:c r="G1207" s="6" t="n">
        <x:v>31690</x:v>
      </x:c>
      <x:c r="H1207" s="6" t="n">
        <x:v>15845</x:v>
      </x:c>
    </x:row>
    <x:row r="1208" ht="21" customHeight="1">
      <x:c r="A1208" s="1" t="str">
        <x:v>C0016404</x:v>
      </x:c>
      <x:c r="B1208" s="1" t="n">
        <x:v>17</x:v>
      </x:c>
      <x:c r="C1208" s="1" t="n">
        <x:v>17</x:v>
      </x:c>
      <x:c r="D1208" s="6" t="n">
        <x:v>15845</x:v>
      </x:c>
      <x:c r="E1208" s="6" t="n">
        <x:v>0</x:v>
      </x:c>
      <x:c r="F1208" s="6" t="n">
        <x:v>0</x:v>
      </x:c>
      <x:c r="G1208" s="6" t="n">
        <x:v>0</x:v>
      </x:c>
      <x:c r="H1208" s="6" t="n">
        <x:v>-15845</x:v>
      </x:c>
    </x:row>
    <x:row r="1209" ht="21" customHeight="1">
      <x:c r="A1209" s="1" t="str">
        <x:v>C0011793</x:v>
      </x:c>
      <x:c r="B1209" s="1" t="n">
        <x:v>17</x:v>
      </x:c>
      <x:c r="C1209" s="1" t="n">
        <x:v>17</x:v>
      </x:c>
      <x:c r="D1209" s="6" t="n">
        <x:v>15845</x:v>
      </x:c>
      <x:c r="E1209" s="6" t="n">
        <x:v>31690</x:v>
      </x:c>
      <x:c r="F1209" s="6" t="n">
        <x:v>0</x:v>
      </x:c>
      <x:c r="G1209" s="6" t="n">
        <x:v>31690</x:v>
      </x:c>
      <x:c r="H1209" s="6" t="n">
        <x:v>15845</x:v>
      </x:c>
    </x:row>
    <x:row r="1210" ht="21" customHeight="1">
      <x:c r="A1210" s="1" t="str">
        <x:v>C0001569</x:v>
      </x:c>
      <x:c r="B1210" s="1" t="n">
        <x:v>17</x:v>
      </x:c>
      <x:c r="C1210" s="1" t="n">
        <x:v>17</x:v>
      </x:c>
      <x:c r="D1210" s="6" t="n">
        <x:v>15845</x:v>
      </x:c>
      <x:c r="E1210" s="6" t="n">
        <x:v>0</x:v>
      </x:c>
      <x:c r="F1210" s="6" t="n">
        <x:v>0</x:v>
      </x:c>
      <x:c r="G1210" s="6" t="n">
        <x:v>0</x:v>
      </x:c>
      <x:c r="H1210" s="6" t="n">
        <x:v>-15845</x:v>
      </x:c>
    </x:row>
    <x:row r="1211" ht="21" customHeight="1">
      <x:c r="A1211" s="1" t="str">
        <x:v>C0001524</x:v>
      </x:c>
      <x:c r="B1211" s="1" t="n">
        <x:v>17</x:v>
      </x:c>
      <x:c r="C1211" s="1" t="n">
        <x:v>17</x:v>
      </x:c>
      <x:c r="D1211" s="6" t="n">
        <x:v>15845</x:v>
      </x:c>
      <x:c r="E1211" s="6" t="n">
        <x:v>31690</x:v>
      </x:c>
      <x:c r="F1211" s="6" t="n">
        <x:v>0</x:v>
      </x:c>
      <x:c r="G1211" s="6" t="n">
        <x:v>31690</x:v>
      </x:c>
      <x:c r="H1211" s="6" t="n">
        <x:v>15845</x:v>
      </x:c>
    </x:row>
    <x:row r="1212" ht="21" customHeight="1">
      <x:c r="A1212" s="1" t="str">
        <x:v>C0017444</x:v>
      </x:c>
      <x:c r="B1212" s="1" t="n">
        <x:v>17</x:v>
      </x:c>
      <x:c r="C1212" s="1" t="n">
        <x:v>17</x:v>
      </x:c>
      <x:c r="D1212" s="6" t="n">
        <x:v>15845</x:v>
      </x:c>
      <x:c r="E1212" s="6" t="n">
        <x:v>31690</x:v>
      </x:c>
      <x:c r="F1212" s="6" t="n">
        <x:v>0</x:v>
      </x:c>
      <x:c r="G1212" s="6" t="n">
        <x:v>31690</x:v>
      </x:c>
      <x:c r="H1212" s="6" t="n">
        <x:v>15845</x:v>
      </x:c>
    </x:row>
    <x:row r="1213" ht="21" customHeight="1">
      <x:c r="A1213" s="1" t="str">
        <x:v>C0002209</x:v>
      </x:c>
      <x:c r="B1213" s="1" t="n">
        <x:v>17</x:v>
      </x:c>
      <x:c r="C1213" s="1" t="n">
        <x:v>17</x:v>
      </x:c>
      <x:c r="D1213" s="6" t="n">
        <x:v>15845</x:v>
      </x:c>
      <x:c r="E1213" s="6" t="n">
        <x:v>31690</x:v>
      </x:c>
      <x:c r="F1213" s="6" t="n">
        <x:v>0</x:v>
      </x:c>
      <x:c r="G1213" s="6" t="n">
        <x:v>31690</x:v>
      </x:c>
      <x:c r="H1213" s="6" t="n">
        <x:v>15845</x:v>
      </x:c>
    </x:row>
    <x:row r="1214" ht="21" customHeight="1">
      <x:c r="A1214" s="1" t="str">
        <x:v>C0015494</x:v>
      </x:c>
      <x:c r="B1214" s="1" t="n">
        <x:v>17</x:v>
      </x:c>
      <x:c r="C1214" s="1" t="n">
        <x:v>17</x:v>
      </x:c>
      <x:c r="D1214" s="6" t="n">
        <x:v>15845</x:v>
      </x:c>
      <x:c r="E1214" s="6" t="n">
        <x:v>31690</x:v>
      </x:c>
      <x:c r="F1214" s="6" t="n">
        <x:v>0</x:v>
      </x:c>
      <x:c r="G1214" s="6" t="n">
        <x:v>31690</x:v>
      </x:c>
      <x:c r="H1214" s="6" t="n">
        <x:v>15845</x:v>
      </x:c>
    </x:row>
    <x:row r="1215" ht="21" customHeight="1">
      <x:c r="A1215" s="1" t="str">
        <x:v>C0005597</x:v>
      </x:c>
      <x:c r="B1215" s="1" t="n">
        <x:v>2</x:v>
      </x:c>
      <x:c r="C1215" s="1" t="n">
        <x:v>32</x:v>
      </x:c>
      <x:c r="D1215" s="6" t="n">
        <x:v>15806</x:v>
      </x:c>
      <x:c r="E1215" s="6" t="n">
        <x:v>0</x:v>
      </x:c>
      <x:c r="F1215" s="6" t="n">
        <x:v>0</x:v>
      </x:c>
      <x:c r="G1215" s="6" t="n">
        <x:v>0</x:v>
      </x:c>
      <x:c r="H1215" s="6" t="n">
        <x:v>-15806</x:v>
      </x:c>
    </x:row>
    <x:row r="1216" ht="21" customHeight="1">
      <x:c r="A1216" s="1" t="str">
        <x:v>C0017052</x:v>
      </x:c>
      <x:c r="B1216" s="1" t="n">
        <x:v>2</x:v>
      </x:c>
      <x:c r="C1216" s="1" t="n">
        <x:v>32</x:v>
      </x:c>
      <x:c r="D1216" s="6" t="n">
        <x:v>15806</x:v>
      </x:c>
      <x:c r="E1216" s="6" t="n">
        <x:v>0</x:v>
      </x:c>
      <x:c r="F1216" s="6" t="n">
        <x:v>0</x:v>
      </x:c>
      <x:c r="G1216" s="6" t="n">
        <x:v>0</x:v>
      </x:c>
      <x:c r="H1216" s="6" t="n">
        <x:v>-15806</x:v>
      </x:c>
    </x:row>
    <x:row r="1217" ht="21" customHeight="1">
      <x:c r="A1217" s="1" t="str">
        <x:v>C0011993</x:v>
      </x:c>
      <x:c r="B1217" s="1" t="n">
        <x:v>2</x:v>
      </x:c>
      <x:c r="C1217" s="1" t="n">
        <x:v>32</x:v>
      </x:c>
      <x:c r="D1217" s="6" t="n">
        <x:v>15806</x:v>
      </x:c>
      <x:c r="E1217" s="6" t="n">
        <x:v>0</x:v>
      </x:c>
      <x:c r="F1217" s="6" t="n">
        <x:v>0</x:v>
      </x:c>
      <x:c r="G1217" s="6" t="n">
        <x:v>0</x:v>
      </x:c>
      <x:c r="H1217" s="6" t="n">
        <x:v>-15806</x:v>
      </x:c>
    </x:row>
    <x:row r="1218" ht="21" customHeight="1">
      <x:c r="A1218" s="1" t="str">
        <x:v>C0014639</x:v>
      </x:c>
      <x:c r="B1218" s="1" t="n">
        <x:v>2</x:v>
      </x:c>
      <x:c r="C1218" s="1" t="n">
        <x:v>32</x:v>
      </x:c>
      <x:c r="D1218" s="6" t="n">
        <x:v>15806</x:v>
      </x:c>
      <x:c r="E1218" s="6" t="n">
        <x:v>31612</x:v>
      </x:c>
      <x:c r="F1218" s="6" t="n">
        <x:v>0</x:v>
      </x:c>
      <x:c r="G1218" s="6" t="n">
        <x:v>31612</x:v>
      </x:c>
      <x:c r="H1218" s="6" t="n">
        <x:v>15806</x:v>
      </x:c>
    </x:row>
    <x:row r="1219" ht="21" customHeight="1">
      <x:c r="A1219" s="1" t="str">
        <x:v>C0013283</x:v>
      </x:c>
      <x:c r="B1219" s="1" t="n">
        <x:v>2</x:v>
      </x:c>
      <x:c r="C1219" s="1" t="n">
        <x:v>32</x:v>
      </x:c>
      <x:c r="D1219" s="6" t="n">
        <x:v>15806</x:v>
      </x:c>
      <x:c r="E1219" s="6" t="n">
        <x:v>0</x:v>
      </x:c>
      <x:c r="F1219" s="6" t="n">
        <x:v>0</x:v>
      </x:c>
      <x:c r="G1219" s="6" t="n">
        <x:v>0</x:v>
      </x:c>
      <x:c r="H1219" s="6" t="n">
        <x:v>-15806</x:v>
      </x:c>
    </x:row>
    <x:row r="1220" ht="21" customHeight="1">
      <x:c r="A1220" s="1" t="str">
        <x:v>C0012397</x:v>
      </x:c>
      <x:c r="B1220" s="1" t="n">
        <x:v>2</x:v>
      </x:c>
      <x:c r="C1220" s="1" t="n">
        <x:v>32</x:v>
      </x:c>
      <x:c r="D1220" s="6" t="n">
        <x:v>15806</x:v>
      </x:c>
      <x:c r="E1220" s="6" t="n">
        <x:v>31612</x:v>
      </x:c>
      <x:c r="F1220" s="6" t="n">
        <x:v>0</x:v>
      </x:c>
      <x:c r="G1220" s="6" t="n">
        <x:v>31612</x:v>
      </x:c>
      <x:c r="H1220" s="6" t="n">
        <x:v>15806</x:v>
      </x:c>
    </x:row>
    <x:row r="1221" ht="21" customHeight="1">
      <x:c r="A1221" s="1" t="str">
        <x:v>C0009594</x:v>
      </x:c>
      <x:c r="B1221" s="1" t="n">
        <x:v>2</x:v>
      </x:c>
      <x:c r="C1221" s="1" t="n">
        <x:v>32</x:v>
      </x:c>
      <x:c r="D1221" s="6" t="n">
        <x:v>15806</x:v>
      </x:c>
      <x:c r="E1221" s="6" t="n">
        <x:v>31612</x:v>
      </x:c>
      <x:c r="F1221" s="6" t="n">
        <x:v>0</x:v>
      </x:c>
      <x:c r="G1221" s="6" t="n">
        <x:v>31612</x:v>
      </x:c>
      <x:c r="H1221" s="6" t="n">
        <x:v>15806</x:v>
      </x:c>
    </x:row>
    <x:row r="1222" ht="21" customHeight="1">
      <x:c r="A1222" s="1" t="str">
        <x:v>C0009306</x:v>
      </x:c>
      <x:c r="B1222" s="1" t="n">
        <x:v>29</x:v>
      </x:c>
      <x:c r="C1222" s="1" t="n">
        <x:v>29</x:v>
      </x:c>
      <x:c r="D1222" s="6" t="n">
        <x:v>15615</x:v>
      </x:c>
      <x:c r="E1222" s="6" t="n">
        <x:v>31230</x:v>
      </x:c>
      <x:c r="F1222" s="6" t="n">
        <x:v>0</x:v>
      </x:c>
      <x:c r="G1222" s="6" t="n">
        <x:v>31230</x:v>
      </x:c>
      <x:c r="H1222" s="6" t="n">
        <x:v>15615</x:v>
      </x:c>
    </x:row>
    <x:row r="1223" ht="21" customHeight="1">
      <x:c r="A1223" s="1" t="str">
        <x:v>C0007717</x:v>
      </x:c>
      <x:c r="B1223" s="1" t="n">
        <x:v>29</x:v>
      </x:c>
      <x:c r="C1223" s="1" t="n">
        <x:v>29</x:v>
      </x:c>
      <x:c r="D1223" s="6" t="n">
        <x:v>15615</x:v>
      </x:c>
      <x:c r="E1223" s="6" t="n">
        <x:v>31230</x:v>
      </x:c>
      <x:c r="F1223" s="6" t="n">
        <x:v>0</x:v>
      </x:c>
      <x:c r="G1223" s="6" t="n">
        <x:v>31230</x:v>
      </x:c>
      <x:c r="H1223" s="6" t="n">
        <x:v>15615</x:v>
      </x:c>
    </x:row>
    <x:row r="1224" ht="21" customHeight="1">
      <x:c r="A1224" s="1" t="str">
        <x:v>C0003893</x:v>
      </x:c>
      <x:c r="B1224" s="1" t="n">
        <x:v>29</x:v>
      </x:c>
      <x:c r="C1224" s="1" t="n">
        <x:v>29</x:v>
      </x:c>
      <x:c r="D1224" s="6" t="n">
        <x:v>15615</x:v>
      </x:c>
      <x:c r="E1224" s="6" t="n">
        <x:v>31230</x:v>
      </x:c>
      <x:c r="F1224" s="6" t="n">
        <x:v>0</x:v>
      </x:c>
      <x:c r="G1224" s="6" t="n">
        <x:v>31230</x:v>
      </x:c>
      <x:c r="H1224" s="6" t="n">
        <x:v>15615</x:v>
      </x:c>
    </x:row>
    <x:row r="1225" ht="21" customHeight="1">
      <x:c r="A1225" s="1" t="str">
        <x:v>C0010533</x:v>
      </x:c>
      <x:c r="B1225" s="1" t="n">
        <x:v>29</x:v>
      </x:c>
      <x:c r="C1225" s="1" t="n">
        <x:v>29</x:v>
      </x:c>
      <x:c r="D1225" s="6" t="n">
        <x:v>15615</x:v>
      </x:c>
      <x:c r="E1225" s="6" t="n">
        <x:v>0</x:v>
      </x:c>
      <x:c r="F1225" s="6" t="n">
        <x:v>0</x:v>
      </x:c>
      <x:c r="G1225" s="6" t="n">
        <x:v>0</x:v>
      </x:c>
      <x:c r="H1225" s="6" t="n">
        <x:v>-15615</x:v>
      </x:c>
    </x:row>
    <x:row r="1226" ht="21" customHeight="1">
      <x:c r="A1226" s="1" t="str">
        <x:v>C0017543</x:v>
      </x:c>
      <x:c r="B1226" s="1" t="n">
        <x:v>29</x:v>
      </x:c>
      <x:c r="C1226" s="1" t="n">
        <x:v>29</x:v>
      </x:c>
      <x:c r="D1226" s="6" t="n">
        <x:v>15615</x:v>
      </x:c>
      <x:c r="E1226" s="6" t="n">
        <x:v>0</x:v>
      </x:c>
      <x:c r="F1226" s="6" t="n">
        <x:v>0</x:v>
      </x:c>
      <x:c r="G1226" s="6" t="n">
        <x:v>0</x:v>
      </x:c>
      <x:c r="H1226" s="6" t="n">
        <x:v>-15615</x:v>
      </x:c>
    </x:row>
    <x:row r="1227" ht="21" customHeight="1">
      <x:c r="A1227" s="1" t="str">
        <x:v>C0015495</x:v>
      </x:c>
      <x:c r="B1227" s="1" t="n">
        <x:v>29</x:v>
      </x:c>
      <x:c r="C1227" s="1" t="n">
        <x:v>29</x:v>
      </x:c>
      <x:c r="D1227" s="6" t="n">
        <x:v>0</x:v>
      </x:c>
      <x:c r="E1227" s="6" t="n">
        <x:v>15615</x:v>
      </x:c>
      <x:c r="F1227" s="6" t="n">
        <x:v>0</x:v>
      </x:c>
      <x:c r="G1227" s="6" t="n">
        <x:v>15615</x:v>
      </x:c>
      <x:c r="H1227" s="6" t="n">
        <x:v>15615</x:v>
      </x:c>
    </x:row>
    <x:row r="1228" ht="21" customHeight="1">
      <x:c r="A1228" s="1" t="str">
        <x:v>C0013331</x:v>
      </x:c>
      <x:c r="B1228" s="1" t="n">
        <x:v>17</x:v>
      </x:c>
      <x:c r="C1228" s="1" t="n">
        <x:v>77</x:v>
      </x:c>
      <x:c r="D1228" s="6" t="n">
        <x:v>15612</x:v>
      </x:c>
      <x:c r="E1228" s="6" t="n">
        <x:v>31224</x:v>
      </x:c>
      <x:c r="F1228" s="6" t="n">
        <x:v>0</x:v>
      </x:c>
      <x:c r="G1228" s="6" t="n">
        <x:v>31224</x:v>
      </x:c>
      <x:c r="H1228" s="6" t="n">
        <x:v>15612</x:v>
      </x:c>
    </x:row>
    <x:row r="1229" ht="21" customHeight="1">
      <x:c r="A1229" s="1" t="str">
        <x:v>C0015552</x:v>
      </x:c>
      <x:c r="B1229" s="1" t="n">
        <x:v>17</x:v>
      </x:c>
      <x:c r="C1229" s="1" t="n">
        <x:v>77</x:v>
      </x:c>
      <x:c r="D1229" s="6" t="n">
        <x:v>15612</x:v>
      </x:c>
      <x:c r="E1229" s="6" t="n">
        <x:v>0</x:v>
      </x:c>
      <x:c r="F1229" s="6" t="n">
        <x:v>0</x:v>
      </x:c>
      <x:c r="G1229" s="6" t="n">
        <x:v>0</x:v>
      </x:c>
      <x:c r="H1229" s="6" t="n">
        <x:v>-15612</x:v>
      </x:c>
    </x:row>
    <x:row r="1230" ht="21" customHeight="1">
      <x:c r="A1230" s="1" t="str">
        <x:v>C0000229</x:v>
      </x:c>
      <x:c r="B1230" s="1" t="n">
        <x:v>17</x:v>
      </x:c>
      <x:c r="C1230" s="1" t="n">
        <x:v>77</x:v>
      </x:c>
      <x:c r="D1230" s="6" t="n">
        <x:v>15612</x:v>
      </x:c>
      <x:c r="E1230" s="6" t="n">
        <x:v>0</x:v>
      </x:c>
      <x:c r="F1230" s="6" t="n">
        <x:v>0</x:v>
      </x:c>
      <x:c r="G1230" s="6" t="n">
        <x:v>0</x:v>
      </x:c>
      <x:c r="H1230" s="6" t="n">
        <x:v>-15612</x:v>
      </x:c>
    </x:row>
    <x:row r="1231" ht="21" customHeight="1">
      <x:c r="A1231" s="1" t="str">
        <x:v>C0017641</x:v>
      </x:c>
      <x:c r="B1231" s="1" t="n">
        <x:v>17</x:v>
      </x:c>
      <x:c r="C1231" s="1" t="n">
        <x:v>77</x:v>
      </x:c>
      <x:c r="D1231" s="6" t="n">
        <x:v>15612</x:v>
      </x:c>
      <x:c r="E1231" s="6" t="n">
        <x:v>0</x:v>
      </x:c>
      <x:c r="F1231" s="6" t="n">
        <x:v>0</x:v>
      </x:c>
      <x:c r="G1231" s="6" t="n">
        <x:v>0</x:v>
      </x:c>
      <x:c r="H1231" s="6" t="n">
        <x:v>-15612</x:v>
      </x:c>
    </x:row>
    <x:row r="1232" ht="21" customHeight="1">
      <x:c r="A1232" s="1" t="str">
        <x:v>C0013910</x:v>
      </x:c>
      <x:c r="B1232" s="1" t="n">
        <x:v>17</x:v>
      </x:c>
      <x:c r="C1232" s="1" t="n">
        <x:v>77</x:v>
      </x:c>
      <x:c r="D1232" s="6" t="n">
        <x:v>15612</x:v>
      </x:c>
      <x:c r="E1232" s="6" t="n">
        <x:v>31224</x:v>
      </x:c>
      <x:c r="F1232" s="6" t="n">
        <x:v>0</x:v>
      </x:c>
      <x:c r="G1232" s="6" t="n">
        <x:v>31224</x:v>
      </x:c>
      <x:c r="H1232" s="6" t="n">
        <x:v>15612</x:v>
      </x:c>
    </x:row>
    <x:row r="1233" ht="21" customHeight="1">
      <x:c r="A1233" s="1" t="str">
        <x:v>C0005979</x:v>
      </x:c>
      <x:c r="B1233" s="1" t="n">
        <x:v>17</x:v>
      </x:c>
      <x:c r="C1233" s="1" t="n">
        <x:v>77</x:v>
      </x:c>
      <x:c r="D1233" s="6" t="n">
        <x:v>15612</x:v>
      </x:c>
      <x:c r="E1233" s="6" t="n">
        <x:v>0</x:v>
      </x:c>
      <x:c r="F1233" s="6" t="n">
        <x:v>0</x:v>
      </x:c>
      <x:c r="G1233" s="6" t="n">
        <x:v>0</x:v>
      </x:c>
      <x:c r="H1233" s="6" t="n">
        <x:v>-15612</x:v>
      </x:c>
    </x:row>
    <x:row r="1234" ht="21" customHeight="1">
      <x:c r="A1234" s="1" t="str">
        <x:v>C0006601</x:v>
      </x:c>
      <x:c r="B1234" s="1" t="n">
        <x:v>17</x:v>
      </x:c>
      <x:c r="C1234" s="1" t="n">
        <x:v>77</x:v>
      </x:c>
      <x:c r="D1234" s="6" t="n">
        <x:v>15612</x:v>
      </x:c>
      <x:c r="E1234" s="6" t="n">
        <x:v>0</x:v>
      </x:c>
      <x:c r="F1234" s="6" t="n">
        <x:v>0</x:v>
      </x:c>
      <x:c r="G1234" s="6" t="n">
        <x:v>0</x:v>
      </x:c>
      <x:c r="H1234" s="6" t="n">
        <x:v>-15612</x:v>
      </x:c>
    </x:row>
    <x:row r="1235" ht="21" customHeight="1">
      <x:c r="A1235" s="1" t="str">
        <x:v>C0004881</x:v>
      </x:c>
      <x:c r="B1235" s="1" t="n">
        <x:v>17</x:v>
      </x:c>
      <x:c r="C1235" s="1" t="n">
        <x:v>77</x:v>
      </x:c>
      <x:c r="D1235" s="6" t="n">
        <x:v>15612</x:v>
      </x:c>
      <x:c r="E1235" s="6" t="n">
        <x:v>31224</x:v>
      </x:c>
      <x:c r="F1235" s="6" t="n">
        <x:v>0</x:v>
      </x:c>
      <x:c r="G1235" s="6" t="n">
        <x:v>31224</x:v>
      </x:c>
      <x:c r="H1235" s="6" t="n">
        <x:v>15612</x:v>
      </x:c>
    </x:row>
    <x:row r="1236" ht="21" customHeight="1">
      <x:c r="A1236" s="1" t="str">
        <x:v>C0015613</x:v>
      </x:c>
      <x:c r="B1236" s="1" t="n">
        <x:v>17</x:v>
      </x:c>
      <x:c r="C1236" s="1" t="n">
        <x:v>77</x:v>
      </x:c>
      <x:c r="D1236" s="6" t="n">
        <x:v>15612</x:v>
      </x:c>
      <x:c r="E1236" s="6" t="n">
        <x:v>0</x:v>
      </x:c>
      <x:c r="F1236" s="6" t="n">
        <x:v>0</x:v>
      </x:c>
      <x:c r="G1236" s="6" t="n">
        <x:v>0</x:v>
      </x:c>
      <x:c r="H1236" s="6" t="n">
        <x:v>-15612</x:v>
      </x:c>
    </x:row>
    <x:row r="1237" ht="21" customHeight="1">
      <x:c r="A1237" s="1" t="str">
        <x:v>C0007457</x:v>
      </x:c>
      <x:c r="B1237" s="1" t="n">
        <x:v>17</x:v>
      </x:c>
      <x:c r="C1237" s="1" t="n">
        <x:v>77</x:v>
      </x:c>
      <x:c r="D1237" s="6" t="n">
        <x:v>15612</x:v>
      </x:c>
      <x:c r="E1237" s="6" t="n">
        <x:v>31224</x:v>
      </x:c>
      <x:c r="F1237" s="6" t="n">
        <x:v>0</x:v>
      </x:c>
      <x:c r="G1237" s="6" t="n">
        <x:v>31224</x:v>
      </x:c>
      <x:c r="H1237" s="6" t="n">
        <x:v>15612</x:v>
      </x:c>
    </x:row>
    <x:row r="1238" ht="21" customHeight="1">
      <x:c r="A1238" s="1" t="str">
        <x:v>C0014781</x:v>
      </x:c>
      <x:c r="B1238" s="1" t="n">
        <x:v>18</x:v>
      </x:c>
      <x:c r="C1238" s="1" t="n">
        <x:v>18</x:v>
      </x:c>
      <x:c r="D1238" s="6" t="n">
        <x:v>15610</x:v>
      </x:c>
      <x:c r="E1238" s="6" t="n">
        <x:v>0</x:v>
      </x:c>
      <x:c r="F1238" s="6" t="n">
        <x:v>0</x:v>
      </x:c>
      <x:c r="G1238" s="6" t="n">
        <x:v>0</x:v>
      </x:c>
      <x:c r="H1238" s="6" t="n">
        <x:v>-15610</x:v>
      </x:c>
    </x:row>
    <x:row r="1239" ht="21" customHeight="1">
      <x:c r="A1239" s="1" t="str">
        <x:v>C0012540</x:v>
      </x:c>
      <x:c r="B1239" s="1" t="n">
        <x:v>18</x:v>
      </x:c>
      <x:c r="C1239" s="1" t="n">
        <x:v>18</x:v>
      </x:c>
      <x:c r="D1239" s="6" t="n">
        <x:v>15610</x:v>
      </x:c>
      <x:c r="E1239" s="6" t="n">
        <x:v>0</x:v>
      </x:c>
      <x:c r="F1239" s="6" t="n">
        <x:v>0</x:v>
      </x:c>
      <x:c r="G1239" s="6" t="n">
        <x:v>0</x:v>
      </x:c>
      <x:c r="H1239" s="6" t="n">
        <x:v>-15610</x:v>
      </x:c>
    </x:row>
    <x:row r="1240" ht="21" customHeight="1">
      <x:c r="A1240" s="1" t="str">
        <x:v>C0004389</x:v>
      </x:c>
      <x:c r="B1240" s="1" t="n">
        <x:v>18</x:v>
      </x:c>
      <x:c r="C1240" s="1" t="n">
        <x:v>18</x:v>
      </x:c>
      <x:c r="D1240" s="6" t="n">
        <x:v>15610</x:v>
      </x:c>
      <x:c r="E1240" s="6" t="n">
        <x:v>31220</x:v>
      </x:c>
      <x:c r="F1240" s="6" t="n">
        <x:v>0</x:v>
      </x:c>
      <x:c r="G1240" s="6" t="n">
        <x:v>31220</x:v>
      </x:c>
      <x:c r="H1240" s="6" t="n">
        <x:v>15610</x:v>
      </x:c>
    </x:row>
    <x:row r="1241" ht="21" customHeight="1">
      <x:c r="A1241" s="1" t="str">
        <x:v>C0009158</x:v>
      </x:c>
      <x:c r="B1241" s="1" t="n">
        <x:v>18</x:v>
      </x:c>
      <x:c r="C1241" s="1" t="n">
        <x:v>18</x:v>
      </x:c>
      <x:c r="D1241" s="6" t="n">
        <x:v>15610</x:v>
      </x:c>
      <x:c r="E1241" s="6" t="n">
        <x:v>0</x:v>
      </x:c>
      <x:c r="F1241" s="6" t="n">
        <x:v>0</x:v>
      </x:c>
      <x:c r="G1241" s="6" t="n">
        <x:v>0</x:v>
      </x:c>
      <x:c r="H1241" s="6" t="n">
        <x:v>-15610</x:v>
      </x:c>
    </x:row>
    <x:row r="1242" ht="21" customHeight="1">
      <x:c r="A1242" s="1" t="str">
        <x:v>C0009462</x:v>
      </x:c>
      <x:c r="B1242" s="1" t="n">
        <x:v>18</x:v>
      </x:c>
      <x:c r="C1242" s="1" t="n">
        <x:v>18</x:v>
      </x:c>
      <x:c r="D1242" s="6" t="n">
        <x:v>15610</x:v>
      </x:c>
      <x:c r="E1242" s="6" t="n">
        <x:v>31220</x:v>
      </x:c>
      <x:c r="F1242" s="6" t="n">
        <x:v>0</x:v>
      </x:c>
      <x:c r="G1242" s="6" t="n">
        <x:v>31220</x:v>
      </x:c>
      <x:c r="H1242" s="6" t="n">
        <x:v>15610</x:v>
      </x:c>
    </x:row>
    <x:row r="1243" ht="21" customHeight="1">
      <x:c r="A1243" s="1" t="str">
        <x:v>C0014108</x:v>
      </x:c>
      <x:c r="B1243" s="1" t="n">
        <x:v>18</x:v>
      </x:c>
      <x:c r="C1243" s="1" t="n">
        <x:v>18</x:v>
      </x:c>
      <x:c r="D1243" s="6" t="n">
        <x:v>15610</x:v>
      </x:c>
      <x:c r="E1243" s="6" t="n">
        <x:v>0</x:v>
      </x:c>
      <x:c r="F1243" s="6" t="n">
        <x:v>0</x:v>
      </x:c>
      <x:c r="G1243" s="6" t="n">
        <x:v>0</x:v>
      </x:c>
      <x:c r="H1243" s="6" t="n">
        <x:v>-15610</x:v>
      </x:c>
    </x:row>
    <x:row r="1244" ht="21" customHeight="1">
      <x:c r="A1244" s="1" t="str">
        <x:v>C0005211</x:v>
      </x:c>
      <x:c r="B1244" s="1" t="n">
        <x:v>18</x:v>
      </x:c>
      <x:c r="C1244" s="1" t="n">
        <x:v>18</x:v>
      </x:c>
      <x:c r="D1244" s="6" t="n">
        <x:v>15610</x:v>
      </x:c>
      <x:c r="E1244" s="6" t="n">
        <x:v>31220</x:v>
      </x:c>
      <x:c r="F1244" s="6" t="n">
        <x:v>0</x:v>
      </x:c>
      <x:c r="G1244" s="6" t="n">
        <x:v>31220</x:v>
      </x:c>
      <x:c r="H1244" s="6" t="n">
        <x:v>15610</x:v>
      </x:c>
    </x:row>
    <x:row r="1245" ht="21" customHeight="1">
      <x:c r="A1245" s="1" t="str">
        <x:v>C0008913</x:v>
      </x:c>
      <x:c r="B1245" s="1" t="n">
        <x:v>4</x:v>
      </x:c>
      <x:c r="C1245" s="1" t="n">
        <x:v>34</x:v>
      </x:c>
      <x:c r="D1245" s="6" t="n">
        <x:v>15475</x:v>
      </x:c>
      <x:c r="E1245" s="6" t="n">
        <x:v>30950</x:v>
      </x:c>
      <x:c r="F1245" s="6" t="n">
        <x:v>0</x:v>
      </x:c>
      <x:c r="G1245" s="6" t="n">
        <x:v>30950</x:v>
      </x:c>
      <x:c r="H1245" s="6" t="n">
        <x:v>15475</x:v>
      </x:c>
    </x:row>
    <x:row r="1246" ht="21" customHeight="1">
      <x:c r="A1246" s="1" t="str">
        <x:v>C0015343</x:v>
      </x:c>
      <x:c r="B1246" s="1" t="n">
        <x:v>4</x:v>
      </x:c>
      <x:c r="C1246" s="1" t="n">
        <x:v>34</x:v>
      </x:c>
      <x:c r="D1246" s="6" t="n">
        <x:v>15475</x:v>
      </x:c>
      <x:c r="E1246" s="6" t="n">
        <x:v>0</x:v>
      </x:c>
      <x:c r="F1246" s="6" t="n">
        <x:v>0</x:v>
      </x:c>
      <x:c r="G1246" s="6" t="n">
        <x:v>0</x:v>
      </x:c>
      <x:c r="H1246" s="6" t="n">
        <x:v>-15475</x:v>
      </x:c>
    </x:row>
    <x:row r="1247" ht="21" customHeight="1">
      <x:c r="A1247" s="1" t="str">
        <x:v>C0006020</x:v>
      </x:c>
      <x:c r="B1247" s="1" t="n">
        <x:v>4</x:v>
      </x:c>
      <x:c r="C1247" s="1" t="n">
        <x:v>34</x:v>
      </x:c>
      <x:c r="D1247" s="6" t="n">
        <x:v>15475</x:v>
      </x:c>
      <x:c r="E1247" s="6" t="n">
        <x:v>0</x:v>
      </x:c>
      <x:c r="F1247" s="6" t="n">
        <x:v>0</x:v>
      </x:c>
      <x:c r="G1247" s="6" t="n">
        <x:v>0</x:v>
      </x:c>
      <x:c r="H1247" s="6" t="n">
        <x:v>-15475</x:v>
      </x:c>
    </x:row>
    <x:row r="1248" ht="21" customHeight="1">
      <x:c r="A1248" s="1" t="str">
        <x:v>C0014679</x:v>
      </x:c>
      <x:c r="B1248" s="1" t="n">
        <x:v>4</x:v>
      </x:c>
      <x:c r="C1248" s="1" t="n">
        <x:v>34</x:v>
      </x:c>
      <x:c r="D1248" s="6" t="n">
        <x:v>15475</x:v>
      </x:c>
      <x:c r="E1248" s="6" t="n">
        <x:v>30950</x:v>
      </x:c>
      <x:c r="F1248" s="6" t="n">
        <x:v>0</x:v>
      </x:c>
      <x:c r="G1248" s="6" t="n">
        <x:v>30950</x:v>
      </x:c>
      <x:c r="H1248" s="6" t="n">
        <x:v>15475</x:v>
      </x:c>
    </x:row>
    <x:row r="1249" ht="21" customHeight="1">
      <x:c r="A1249" s="1" t="str">
        <x:v>C0002335</x:v>
      </x:c>
      <x:c r="B1249" s="1" t="n">
        <x:v>4</x:v>
      </x:c>
      <x:c r="C1249" s="1" t="n">
        <x:v>34</x:v>
      </x:c>
      <x:c r="D1249" s="6" t="n">
        <x:v>15475</x:v>
      </x:c>
      <x:c r="E1249" s="6" t="n">
        <x:v>0</x:v>
      </x:c>
      <x:c r="F1249" s="6" t="n">
        <x:v>0</x:v>
      </x:c>
      <x:c r="G1249" s="6" t="n">
        <x:v>0</x:v>
      </x:c>
      <x:c r="H1249" s="6" t="n">
        <x:v>-15475</x:v>
      </x:c>
    </x:row>
    <x:row r="1250" ht="21" customHeight="1">
      <x:c r="A1250" s="1" t="str">
        <x:v>C0006454</x:v>
      </x:c>
      <x:c r="B1250" s="1" t="n">
        <x:v>4</x:v>
      </x:c>
      <x:c r="C1250" s="1" t="n">
        <x:v>34</x:v>
      </x:c>
      <x:c r="D1250" s="6" t="n">
        <x:v>15475</x:v>
      </x:c>
      <x:c r="E1250" s="6" t="n">
        <x:v>0</x:v>
      </x:c>
      <x:c r="F1250" s="6" t="n">
        <x:v>0</x:v>
      </x:c>
      <x:c r="G1250" s="6" t="n">
        <x:v>0</x:v>
      </x:c>
      <x:c r="H1250" s="6" t="n">
        <x:v>-15475</x:v>
      </x:c>
    </x:row>
    <x:row r="1251" ht="21" customHeight="1">
      <x:c r="A1251" s="1" t="str">
        <x:v>C0005161</x:v>
      </x:c>
      <x:c r="B1251" s="1" t="n">
        <x:v>4</x:v>
      </x:c>
      <x:c r="C1251" s="1" t="n">
        <x:v>34</x:v>
      </x:c>
      <x:c r="D1251" s="6" t="n">
        <x:v>15475</x:v>
      </x:c>
      <x:c r="E1251" s="6" t="n">
        <x:v>0</x:v>
      </x:c>
      <x:c r="F1251" s="6" t="n">
        <x:v>0</x:v>
      </x:c>
      <x:c r="G1251" s="6" t="n">
        <x:v>0</x:v>
      </x:c>
      <x:c r="H1251" s="6" t="n">
        <x:v>-15475</x:v>
      </x:c>
    </x:row>
    <x:row r="1252" ht="21" customHeight="1">
      <x:c r="A1252" s="1" t="str">
        <x:v>C0016964</x:v>
      </x:c>
      <x:c r="B1252" s="1" t="n">
        <x:v>4</x:v>
      </x:c>
      <x:c r="C1252" s="1" t="n">
        <x:v>34</x:v>
      </x:c>
      <x:c r="D1252" s="6" t="n">
        <x:v>15475</x:v>
      </x:c>
      <x:c r="E1252" s="6" t="n">
        <x:v>0</x:v>
      </x:c>
      <x:c r="F1252" s="6" t="n">
        <x:v>0</x:v>
      </x:c>
      <x:c r="G1252" s="6" t="n">
        <x:v>0</x:v>
      </x:c>
      <x:c r="H1252" s="6" t="n">
        <x:v>-15475</x:v>
      </x:c>
    </x:row>
    <x:row r="1253" ht="21" customHeight="1">
      <x:c r="A1253" s="1" t="str">
        <x:v>C0009834</x:v>
      </x:c>
      <x:c r="B1253" s="1" t="n">
        <x:v>18</x:v>
      </x:c>
      <x:c r="C1253" s="1" t="n">
        <x:v>18</x:v>
      </x:c>
      <x:c r="D1253" s="6" t="n">
        <x:v>15413</x:v>
      </x:c>
      <x:c r="E1253" s="6" t="n">
        <x:v>0</x:v>
      </x:c>
      <x:c r="F1253" s="6" t="n">
        <x:v>0</x:v>
      </x:c>
      <x:c r="G1253" s="6" t="n">
        <x:v>0</x:v>
      </x:c>
      <x:c r="H1253" s="6" t="n">
        <x:v>-15413</x:v>
      </x:c>
    </x:row>
    <x:row r="1254" ht="21" customHeight="1">
      <x:c r="A1254" s="1" t="str">
        <x:v>C0000839</x:v>
      </x:c>
      <x:c r="B1254" s="1" t="n">
        <x:v>18</x:v>
      </x:c>
      <x:c r="C1254" s="1" t="n">
        <x:v>18</x:v>
      </x:c>
      <x:c r="D1254" s="6" t="n">
        <x:v>15413</x:v>
      </x:c>
      <x:c r="E1254" s="6" t="n">
        <x:v>0</x:v>
      </x:c>
      <x:c r="F1254" s="6" t="n">
        <x:v>0</x:v>
      </x:c>
      <x:c r="G1254" s="6" t="n">
        <x:v>0</x:v>
      </x:c>
      <x:c r="H1254" s="6" t="n">
        <x:v>-15413</x:v>
      </x:c>
    </x:row>
    <x:row r="1255" ht="21" customHeight="1">
      <x:c r="A1255" s="1" t="str">
        <x:v>C0001991</x:v>
      </x:c>
      <x:c r="B1255" s="1" t="n">
        <x:v>18</x:v>
      </x:c>
      <x:c r="C1255" s="1" t="n">
        <x:v>18</x:v>
      </x:c>
      <x:c r="D1255" s="6" t="n">
        <x:v>0</x:v>
      </x:c>
      <x:c r="E1255" s="6" t="n">
        <x:v>15413</x:v>
      </x:c>
      <x:c r="F1255" s="6" t="n">
        <x:v>0</x:v>
      </x:c>
      <x:c r="G1255" s="6" t="n">
        <x:v>15413</x:v>
      </x:c>
      <x:c r="H1255" s="6" t="n">
        <x:v>15413</x:v>
      </x:c>
    </x:row>
    <x:row r="1256" ht="21" customHeight="1">
      <x:c r="A1256" s="1" t="str">
        <x:v>C0008129</x:v>
      </x:c>
      <x:c r="B1256" s="1" t="n">
        <x:v>18</x:v>
      </x:c>
      <x:c r="C1256" s="1" t="n">
        <x:v>18</x:v>
      </x:c>
      <x:c r="D1256" s="6" t="n">
        <x:v>15413</x:v>
      </x:c>
      <x:c r="E1256" s="6" t="n">
        <x:v>30826</x:v>
      </x:c>
      <x:c r="F1256" s="6" t="n">
        <x:v>0</x:v>
      </x:c>
      <x:c r="G1256" s="6" t="n">
        <x:v>30826</x:v>
      </x:c>
      <x:c r="H1256" s="6" t="n">
        <x:v>15413</x:v>
      </x:c>
    </x:row>
    <x:row r="1257" ht="21" customHeight="1">
      <x:c r="A1257" s="1" t="str">
        <x:v>C0006122</x:v>
      </x:c>
      <x:c r="B1257" s="1" t="n">
        <x:v>18</x:v>
      </x:c>
      <x:c r="C1257" s="1" t="n">
        <x:v>18</x:v>
      </x:c>
      <x:c r="D1257" s="6" t="n">
        <x:v>15413</x:v>
      </x:c>
      <x:c r="E1257" s="6" t="n">
        <x:v>30826</x:v>
      </x:c>
      <x:c r="F1257" s="6" t="n">
        <x:v>0</x:v>
      </x:c>
      <x:c r="G1257" s="6" t="n">
        <x:v>30826</x:v>
      </x:c>
      <x:c r="H1257" s="6" t="n">
        <x:v>15413</x:v>
      </x:c>
    </x:row>
    <x:row r="1258" ht="21" customHeight="1">
      <x:c r="A1258" s="1" t="str">
        <x:v>C0006589</x:v>
      </x:c>
      <x:c r="B1258" s="1" t="n">
        <x:v>18</x:v>
      </x:c>
      <x:c r="C1258" s="1" t="n">
        <x:v>18</x:v>
      </x:c>
      <x:c r="D1258" s="6" t="n">
        <x:v>15413</x:v>
      </x:c>
      <x:c r="E1258" s="6" t="n">
        <x:v>30826</x:v>
      </x:c>
      <x:c r="F1258" s="6" t="n">
        <x:v>0</x:v>
      </x:c>
      <x:c r="G1258" s="6" t="n">
        <x:v>30826</x:v>
      </x:c>
      <x:c r="H1258" s="6" t="n">
        <x:v>15413</x:v>
      </x:c>
    </x:row>
    <x:row r="1259" ht="21" customHeight="1">
      <x:c r="A1259" s="1" t="str">
        <x:v>C0014251</x:v>
      </x:c>
      <x:c r="B1259" s="1" t="n">
        <x:v>18</x:v>
      </x:c>
      <x:c r="C1259" s="1" t="n">
        <x:v>18</x:v>
      </x:c>
      <x:c r="D1259" s="6" t="n">
        <x:v>15413</x:v>
      </x:c>
      <x:c r="E1259" s="6" t="n">
        <x:v>0</x:v>
      </x:c>
      <x:c r="F1259" s="6" t="n">
        <x:v>0</x:v>
      </x:c>
      <x:c r="G1259" s="6" t="n">
        <x:v>0</x:v>
      </x:c>
      <x:c r="H1259" s="6" t="n">
        <x:v>-15413</x:v>
      </x:c>
    </x:row>
    <x:row r="1260" ht="21" customHeight="1">
      <x:c r="A1260" s="1" t="str">
        <x:v>C0017067</x:v>
      </x:c>
      <x:c r="B1260" s="1" t="n">
        <x:v>18</x:v>
      </x:c>
      <x:c r="C1260" s="1" t="n">
        <x:v>18</x:v>
      </x:c>
      <x:c r="D1260" s="6" t="n">
        <x:v>15413</x:v>
      </x:c>
      <x:c r="E1260" s="6" t="n">
        <x:v>0</x:v>
      </x:c>
      <x:c r="F1260" s="6" t="n">
        <x:v>0</x:v>
      </x:c>
      <x:c r="G1260" s="6" t="n">
        <x:v>0</x:v>
      </x:c>
      <x:c r="H1260" s="6" t="n">
        <x:v>-15413</x:v>
      </x:c>
    </x:row>
    <x:row r="1261" ht="21" customHeight="1">
      <x:c r="A1261" s="1" t="str">
        <x:v>C0010115</x:v>
      </x:c>
      <x:c r="B1261" s="1" t="n">
        <x:v>18</x:v>
      </x:c>
      <x:c r="C1261" s="1" t="n">
        <x:v>18</x:v>
      </x:c>
      <x:c r="D1261" s="6" t="n">
        <x:v>15413</x:v>
      </x:c>
      <x:c r="E1261" s="6" t="n">
        <x:v>30826</x:v>
      </x:c>
      <x:c r="F1261" s="6" t="n">
        <x:v>0</x:v>
      </x:c>
      <x:c r="G1261" s="6" t="n">
        <x:v>30826</x:v>
      </x:c>
      <x:c r="H1261" s="6" t="n">
        <x:v>15413</x:v>
      </x:c>
    </x:row>
    <x:row r="1262" ht="21" customHeight="1">
      <x:c r="A1262" s="1" t="str">
        <x:v>C0016569</x:v>
      </x:c>
      <x:c r="B1262" s="1" t="n">
        <x:v>18</x:v>
      </x:c>
      <x:c r="C1262" s="1" t="n">
        <x:v>18</x:v>
      </x:c>
      <x:c r="D1262" s="6" t="n">
        <x:v>15413</x:v>
      </x:c>
      <x:c r="E1262" s="6" t="n">
        <x:v>0</x:v>
      </x:c>
      <x:c r="F1262" s="6" t="n">
        <x:v>0</x:v>
      </x:c>
      <x:c r="G1262" s="6" t="n">
        <x:v>0</x:v>
      </x:c>
      <x:c r="H1262" s="6" t="n">
        <x:v>-15413</x:v>
      </x:c>
    </x:row>
    <x:row r="1263" ht="21" customHeight="1">
      <x:c r="A1263" s="1" t="str">
        <x:v>C0016804</x:v>
      </x:c>
      <x:c r="B1263" s="1" t="n">
        <x:v>30</x:v>
      </x:c>
      <x:c r="C1263" s="1" t="n">
        <x:v>60</x:v>
      </x:c>
      <x:c r="D1263" s="6" t="n">
        <x:v>15406</x:v>
      </x:c>
      <x:c r="E1263" s="6" t="n">
        <x:v>0</x:v>
      </x:c>
      <x:c r="F1263" s="6" t="n">
        <x:v>0</x:v>
      </x:c>
      <x:c r="G1263" s="6" t="n">
        <x:v>0</x:v>
      </x:c>
      <x:c r="H1263" s="6" t="n">
        <x:v>-15406</x:v>
      </x:c>
    </x:row>
    <x:row r="1264" ht="21" customHeight="1">
      <x:c r="A1264" s="1" t="str">
        <x:v>C0011732</x:v>
      </x:c>
      <x:c r="B1264" s="1" t="n">
        <x:v>30</x:v>
      </x:c>
      <x:c r="C1264" s="1" t="n">
        <x:v>60</x:v>
      </x:c>
      <x:c r="D1264" s="6" t="n">
        <x:v>15406</x:v>
      </x:c>
      <x:c r="E1264" s="6" t="n">
        <x:v>0</x:v>
      </x:c>
      <x:c r="F1264" s="6" t="n">
        <x:v>0</x:v>
      </x:c>
      <x:c r="G1264" s="6" t="n">
        <x:v>0</x:v>
      </x:c>
      <x:c r="H1264" s="6" t="n">
        <x:v>-15406</x:v>
      </x:c>
    </x:row>
    <x:row r="1265" ht="21" customHeight="1">
      <x:c r="A1265" s="1" t="str">
        <x:v>C0015867</x:v>
      </x:c>
      <x:c r="B1265" s="1" t="n">
        <x:v>30</x:v>
      </x:c>
      <x:c r="C1265" s="1" t="n">
        <x:v>60</x:v>
      </x:c>
      <x:c r="D1265" s="6" t="n">
        <x:v>15406</x:v>
      </x:c>
      <x:c r="E1265" s="6" t="n">
        <x:v>30812</x:v>
      </x:c>
      <x:c r="F1265" s="6" t="n">
        <x:v>0</x:v>
      </x:c>
      <x:c r="G1265" s="6" t="n">
        <x:v>30812</x:v>
      </x:c>
      <x:c r="H1265" s="6" t="n">
        <x:v>15406</x:v>
      </x:c>
    </x:row>
    <x:row r="1266" ht="21" customHeight="1">
      <x:c r="A1266" s="1" t="str">
        <x:v>C0003552</x:v>
      </x:c>
      <x:c r="B1266" s="1" t="n">
        <x:v>30</x:v>
      </x:c>
      <x:c r="C1266" s="1" t="n">
        <x:v>60</x:v>
      </x:c>
      <x:c r="D1266" s="6" t="n">
        <x:v>15406</x:v>
      </x:c>
      <x:c r="E1266" s="6" t="n">
        <x:v>30812</x:v>
      </x:c>
      <x:c r="F1266" s="6" t="n">
        <x:v>0</x:v>
      </x:c>
      <x:c r="G1266" s="6" t="n">
        <x:v>30812</x:v>
      </x:c>
      <x:c r="H1266" s="6" t="n">
        <x:v>15406</x:v>
      </x:c>
    </x:row>
    <x:row r="1267" ht="21" customHeight="1">
      <x:c r="A1267" s="1" t="str">
        <x:v>C0014315</x:v>
      </x:c>
      <x:c r="B1267" s="1" t="n">
        <x:v>30</x:v>
      </x:c>
      <x:c r="C1267" s="1" t="n">
        <x:v>60</x:v>
      </x:c>
      <x:c r="D1267" s="6" t="n">
        <x:v>15406</x:v>
      </x:c>
      <x:c r="E1267" s="6" t="n">
        <x:v>0</x:v>
      </x:c>
      <x:c r="F1267" s="6" t="n">
        <x:v>0</x:v>
      </x:c>
      <x:c r="G1267" s="6" t="n">
        <x:v>0</x:v>
      </x:c>
      <x:c r="H1267" s="6" t="n">
        <x:v>-15406</x:v>
      </x:c>
    </x:row>
    <x:row r="1268" ht="21" customHeight="1">
      <x:c r="A1268" s="1" t="str">
        <x:v>C0001297</x:v>
      </x:c>
      <x:c r="B1268" s="1" t="n">
        <x:v>30</x:v>
      </x:c>
      <x:c r="C1268" s="1" t="n">
        <x:v>60</x:v>
      </x:c>
      <x:c r="D1268" s="6" t="n">
        <x:v>15406</x:v>
      </x:c>
      <x:c r="E1268" s="6" t="n">
        <x:v>30812</x:v>
      </x:c>
      <x:c r="F1268" s="6" t="n">
        <x:v>0</x:v>
      </x:c>
      <x:c r="G1268" s="6" t="n">
        <x:v>30812</x:v>
      </x:c>
      <x:c r="H1268" s="6" t="n">
        <x:v>15406</x:v>
      </x:c>
    </x:row>
    <x:row r="1269" ht="21" customHeight="1">
      <x:c r="A1269" s="1" t="str">
        <x:v>C0000178</x:v>
      </x:c>
      <x:c r="B1269" s="1" t="n">
        <x:v>30</x:v>
      </x:c>
      <x:c r="C1269" s="1" t="n">
        <x:v>60</x:v>
      </x:c>
      <x:c r="D1269" s="6" t="n">
        <x:v>15406</x:v>
      </x:c>
      <x:c r="E1269" s="6" t="n">
        <x:v>30812</x:v>
      </x:c>
      <x:c r="F1269" s="6" t="n">
        <x:v>0</x:v>
      </x:c>
      <x:c r="G1269" s="6" t="n">
        <x:v>30812</x:v>
      </x:c>
      <x:c r="H1269" s="6" t="n">
        <x:v>15406</x:v>
      </x:c>
    </x:row>
    <x:row r="1270" ht="21" customHeight="1">
      <x:c r="A1270" s="1" t="str">
        <x:v>C0011717</x:v>
      </x:c>
      <x:c r="B1270" s="1" t="n">
        <x:v>30</x:v>
      </x:c>
      <x:c r="C1270" s="1" t="n">
        <x:v>60</x:v>
      </x:c>
      <x:c r="D1270" s="6" t="n">
        <x:v>15386</x:v>
      </x:c>
      <x:c r="E1270" s="6" t="n">
        <x:v>30772</x:v>
      </x:c>
      <x:c r="F1270" s="6" t="n">
        <x:v>0</x:v>
      </x:c>
      <x:c r="G1270" s="6" t="n">
        <x:v>30772</x:v>
      </x:c>
      <x:c r="H1270" s="6" t="n">
        <x:v>15386</x:v>
      </x:c>
    </x:row>
    <x:row r="1271" ht="21" customHeight="1">
      <x:c r="A1271" s="1" t="str">
        <x:v>C0003818</x:v>
      </x:c>
      <x:c r="B1271" s="1" t="n">
        <x:v>30</x:v>
      </x:c>
      <x:c r="C1271" s="1" t="n">
        <x:v>60</x:v>
      </x:c>
      <x:c r="D1271" s="6" t="n">
        <x:v>15386</x:v>
      </x:c>
      <x:c r="E1271" s="6" t="n">
        <x:v>0</x:v>
      </x:c>
      <x:c r="F1271" s="6" t="n">
        <x:v>0</x:v>
      </x:c>
      <x:c r="G1271" s="6" t="n">
        <x:v>0</x:v>
      </x:c>
      <x:c r="H1271" s="6" t="n">
        <x:v>-15386</x:v>
      </x:c>
    </x:row>
    <x:row r="1272" ht="21" customHeight="1">
      <x:c r="A1272" s="1" t="str">
        <x:v>C0000179</x:v>
      </x:c>
      <x:c r="B1272" s="1" t="n">
        <x:v>30</x:v>
      </x:c>
      <x:c r="C1272" s="1" t="n">
        <x:v>60</x:v>
      </x:c>
      <x:c r="D1272" s="6" t="n">
        <x:v>15386</x:v>
      </x:c>
      <x:c r="E1272" s="6" t="n">
        <x:v>0</x:v>
      </x:c>
      <x:c r="F1272" s="6" t="n">
        <x:v>0</x:v>
      </x:c>
      <x:c r="G1272" s="6" t="n">
        <x:v>0</x:v>
      </x:c>
      <x:c r="H1272" s="6" t="n">
        <x:v>-15386</x:v>
      </x:c>
    </x:row>
    <x:row r="1273" ht="21" customHeight="1">
      <x:c r="A1273" s="1" t="str">
        <x:v>C0008961</x:v>
      </x:c>
      <x:c r="B1273" s="1" t="n">
        <x:v>30</x:v>
      </x:c>
      <x:c r="C1273" s="1" t="n">
        <x:v>60</x:v>
      </x:c>
      <x:c r="D1273" s="6" t="n">
        <x:v>0</x:v>
      </x:c>
      <x:c r="E1273" s="6" t="n">
        <x:v>15386</x:v>
      </x:c>
      <x:c r="F1273" s="6" t="n">
        <x:v>0</x:v>
      </x:c>
      <x:c r="G1273" s="6" t="n">
        <x:v>15386</x:v>
      </x:c>
      <x:c r="H1273" s="6" t="n">
        <x:v>15386</x:v>
      </x:c>
    </x:row>
    <x:row r="1274" ht="21" customHeight="1">
      <x:c r="A1274" s="1" t="str">
        <x:v>C0013453</x:v>
      </x:c>
      <x:c r="B1274" s="1" t="n">
        <x:v>23</x:v>
      </x:c>
      <x:c r="C1274" s="1" t="n">
        <x:v>113</x:v>
      </x:c>
      <x:c r="D1274" s="6" t="n">
        <x:v>0</x:v>
      </x:c>
      <x:c r="E1274" s="6" t="n">
        <x:v>15353</x:v>
      </x:c>
      <x:c r="F1274" s="6" t="n">
        <x:v>0</x:v>
      </x:c>
      <x:c r="G1274" s="6" t="n">
        <x:v>15353</x:v>
      </x:c>
      <x:c r="H1274" s="6" t="n">
        <x:v>15353</x:v>
      </x:c>
    </x:row>
    <x:row r="1275" ht="21" customHeight="1">
      <x:c r="A1275" s="1" t="str">
        <x:v>C0000609</x:v>
      </x:c>
      <x:c r="B1275" s="1" t="n">
        <x:v>23</x:v>
      </x:c>
      <x:c r="C1275" s="1" t="n">
        <x:v>113</x:v>
      </x:c>
      <x:c r="D1275" s="6" t="n">
        <x:v>15353</x:v>
      </x:c>
      <x:c r="E1275" s="6" t="n">
        <x:v>30706</x:v>
      </x:c>
      <x:c r="F1275" s="6" t="n">
        <x:v>0</x:v>
      </x:c>
      <x:c r="G1275" s="6" t="n">
        <x:v>30706</x:v>
      </x:c>
      <x:c r="H1275" s="6" t="n">
        <x:v>15353</x:v>
      </x:c>
    </x:row>
    <x:row r="1276" ht="21" customHeight="1">
      <x:c r="A1276" s="1" t="str">
        <x:v>C0004944</x:v>
      </x:c>
      <x:c r="B1276" s="1" t="n">
        <x:v>23</x:v>
      </x:c>
      <x:c r="C1276" s="1" t="n">
        <x:v>113</x:v>
      </x:c>
      <x:c r="D1276" s="6" t="n">
        <x:v>15353</x:v>
      </x:c>
      <x:c r="E1276" s="6" t="n">
        <x:v>0</x:v>
      </x:c>
      <x:c r="F1276" s="6" t="n">
        <x:v>0</x:v>
      </x:c>
      <x:c r="G1276" s="6" t="n">
        <x:v>0</x:v>
      </x:c>
      <x:c r="H1276" s="6" t="n">
        <x:v>-15353</x:v>
      </x:c>
    </x:row>
    <x:row r="1277" ht="21" customHeight="1">
      <x:c r="A1277" s="1" t="str">
        <x:v>C0001262</x:v>
      </x:c>
      <x:c r="B1277" s="1" t="n">
        <x:v>23</x:v>
      </x:c>
      <x:c r="C1277" s="1" t="n">
        <x:v>113</x:v>
      </x:c>
      <x:c r="D1277" s="6" t="n">
        <x:v>15353</x:v>
      </x:c>
      <x:c r="E1277" s="6" t="n">
        <x:v>0</x:v>
      </x:c>
      <x:c r="F1277" s="6" t="n">
        <x:v>0</x:v>
      </x:c>
      <x:c r="G1277" s="6" t="n">
        <x:v>0</x:v>
      </x:c>
      <x:c r="H1277" s="6" t="n">
        <x:v>-15353</x:v>
      </x:c>
    </x:row>
    <x:row r="1278" ht="21" customHeight="1">
      <x:c r="A1278" s="1" t="str">
        <x:v>C0013585</x:v>
      </x:c>
      <x:c r="B1278" s="1" t="n">
        <x:v>23</x:v>
      </x:c>
      <x:c r="C1278" s="1" t="n">
        <x:v>113</x:v>
      </x:c>
      <x:c r="D1278" s="6" t="n">
        <x:v>15353</x:v>
      </x:c>
      <x:c r="E1278" s="6" t="n">
        <x:v>30706</x:v>
      </x:c>
      <x:c r="F1278" s="6" t="n">
        <x:v>0</x:v>
      </x:c>
      <x:c r="G1278" s="6" t="n">
        <x:v>30706</x:v>
      </x:c>
      <x:c r="H1278" s="6" t="n">
        <x:v>15353</x:v>
      </x:c>
    </x:row>
    <x:row r="1279" ht="21" customHeight="1">
      <x:c r="A1279" s="1" t="str">
        <x:v>C0014917</x:v>
      </x:c>
      <x:c r="B1279" s="1" t="n">
        <x:v>23</x:v>
      </x:c>
      <x:c r="C1279" s="1" t="n">
        <x:v>113</x:v>
      </x:c>
      <x:c r="D1279" s="6" t="n">
        <x:v>15353</x:v>
      </x:c>
      <x:c r="E1279" s="6" t="n">
        <x:v>0</x:v>
      </x:c>
      <x:c r="F1279" s="6" t="n">
        <x:v>0</x:v>
      </x:c>
      <x:c r="G1279" s="6" t="n">
        <x:v>0</x:v>
      </x:c>
      <x:c r="H1279" s="6" t="n">
        <x:v>-15353</x:v>
      </x:c>
    </x:row>
    <x:row r="1280" ht="21" customHeight="1">
      <x:c r="A1280" s="1" t="str">
        <x:v>C0008231</x:v>
      </x:c>
      <x:c r="B1280" s="1" t="n">
        <x:v>23</x:v>
      </x:c>
      <x:c r="C1280" s="1" t="n">
        <x:v>113</x:v>
      </x:c>
      <x:c r="D1280" s="6" t="n">
        <x:v>15353</x:v>
      </x:c>
      <x:c r="E1280" s="6" t="n">
        <x:v>0</x:v>
      </x:c>
      <x:c r="F1280" s="6" t="n">
        <x:v>0</x:v>
      </x:c>
      <x:c r="G1280" s="6" t="n">
        <x:v>0</x:v>
      </x:c>
      <x:c r="H1280" s="6" t="n">
        <x:v>-15353</x:v>
      </x:c>
    </x:row>
    <x:row r="1281" ht="21" customHeight="1">
      <x:c r="A1281" s="1" t="str">
        <x:v>C0010814</x:v>
      </x:c>
      <x:c r="B1281" s="1" t="n">
        <x:v>23</x:v>
      </x:c>
      <x:c r="C1281" s="1" t="n">
        <x:v>113</x:v>
      </x:c>
      <x:c r="D1281" s="6" t="n">
        <x:v>15353</x:v>
      </x:c>
      <x:c r="E1281" s="6" t="n">
        <x:v>0</x:v>
      </x:c>
      <x:c r="F1281" s="6" t="n">
        <x:v>0</x:v>
      </x:c>
      <x:c r="G1281" s="6" t="n">
        <x:v>0</x:v>
      </x:c>
      <x:c r="H1281" s="6" t="n">
        <x:v>-15353</x:v>
      </x:c>
    </x:row>
    <x:row r="1282" ht="21" customHeight="1">
      <x:c r="A1282" s="1" t="str">
        <x:v>C0011617</x:v>
      </x:c>
      <x:c r="B1282" s="1" t="n">
        <x:v>23</x:v>
      </x:c>
      <x:c r="C1282" s="1" t="n">
        <x:v>113</x:v>
      </x:c>
      <x:c r="D1282" s="6" t="n">
        <x:v>15353</x:v>
      </x:c>
      <x:c r="E1282" s="6" t="n">
        <x:v>0</x:v>
      </x:c>
      <x:c r="F1282" s="6" t="n">
        <x:v>0</x:v>
      </x:c>
      <x:c r="G1282" s="6" t="n">
        <x:v>0</x:v>
      </x:c>
      <x:c r="H1282" s="6" t="n">
        <x:v>-15353</x:v>
      </x:c>
    </x:row>
    <x:row r="1283" ht="21" customHeight="1">
      <x:c r="A1283" s="1" t="str">
        <x:v>C0004859</x:v>
      </x:c>
      <x:c r="B1283" s="1" t="n">
        <x:v>10</x:v>
      </x:c>
      <x:c r="C1283" s="1" t="n">
        <x:v>40</x:v>
      </x:c>
      <x:c r="D1283" s="6" t="n">
        <x:v>15284</x:v>
      </x:c>
      <x:c r="E1283" s="6" t="n">
        <x:v>30568</x:v>
      </x:c>
      <x:c r="F1283" s="6" t="n">
        <x:v>0</x:v>
      </x:c>
      <x:c r="G1283" s="6" t="n">
        <x:v>30568</x:v>
      </x:c>
      <x:c r="H1283" s="6" t="n">
        <x:v>15284</x:v>
      </x:c>
    </x:row>
    <x:row r="1284" ht="21" customHeight="1">
      <x:c r="A1284" s="1" t="str">
        <x:v>C0000667</x:v>
      </x:c>
      <x:c r="B1284" s="1" t="n">
        <x:v>10</x:v>
      </x:c>
      <x:c r="C1284" s="1" t="n">
        <x:v>40</x:v>
      </x:c>
      <x:c r="D1284" s="6" t="n">
        <x:v>15284</x:v>
      </x:c>
      <x:c r="E1284" s="6" t="n">
        <x:v>30568</x:v>
      </x:c>
      <x:c r="F1284" s="6" t="n">
        <x:v>0</x:v>
      </x:c>
      <x:c r="G1284" s="6" t="n">
        <x:v>30568</x:v>
      </x:c>
      <x:c r="H1284" s="6" t="n">
        <x:v>15284</x:v>
      </x:c>
    </x:row>
    <x:row r="1285" ht="21" customHeight="1">
      <x:c r="A1285" s="1" t="str">
        <x:v>C0004358</x:v>
      </x:c>
      <x:c r="B1285" s="1" t="n">
        <x:v>10</x:v>
      </x:c>
      <x:c r="C1285" s="1" t="n">
        <x:v>40</x:v>
      </x:c>
      <x:c r="D1285" s="6" t="n">
        <x:v>15284</x:v>
      </x:c>
      <x:c r="E1285" s="6" t="n">
        <x:v>30568</x:v>
      </x:c>
      <x:c r="F1285" s="6" t="n">
        <x:v>0</x:v>
      </x:c>
      <x:c r="G1285" s="6" t="n">
        <x:v>30568</x:v>
      </x:c>
      <x:c r="H1285" s="6" t="n">
        <x:v>15284</x:v>
      </x:c>
    </x:row>
    <x:row r="1286" ht="21" customHeight="1">
      <x:c r="A1286" s="1" t="str">
        <x:v>C0001241</x:v>
      </x:c>
      <x:c r="B1286" s="1" t="n">
        <x:v>10</x:v>
      </x:c>
      <x:c r="C1286" s="1" t="n">
        <x:v>40</x:v>
      </x:c>
      <x:c r="D1286" s="6" t="n">
        <x:v>15284</x:v>
      </x:c>
      <x:c r="E1286" s="6" t="n">
        <x:v>30568</x:v>
      </x:c>
      <x:c r="F1286" s="6" t="n">
        <x:v>0</x:v>
      </x:c>
      <x:c r="G1286" s="6" t="n">
        <x:v>30568</x:v>
      </x:c>
      <x:c r="H1286" s="6" t="n">
        <x:v>15284</x:v>
      </x:c>
    </x:row>
    <x:row r="1287" ht="21" customHeight="1">
      <x:c r="A1287" s="1" t="str">
        <x:v>C0007246</x:v>
      </x:c>
      <x:c r="B1287" s="1" t="n">
        <x:v>10</x:v>
      </x:c>
      <x:c r="C1287" s="1" t="n">
        <x:v>40</x:v>
      </x:c>
      <x:c r="D1287" s="6" t="n">
        <x:v>15284</x:v>
      </x:c>
      <x:c r="E1287" s="6" t="n">
        <x:v>0</x:v>
      </x:c>
      <x:c r="F1287" s="6" t="n">
        <x:v>0</x:v>
      </x:c>
      <x:c r="G1287" s="6" t="n">
        <x:v>0</x:v>
      </x:c>
      <x:c r="H1287" s="6" t="n">
        <x:v>-15284</x:v>
      </x:c>
    </x:row>
    <x:row r="1288" ht="21" customHeight="1">
      <x:c r="A1288" s="1" t="str">
        <x:v>C0015320</x:v>
      </x:c>
      <x:c r="B1288" s="1" t="n">
        <x:v>1</x:v>
      </x:c>
      <x:c r="C1288" s="1" t="n">
        <x:v>1</x:v>
      </x:c>
      <x:c r="D1288" s="6" t="n">
        <x:v>15265</x:v>
      </x:c>
      <x:c r="E1288" s="6" t="n">
        <x:v>30530</x:v>
      </x:c>
      <x:c r="F1288" s="6" t="n">
        <x:v>0</x:v>
      </x:c>
      <x:c r="G1288" s="6" t="n">
        <x:v>30530</x:v>
      </x:c>
      <x:c r="H1288" s="6" t="n">
        <x:v>15265</x:v>
      </x:c>
    </x:row>
    <x:row r="1289" ht="21" customHeight="1">
      <x:c r="A1289" s="1" t="str">
        <x:v>C0016166</x:v>
      </x:c>
      <x:c r="B1289" s="1" t="n">
        <x:v>1</x:v>
      </x:c>
      <x:c r="C1289" s="1" t="n">
        <x:v>1</x:v>
      </x:c>
      <x:c r="D1289" s="6" t="n">
        <x:v>15265</x:v>
      </x:c>
      <x:c r="E1289" s="6" t="n">
        <x:v>0</x:v>
      </x:c>
      <x:c r="F1289" s="6" t="n">
        <x:v>0</x:v>
      </x:c>
      <x:c r="G1289" s="6" t="n">
        <x:v>0</x:v>
      </x:c>
      <x:c r="H1289" s="6" t="n">
        <x:v>-15265</x:v>
      </x:c>
    </x:row>
    <x:row r="1290" ht="21" customHeight="1">
      <x:c r="A1290" s="1" t="str">
        <x:v>C0010643</x:v>
      </x:c>
      <x:c r="B1290" s="1" t="n">
        <x:v>1</x:v>
      </x:c>
      <x:c r="C1290" s="1" t="n">
        <x:v>1</x:v>
      </x:c>
      <x:c r="D1290" s="6" t="n">
        <x:v>15265</x:v>
      </x:c>
      <x:c r="E1290" s="6" t="n">
        <x:v>30530</x:v>
      </x:c>
      <x:c r="F1290" s="6" t="n">
        <x:v>0</x:v>
      </x:c>
      <x:c r="G1290" s="6" t="n">
        <x:v>30530</x:v>
      </x:c>
      <x:c r="H1290" s="6" t="n">
        <x:v>15265</x:v>
      </x:c>
    </x:row>
    <x:row r="1291" ht="21" customHeight="1">
      <x:c r="A1291" s="1" t="str">
        <x:v>C0003205</x:v>
      </x:c>
      <x:c r="B1291" s="1" t="n">
        <x:v>1</x:v>
      </x:c>
      <x:c r="C1291" s="1" t="n">
        <x:v>1</x:v>
      </x:c>
      <x:c r="D1291" s="6" t="n">
        <x:v>0</x:v>
      </x:c>
      <x:c r="E1291" s="6" t="n">
        <x:v>15265</x:v>
      </x:c>
      <x:c r="F1291" s="6" t="n">
        <x:v>0</x:v>
      </x:c>
      <x:c r="G1291" s="6" t="n">
        <x:v>15265</x:v>
      </x:c>
      <x:c r="H1291" s="6" t="n">
        <x:v>15265</x:v>
      </x:c>
    </x:row>
    <x:row r="1292" ht="21" customHeight="1">
      <x:c r="A1292" s="1" t="str">
        <x:v>C0005246</x:v>
      </x:c>
      <x:c r="B1292" s="1" t="n">
        <x:v>1</x:v>
      </x:c>
      <x:c r="C1292" s="1" t="n">
        <x:v>1</x:v>
      </x:c>
      <x:c r="D1292" s="6" t="n">
        <x:v>15265</x:v>
      </x:c>
      <x:c r="E1292" s="6" t="n">
        <x:v>30530</x:v>
      </x:c>
      <x:c r="F1292" s="6" t="n">
        <x:v>0</x:v>
      </x:c>
      <x:c r="G1292" s="6" t="n">
        <x:v>30530</x:v>
      </x:c>
      <x:c r="H1292" s="6" t="n">
        <x:v>15265</x:v>
      </x:c>
    </x:row>
    <x:row r="1293" ht="21" customHeight="1">
      <x:c r="A1293" s="1" t="str">
        <x:v>C0015404</x:v>
      </x:c>
      <x:c r="B1293" s="1" t="n">
        <x:v>1</x:v>
      </x:c>
      <x:c r="C1293" s="1" t="n">
        <x:v>1</x:v>
      </x:c>
      <x:c r="D1293" s="6" t="n">
        <x:v>15265</x:v>
      </x:c>
      <x:c r="E1293" s="6" t="n">
        <x:v>0</x:v>
      </x:c>
      <x:c r="F1293" s="6" t="n">
        <x:v>0</x:v>
      </x:c>
      <x:c r="G1293" s="6" t="n">
        <x:v>0</x:v>
      </x:c>
      <x:c r="H1293" s="6" t="n">
        <x:v>-15265</x:v>
      </x:c>
    </x:row>
    <x:row r="1294" ht="21" customHeight="1">
      <x:c r="A1294" s="1" t="str">
        <x:v>C0009107</x:v>
      </x:c>
      <x:c r="B1294" s="1" t="n">
        <x:v>1</x:v>
      </x:c>
      <x:c r="C1294" s="1" t="n">
        <x:v>1</x:v>
      </x:c>
      <x:c r="D1294" s="6" t="n">
        <x:v>15265</x:v>
      </x:c>
      <x:c r="E1294" s="6" t="n">
        <x:v>0</x:v>
      </x:c>
      <x:c r="F1294" s="6" t="n">
        <x:v>0</x:v>
      </x:c>
      <x:c r="G1294" s="6" t="n">
        <x:v>0</x:v>
      </x:c>
      <x:c r="H1294" s="6" t="n">
        <x:v>-15265</x:v>
      </x:c>
    </x:row>
    <x:row r="1295" ht="21" customHeight="1">
      <x:c r="A1295" s="1" t="str">
        <x:v>C0000522</x:v>
      </x:c>
      <x:c r="B1295" s="1" t="n">
        <x:v>1</x:v>
      </x:c>
      <x:c r="C1295" s="1" t="n">
        <x:v>1</x:v>
      </x:c>
      <x:c r="D1295" s="6" t="n">
        <x:v>15265</x:v>
      </x:c>
      <x:c r="E1295" s="6" t="n">
        <x:v>30530</x:v>
      </x:c>
      <x:c r="F1295" s="6" t="n">
        <x:v>0</x:v>
      </x:c>
      <x:c r="G1295" s="6" t="n">
        <x:v>30530</x:v>
      </x:c>
      <x:c r="H1295" s="6" t="n">
        <x:v>15265</x:v>
      </x:c>
    </x:row>
    <x:row r="1296" ht="21" customHeight="1">
      <x:c r="A1296" s="1" t="str">
        <x:v>C0013607</x:v>
      </x:c>
      <x:c r="B1296" s="1" t="n">
        <x:v>13</x:v>
      </x:c>
      <x:c r="C1296" s="1" t="n">
        <x:v>73</x:v>
      </x:c>
      <x:c r="D1296" s="6" t="n">
        <x:v>0</x:v>
      </x:c>
      <x:c r="E1296" s="6" t="n">
        <x:v>15164</x:v>
      </x:c>
      <x:c r="F1296" s="6" t="n">
        <x:v>0</x:v>
      </x:c>
      <x:c r="G1296" s="6" t="n">
        <x:v>15164</x:v>
      </x:c>
      <x:c r="H1296" s="6" t="n">
        <x:v>15164</x:v>
      </x:c>
    </x:row>
    <x:row r="1297" ht="21" customHeight="1">
      <x:c r="A1297" s="1" t="str">
        <x:v>C0004429</x:v>
      </x:c>
      <x:c r="B1297" s="1" t="n">
        <x:v>13</x:v>
      </x:c>
      <x:c r="C1297" s="1" t="n">
        <x:v>73</x:v>
      </x:c>
      <x:c r="D1297" s="6" t="n">
        <x:v>15164</x:v>
      </x:c>
      <x:c r="E1297" s="6" t="n">
        <x:v>30328</x:v>
      </x:c>
      <x:c r="F1297" s="6" t="n">
        <x:v>0</x:v>
      </x:c>
      <x:c r="G1297" s="6" t="n">
        <x:v>30328</x:v>
      </x:c>
      <x:c r="H1297" s="6" t="n">
        <x:v>15164</x:v>
      </x:c>
    </x:row>
    <x:row r="1298" ht="21" customHeight="1">
      <x:c r="A1298" s="1" t="str">
        <x:v>C0017225</x:v>
      </x:c>
      <x:c r="B1298" s="1" t="n">
        <x:v>13</x:v>
      </x:c>
      <x:c r="C1298" s="1" t="n">
        <x:v>73</x:v>
      </x:c>
      <x:c r="D1298" s="6" t="n">
        <x:v>15164</x:v>
      </x:c>
      <x:c r="E1298" s="6" t="n">
        <x:v>0</x:v>
      </x:c>
      <x:c r="F1298" s="6" t="n">
        <x:v>0</x:v>
      </x:c>
      <x:c r="G1298" s="6" t="n">
        <x:v>0</x:v>
      </x:c>
      <x:c r="H1298" s="6" t="n">
        <x:v>-15164</x:v>
      </x:c>
    </x:row>
    <x:row r="1299" ht="21" customHeight="1">
      <x:c r="A1299" s="1" t="str">
        <x:v>C0014748</x:v>
      </x:c>
      <x:c r="B1299" s="1" t="n">
        <x:v>13</x:v>
      </x:c>
      <x:c r="C1299" s="1" t="n">
        <x:v>73</x:v>
      </x:c>
      <x:c r="D1299" s="6" t="n">
        <x:v>15164</x:v>
      </x:c>
      <x:c r="E1299" s="6" t="n">
        <x:v>30328</x:v>
      </x:c>
      <x:c r="F1299" s="6" t="n">
        <x:v>0</x:v>
      </x:c>
      <x:c r="G1299" s="6" t="n">
        <x:v>30328</x:v>
      </x:c>
      <x:c r="H1299" s="6" t="n">
        <x:v>15164</x:v>
      </x:c>
    </x:row>
    <x:row r="1300" ht="21" customHeight="1">
      <x:c r="A1300" s="1" t="str">
        <x:v>C0011264</x:v>
      </x:c>
      <x:c r="B1300" s="1" t="n">
        <x:v>13</x:v>
      </x:c>
      <x:c r="C1300" s="1" t="n">
        <x:v>73</x:v>
      </x:c>
      <x:c r="D1300" s="6" t="n">
        <x:v>15164</x:v>
      </x:c>
      <x:c r="E1300" s="6" t="n">
        <x:v>30328</x:v>
      </x:c>
      <x:c r="F1300" s="6" t="n">
        <x:v>0</x:v>
      </x:c>
      <x:c r="G1300" s="6" t="n">
        <x:v>30328</x:v>
      </x:c>
      <x:c r="H1300" s="6" t="n">
        <x:v>15164</x:v>
      </x:c>
    </x:row>
    <x:row r="1301" ht="21" customHeight="1">
      <x:c r="A1301" s="1" t="str">
        <x:v>C0010715</x:v>
      </x:c>
      <x:c r="B1301" s="1" t="n">
        <x:v>13</x:v>
      </x:c>
      <x:c r="C1301" s="1" t="n">
        <x:v>73</x:v>
      </x:c>
      <x:c r="D1301" s="6" t="n">
        <x:v>0</x:v>
      </x:c>
      <x:c r="E1301" s="6" t="n">
        <x:v>15164</x:v>
      </x:c>
      <x:c r="F1301" s="6" t="n">
        <x:v>0</x:v>
      </x:c>
      <x:c r="G1301" s="6" t="n">
        <x:v>15164</x:v>
      </x:c>
      <x:c r="H1301" s="6" t="n">
        <x:v>15164</x:v>
      </x:c>
    </x:row>
    <x:row r="1302" ht="21" customHeight="1">
      <x:c r="A1302" s="1" t="str">
        <x:v>C0011468</x:v>
      </x:c>
      <x:c r="B1302" s="1" t="n">
        <x:v>13</x:v>
      </x:c>
      <x:c r="C1302" s="1" t="n">
        <x:v>73</x:v>
      </x:c>
      <x:c r="D1302" s="6" t="n">
        <x:v>0</x:v>
      </x:c>
      <x:c r="E1302" s="6" t="n">
        <x:v>15164</x:v>
      </x:c>
      <x:c r="F1302" s="6" t="n">
        <x:v>0</x:v>
      </x:c>
      <x:c r="G1302" s="6" t="n">
        <x:v>15164</x:v>
      </x:c>
      <x:c r="H1302" s="6" t="n">
        <x:v>15164</x:v>
      </x:c>
    </x:row>
    <x:row r="1303" ht="21" customHeight="1">
      <x:c r="A1303" s="1" t="str">
        <x:v>C0016408</x:v>
      </x:c>
      <x:c r="B1303" s="1" t="n">
        <x:v>13</x:v>
      </x:c>
      <x:c r="C1303" s="1" t="n">
        <x:v>73</x:v>
      </x:c>
      <x:c r="D1303" s="6" t="n">
        <x:v>15164</x:v>
      </x:c>
      <x:c r="E1303" s="6" t="n">
        <x:v>30328</x:v>
      </x:c>
      <x:c r="F1303" s="6" t="n">
        <x:v>0</x:v>
      </x:c>
      <x:c r="G1303" s="6" t="n">
        <x:v>30328</x:v>
      </x:c>
      <x:c r="H1303" s="6" t="n">
        <x:v>15164</x:v>
      </x:c>
    </x:row>
    <x:row r="1304" ht="21" customHeight="1">
      <x:c r="A1304" s="1" t="str">
        <x:v>C0009396</x:v>
      </x:c>
      <x:c r="B1304" s="1" t="n">
        <x:v>13</x:v>
      </x:c>
      <x:c r="C1304" s="1" t="n">
        <x:v>73</x:v>
      </x:c>
      <x:c r="D1304" s="6" t="n">
        <x:v>15164</x:v>
      </x:c>
      <x:c r="E1304" s="6" t="n">
        <x:v>30328</x:v>
      </x:c>
      <x:c r="F1304" s="6" t="n">
        <x:v>0</x:v>
      </x:c>
      <x:c r="G1304" s="6" t="n">
        <x:v>30328</x:v>
      </x:c>
      <x:c r="H1304" s="6" t="n">
        <x:v>15164</x:v>
      </x:c>
    </x:row>
    <x:row r="1305" ht="21" customHeight="1">
      <x:c r="A1305" s="1" t="str">
        <x:v>C0002909</x:v>
      </x:c>
      <x:c r="B1305" s="1" t="n">
        <x:v>13</x:v>
      </x:c>
      <x:c r="C1305" s="1" t="n">
        <x:v>73</x:v>
      </x:c>
      <x:c r="D1305" s="6" t="n">
        <x:v>15164</x:v>
      </x:c>
      <x:c r="E1305" s="6" t="n">
        <x:v>0</x:v>
      </x:c>
      <x:c r="F1305" s="6" t="n">
        <x:v>0</x:v>
      </x:c>
      <x:c r="G1305" s="6" t="n">
        <x:v>0</x:v>
      </x:c>
      <x:c r="H1305" s="6" t="n">
        <x:v>-15164</x:v>
      </x:c>
    </x:row>
    <x:row r="1306" ht="21" customHeight="1">
      <x:c r="A1306" s="1" t="str">
        <x:v>C0004288</x:v>
      </x:c>
      <x:c r="B1306" s="1" t="n">
        <x:v>13</x:v>
      </x:c>
      <x:c r="C1306" s="1" t="n">
        <x:v>73</x:v>
      </x:c>
      <x:c r="D1306" s="6" t="n">
        <x:v>0</x:v>
      </x:c>
      <x:c r="E1306" s="6" t="n">
        <x:v>15164</x:v>
      </x:c>
      <x:c r="F1306" s="6" t="n">
        <x:v>0</x:v>
      </x:c>
      <x:c r="G1306" s="6" t="n">
        <x:v>15164</x:v>
      </x:c>
      <x:c r="H1306" s="6" t="n">
        <x:v>15164</x:v>
      </x:c>
    </x:row>
    <x:row r="1307" ht="21" customHeight="1">
      <x:c r="A1307" s="1" t="str">
        <x:v>C0002130</x:v>
      </x:c>
      <x:c r="B1307" s="1" t="n">
        <x:v>13</x:v>
      </x:c>
      <x:c r="C1307" s="1" t="n">
        <x:v>73</x:v>
      </x:c>
      <x:c r="D1307" s="6" t="n">
        <x:v>15164</x:v>
      </x:c>
      <x:c r="E1307" s="6" t="n">
        <x:v>0</x:v>
      </x:c>
      <x:c r="F1307" s="6" t="n">
        <x:v>0</x:v>
      </x:c>
      <x:c r="G1307" s="6" t="n">
        <x:v>0</x:v>
      </x:c>
      <x:c r="H1307" s="6" t="n">
        <x:v>-15164</x:v>
      </x:c>
    </x:row>
    <x:row r="1308" ht="21" customHeight="1">
      <x:c r="A1308" s="1" t="str">
        <x:v>C0001085</x:v>
      </x:c>
      <x:c r="B1308" s="1" t="n">
        <x:v>25</x:v>
      </x:c>
      <x:c r="C1308" s="1" t="n">
        <x:v>25</x:v>
      </x:c>
      <x:c r="D1308" s="6" t="n">
        <x:v>15127</x:v>
      </x:c>
      <x:c r="E1308" s="6" t="n">
        <x:v>0</x:v>
      </x:c>
      <x:c r="F1308" s="6" t="n">
        <x:v>0</x:v>
      </x:c>
      <x:c r="G1308" s="6" t="n">
        <x:v>0</x:v>
      </x:c>
      <x:c r="H1308" s="6" t="n">
        <x:v>-15127</x:v>
      </x:c>
    </x:row>
    <x:row r="1309" ht="21" customHeight="1">
      <x:c r="A1309" s="1" t="str">
        <x:v>C0015833</x:v>
      </x:c>
      <x:c r="B1309" s="1" t="n">
        <x:v>25</x:v>
      </x:c>
      <x:c r="C1309" s="1" t="n">
        <x:v>25</x:v>
      </x:c>
      <x:c r="D1309" s="6" t="n">
        <x:v>15127</x:v>
      </x:c>
      <x:c r="E1309" s="6" t="n">
        <x:v>0</x:v>
      </x:c>
      <x:c r="F1309" s="6" t="n">
        <x:v>0</x:v>
      </x:c>
      <x:c r="G1309" s="6" t="n">
        <x:v>0</x:v>
      </x:c>
      <x:c r="H1309" s="6" t="n">
        <x:v>-15127</x:v>
      </x:c>
    </x:row>
    <x:row r="1310" ht="21" customHeight="1">
      <x:c r="A1310" s="1" t="str">
        <x:v>C0009020</x:v>
      </x:c>
      <x:c r="B1310" s="1" t="n">
        <x:v>25</x:v>
      </x:c>
      <x:c r="C1310" s="1" t="n">
        <x:v>25</x:v>
      </x:c>
      <x:c r="D1310" s="6" t="n">
        <x:v>15127</x:v>
      </x:c>
      <x:c r="E1310" s="6" t="n">
        <x:v>0</x:v>
      </x:c>
      <x:c r="F1310" s="6" t="n">
        <x:v>0</x:v>
      </x:c>
      <x:c r="G1310" s="6" t="n">
        <x:v>0</x:v>
      </x:c>
      <x:c r="H1310" s="6" t="n">
        <x:v>-15127</x:v>
      </x:c>
    </x:row>
    <x:row r="1311" ht="21" customHeight="1">
      <x:c r="A1311" s="1" t="str">
        <x:v>C0003131</x:v>
      </x:c>
      <x:c r="B1311" s="1" t="n">
        <x:v>25</x:v>
      </x:c>
      <x:c r="C1311" s="1" t="n">
        <x:v>25</x:v>
      </x:c>
      <x:c r="D1311" s="6" t="n">
        <x:v>15127</x:v>
      </x:c>
      <x:c r="E1311" s="6" t="n">
        <x:v>0</x:v>
      </x:c>
      <x:c r="F1311" s="6" t="n">
        <x:v>0</x:v>
      </x:c>
      <x:c r="G1311" s="6" t="n">
        <x:v>0</x:v>
      </x:c>
      <x:c r="H1311" s="6" t="n">
        <x:v>-15127</x:v>
      </x:c>
    </x:row>
    <x:row r="1312" ht="21" customHeight="1">
      <x:c r="A1312" s="1" t="str">
        <x:v>C0010711</x:v>
      </x:c>
      <x:c r="B1312" s="1" t="n">
        <x:v>13</x:v>
      </x:c>
      <x:c r="C1312" s="1" t="n">
        <x:v>13</x:v>
      </x:c>
      <x:c r="D1312" s="6" t="n">
        <x:v>15102</x:v>
      </x:c>
      <x:c r="E1312" s="6" t="n">
        <x:v>0</x:v>
      </x:c>
      <x:c r="F1312" s="6" t="n">
        <x:v>0</x:v>
      </x:c>
      <x:c r="G1312" s="6" t="n">
        <x:v>0</x:v>
      </x:c>
      <x:c r="H1312" s="6" t="n">
        <x:v>-15102</x:v>
      </x:c>
    </x:row>
    <x:row r="1313" ht="21" customHeight="1">
      <x:c r="A1313" s="1" t="str">
        <x:v>C0008565</x:v>
      </x:c>
      <x:c r="B1313" s="1" t="n">
        <x:v>13</x:v>
      </x:c>
      <x:c r="C1313" s="1" t="n">
        <x:v>13</x:v>
      </x:c>
      <x:c r="D1313" s="6" t="n">
        <x:v>15102</x:v>
      </x:c>
      <x:c r="E1313" s="6" t="n">
        <x:v>0</x:v>
      </x:c>
      <x:c r="F1313" s="6" t="n">
        <x:v>0</x:v>
      </x:c>
      <x:c r="G1313" s="6" t="n">
        <x:v>0</x:v>
      </x:c>
      <x:c r="H1313" s="6" t="n">
        <x:v>-15102</x:v>
      </x:c>
    </x:row>
    <x:row r="1314" ht="21" customHeight="1">
      <x:c r="A1314" s="1" t="str">
        <x:v>C0002558</x:v>
      </x:c>
      <x:c r="B1314" s="1" t="n">
        <x:v>13</x:v>
      </x:c>
      <x:c r="C1314" s="1" t="n">
        <x:v>13</x:v>
      </x:c>
      <x:c r="D1314" s="6" t="n">
        <x:v>15102</x:v>
      </x:c>
      <x:c r="E1314" s="6" t="n">
        <x:v>0</x:v>
      </x:c>
      <x:c r="F1314" s="6" t="n">
        <x:v>0</x:v>
      </x:c>
      <x:c r="G1314" s="6" t="n">
        <x:v>0</x:v>
      </x:c>
      <x:c r="H1314" s="6" t="n">
        <x:v>-15102</x:v>
      </x:c>
    </x:row>
    <x:row r="1315" ht="21" customHeight="1">
      <x:c r="A1315" s="1" t="str">
        <x:v>C0009246</x:v>
      </x:c>
      <x:c r="B1315" s="1" t="n">
        <x:v>13</x:v>
      </x:c>
      <x:c r="C1315" s="1" t="n">
        <x:v>13</x:v>
      </x:c>
      <x:c r="D1315" s="6" t="n">
        <x:v>15102</x:v>
      </x:c>
      <x:c r="E1315" s="6" t="n">
        <x:v>30204</x:v>
      </x:c>
      <x:c r="F1315" s="6" t="n">
        <x:v>0</x:v>
      </x:c>
      <x:c r="G1315" s="6" t="n">
        <x:v>30204</x:v>
      </x:c>
      <x:c r="H1315" s="6" t="n">
        <x:v>15102</x:v>
      </x:c>
    </x:row>
    <x:row r="1316" ht="21" customHeight="1">
      <x:c r="A1316" s="1" t="str">
        <x:v>C0017872</x:v>
      </x:c>
      <x:c r="B1316" s="1" t="n">
        <x:v>13</x:v>
      </x:c>
      <x:c r="C1316" s="1" t="n">
        <x:v>13</x:v>
      </x:c>
      <x:c r="D1316" s="6" t="n">
        <x:v>15102</x:v>
      </x:c>
      <x:c r="E1316" s="6" t="n">
        <x:v>30204</x:v>
      </x:c>
      <x:c r="F1316" s="6" t="n">
        <x:v>0</x:v>
      </x:c>
      <x:c r="G1316" s="6" t="n">
        <x:v>30204</x:v>
      </x:c>
      <x:c r="H1316" s="6" t="n">
        <x:v>15102</x:v>
      </x:c>
    </x:row>
    <x:row r="1317" ht="21" customHeight="1">
      <x:c r="A1317" s="1" t="str">
        <x:v>C0011948</x:v>
      </x:c>
      <x:c r="B1317" s="1" t="n">
        <x:v>13</x:v>
      </x:c>
      <x:c r="C1317" s="1" t="n">
        <x:v>13</x:v>
      </x:c>
      <x:c r="D1317" s="6" t="n">
        <x:v>15102</x:v>
      </x:c>
      <x:c r="E1317" s="6" t="n">
        <x:v>0</x:v>
      </x:c>
      <x:c r="F1317" s="6" t="n">
        <x:v>0</x:v>
      </x:c>
      <x:c r="G1317" s="6" t="n">
        <x:v>0</x:v>
      </x:c>
      <x:c r="H1317" s="6" t="n">
        <x:v>-15102</x:v>
      </x:c>
    </x:row>
    <x:row r="1318" ht="21" customHeight="1">
      <x:c r="A1318" s="1" t="str">
        <x:v>C0009473</x:v>
      </x:c>
      <x:c r="B1318" s="1" t="n">
        <x:v>13</x:v>
      </x:c>
      <x:c r="C1318" s="1" t="n">
        <x:v>13</x:v>
      </x:c>
      <x:c r="D1318" s="6" t="n">
        <x:v>15102</x:v>
      </x:c>
      <x:c r="E1318" s="6" t="n">
        <x:v>30204</x:v>
      </x:c>
      <x:c r="F1318" s="6" t="n">
        <x:v>0</x:v>
      </x:c>
      <x:c r="G1318" s="6" t="n">
        <x:v>30204</x:v>
      </x:c>
      <x:c r="H1318" s="6" t="n">
        <x:v>15102</x:v>
      </x:c>
    </x:row>
    <x:row r="1319" ht="21" customHeight="1">
      <x:c r="A1319" s="1" t="str">
        <x:v>C0007089</x:v>
      </x:c>
      <x:c r="B1319" s="1" t="n">
        <x:v>13</x:v>
      </x:c>
      <x:c r="C1319" s="1" t="n">
        <x:v>13</x:v>
      </x:c>
      <x:c r="D1319" s="6" t="n">
        <x:v>15102</x:v>
      </x:c>
      <x:c r="E1319" s="6" t="n">
        <x:v>30204</x:v>
      </x:c>
      <x:c r="F1319" s="6" t="n">
        <x:v>0</x:v>
      </x:c>
      <x:c r="G1319" s="6" t="n">
        <x:v>30204</x:v>
      </x:c>
      <x:c r="H1319" s="6" t="n">
        <x:v>15102</x:v>
      </x:c>
    </x:row>
    <x:row r="1320" ht="21" customHeight="1">
      <x:c r="A1320" s="1" t="str">
        <x:v>C0015261</x:v>
      </x:c>
      <x:c r="B1320" s="1" t="n">
        <x:v>7</x:v>
      </x:c>
      <x:c r="C1320" s="1" t="n">
        <x:v>37</x:v>
      </x:c>
      <x:c r="D1320" s="6" t="n">
        <x:v>15101</x:v>
      </x:c>
      <x:c r="E1320" s="6" t="n">
        <x:v>30202</x:v>
      </x:c>
      <x:c r="F1320" s="6" t="n">
        <x:v>0</x:v>
      </x:c>
      <x:c r="G1320" s="6" t="n">
        <x:v>30202</x:v>
      </x:c>
      <x:c r="H1320" s="6" t="n">
        <x:v>15101</x:v>
      </x:c>
    </x:row>
    <x:row r="1321" ht="21" customHeight="1">
      <x:c r="A1321" s="1" t="str">
        <x:v>C0014647</x:v>
      </x:c>
      <x:c r="B1321" s="1" t="n">
        <x:v>7</x:v>
      </x:c>
      <x:c r="C1321" s="1" t="n">
        <x:v>37</x:v>
      </x:c>
      <x:c r="D1321" s="6" t="n">
        <x:v>15101</x:v>
      </x:c>
      <x:c r="E1321" s="6" t="n">
        <x:v>30202</x:v>
      </x:c>
      <x:c r="F1321" s="6" t="n">
        <x:v>0</x:v>
      </x:c>
      <x:c r="G1321" s="6" t="n">
        <x:v>30202</x:v>
      </x:c>
      <x:c r="H1321" s="6" t="n">
        <x:v>15101</x:v>
      </x:c>
    </x:row>
    <x:row r="1322" ht="21" customHeight="1">
      <x:c r="A1322" s="1" t="str">
        <x:v>C0001869</x:v>
      </x:c>
      <x:c r="B1322" s="1" t="n">
        <x:v>7</x:v>
      </x:c>
      <x:c r="C1322" s="1" t="n">
        <x:v>37</x:v>
      </x:c>
      <x:c r="D1322" s="6" t="n">
        <x:v>15101</x:v>
      </x:c>
      <x:c r="E1322" s="6" t="n">
        <x:v>30202</x:v>
      </x:c>
      <x:c r="F1322" s="6" t="n">
        <x:v>0</x:v>
      </x:c>
      <x:c r="G1322" s="6" t="n">
        <x:v>30202</x:v>
      </x:c>
      <x:c r="H1322" s="6" t="n">
        <x:v>15101</x:v>
      </x:c>
    </x:row>
    <x:row r="1323" ht="21" customHeight="1">
      <x:c r="A1323" s="1" t="str">
        <x:v>C0006528</x:v>
      </x:c>
      <x:c r="B1323" s="1" t="n">
        <x:v>7</x:v>
      </x:c>
      <x:c r="C1323" s="1" t="n">
        <x:v>37</x:v>
      </x:c>
      <x:c r="D1323" s="6" t="n">
        <x:v>15101</x:v>
      </x:c>
      <x:c r="E1323" s="6" t="n">
        <x:v>0</x:v>
      </x:c>
      <x:c r="F1323" s="6" t="n">
        <x:v>0</x:v>
      </x:c>
      <x:c r="G1323" s="6" t="n">
        <x:v>0</x:v>
      </x:c>
      <x:c r="H1323" s="6" t="n">
        <x:v>-15101</x:v>
      </x:c>
    </x:row>
    <x:row r="1324" ht="21" customHeight="1">
      <x:c r="A1324" s="1" t="str">
        <x:v>C0002987</x:v>
      </x:c>
      <x:c r="B1324" s="1" t="n">
        <x:v>7</x:v>
      </x:c>
      <x:c r="C1324" s="1" t="n">
        <x:v>37</x:v>
      </x:c>
      <x:c r="D1324" s="6" t="n">
        <x:v>15101</x:v>
      </x:c>
      <x:c r="E1324" s="6" t="n">
        <x:v>0</x:v>
      </x:c>
      <x:c r="F1324" s="6" t="n">
        <x:v>0</x:v>
      </x:c>
      <x:c r="G1324" s="6" t="n">
        <x:v>0</x:v>
      </x:c>
      <x:c r="H1324" s="6" t="n">
        <x:v>-15101</x:v>
      </x:c>
    </x:row>
    <x:row r="1325" ht="21" customHeight="1">
      <x:c r="A1325" s="1" t="str">
        <x:v>C0017981</x:v>
      </x:c>
      <x:c r="B1325" s="1" t="n">
        <x:v>3</x:v>
      </x:c>
      <x:c r="C1325" s="1" t="n">
        <x:v>33</x:v>
      </x:c>
      <x:c r="D1325" s="6" t="n">
        <x:v>0</x:v>
      </x:c>
      <x:c r="E1325" s="6" t="n">
        <x:v>15091</x:v>
      </x:c>
      <x:c r="F1325" s="6" t="n">
        <x:v>0</x:v>
      </x:c>
      <x:c r="G1325" s="6" t="n">
        <x:v>15091</x:v>
      </x:c>
      <x:c r="H1325" s="6" t="n">
        <x:v>15091</x:v>
      </x:c>
    </x:row>
    <x:row r="1326" ht="21" customHeight="1">
      <x:c r="A1326" s="1" t="str">
        <x:v>C0013673</x:v>
      </x:c>
      <x:c r="B1326" s="1" t="n">
        <x:v>3</x:v>
      </x:c>
      <x:c r="C1326" s="1" t="n">
        <x:v>33</x:v>
      </x:c>
      <x:c r="D1326" s="6" t="n">
        <x:v>15091</x:v>
      </x:c>
      <x:c r="E1326" s="6" t="n">
        <x:v>30182</x:v>
      </x:c>
      <x:c r="F1326" s="6" t="n">
        <x:v>0</x:v>
      </x:c>
      <x:c r="G1326" s="6" t="n">
        <x:v>30182</x:v>
      </x:c>
      <x:c r="H1326" s="6" t="n">
        <x:v>15091</x:v>
      </x:c>
    </x:row>
    <x:row r="1327" ht="21" customHeight="1">
      <x:c r="A1327" s="1" t="str">
        <x:v>C0004609</x:v>
      </x:c>
      <x:c r="B1327" s="1" t="n">
        <x:v>3</x:v>
      </x:c>
      <x:c r="C1327" s="1" t="n">
        <x:v>33</x:v>
      </x:c>
      <x:c r="D1327" s="6" t="n">
        <x:v>15091</x:v>
      </x:c>
      <x:c r="E1327" s="6" t="n">
        <x:v>30182</x:v>
      </x:c>
      <x:c r="F1327" s="6" t="n">
        <x:v>0</x:v>
      </x:c>
      <x:c r="G1327" s="6" t="n">
        <x:v>30182</x:v>
      </x:c>
      <x:c r="H1327" s="6" t="n">
        <x:v>15091</x:v>
      </x:c>
    </x:row>
    <x:row r="1328" ht="21" customHeight="1">
      <x:c r="A1328" s="1" t="str">
        <x:v>C0012597</x:v>
      </x:c>
      <x:c r="B1328" s="1" t="n">
        <x:v>3</x:v>
      </x:c>
      <x:c r="C1328" s="1" t="n">
        <x:v>33</x:v>
      </x:c>
      <x:c r="D1328" s="6" t="n">
        <x:v>15091</x:v>
      </x:c>
      <x:c r="E1328" s="6" t="n">
        <x:v>30182</x:v>
      </x:c>
      <x:c r="F1328" s="6" t="n">
        <x:v>0</x:v>
      </x:c>
      <x:c r="G1328" s="6" t="n">
        <x:v>30182</x:v>
      </x:c>
      <x:c r="H1328" s="6" t="n">
        <x:v>15091</x:v>
      </x:c>
    </x:row>
    <x:row r="1329" ht="21" customHeight="1">
      <x:c r="A1329" s="1" t="str">
        <x:v>C0003095</x:v>
      </x:c>
      <x:c r="B1329" s="1" t="n">
        <x:v>3</x:v>
      </x:c>
      <x:c r="C1329" s="1" t="n">
        <x:v>33</x:v>
      </x:c>
      <x:c r="D1329" s="6" t="n">
        <x:v>15091</x:v>
      </x:c>
      <x:c r="E1329" s="6" t="n">
        <x:v>0</x:v>
      </x:c>
      <x:c r="F1329" s="6" t="n">
        <x:v>0</x:v>
      </x:c>
      <x:c r="G1329" s="6" t="n">
        <x:v>0</x:v>
      </x:c>
      <x:c r="H1329" s="6" t="n">
        <x:v>-15091</x:v>
      </x:c>
    </x:row>
    <x:row r="1330" ht="21" customHeight="1">
      <x:c r="A1330" s="1" t="str">
        <x:v>C0012200</x:v>
      </x:c>
      <x:c r="B1330" s="1" t="n">
        <x:v>3</x:v>
      </x:c>
      <x:c r="C1330" s="1" t="n">
        <x:v>33</x:v>
      </x:c>
      <x:c r="D1330" s="6" t="n">
        <x:v>15091</x:v>
      </x:c>
      <x:c r="E1330" s="6" t="n">
        <x:v>0</x:v>
      </x:c>
      <x:c r="F1330" s="6" t="n">
        <x:v>0</x:v>
      </x:c>
      <x:c r="G1330" s="6" t="n">
        <x:v>0</x:v>
      </x:c>
      <x:c r="H1330" s="6" t="n">
        <x:v>-15091</x:v>
      </x:c>
    </x:row>
    <x:row r="1331" ht="21" customHeight="1">
      <x:c r="A1331" s="1" t="str">
        <x:v>C0015834</x:v>
      </x:c>
      <x:c r="B1331" s="1" t="n">
        <x:v>3</x:v>
      </x:c>
      <x:c r="C1331" s="1" t="n">
        <x:v>33</x:v>
      </x:c>
      <x:c r="D1331" s="6" t="n">
        <x:v>15091</x:v>
      </x:c>
      <x:c r="E1331" s="6" t="n">
        <x:v>0</x:v>
      </x:c>
      <x:c r="F1331" s="6" t="n">
        <x:v>0</x:v>
      </x:c>
      <x:c r="G1331" s="6" t="n">
        <x:v>0</x:v>
      </x:c>
      <x:c r="H1331" s="6" t="n">
        <x:v>-15091</x:v>
      </x:c>
    </x:row>
    <x:row r="1332" ht="21" customHeight="1">
      <x:c r="A1332" s="1" t="str">
        <x:v>C0007310</x:v>
      </x:c>
      <x:c r="B1332" s="1" t="n">
        <x:v>3</x:v>
      </x:c>
      <x:c r="C1332" s="1" t="n">
        <x:v>33</x:v>
      </x:c>
      <x:c r="D1332" s="6" t="n">
        <x:v>15091</x:v>
      </x:c>
      <x:c r="E1332" s="6" t="n">
        <x:v>30182</x:v>
      </x:c>
      <x:c r="F1332" s="6" t="n">
        <x:v>0</x:v>
      </x:c>
      <x:c r="G1332" s="6" t="n">
        <x:v>30182</x:v>
      </x:c>
      <x:c r="H1332" s="6" t="n">
        <x:v>15091</x:v>
      </x:c>
    </x:row>
    <x:row r="1333" ht="21" customHeight="1">
      <x:c r="A1333" s="1" t="str">
        <x:v>C0002337</x:v>
      </x:c>
      <x:c r="B1333" s="1" t="n">
        <x:v>3</x:v>
      </x:c>
      <x:c r="C1333" s="1" t="n">
        <x:v>33</x:v>
      </x:c>
      <x:c r="D1333" s="6" t="n">
        <x:v>15091</x:v>
      </x:c>
      <x:c r="E1333" s="6" t="n">
        <x:v>0</x:v>
      </x:c>
      <x:c r="F1333" s="6" t="n">
        <x:v>0</x:v>
      </x:c>
      <x:c r="G1333" s="6" t="n">
        <x:v>0</x:v>
      </x:c>
      <x:c r="H1333" s="6" t="n">
        <x:v>-15091</x:v>
      </x:c>
    </x:row>
    <x:row r="1334" ht="21" customHeight="1">
      <x:c r="A1334" s="1" t="str">
        <x:v>C0012187</x:v>
      </x:c>
      <x:c r="B1334" s="1" t="n">
        <x:v>3</x:v>
      </x:c>
      <x:c r="C1334" s="1" t="n">
        <x:v>33</x:v>
      </x:c>
      <x:c r="D1334" s="6" t="n">
        <x:v>15091</x:v>
      </x:c>
      <x:c r="E1334" s="6" t="n">
        <x:v>0</x:v>
      </x:c>
      <x:c r="F1334" s="6" t="n">
        <x:v>0</x:v>
      </x:c>
      <x:c r="G1334" s="6" t="n">
        <x:v>0</x:v>
      </x:c>
      <x:c r="H1334" s="6" t="n">
        <x:v>-15091</x:v>
      </x:c>
    </x:row>
    <x:row r="1335" ht="21" customHeight="1">
      <x:c r="A1335" s="1" t="str">
        <x:v>C0008079</x:v>
      </x:c>
      <x:c r="B1335" s="1" t="n">
        <x:v>17</x:v>
      </x:c>
      <x:c r="C1335" s="1" t="n">
        <x:v>107</x:v>
      </x:c>
      <x:c r="D1335" s="6" t="n">
        <x:v>14910</x:v>
      </x:c>
      <x:c r="E1335" s="6" t="n">
        <x:v>0</x:v>
      </x:c>
      <x:c r="F1335" s="6" t="n">
        <x:v>0</x:v>
      </x:c>
      <x:c r="G1335" s="6" t="n">
        <x:v>0</x:v>
      </x:c>
      <x:c r="H1335" s="6" t="n">
        <x:v>-14910</x:v>
      </x:c>
    </x:row>
    <x:row r="1336" ht="21" customHeight="1">
      <x:c r="A1336" s="1" t="str">
        <x:v>C0006775</x:v>
      </x:c>
      <x:c r="B1336" s="1" t="n">
        <x:v>17</x:v>
      </x:c>
      <x:c r="C1336" s="1" t="n">
        <x:v>107</x:v>
      </x:c>
      <x:c r="D1336" s="6" t="n">
        <x:v>14910</x:v>
      </x:c>
      <x:c r="E1336" s="6" t="n">
        <x:v>0</x:v>
      </x:c>
      <x:c r="F1336" s="6" t="n">
        <x:v>0</x:v>
      </x:c>
      <x:c r="G1336" s="6" t="n">
        <x:v>0</x:v>
      </x:c>
      <x:c r="H1336" s="6" t="n">
        <x:v>-14910</x:v>
      </x:c>
    </x:row>
    <x:row r="1337" ht="21" customHeight="1">
      <x:c r="A1337" s="1" t="str">
        <x:v>C0011684</x:v>
      </x:c>
      <x:c r="B1337" s="1" t="n">
        <x:v>17</x:v>
      </x:c>
      <x:c r="C1337" s="1" t="n">
        <x:v>107</x:v>
      </x:c>
      <x:c r="D1337" s="6" t="n">
        <x:v>0</x:v>
      </x:c>
      <x:c r="E1337" s="6" t="n">
        <x:v>14910</x:v>
      </x:c>
      <x:c r="F1337" s="6" t="n">
        <x:v>0</x:v>
      </x:c>
      <x:c r="G1337" s="6" t="n">
        <x:v>14910</x:v>
      </x:c>
      <x:c r="H1337" s="6" t="n">
        <x:v>14910</x:v>
      </x:c>
    </x:row>
    <x:row r="1338" ht="21" customHeight="1">
      <x:c r="A1338" s="1" t="str">
        <x:v>C0003542</x:v>
      </x:c>
      <x:c r="B1338" s="1" t="n">
        <x:v>17</x:v>
      </x:c>
      <x:c r="C1338" s="1" t="n">
        <x:v>107</x:v>
      </x:c>
      <x:c r="D1338" s="6" t="n">
        <x:v>14910</x:v>
      </x:c>
      <x:c r="E1338" s="6" t="n">
        <x:v>29820</x:v>
      </x:c>
      <x:c r="F1338" s="6" t="n">
        <x:v>0</x:v>
      </x:c>
      <x:c r="G1338" s="6" t="n">
        <x:v>29820</x:v>
      </x:c>
      <x:c r="H1338" s="6" t="n">
        <x:v>14910</x:v>
      </x:c>
    </x:row>
    <x:row r="1339" ht="21" customHeight="1">
      <x:c r="A1339" s="1" t="str">
        <x:v>C0001047</x:v>
      </x:c>
      <x:c r="B1339" s="1" t="n">
        <x:v>17</x:v>
      </x:c>
      <x:c r="C1339" s="1" t="n">
        <x:v>17</x:v>
      </x:c>
      <x:c r="D1339" s="6" t="n">
        <x:v>14814</x:v>
      </x:c>
      <x:c r="E1339" s="6" t="n">
        <x:v>29628</x:v>
      </x:c>
      <x:c r="F1339" s="6" t="n">
        <x:v>0</x:v>
      </x:c>
      <x:c r="G1339" s="6" t="n">
        <x:v>29628</x:v>
      </x:c>
      <x:c r="H1339" s="6" t="n">
        <x:v>14814</x:v>
      </x:c>
    </x:row>
    <x:row r="1340" ht="21" customHeight="1">
      <x:c r="A1340" s="1" t="str">
        <x:v>C0000428</x:v>
      </x:c>
      <x:c r="B1340" s="1" t="n">
        <x:v>17</x:v>
      </x:c>
      <x:c r="C1340" s="1" t="n">
        <x:v>17</x:v>
      </x:c>
      <x:c r="D1340" s="6" t="n">
        <x:v>14814</x:v>
      </x:c>
      <x:c r="E1340" s="6" t="n">
        <x:v>29628</x:v>
      </x:c>
      <x:c r="F1340" s="6" t="n">
        <x:v>0</x:v>
      </x:c>
      <x:c r="G1340" s="6" t="n">
        <x:v>29628</x:v>
      </x:c>
      <x:c r="H1340" s="6" t="n">
        <x:v>14814</x:v>
      </x:c>
    </x:row>
    <x:row r="1341" ht="21" customHeight="1">
      <x:c r="A1341" s="1" t="str">
        <x:v>C0017174</x:v>
      </x:c>
      <x:c r="B1341" s="1" t="n">
        <x:v>17</x:v>
      </x:c>
      <x:c r="C1341" s="1" t="n">
        <x:v>17</x:v>
      </x:c>
      <x:c r="D1341" s="6" t="n">
        <x:v>14814</x:v>
      </x:c>
      <x:c r="E1341" s="6" t="n">
        <x:v>29628</x:v>
      </x:c>
      <x:c r="F1341" s="6" t="n">
        <x:v>0</x:v>
      </x:c>
      <x:c r="G1341" s="6" t="n">
        <x:v>29628</x:v>
      </x:c>
      <x:c r="H1341" s="6" t="n">
        <x:v>14814</x:v>
      </x:c>
    </x:row>
    <x:row r="1342" ht="21" customHeight="1">
      <x:c r="A1342" s="1" t="str">
        <x:v>C0009375</x:v>
      </x:c>
      <x:c r="B1342" s="1" t="n">
        <x:v>17</x:v>
      </x:c>
      <x:c r="C1342" s="1" t="n">
        <x:v>17</x:v>
      </x:c>
      <x:c r="D1342" s="6" t="n">
        <x:v>14814</x:v>
      </x:c>
      <x:c r="E1342" s="6" t="n">
        <x:v>29628</x:v>
      </x:c>
      <x:c r="F1342" s="6" t="n">
        <x:v>0</x:v>
      </x:c>
      <x:c r="G1342" s="6" t="n">
        <x:v>29628</x:v>
      </x:c>
      <x:c r="H1342" s="6" t="n">
        <x:v>14814</x:v>
      </x:c>
    </x:row>
    <x:row r="1343" ht="21" customHeight="1">
      <x:c r="A1343" s="1" t="str">
        <x:v>C0017500</x:v>
      </x:c>
      <x:c r="B1343" s="1" t="n">
        <x:v>17</x:v>
      </x:c>
      <x:c r="C1343" s="1" t="n">
        <x:v>17</x:v>
      </x:c>
      <x:c r="D1343" s="6" t="n">
        <x:v>14814</x:v>
      </x:c>
      <x:c r="E1343" s="6" t="n">
        <x:v>29628</x:v>
      </x:c>
      <x:c r="F1343" s="6" t="n">
        <x:v>0</x:v>
      </x:c>
      <x:c r="G1343" s="6" t="n">
        <x:v>29628</x:v>
      </x:c>
      <x:c r="H1343" s="6" t="n">
        <x:v>14814</x:v>
      </x:c>
    </x:row>
    <x:row r="1344" ht="21" customHeight="1">
      <x:c r="A1344" s="1" t="str">
        <x:v>C0002794</x:v>
      </x:c>
      <x:c r="B1344" s="1" t="n">
        <x:v>17</x:v>
      </x:c>
      <x:c r="C1344" s="1" t="n">
        <x:v>17</x:v>
      </x:c>
      <x:c r="D1344" s="6" t="n">
        <x:v>14814</x:v>
      </x:c>
      <x:c r="E1344" s="6" t="n">
        <x:v>29628</x:v>
      </x:c>
      <x:c r="F1344" s="6" t="n">
        <x:v>0</x:v>
      </x:c>
      <x:c r="G1344" s="6" t="n">
        <x:v>29628</x:v>
      </x:c>
      <x:c r="H1344" s="6" t="n">
        <x:v>14814</x:v>
      </x:c>
    </x:row>
    <x:row r="1345" ht="21" customHeight="1">
      <x:c r="A1345" s="1" t="str">
        <x:v>C0014772</x:v>
      </x:c>
      <x:c r="B1345" s="1" t="n">
        <x:v>17</x:v>
      </x:c>
      <x:c r="C1345" s="1" t="n">
        <x:v>17</x:v>
      </x:c>
      <x:c r="D1345" s="6" t="n">
        <x:v>14814</x:v>
      </x:c>
      <x:c r="E1345" s="6" t="n">
        <x:v>29628</x:v>
      </x:c>
      <x:c r="F1345" s="6" t="n">
        <x:v>0</x:v>
      </x:c>
      <x:c r="G1345" s="6" t="n">
        <x:v>29628</x:v>
      </x:c>
      <x:c r="H1345" s="6" t="n">
        <x:v>14814</x:v>
      </x:c>
    </x:row>
    <x:row r="1346" ht="21" customHeight="1">
      <x:c r="A1346" s="1" t="str">
        <x:v>C0008774</x:v>
      </x:c>
      <x:c r="B1346" s="1" t="n">
        <x:v>17</x:v>
      </x:c>
      <x:c r="C1346" s="1" t="n">
        <x:v>17</x:v>
      </x:c>
      <x:c r="D1346" s="6" t="n">
        <x:v>14814</x:v>
      </x:c>
      <x:c r="E1346" s="6" t="n">
        <x:v>0</x:v>
      </x:c>
      <x:c r="F1346" s="6" t="n">
        <x:v>0</x:v>
      </x:c>
      <x:c r="G1346" s="6" t="n">
        <x:v>0</x:v>
      </x:c>
      <x:c r="H1346" s="6" t="n">
        <x:v>-14814</x:v>
      </x:c>
    </x:row>
    <x:row r="1347" ht="21" customHeight="1">
      <x:c r="A1347" s="1" t="str">
        <x:v>C0014824</x:v>
      </x:c>
      <x:c r="B1347" s="1" t="n">
        <x:v>17</x:v>
      </x:c>
      <x:c r="C1347" s="1" t="n">
        <x:v>17</x:v>
      </x:c>
      <x:c r="D1347" s="6" t="n">
        <x:v>14814</x:v>
      </x:c>
      <x:c r="E1347" s="6" t="n">
        <x:v>29628</x:v>
      </x:c>
      <x:c r="F1347" s="6" t="n">
        <x:v>0</x:v>
      </x:c>
      <x:c r="G1347" s="6" t="n">
        <x:v>29628</x:v>
      </x:c>
      <x:c r="H1347" s="6" t="n">
        <x:v>14814</x:v>
      </x:c>
    </x:row>
    <x:row r="1348" ht="21" customHeight="1">
      <x:c r="A1348" s="1" t="str">
        <x:v>C0013568</x:v>
      </x:c>
      <x:c r="B1348" s="1" t="n">
        <x:v>17</x:v>
      </x:c>
      <x:c r="C1348" s="1" t="n">
        <x:v>17</x:v>
      </x:c>
      <x:c r="D1348" s="6" t="n">
        <x:v>14814</x:v>
      </x:c>
      <x:c r="E1348" s="6" t="n">
        <x:v>29628</x:v>
      </x:c>
      <x:c r="F1348" s="6" t="n">
        <x:v>0</x:v>
      </x:c>
      <x:c r="G1348" s="6" t="n">
        <x:v>29628</x:v>
      </x:c>
      <x:c r="H1348" s="6" t="n">
        <x:v>14814</x:v>
      </x:c>
    </x:row>
    <x:row r="1349" ht="21" customHeight="1">
      <x:c r="A1349" s="1" t="str">
        <x:v>C0007898</x:v>
      </x:c>
      <x:c r="B1349" s="1" t="n">
        <x:v>17</x:v>
      </x:c>
      <x:c r="C1349" s="1" t="n">
        <x:v>17</x:v>
      </x:c>
      <x:c r="D1349" s="6" t="n">
        <x:v>14814</x:v>
      </x:c>
      <x:c r="E1349" s="6" t="n">
        <x:v>29628</x:v>
      </x:c>
      <x:c r="F1349" s="6" t="n">
        <x:v>0</x:v>
      </x:c>
      <x:c r="G1349" s="6" t="n">
        <x:v>29628</x:v>
      </x:c>
      <x:c r="H1349" s="6" t="n">
        <x:v>14814</x:v>
      </x:c>
    </x:row>
    <x:row r="1350" ht="21" customHeight="1">
      <x:c r="A1350" s="1" t="str">
        <x:v>C0015419</x:v>
      </x:c>
      <x:c r="B1350" s="1" t="n">
        <x:v>29</x:v>
      </x:c>
      <x:c r="C1350" s="1" t="n">
        <x:v>89</x:v>
      </x:c>
      <x:c r="D1350" s="6" t="n">
        <x:v>14597</x:v>
      </x:c>
      <x:c r="E1350" s="6" t="n">
        <x:v>0</x:v>
      </x:c>
      <x:c r="F1350" s="6" t="n">
        <x:v>0</x:v>
      </x:c>
      <x:c r="G1350" s="6" t="n">
        <x:v>0</x:v>
      </x:c>
      <x:c r="H1350" s="6" t="n">
        <x:v>-14597</x:v>
      </x:c>
    </x:row>
    <x:row r="1351" ht="21" customHeight="1">
      <x:c r="A1351" s="1" t="str">
        <x:v>C0016545</x:v>
      </x:c>
      <x:c r="B1351" s="1" t="n">
        <x:v>29</x:v>
      </x:c>
      <x:c r="C1351" s="1" t="n">
        <x:v>89</x:v>
      </x:c>
      <x:c r="D1351" s="6" t="n">
        <x:v>14597</x:v>
      </x:c>
      <x:c r="E1351" s="6" t="n">
        <x:v>29194</x:v>
      </x:c>
      <x:c r="F1351" s="6" t="n">
        <x:v>0</x:v>
      </x:c>
      <x:c r="G1351" s="6" t="n">
        <x:v>29194</x:v>
      </x:c>
      <x:c r="H1351" s="6" t="n">
        <x:v>14597</x:v>
      </x:c>
    </x:row>
    <x:row r="1352" ht="21" customHeight="1">
      <x:c r="A1352" s="1" t="str">
        <x:v>C0004675</x:v>
      </x:c>
      <x:c r="B1352" s="1" t="n">
        <x:v>29</x:v>
      </x:c>
      <x:c r="C1352" s="1" t="n">
        <x:v>89</x:v>
      </x:c>
      <x:c r="D1352" s="6" t="n">
        <x:v>14597</x:v>
      </x:c>
      <x:c r="E1352" s="6" t="n">
        <x:v>29194</x:v>
      </x:c>
      <x:c r="F1352" s="6" t="n">
        <x:v>0</x:v>
      </x:c>
      <x:c r="G1352" s="6" t="n">
        <x:v>29194</x:v>
      </x:c>
      <x:c r="H1352" s="6" t="n">
        <x:v>14597</x:v>
      </x:c>
    </x:row>
    <x:row r="1353" ht="21" customHeight="1">
      <x:c r="A1353" s="1" t="str">
        <x:v>C0010265</x:v>
      </x:c>
      <x:c r="B1353" s="1" t="n">
        <x:v>29</x:v>
      </x:c>
      <x:c r="C1353" s="1" t="n">
        <x:v>89</x:v>
      </x:c>
      <x:c r="D1353" s="6" t="n">
        <x:v>14597</x:v>
      </x:c>
      <x:c r="E1353" s="6" t="n">
        <x:v>0</x:v>
      </x:c>
      <x:c r="F1353" s="6" t="n">
        <x:v>0</x:v>
      </x:c>
      <x:c r="G1353" s="6" t="n">
        <x:v>0</x:v>
      </x:c>
      <x:c r="H1353" s="6" t="n">
        <x:v>-14597</x:v>
      </x:c>
    </x:row>
    <x:row r="1354" ht="21" customHeight="1">
      <x:c r="A1354" s="1" t="str">
        <x:v>C0001970</x:v>
      </x:c>
      <x:c r="B1354" s="1" t="n">
        <x:v>29</x:v>
      </x:c>
      <x:c r="C1354" s="1" t="n">
        <x:v>89</x:v>
      </x:c>
      <x:c r="D1354" s="6" t="n">
        <x:v>14597</x:v>
      </x:c>
      <x:c r="E1354" s="6" t="n">
        <x:v>29194</x:v>
      </x:c>
      <x:c r="F1354" s="6" t="n">
        <x:v>0</x:v>
      </x:c>
      <x:c r="G1354" s="6" t="n">
        <x:v>29194</x:v>
      </x:c>
      <x:c r="H1354" s="6" t="n">
        <x:v>14597</x:v>
      </x:c>
    </x:row>
    <x:row r="1355" ht="21" customHeight="1">
      <x:c r="A1355" s="1" t="str">
        <x:v>C0000664</x:v>
      </x:c>
      <x:c r="B1355" s="1" t="n">
        <x:v>29</x:v>
      </x:c>
      <x:c r="C1355" s="1" t="n">
        <x:v>89</x:v>
      </x:c>
      <x:c r="D1355" s="6" t="n">
        <x:v>14597</x:v>
      </x:c>
      <x:c r="E1355" s="6" t="n">
        <x:v>0</x:v>
      </x:c>
      <x:c r="F1355" s="6" t="n">
        <x:v>0</x:v>
      </x:c>
      <x:c r="G1355" s="6" t="n">
        <x:v>0</x:v>
      </x:c>
      <x:c r="H1355" s="6" t="n">
        <x:v>-14597</x:v>
      </x:c>
    </x:row>
    <x:row r="1356" ht="21" customHeight="1">
      <x:c r="A1356" s="1" t="str">
        <x:v>C0014087</x:v>
      </x:c>
      <x:c r="B1356" s="1" t="n">
        <x:v>29</x:v>
      </x:c>
      <x:c r="C1356" s="1" t="n">
        <x:v>89</x:v>
      </x:c>
      <x:c r="D1356" s="6" t="n">
        <x:v>14597</x:v>
      </x:c>
      <x:c r="E1356" s="6" t="n">
        <x:v>29194</x:v>
      </x:c>
      <x:c r="F1356" s="6" t="n">
        <x:v>0</x:v>
      </x:c>
      <x:c r="G1356" s="6" t="n">
        <x:v>29194</x:v>
      </x:c>
      <x:c r="H1356" s="6" t="n">
        <x:v>14597</x:v>
      </x:c>
    </x:row>
    <x:row r="1357" ht="21" customHeight="1">
      <x:c r="A1357" s="1" t="str">
        <x:v>C0013108</x:v>
      </x:c>
      <x:c r="B1357" s="1" t="n">
        <x:v>29</x:v>
      </x:c>
      <x:c r="C1357" s="1" t="n">
        <x:v>89</x:v>
      </x:c>
      <x:c r="D1357" s="6" t="n">
        <x:v>14597</x:v>
      </x:c>
      <x:c r="E1357" s="6" t="n">
        <x:v>0</x:v>
      </x:c>
      <x:c r="F1357" s="6" t="n">
        <x:v>0</x:v>
      </x:c>
      <x:c r="G1357" s="6" t="n">
        <x:v>0</x:v>
      </x:c>
      <x:c r="H1357" s="6" t="n">
        <x:v>-14597</x:v>
      </x:c>
    </x:row>
    <x:row r="1358" ht="21" customHeight="1">
      <x:c r="A1358" s="1" t="str">
        <x:v>C0009079</x:v>
      </x:c>
      <x:c r="B1358" s="1" t="n">
        <x:v>11</x:v>
      </x:c>
      <x:c r="C1358" s="1" t="n">
        <x:v>71</x:v>
      </x:c>
      <x:c r="D1358" s="6" t="n">
        <x:v>14550</x:v>
      </x:c>
      <x:c r="E1358" s="6" t="n">
        <x:v>0</x:v>
      </x:c>
      <x:c r="F1358" s="6" t="n">
        <x:v>0</x:v>
      </x:c>
      <x:c r="G1358" s="6" t="n">
        <x:v>0</x:v>
      </x:c>
      <x:c r="H1358" s="6" t="n">
        <x:v>-14550</x:v>
      </x:c>
    </x:row>
    <x:row r="1359" ht="21" customHeight="1">
      <x:c r="A1359" s="1" t="str">
        <x:v>C0003186</x:v>
      </x:c>
      <x:c r="B1359" s="1" t="n">
        <x:v>11</x:v>
      </x:c>
      <x:c r="C1359" s="1" t="n">
        <x:v>71</x:v>
      </x:c>
      <x:c r="D1359" s="6" t="n">
        <x:v>14550</x:v>
      </x:c>
      <x:c r="E1359" s="6" t="n">
        <x:v>29100</x:v>
      </x:c>
      <x:c r="F1359" s="6" t="n">
        <x:v>0</x:v>
      </x:c>
      <x:c r="G1359" s="6" t="n">
        <x:v>29100</x:v>
      </x:c>
      <x:c r="H1359" s="6" t="n">
        <x:v>14550</x:v>
      </x:c>
    </x:row>
    <x:row r="1360" ht="21" customHeight="1">
      <x:c r="A1360" s="1" t="str">
        <x:v>C0011338</x:v>
      </x:c>
      <x:c r="B1360" s="1" t="n">
        <x:v>11</x:v>
      </x:c>
      <x:c r="C1360" s="1" t="n">
        <x:v>71</x:v>
      </x:c>
      <x:c r="D1360" s="6" t="n">
        <x:v>14550</x:v>
      </x:c>
      <x:c r="E1360" s="6" t="n">
        <x:v>0</x:v>
      </x:c>
      <x:c r="F1360" s="6" t="n">
        <x:v>0</x:v>
      </x:c>
      <x:c r="G1360" s="6" t="n">
        <x:v>0</x:v>
      </x:c>
      <x:c r="H1360" s="6" t="n">
        <x:v>-14550</x:v>
      </x:c>
    </x:row>
    <x:row r="1361" ht="21" customHeight="1">
      <x:c r="A1361" s="1" t="str">
        <x:v>C0005053</x:v>
      </x:c>
      <x:c r="B1361" s="1" t="n">
        <x:v>11</x:v>
      </x:c>
      <x:c r="C1361" s="1" t="n">
        <x:v>71</x:v>
      </x:c>
      <x:c r="D1361" s="6" t="n">
        <x:v>14550</x:v>
      </x:c>
      <x:c r="E1361" s="6" t="n">
        <x:v>29100</x:v>
      </x:c>
      <x:c r="F1361" s="6" t="n">
        <x:v>0</x:v>
      </x:c>
      <x:c r="G1361" s="6" t="n">
        <x:v>29100</x:v>
      </x:c>
      <x:c r="H1361" s="6" t="n">
        <x:v>14550</x:v>
      </x:c>
    </x:row>
    <x:row r="1362" ht="21" customHeight="1">
      <x:c r="A1362" s="1" t="str">
        <x:v>C0008950</x:v>
      </x:c>
      <x:c r="B1362" s="1" t="n">
        <x:v>12</x:v>
      </x:c>
      <x:c r="C1362" s="1" t="n">
        <x:v>42</x:v>
      </x:c>
      <x:c r="D1362" s="6" t="n">
        <x:v>14519</x:v>
      </x:c>
      <x:c r="E1362" s="6" t="n">
        <x:v>29038</x:v>
      </x:c>
      <x:c r="F1362" s="6" t="n">
        <x:v>0</x:v>
      </x:c>
      <x:c r="G1362" s="6" t="n">
        <x:v>29038</x:v>
      </x:c>
      <x:c r="H1362" s="6" t="n">
        <x:v>14519</x:v>
      </x:c>
    </x:row>
    <x:row r="1363" ht="21" customHeight="1">
      <x:c r="A1363" s="1" t="str">
        <x:v>C0017026</x:v>
      </x:c>
      <x:c r="B1363" s="1" t="n">
        <x:v>12</x:v>
      </x:c>
      <x:c r="C1363" s="1" t="n">
        <x:v>42</x:v>
      </x:c>
      <x:c r="D1363" s="6" t="n">
        <x:v>14519</x:v>
      </x:c>
      <x:c r="E1363" s="6" t="n">
        <x:v>29038</x:v>
      </x:c>
      <x:c r="F1363" s="6" t="n">
        <x:v>0</x:v>
      </x:c>
      <x:c r="G1363" s="6" t="n">
        <x:v>29038</x:v>
      </x:c>
      <x:c r="H1363" s="6" t="n">
        <x:v>14519</x:v>
      </x:c>
    </x:row>
    <x:row r="1364" ht="21" customHeight="1">
      <x:c r="A1364" s="1" t="str">
        <x:v>C0001878</x:v>
      </x:c>
      <x:c r="B1364" s="1" t="n">
        <x:v>12</x:v>
      </x:c>
      <x:c r="C1364" s="1" t="n">
        <x:v>42</x:v>
      </x:c>
      <x:c r="D1364" s="6" t="n">
        <x:v>14519</x:v>
      </x:c>
      <x:c r="E1364" s="6" t="n">
        <x:v>0</x:v>
      </x:c>
      <x:c r="F1364" s="6" t="n">
        <x:v>0</x:v>
      </x:c>
      <x:c r="G1364" s="6" t="n">
        <x:v>0</x:v>
      </x:c>
      <x:c r="H1364" s="6" t="n">
        <x:v>-14519</x:v>
      </x:c>
    </x:row>
    <x:row r="1365" ht="21" customHeight="1">
      <x:c r="A1365" s="1" t="str">
        <x:v>C0016460</x:v>
      </x:c>
      <x:c r="B1365" s="1" t="n">
        <x:v>12</x:v>
      </x:c>
      <x:c r="C1365" s="1" t="n">
        <x:v>42</x:v>
      </x:c>
      <x:c r="D1365" s="6" t="n">
        <x:v>14519</x:v>
      </x:c>
      <x:c r="E1365" s="6" t="n">
        <x:v>29038</x:v>
      </x:c>
      <x:c r="F1365" s="6" t="n">
        <x:v>0</x:v>
      </x:c>
      <x:c r="G1365" s="6" t="n">
        <x:v>29038</x:v>
      </x:c>
      <x:c r="H1365" s="6" t="n">
        <x:v>14519</x:v>
      </x:c>
    </x:row>
    <x:row r="1366" ht="21" customHeight="1">
      <x:c r="A1366" s="1" t="str">
        <x:v>C0014156</x:v>
      </x:c>
      <x:c r="B1366" s="1" t="n">
        <x:v>7</x:v>
      </x:c>
      <x:c r="C1366" s="1" t="n">
        <x:v>7</x:v>
      </x:c>
      <x:c r="D1366" s="6" t="n">
        <x:v>14431</x:v>
      </x:c>
      <x:c r="E1366" s="6" t="n">
        <x:v>28862</x:v>
      </x:c>
      <x:c r="F1366" s="6" t="n">
        <x:v>0</x:v>
      </x:c>
      <x:c r="G1366" s="6" t="n">
        <x:v>28862</x:v>
      </x:c>
      <x:c r="H1366" s="6" t="n">
        <x:v>14431</x:v>
      </x:c>
    </x:row>
    <x:row r="1367" ht="21" customHeight="1">
      <x:c r="A1367" s="1" t="str">
        <x:v>C0013671</x:v>
      </x:c>
      <x:c r="B1367" s="1" t="n">
        <x:v>7</x:v>
      </x:c>
      <x:c r="C1367" s="1" t="n">
        <x:v>7</x:v>
      </x:c>
      <x:c r="D1367" s="6" t="n">
        <x:v>14431</x:v>
      </x:c>
      <x:c r="E1367" s="6" t="n">
        <x:v>28862</x:v>
      </x:c>
      <x:c r="F1367" s="6" t="n">
        <x:v>0</x:v>
      </x:c>
      <x:c r="G1367" s="6" t="n">
        <x:v>28862</x:v>
      </x:c>
      <x:c r="H1367" s="6" t="n">
        <x:v>14431</x:v>
      </x:c>
    </x:row>
    <x:row r="1368" ht="21" customHeight="1">
      <x:c r="A1368" s="1" t="str">
        <x:v>C0010890</x:v>
      </x:c>
      <x:c r="B1368" s="1" t="n">
        <x:v>11</x:v>
      </x:c>
      <x:c r="C1368" s="1" t="n">
        <x:v>101</x:v>
      </x:c>
      <x:c r="D1368" s="6" t="n">
        <x:v>14396</x:v>
      </x:c>
      <x:c r="E1368" s="6" t="n">
        <x:v>28792</x:v>
      </x:c>
      <x:c r="F1368" s="6" t="n">
        <x:v>0</x:v>
      </x:c>
      <x:c r="G1368" s="6" t="n">
        <x:v>28792</x:v>
      </x:c>
      <x:c r="H1368" s="6" t="n">
        <x:v>14396</x:v>
      </x:c>
    </x:row>
    <x:row r="1369" ht="21" customHeight="1">
      <x:c r="A1369" s="1" t="str">
        <x:v>C0015076</x:v>
      </x:c>
      <x:c r="B1369" s="1" t="n">
        <x:v>11</x:v>
      </x:c>
      <x:c r="C1369" s="1" t="n">
        <x:v>101</x:v>
      </x:c>
      <x:c r="D1369" s="6" t="n">
        <x:v>14396</x:v>
      </x:c>
      <x:c r="E1369" s="6" t="n">
        <x:v>0</x:v>
      </x:c>
      <x:c r="F1369" s="6" t="n">
        <x:v>0</x:v>
      </x:c>
      <x:c r="G1369" s="6" t="n">
        <x:v>0</x:v>
      </x:c>
      <x:c r="H1369" s="6" t="n">
        <x:v>-14396</x:v>
      </x:c>
    </x:row>
    <x:row r="1370" ht="21" customHeight="1">
      <x:c r="A1370" s="1" t="str">
        <x:v>C0003352</x:v>
      </x:c>
      <x:c r="B1370" s="1" t="n">
        <x:v>11</x:v>
      </x:c>
      <x:c r="C1370" s="1" t="n">
        <x:v>101</x:v>
      </x:c>
      <x:c r="D1370" s="6" t="n">
        <x:v>14396</x:v>
      </x:c>
      <x:c r="E1370" s="6" t="n">
        <x:v>28792</x:v>
      </x:c>
      <x:c r="F1370" s="6" t="n">
        <x:v>0</x:v>
      </x:c>
      <x:c r="G1370" s="6" t="n">
        <x:v>28792</x:v>
      </x:c>
      <x:c r="H1370" s="6" t="n">
        <x:v>14396</x:v>
      </x:c>
    </x:row>
    <x:row r="1371" ht="21" customHeight="1">
      <x:c r="A1371" s="1" t="str">
        <x:v>C0014440</x:v>
      </x:c>
      <x:c r="B1371" s="1" t="n">
        <x:v>16</x:v>
      </x:c>
      <x:c r="C1371" s="1" t="n">
        <x:v>106</x:v>
      </x:c>
      <x:c r="D1371" s="6" t="n">
        <x:v>0</x:v>
      </x:c>
      <x:c r="E1371" s="6" t="n">
        <x:v>14368</x:v>
      </x:c>
      <x:c r="F1371" s="6" t="n">
        <x:v>0</x:v>
      </x:c>
      <x:c r="G1371" s="6" t="n">
        <x:v>14368</x:v>
      </x:c>
      <x:c r="H1371" s="6" t="n">
        <x:v>14368</x:v>
      </x:c>
    </x:row>
    <x:row r="1372" ht="21" customHeight="1">
      <x:c r="A1372" s="1" t="str">
        <x:v>C0003612</x:v>
      </x:c>
      <x:c r="B1372" s="1" t="n">
        <x:v>16</x:v>
      </x:c>
      <x:c r="C1372" s="1" t="n">
        <x:v>106</x:v>
      </x:c>
      <x:c r="D1372" s="6" t="n">
        <x:v>14368</x:v>
      </x:c>
      <x:c r="E1372" s="6" t="n">
        <x:v>28736</x:v>
      </x:c>
      <x:c r="F1372" s="6" t="n">
        <x:v>0</x:v>
      </x:c>
      <x:c r="G1372" s="6" t="n">
        <x:v>28736</x:v>
      </x:c>
      <x:c r="H1372" s="6" t="n">
        <x:v>14368</x:v>
      </x:c>
    </x:row>
    <x:row r="1373" ht="21" customHeight="1">
      <x:c r="A1373" s="1" t="str">
        <x:v>C0012487</x:v>
      </x:c>
      <x:c r="B1373" s="1" t="n">
        <x:v>16</x:v>
      </x:c>
      <x:c r="C1373" s="1" t="n">
        <x:v>106</x:v>
      </x:c>
      <x:c r="D1373" s="6" t="n">
        <x:v>0</x:v>
      </x:c>
      <x:c r="E1373" s="6" t="n">
        <x:v>14368</x:v>
      </x:c>
      <x:c r="F1373" s="6" t="n">
        <x:v>0</x:v>
      </x:c>
      <x:c r="G1373" s="6" t="n">
        <x:v>14368</x:v>
      </x:c>
      <x:c r="H1373" s="6" t="n">
        <x:v>14368</x:v>
      </x:c>
    </x:row>
    <x:row r="1374" ht="21" customHeight="1">
      <x:c r="A1374" s="1" t="str">
        <x:v>C0007634</x:v>
      </x:c>
      <x:c r="B1374" s="1" t="n">
        <x:v>16</x:v>
      </x:c>
      <x:c r="C1374" s="1" t="n">
        <x:v>106</x:v>
      </x:c>
      <x:c r="D1374" s="6" t="n">
        <x:v>14368</x:v>
      </x:c>
      <x:c r="E1374" s="6" t="n">
        <x:v>28736</x:v>
      </x:c>
      <x:c r="F1374" s="6" t="n">
        <x:v>0</x:v>
      </x:c>
      <x:c r="G1374" s="6" t="n">
        <x:v>28736</x:v>
      </x:c>
      <x:c r="H1374" s="6" t="n">
        <x:v>14368</x:v>
      </x:c>
    </x:row>
    <x:row r="1375" ht="21" customHeight="1">
      <x:c r="A1375" s="1" t="str">
        <x:v>C0004071</x:v>
      </x:c>
      <x:c r="B1375" s="1" t="n">
        <x:v>16</x:v>
      </x:c>
      <x:c r="C1375" s="1" t="n">
        <x:v>106</x:v>
      </x:c>
      <x:c r="D1375" s="6" t="n">
        <x:v>14368</x:v>
      </x:c>
      <x:c r="E1375" s="6" t="n">
        <x:v>0</x:v>
      </x:c>
      <x:c r="F1375" s="6" t="n">
        <x:v>0</x:v>
      </x:c>
      <x:c r="G1375" s="6" t="n">
        <x:v>0</x:v>
      </x:c>
      <x:c r="H1375" s="6" t="n">
        <x:v>-14368</x:v>
      </x:c>
    </x:row>
    <x:row r="1376" ht="21" customHeight="1">
      <x:c r="A1376" s="1" t="str">
        <x:v>C0006136</x:v>
      </x:c>
      <x:c r="B1376" s="1" t="n">
        <x:v>16</x:v>
      </x:c>
      <x:c r="C1376" s="1" t="n">
        <x:v>106</x:v>
      </x:c>
      <x:c r="D1376" s="6" t="n">
        <x:v>14368</x:v>
      </x:c>
      <x:c r="E1376" s="6" t="n">
        <x:v>0</x:v>
      </x:c>
      <x:c r="F1376" s="6" t="n">
        <x:v>0</x:v>
      </x:c>
      <x:c r="G1376" s="6" t="n">
        <x:v>0</x:v>
      </x:c>
      <x:c r="H1376" s="6" t="n">
        <x:v>-14368</x:v>
      </x:c>
    </x:row>
    <x:row r="1377" ht="21" customHeight="1">
      <x:c r="A1377" s="1" t="str">
        <x:v>C0000971</x:v>
      </x:c>
      <x:c r="B1377" s="1" t="n">
        <x:v>16</x:v>
      </x:c>
      <x:c r="C1377" s="1" t="n">
        <x:v>106</x:v>
      </x:c>
      <x:c r="D1377" s="6" t="n">
        <x:v>14368</x:v>
      </x:c>
      <x:c r="E1377" s="6" t="n">
        <x:v>28736</x:v>
      </x:c>
      <x:c r="F1377" s="6" t="n">
        <x:v>0</x:v>
      </x:c>
      <x:c r="G1377" s="6" t="n">
        <x:v>28736</x:v>
      </x:c>
      <x:c r="H1377" s="6" t="n">
        <x:v>14368</x:v>
      </x:c>
    </x:row>
    <x:row r="1378" ht="21" customHeight="1">
      <x:c r="A1378" s="1" t="str">
        <x:v>C0006685</x:v>
      </x:c>
      <x:c r="B1378" s="1" t="n">
        <x:v>16</x:v>
      </x:c>
      <x:c r="C1378" s="1" t="n">
        <x:v>106</x:v>
      </x:c>
      <x:c r="D1378" s="6" t="n">
        <x:v>14368</x:v>
      </x:c>
      <x:c r="E1378" s="6" t="n">
        <x:v>0</x:v>
      </x:c>
      <x:c r="F1378" s="6" t="n">
        <x:v>0</x:v>
      </x:c>
      <x:c r="G1378" s="6" t="n">
        <x:v>0</x:v>
      </x:c>
      <x:c r="H1378" s="6" t="n">
        <x:v>-14368</x:v>
      </x:c>
    </x:row>
    <x:row r="1379" ht="21" customHeight="1">
      <x:c r="A1379" s="1" t="str">
        <x:v>C0000268</x:v>
      </x:c>
      <x:c r="B1379" s="1" t="n">
        <x:v>30</x:v>
      </x:c>
      <x:c r="C1379" s="1" t="n">
        <x:v>90</x:v>
      </x:c>
      <x:c r="D1379" s="6" t="n">
        <x:v>14215</x:v>
      </x:c>
      <x:c r="E1379" s="6" t="n">
        <x:v>0</x:v>
      </x:c>
      <x:c r="F1379" s="6" t="n">
        <x:v>0</x:v>
      </x:c>
      <x:c r="G1379" s="6" t="n">
        <x:v>0</x:v>
      </x:c>
      <x:c r="H1379" s="6" t="n">
        <x:v>-14215</x:v>
      </x:c>
    </x:row>
    <x:row r="1380" ht="21" customHeight="1">
      <x:c r="A1380" s="1" t="str">
        <x:v>C0008224</x:v>
      </x:c>
      <x:c r="B1380" s="1" t="n">
        <x:v>30</x:v>
      </x:c>
      <x:c r="C1380" s="1" t="n">
        <x:v>90</x:v>
      </x:c>
      <x:c r="D1380" s="6" t="n">
        <x:v>14215</x:v>
      </x:c>
      <x:c r="E1380" s="6" t="n">
        <x:v>28430</x:v>
      </x:c>
      <x:c r="F1380" s="6" t="n">
        <x:v>0</x:v>
      </x:c>
      <x:c r="G1380" s="6" t="n">
        <x:v>28430</x:v>
      </x:c>
      <x:c r="H1380" s="6" t="n">
        <x:v>14215</x:v>
      </x:c>
    </x:row>
    <x:row r="1381" ht="21" customHeight="1">
      <x:c r="A1381" s="1" t="str">
        <x:v>C0011621</x:v>
      </x:c>
      <x:c r="B1381" s="1" t="n">
        <x:v>30</x:v>
      </x:c>
      <x:c r="C1381" s="1" t="n">
        <x:v>90</x:v>
      </x:c>
      <x:c r="D1381" s="6" t="n">
        <x:v>14215</x:v>
      </x:c>
      <x:c r="E1381" s="6" t="n">
        <x:v>0</x:v>
      </x:c>
      <x:c r="F1381" s="6" t="n">
        <x:v>0</x:v>
      </x:c>
      <x:c r="G1381" s="6" t="n">
        <x:v>0</x:v>
      </x:c>
      <x:c r="H1381" s="6" t="n">
        <x:v>-14215</x:v>
      </x:c>
    </x:row>
    <x:row r="1382" ht="21" customHeight="1">
      <x:c r="A1382" s="1" t="str">
        <x:v>C0012322</x:v>
      </x:c>
      <x:c r="B1382" s="1" t="n">
        <x:v>30</x:v>
      </x:c>
      <x:c r="C1382" s="1" t="n">
        <x:v>90</x:v>
      </x:c>
      <x:c r="D1382" s="6" t="n">
        <x:v>14215</x:v>
      </x:c>
      <x:c r="E1382" s="6" t="n">
        <x:v>28430</x:v>
      </x:c>
      <x:c r="F1382" s="6" t="n">
        <x:v>0</x:v>
      </x:c>
      <x:c r="G1382" s="6" t="n">
        <x:v>28430</x:v>
      </x:c>
      <x:c r="H1382" s="6" t="n">
        <x:v>14215</x:v>
      </x:c>
    </x:row>
    <x:row r="1383" ht="21" customHeight="1">
      <x:c r="A1383" s="1" t="str">
        <x:v>C0006113</x:v>
      </x:c>
      <x:c r="B1383" s="1" t="n">
        <x:v>30</x:v>
      </x:c>
      <x:c r="C1383" s="1" t="n">
        <x:v>90</x:v>
      </x:c>
      <x:c r="D1383" s="6" t="n">
        <x:v>14215</x:v>
      </x:c>
      <x:c r="E1383" s="6" t="n">
        <x:v>28430</x:v>
      </x:c>
      <x:c r="F1383" s="6" t="n">
        <x:v>0</x:v>
      </x:c>
      <x:c r="G1383" s="6" t="n">
        <x:v>28430</x:v>
      </x:c>
      <x:c r="H1383" s="6" t="n">
        <x:v>14215</x:v>
      </x:c>
    </x:row>
    <x:row r="1384" ht="21" customHeight="1">
      <x:c r="A1384" s="1" t="str">
        <x:v>C0011491</x:v>
      </x:c>
      <x:c r="B1384" s="1" t="n">
        <x:v>30</x:v>
      </x:c>
      <x:c r="C1384" s="1" t="n">
        <x:v>90</x:v>
      </x:c>
      <x:c r="D1384" s="6" t="n">
        <x:v>14215</x:v>
      </x:c>
      <x:c r="E1384" s="6" t="n">
        <x:v>0</x:v>
      </x:c>
      <x:c r="F1384" s="6" t="n">
        <x:v>0</x:v>
      </x:c>
      <x:c r="G1384" s="6" t="n">
        <x:v>0</x:v>
      </x:c>
      <x:c r="H1384" s="6" t="n">
        <x:v>-14215</x:v>
      </x:c>
    </x:row>
    <x:row r="1385" ht="21" customHeight="1">
      <x:c r="A1385" s="1" t="str">
        <x:v>C0008529</x:v>
      </x:c>
      <x:c r="B1385" s="1" t="n">
        <x:v>30</x:v>
      </x:c>
      <x:c r="C1385" s="1" t="n">
        <x:v>90</x:v>
      </x:c>
      <x:c r="D1385" s="6" t="n">
        <x:v>14215</x:v>
      </x:c>
      <x:c r="E1385" s="6" t="n">
        <x:v>28430</x:v>
      </x:c>
      <x:c r="F1385" s="6" t="n">
        <x:v>0</x:v>
      </x:c>
      <x:c r="G1385" s="6" t="n">
        <x:v>28430</x:v>
      </x:c>
      <x:c r="H1385" s="6" t="n">
        <x:v>14215</x:v>
      </x:c>
    </x:row>
    <x:row r="1386" ht="21" customHeight="1">
      <x:c r="A1386" s="1" t="str">
        <x:v>C0005148</x:v>
      </x:c>
      <x:c r="B1386" s="1" t="n">
        <x:v>7</x:v>
      </x:c>
      <x:c r="C1386" s="1" t="n">
        <x:v>7</x:v>
      </x:c>
      <x:c r="D1386" s="6" t="n">
        <x:v>14178</x:v>
      </x:c>
      <x:c r="E1386" s="6" t="n">
        <x:v>28356</x:v>
      </x:c>
      <x:c r="F1386" s="6" t="n">
        <x:v>0</x:v>
      </x:c>
      <x:c r="G1386" s="6" t="n">
        <x:v>28356</x:v>
      </x:c>
      <x:c r="H1386" s="6" t="n">
        <x:v>14178</x:v>
      </x:c>
    </x:row>
    <x:row r="1387" ht="21" customHeight="1">
      <x:c r="A1387" s="1" t="str">
        <x:v>C0011599</x:v>
      </x:c>
      <x:c r="B1387" s="1" t="n">
        <x:v>7</x:v>
      </x:c>
      <x:c r="C1387" s="1" t="n">
        <x:v>7</x:v>
      </x:c>
      <x:c r="D1387" s="6" t="n">
        <x:v>0</x:v>
      </x:c>
      <x:c r="E1387" s="6" t="n">
        <x:v>14178</x:v>
      </x:c>
      <x:c r="F1387" s="6" t="n">
        <x:v>0</x:v>
      </x:c>
      <x:c r="G1387" s="6" t="n">
        <x:v>14178</x:v>
      </x:c>
      <x:c r="H1387" s="6" t="n">
        <x:v>14178</x:v>
      </x:c>
    </x:row>
    <x:row r="1388" ht="21" customHeight="1">
      <x:c r="A1388" s="1" t="str">
        <x:v>C0009250</x:v>
      </x:c>
      <x:c r="B1388" s="1" t="n">
        <x:v>7</x:v>
      </x:c>
      <x:c r="C1388" s="1" t="n">
        <x:v>7</x:v>
      </x:c>
      <x:c r="D1388" s="6" t="n">
        <x:v>14178</x:v>
      </x:c>
      <x:c r="E1388" s="6" t="n">
        <x:v>28356</x:v>
      </x:c>
      <x:c r="F1388" s="6" t="n">
        <x:v>0</x:v>
      </x:c>
      <x:c r="G1388" s="6" t="n">
        <x:v>28356</x:v>
      </x:c>
      <x:c r="H1388" s="6" t="n">
        <x:v>14178</x:v>
      </x:c>
    </x:row>
    <x:row r="1389" ht="21" customHeight="1">
      <x:c r="A1389" s="1" t="str">
        <x:v>C0013572</x:v>
      </x:c>
      <x:c r="B1389" s="1" t="n">
        <x:v>7</x:v>
      </x:c>
      <x:c r="C1389" s="1" t="n">
        <x:v>7</x:v>
      </x:c>
      <x:c r="D1389" s="6" t="n">
        <x:v>14178</x:v>
      </x:c>
      <x:c r="E1389" s="6" t="n">
        <x:v>28356</x:v>
      </x:c>
      <x:c r="F1389" s="6" t="n">
        <x:v>0</x:v>
      </x:c>
      <x:c r="G1389" s="6" t="n">
        <x:v>28356</x:v>
      </x:c>
      <x:c r="H1389" s="6" t="n">
        <x:v>14178</x:v>
      </x:c>
    </x:row>
    <x:row r="1390" ht="21" customHeight="1">
      <x:c r="A1390" s="1" t="str">
        <x:v>C0009840</x:v>
      </x:c>
      <x:c r="B1390" s="1" t="n">
        <x:v>7</x:v>
      </x:c>
      <x:c r="C1390" s="1" t="n">
        <x:v>7</x:v>
      </x:c>
      <x:c r="D1390" s="6" t="n">
        <x:v>0</x:v>
      </x:c>
      <x:c r="E1390" s="6" t="n">
        <x:v>14178</x:v>
      </x:c>
      <x:c r="F1390" s="6" t="n">
        <x:v>0</x:v>
      </x:c>
      <x:c r="G1390" s="6" t="n">
        <x:v>14178</x:v>
      </x:c>
      <x:c r="H1390" s="6" t="n">
        <x:v>14178</x:v>
      </x:c>
    </x:row>
    <x:row r="1391" ht="21" customHeight="1">
      <x:c r="A1391" s="1" t="str">
        <x:v>C0000634</x:v>
      </x:c>
      <x:c r="B1391" s="1" t="n">
        <x:v>7</x:v>
      </x:c>
      <x:c r="C1391" s="1" t="n">
        <x:v>7</x:v>
      </x:c>
      <x:c r="D1391" s="6" t="n">
        <x:v>14178</x:v>
      </x:c>
      <x:c r="E1391" s="6" t="n">
        <x:v>28356</x:v>
      </x:c>
      <x:c r="F1391" s="6" t="n">
        <x:v>0</x:v>
      </x:c>
      <x:c r="G1391" s="6" t="n">
        <x:v>28356</x:v>
      </x:c>
      <x:c r="H1391" s="6" t="n">
        <x:v>14178</x:v>
      </x:c>
    </x:row>
    <x:row r="1392" ht="21" customHeight="1">
      <x:c r="A1392" s="1" t="str">
        <x:v>C0014310</x:v>
      </x:c>
      <x:c r="B1392" s="1" t="n">
        <x:v>7</x:v>
      </x:c>
      <x:c r="C1392" s="1" t="n">
        <x:v>7</x:v>
      </x:c>
      <x:c r="D1392" s="6" t="n">
        <x:v>14178</x:v>
      </x:c>
      <x:c r="E1392" s="6" t="n">
        <x:v>0</x:v>
      </x:c>
      <x:c r="F1392" s="6" t="n">
        <x:v>0</x:v>
      </x:c>
      <x:c r="G1392" s="6" t="n">
        <x:v>0</x:v>
      </x:c>
      <x:c r="H1392" s="6" t="n">
        <x:v>-14178</x:v>
      </x:c>
    </x:row>
    <x:row r="1393" ht="21" customHeight="1">
      <x:c r="A1393" s="1" t="str">
        <x:v>C0004472</x:v>
      </x:c>
      <x:c r="B1393" s="1" t="n">
        <x:v>19</x:v>
      </x:c>
      <x:c r="C1393" s="1" t="n">
        <x:v>109</x:v>
      </x:c>
      <x:c r="D1393" s="6" t="n">
        <x:v>14087</x:v>
      </x:c>
      <x:c r="E1393" s="6" t="n">
        <x:v>0</x:v>
      </x:c>
      <x:c r="F1393" s="6" t="n">
        <x:v>0</x:v>
      </x:c>
      <x:c r="G1393" s="6" t="n">
        <x:v>0</x:v>
      </x:c>
      <x:c r="H1393" s="6" t="n">
        <x:v>-14087</x:v>
      </x:c>
    </x:row>
    <x:row r="1394" ht="21" customHeight="1">
      <x:c r="A1394" s="1" t="str">
        <x:v>C0014729</x:v>
      </x:c>
      <x:c r="B1394" s="1" t="n">
        <x:v>19</x:v>
      </x:c>
      <x:c r="C1394" s="1" t="n">
        <x:v>109</x:v>
      </x:c>
      <x:c r="D1394" s="6" t="n">
        <x:v>14087</x:v>
      </x:c>
      <x:c r="E1394" s="6" t="n">
        <x:v>28174</x:v>
      </x:c>
      <x:c r="F1394" s="6" t="n">
        <x:v>0</x:v>
      </x:c>
      <x:c r="G1394" s="6" t="n">
        <x:v>28174</x:v>
      </x:c>
      <x:c r="H1394" s="6" t="n">
        <x:v>14087</x:v>
      </x:c>
    </x:row>
    <x:row r="1395" ht="21" customHeight="1">
      <x:c r="A1395" s="1" t="str">
        <x:v>C0014545</x:v>
      </x:c>
      <x:c r="B1395" s="1" t="n">
        <x:v>19</x:v>
      </x:c>
      <x:c r="C1395" s="1" t="n">
        <x:v>109</x:v>
      </x:c>
      <x:c r="D1395" s="6" t="n">
        <x:v>14087</x:v>
      </x:c>
      <x:c r="E1395" s="6" t="n">
        <x:v>0</x:v>
      </x:c>
      <x:c r="F1395" s="6" t="n">
        <x:v>0</x:v>
      </x:c>
      <x:c r="G1395" s="6" t="n">
        <x:v>0</x:v>
      </x:c>
      <x:c r="H1395" s="6" t="n">
        <x:v>-14087</x:v>
      </x:c>
    </x:row>
    <x:row r="1396" ht="21" customHeight="1">
      <x:c r="A1396" s="1" t="str">
        <x:v>C0002024</x:v>
      </x:c>
      <x:c r="B1396" s="1" t="n">
        <x:v>19</x:v>
      </x:c>
      <x:c r="C1396" s="1" t="n">
        <x:v>109</x:v>
      </x:c>
      <x:c r="D1396" s="6" t="n">
        <x:v>14087</x:v>
      </x:c>
      <x:c r="E1396" s="6" t="n">
        <x:v>0</x:v>
      </x:c>
      <x:c r="F1396" s="6" t="n">
        <x:v>0</x:v>
      </x:c>
      <x:c r="G1396" s="6" t="n">
        <x:v>0</x:v>
      </x:c>
      <x:c r="H1396" s="6" t="n">
        <x:v>-14087</x:v>
      </x:c>
    </x:row>
    <x:row r="1397" ht="21" customHeight="1">
      <x:c r="A1397" s="1" t="str">
        <x:v>C0010782</x:v>
      </x:c>
      <x:c r="B1397" s="1" t="n">
        <x:v>19</x:v>
      </x:c>
      <x:c r="C1397" s="1" t="n">
        <x:v>109</x:v>
      </x:c>
      <x:c r="D1397" s="6" t="n">
        <x:v>14087</x:v>
      </x:c>
      <x:c r="E1397" s="6" t="n">
        <x:v>0</x:v>
      </x:c>
      <x:c r="F1397" s="6" t="n">
        <x:v>0</x:v>
      </x:c>
      <x:c r="G1397" s="6" t="n">
        <x:v>0</x:v>
      </x:c>
      <x:c r="H1397" s="6" t="n">
        <x:v>-14087</x:v>
      </x:c>
    </x:row>
    <x:row r="1398" ht="21" customHeight="1">
      <x:c r="A1398" s="1" t="str">
        <x:v>C0009778</x:v>
      </x:c>
      <x:c r="B1398" s="1" t="n">
        <x:v>19</x:v>
      </x:c>
      <x:c r="C1398" s="1" t="n">
        <x:v>109</x:v>
      </x:c>
      <x:c r="D1398" s="6" t="n">
        <x:v>14087</x:v>
      </x:c>
      <x:c r="E1398" s="6" t="n">
        <x:v>28174</x:v>
      </x:c>
      <x:c r="F1398" s="6" t="n">
        <x:v>0</x:v>
      </x:c>
      <x:c r="G1398" s="6" t="n">
        <x:v>28174</x:v>
      </x:c>
      <x:c r="H1398" s="6" t="n">
        <x:v>14087</x:v>
      </x:c>
    </x:row>
    <x:row r="1399" ht="21" customHeight="1">
      <x:c r="A1399" s="1" t="str">
        <x:v>C0012044</x:v>
      </x:c>
      <x:c r="B1399" s="1" t="n">
        <x:v>19</x:v>
      </x:c>
      <x:c r="C1399" s="1" t="n">
        <x:v>109</x:v>
      </x:c>
      <x:c r="D1399" s="6" t="n">
        <x:v>14087</x:v>
      </x:c>
      <x:c r="E1399" s="6" t="n">
        <x:v>0</x:v>
      </x:c>
      <x:c r="F1399" s="6" t="n">
        <x:v>0</x:v>
      </x:c>
      <x:c r="G1399" s="6" t="n">
        <x:v>0</x:v>
      </x:c>
      <x:c r="H1399" s="6" t="n">
        <x:v>-14087</x:v>
      </x:c>
    </x:row>
    <x:row r="1400" ht="21" customHeight="1">
      <x:c r="A1400" s="1" t="str">
        <x:v>C0006472</x:v>
      </x:c>
      <x:c r="B1400" s="1" t="n">
        <x:v>19</x:v>
      </x:c>
      <x:c r="C1400" s="1" t="n">
        <x:v>49</x:v>
      </x:c>
      <x:c r="D1400" s="6" t="n">
        <x:v>14066</x:v>
      </x:c>
      <x:c r="E1400" s="6" t="n">
        <x:v>28132</x:v>
      </x:c>
      <x:c r="F1400" s="6" t="n">
        <x:v>0</x:v>
      </x:c>
      <x:c r="G1400" s="6" t="n">
        <x:v>28132</x:v>
      </x:c>
      <x:c r="H1400" s="6" t="n">
        <x:v>14066</x:v>
      </x:c>
    </x:row>
    <x:row r="1401" ht="21" customHeight="1">
      <x:c r="A1401" s="1" t="str">
        <x:v>C0016774</x:v>
      </x:c>
      <x:c r="B1401" s="1" t="n">
        <x:v>30</x:v>
      </x:c>
      <x:c r="C1401" s="1" t="n">
        <x:v>120</x:v>
      </x:c>
      <x:c r="D1401" s="6" t="n">
        <x:v>13993</x:v>
      </x:c>
      <x:c r="E1401" s="6" t="n">
        <x:v>27986</x:v>
      </x:c>
      <x:c r="F1401" s="6" t="n">
        <x:v>0</x:v>
      </x:c>
      <x:c r="G1401" s="6" t="n">
        <x:v>27986</x:v>
      </x:c>
      <x:c r="H1401" s="6" t="n">
        <x:v>13993</x:v>
      </x:c>
    </x:row>
    <x:row r="1402" ht="21" customHeight="1">
      <x:c r="A1402" s="1" t="str">
        <x:v>C0014065</x:v>
      </x:c>
      <x:c r="B1402" s="1" t="n">
        <x:v>30</x:v>
      </x:c>
      <x:c r="C1402" s="1" t="n">
        <x:v>120</x:v>
      </x:c>
      <x:c r="D1402" s="6" t="n">
        <x:v>13993</x:v>
      </x:c>
      <x:c r="E1402" s="6" t="n">
        <x:v>27986</x:v>
      </x:c>
      <x:c r="F1402" s="6" t="n">
        <x:v>0</x:v>
      </x:c>
      <x:c r="G1402" s="6" t="n">
        <x:v>27986</x:v>
      </x:c>
      <x:c r="H1402" s="6" t="n">
        <x:v>13993</x:v>
      </x:c>
    </x:row>
    <x:row r="1403" ht="21" customHeight="1">
      <x:c r="A1403" s="1" t="str">
        <x:v>C0006895</x:v>
      </x:c>
      <x:c r="B1403" s="1" t="n">
        <x:v>30</x:v>
      </x:c>
      <x:c r="C1403" s="1" t="n">
        <x:v>120</x:v>
      </x:c>
      <x:c r="D1403" s="6" t="n">
        <x:v>13993</x:v>
      </x:c>
      <x:c r="E1403" s="6" t="n">
        <x:v>0</x:v>
      </x:c>
      <x:c r="F1403" s="6" t="n">
        <x:v>0</x:v>
      </x:c>
      <x:c r="G1403" s="6" t="n">
        <x:v>0</x:v>
      </x:c>
      <x:c r="H1403" s="6" t="n">
        <x:v>-13993</x:v>
      </x:c>
    </x:row>
    <x:row r="1404" ht="21" customHeight="1">
      <x:c r="A1404" s="1" t="str">
        <x:v>C0017499</x:v>
      </x:c>
      <x:c r="B1404" s="1" t="n">
        <x:v>30</x:v>
      </x:c>
      <x:c r="C1404" s="1" t="n">
        <x:v>120</x:v>
      </x:c>
      <x:c r="D1404" s="6" t="n">
        <x:v>13993</x:v>
      </x:c>
      <x:c r="E1404" s="6" t="n">
        <x:v>27986</x:v>
      </x:c>
      <x:c r="F1404" s="6" t="n">
        <x:v>0</x:v>
      </x:c>
      <x:c r="G1404" s="6" t="n">
        <x:v>27986</x:v>
      </x:c>
      <x:c r="H1404" s="6" t="n">
        <x:v>13993</x:v>
      </x:c>
    </x:row>
    <x:row r="1405" ht="21" customHeight="1">
      <x:c r="A1405" s="1" t="str">
        <x:v>C0008412</x:v>
      </x:c>
      <x:c r="B1405" s="1" t="n">
        <x:v>30</x:v>
      </x:c>
      <x:c r="C1405" s="1" t="n">
        <x:v>120</x:v>
      </x:c>
      <x:c r="D1405" s="6" t="n">
        <x:v>13993</x:v>
      </x:c>
      <x:c r="E1405" s="6" t="n">
        <x:v>0</x:v>
      </x:c>
      <x:c r="F1405" s="6" t="n">
        <x:v>0</x:v>
      </x:c>
      <x:c r="G1405" s="6" t="n">
        <x:v>0</x:v>
      </x:c>
      <x:c r="H1405" s="6" t="n">
        <x:v>-13993</x:v>
      </x:c>
    </x:row>
    <x:row r="1406" ht="21" customHeight="1">
      <x:c r="A1406" s="1" t="str">
        <x:v>C0001442</x:v>
      </x:c>
      <x:c r="B1406" s="1" t="n">
        <x:v>30</x:v>
      </x:c>
      <x:c r="C1406" s="1" t="n">
        <x:v>120</x:v>
      </x:c>
      <x:c r="D1406" s="6" t="n">
        <x:v>13993</x:v>
      </x:c>
      <x:c r="E1406" s="6" t="n">
        <x:v>0</x:v>
      </x:c>
      <x:c r="F1406" s="6" t="n">
        <x:v>0</x:v>
      </x:c>
      <x:c r="G1406" s="6" t="n">
        <x:v>0</x:v>
      </x:c>
      <x:c r="H1406" s="6" t="n">
        <x:v>-13993</x:v>
      </x:c>
    </x:row>
    <x:row r="1407" ht="21" customHeight="1">
      <x:c r="A1407" s="1" t="str">
        <x:v>C0004928</x:v>
      </x:c>
      <x:c r="B1407" s="1" t="n">
        <x:v>30</x:v>
      </x:c>
      <x:c r="C1407" s="1" t="n">
        <x:v>120</x:v>
      </x:c>
      <x:c r="D1407" s="6" t="n">
        <x:v>13993</x:v>
      </x:c>
      <x:c r="E1407" s="6" t="n">
        <x:v>27986</x:v>
      </x:c>
      <x:c r="F1407" s="6" t="n">
        <x:v>0</x:v>
      </x:c>
      <x:c r="G1407" s="6" t="n">
        <x:v>27986</x:v>
      </x:c>
      <x:c r="H1407" s="6" t="n">
        <x:v>13993</x:v>
      </x:c>
    </x:row>
    <x:row r="1408" ht="21" customHeight="1">
      <x:c r="A1408" s="1" t="str">
        <x:v>C0009899</x:v>
      </x:c>
      <x:c r="B1408" s="1" t="n">
        <x:v>30</x:v>
      </x:c>
      <x:c r="C1408" s="1" t="n">
        <x:v>120</x:v>
      </x:c>
      <x:c r="D1408" s="6" t="n">
        <x:v>0</x:v>
      </x:c>
      <x:c r="E1408" s="6" t="n">
        <x:v>13993</x:v>
      </x:c>
      <x:c r="F1408" s="6" t="n">
        <x:v>0</x:v>
      </x:c>
      <x:c r="G1408" s="6" t="n">
        <x:v>13993</x:v>
      </x:c>
      <x:c r="H1408" s="6" t="n">
        <x:v>13993</x:v>
      </x:c>
    </x:row>
    <x:row r="1409" ht="21" customHeight="1">
      <x:c r="A1409" s="1" t="str">
        <x:v>C0007023</x:v>
      </x:c>
      <x:c r="B1409" s="1" t="n">
        <x:v>30</x:v>
      </x:c>
      <x:c r="C1409" s="1" t="n">
        <x:v>120</x:v>
      </x:c>
      <x:c r="D1409" s="6" t="n">
        <x:v>13993</x:v>
      </x:c>
      <x:c r="E1409" s="6" t="n">
        <x:v>27986</x:v>
      </x:c>
      <x:c r="F1409" s="6" t="n">
        <x:v>0</x:v>
      </x:c>
      <x:c r="G1409" s="6" t="n">
        <x:v>27986</x:v>
      </x:c>
      <x:c r="H1409" s="6" t="n">
        <x:v>13993</x:v>
      </x:c>
    </x:row>
    <x:row r="1410" ht="21" customHeight="1">
      <x:c r="A1410" s="1" t="str">
        <x:v>C0003202</x:v>
      </x:c>
      <x:c r="B1410" s="1" t="n">
        <x:v>30</x:v>
      </x:c>
      <x:c r="C1410" s="1" t="n">
        <x:v>120</x:v>
      </x:c>
      <x:c r="D1410" s="6" t="n">
        <x:v>13993</x:v>
      </x:c>
      <x:c r="E1410" s="6" t="n">
        <x:v>27986</x:v>
      </x:c>
      <x:c r="F1410" s="6" t="n">
        <x:v>0</x:v>
      </x:c>
      <x:c r="G1410" s="6" t="n">
        <x:v>27986</x:v>
      </x:c>
      <x:c r="H1410" s="6" t="n">
        <x:v>13993</x:v>
      </x:c>
    </x:row>
    <x:row r="1411" ht="21" customHeight="1">
      <x:c r="A1411" s="1" t="str">
        <x:v>C0012626</x:v>
      </x:c>
      <x:c r="B1411" s="1" t="n">
        <x:v>30</x:v>
      </x:c>
      <x:c r="C1411" s="1" t="n">
        <x:v>120</x:v>
      </x:c>
      <x:c r="D1411" s="6" t="n">
        <x:v>13993</x:v>
      </x:c>
      <x:c r="E1411" s="6" t="n">
        <x:v>0</x:v>
      </x:c>
      <x:c r="F1411" s="6" t="n">
        <x:v>0</x:v>
      </x:c>
      <x:c r="G1411" s="6" t="n">
        <x:v>0</x:v>
      </x:c>
      <x:c r="H1411" s="6" t="n">
        <x:v>-13993</x:v>
      </x:c>
    </x:row>
    <x:row r="1412" ht="21" customHeight="1">
      <x:c r="A1412" s="1" t="str">
        <x:v>C0005656</x:v>
      </x:c>
      <x:c r="B1412" s="1" t="n">
        <x:v>16</x:v>
      </x:c>
      <x:c r="C1412" s="1" t="n">
        <x:v>16</x:v>
      </x:c>
      <x:c r="D1412" s="6" t="n">
        <x:v>13941</x:v>
      </x:c>
      <x:c r="E1412" s="6" t="n">
        <x:v>0</x:v>
      </x:c>
      <x:c r="F1412" s="6" t="n">
        <x:v>0</x:v>
      </x:c>
      <x:c r="G1412" s="6" t="n">
        <x:v>0</x:v>
      </x:c>
      <x:c r="H1412" s="6" t="n">
        <x:v>-13941</x:v>
      </x:c>
    </x:row>
    <x:row r="1413" ht="21" customHeight="1">
      <x:c r="A1413" s="1" t="str">
        <x:v>C0011441</x:v>
      </x:c>
      <x:c r="B1413" s="1" t="n">
        <x:v>16</x:v>
      </x:c>
      <x:c r="C1413" s="1" t="n">
        <x:v>16</x:v>
      </x:c>
      <x:c r="D1413" s="6" t="n">
        <x:v>13941</x:v>
      </x:c>
      <x:c r="E1413" s="6" t="n">
        <x:v>27882</x:v>
      </x:c>
      <x:c r="F1413" s="6" t="n">
        <x:v>0</x:v>
      </x:c>
      <x:c r="G1413" s="6" t="n">
        <x:v>27882</x:v>
      </x:c>
      <x:c r="H1413" s="6" t="n">
        <x:v>13941</x:v>
      </x:c>
    </x:row>
    <x:row r="1414" ht="21" customHeight="1">
      <x:c r="A1414" s="1" t="str">
        <x:v>C0013341</x:v>
      </x:c>
      <x:c r="B1414" s="1" t="n">
        <x:v>16</x:v>
      </x:c>
      <x:c r="C1414" s="1" t="n">
        <x:v>16</x:v>
      </x:c>
      <x:c r="D1414" s="6" t="n">
        <x:v>13941</x:v>
      </x:c>
      <x:c r="E1414" s="6" t="n">
        <x:v>0</x:v>
      </x:c>
      <x:c r="F1414" s="6" t="n">
        <x:v>0</x:v>
      </x:c>
      <x:c r="G1414" s="6" t="n">
        <x:v>0</x:v>
      </x:c>
      <x:c r="H1414" s="6" t="n">
        <x:v>-13941</x:v>
      </x:c>
    </x:row>
    <x:row r="1415" ht="21" customHeight="1">
      <x:c r="A1415" s="1" t="str">
        <x:v>C0015926</x:v>
      </x:c>
      <x:c r="B1415" s="1" t="n">
        <x:v>16</x:v>
      </x:c>
      <x:c r="C1415" s="1" t="n">
        <x:v>16</x:v>
      </x:c>
      <x:c r="D1415" s="6" t="n">
        <x:v>13941</x:v>
      </x:c>
      <x:c r="E1415" s="6" t="n">
        <x:v>0</x:v>
      </x:c>
      <x:c r="F1415" s="6" t="n">
        <x:v>0</x:v>
      </x:c>
      <x:c r="G1415" s="6" t="n">
        <x:v>0</x:v>
      </x:c>
      <x:c r="H1415" s="6" t="n">
        <x:v>-13941</x:v>
      </x:c>
    </x:row>
    <x:row r="1416" ht="21" customHeight="1">
      <x:c r="A1416" s="1" t="str">
        <x:v>C0004391</x:v>
      </x:c>
      <x:c r="B1416" s="1" t="n">
        <x:v>16</x:v>
      </x:c>
      <x:c r="C1416" s="1" t="n">
        <x:v>16</x:v>
      </x:c>
      <x:c r="D1416" s="6" t="n">
        <x:v>0</x:v>
      </x:c>
      <x:c r="E1416" s="6" t="n">
        <x:v>13941</x:v>
      </x:c>
      <x:c r="F1416" s="6" t="n">
        <x:v>0</x:v>
      </x:c>
      <x:c r="G1416" s="6" t="n">
        <x:v>13941</x:v>
      </x:c>
      <x:c r="H1416" s="6" t="n">
        <x:v>13941</x:v>
      </x:c>
    </x:row>
    <x:row r="1417" ht="21" customHeight="1">
      <x:c r="A1417" s="1" t="str">
        <x:v>C0016467</x:v>
      </x:c>
      <x:c r="B1417" s="1" t="n">
        <x:v>16</x:v>
      </x:c>
      <x:c r="C1417" s="1" t="n">
        <x:v>16</x:v>
      </x:c>
      <x:c r="D1417" s="6" t="n">
        <x:v>13941</x:v>
      </x:c>
      <x:c r="E1417" s="6" t="n">
        <x:v>27882</x:v>
      </x:c>
      <x:c r="F1417" s="6" t="n">
        <x:v>0</x:v>
      </x:c>
      <x:c r="G1417" s="6" t="n">
        <x:v>27882</x:v>
      </x:c>
      <x:c r="H1417" s="6" t="n">
        <x:v>13941</x:v>
      </x:c>
    </x:row>
    <x:row r="1418" ht="21" customHeight="1">
      <x:c r="A1418" s="1" t="str">
        <x:v>C0009648</x:v>
      </x:c>
      <x:c r="B1418" s="1" t="n">
        <x:v>16</x:v>
      </x:c>
      <x:c r="C1418" s="1" t="n">
        <x:v>16</x:v>
      </x:c>
      <x:c r="D1418" s="6" t="n">
        <x:v>13941</x:v>
      </x:c>
      <x:c r="E1418" s="6" t="n">
        <x:v>27882</x:v>
      </x:c>
      <x:c r="F1418" s="6" t="n">
        <x:v>0</x:v>
      </x:c>
      <x:c r="G1418" s="6" t="n">
        <x:v>27882</x:v>
      </x:c>
      <x:c r="H1418" s="6" t="n">
        <x:v>13941</x:v>
      </x:c>
    </x:row>
    <x:row r="1419" ht="21" customHeight="1">
      <x:c r="A1419" s="1" t="str">
        <x:v>C0000424</x:v>
      </x:c>
      <x:c r="B1419" s="1" t="n">
        <x:v>16</x:v>
      </x:c>
      <x:c r="C1419" s="1" t="n">
        <x:v>16</x:v>
      </x:c>
      <x:c r="D1419" s="6" t="n">
        <x:v>13941</x:v>
      </x:c>
      <x:c r="E1419" s="6" t="n">
        <x:v>27882</x:v>
      </x:c>
      <x:c r="F1419" s="6" t="n">
        <x:v>0</x:v>
      </x:c>
      <x:c r="G1419" s="6" t="n">
        <x:v>27882</x:v>
      </x:c>
      <x:c r="H1419" s="6" t="n">
        <x:v>13941</x:v>
      </x:c>
    </x:row>
    <x:row r="1420" ht="21" customHeight="1">
      <x:c r="A1420" s="1" t="str">
        <x:v>C0016352</x:v>
      </x:c>
      <x:c r="B1420" s="1" t="n">
        <x:v>12</x:v>
      </x:c>
      <x:c r="C1420" s="1" t="n">
        <x:v>102</x:v>
      </x:c>
      <x:c r="D1420" s="6" t="n">
        <x:v>13888</x:v>
      </x:c>
      <x:c r="E1420" s="6" t="n">
        <x:v>0</x:v>
      </x:c>
      <x:c r="F1420" s="6" t="n">
        <x:v>0</x:v>
      </x:c>
      <x:c r="G1420" s="6" t="n">
        <x:v>0</x:v>
      </x:c>
      <x:c r="H1420" s="6" t="n">
        <x:v>-13888</x:v>
      </x:c>
    </x:row>
    <x:row r="1421" ht="21" customHeight="1">
      <x:c r="A1421" s="1" t="str">
        <x:v>C0007201</x:v>
      </x:c>
      <x:c r="B1421" s="1" t="n">
        <x:v>25</x:v>
      </x:c>
      <x:c r="C1421" s="1" t="n">
        <x:v>55</x:v>
      </x:c>
      <x:c r="D1421" s="6" t="n">
        <x:v>13853</x:v>
      </x:c>
      <x:c r="E1421" s="6" t="n">
        <x:v>27706</x:v>
      </x:c>
      <x:c r="F1421" s="6" t="n">
        <x:v>0</x:v>
      </x:c>
      <x:c r="G1421" s="6" t="n">
        <x:v>27706</x:v>
      </x:c>
      <x:c r="H1421" s="6" t="n">
        <x:v>13853</x:v>
      </x:c>
    </x:row>
    <x:row r="1422" ht="21" customHeight="1">
      <x:c r="A1422" s="1" t="str">
        <x:v>C0015508</x:v>
      </x:c>
      <x:c r="B1422" s="1" t="n">
        <x:v>25</x:v>
      </x:c>
      <x:c r="C1422" s="1" t="n">
        <x:v>55</x:v>
      </x:c>
      <x:c r="D1422" s="6" t="n">
        <x:v>13853</x:v>
      </x:c>
      <x:c r="E1422" s="6" t="n">
        <x:v>0</x:v>
      </x:c>
      <x:c r="F1422" s="6" t="n">
        <x:v>0</x:v>
      </x:c>
      <x:c r="G1422" s="6" t="n">
        <x:v>0</x:v>
      </x:c>
      <x:c r="H1422" s="6" t="n">
        <x:v>-13853</x:v>
      </x:c>
    </x:row>
    <x:row r="1423" ht="21" customHeight="1">
      <x:c r="A1423" s="1" t="str">
        <x:v>C0015654</x:v>
      </x:c>
      <x:c r="B1423" s="1" t="n">
        <x:v>25</x:v>
      </x:c>
      <x:c r="C1423" s="1" t="n">
        <x:v>55</x:v>
      </x:c>
      <x:c r="D1423" s="6" t="n">
        <x:v>13853</x:v>
      </x:c>
      <x:c r="E1423" s="6" t="n">
        <x:v>27706</x:v>
      </x:c>
      <x:c r="F1423" s="6" t="n">
        <x:v>0</x:v>
      </x:c>
      <x:c r="G1423" s="6" t="n">
        <x:v>27706</x:v>
      </x:c>
      <x:c r="H1423" s="6" t="n">
        <x:v>13853</x:v>
      </x:c>
    </x:row>
    <x:row r="1424" ht="21" customHeight="1">
      <x:c r="A1424" s="1" t="str">
        <x:v>C0015680</x:v>
      </x:c>
      <x:c r="B1424" s="1" t="n">
        <x:v>24</x:v>
      </x:c>
      <x:c r="C1424" s="1" t="n">
        <x:v>84</x:v>
      </x:c>
      <x:c r="D1424" s="6" t="n">
        <x:v>13768</x:v>
      </x:c>
      <x:c r="E1424" s="6" t="n">
        <x:v>27536</x:v>
      </x:c>
      <x:c r="F1424" s="6" t="n">
        <x:v>0</x:v>
      </x:c>
      <x:c r="G1424" s="6" t="n">
        <x:v>27536</x:v>
      </x:c>
      <x:c r="H1424" s="6" t="n">
        <x:v>13768</x:v>
      </x:c>
    </x:row>
    <x:row r="1425" ht="21" customHeight="1">
      <x:c r="A1425" s="1" t="str">
        <x:v>C0002821</x:v>
      </x:c>
      <x:c r="B1425" s="1" t="n">
        <x:v>24</x:v>
      </x:c>
      <x:c r="C1425" s="1" t="n">
        <x:v>84</x:v>
      </x:c>
      <x:c r="D1425" s="6" t="n">
        <x:v>13768</x:v>
      </x:c>
      <x:c r="E1425" s="6" t="n">
        <x:v>0</x:v>
      </x:c>
      <x:c r="F1425" s="6" t="n">
        <x:v>0</x:v>
      </x:c>
      <x:c r="G1425" s="6" t="n">
        <x:v>0</x:v>
      </x:c>
      <x:c r="H1425" s="6" t="n">
        <x:v>-13768</x:v>
      </x:c>
    </x:row>
    <x:row r="1426" ht="21" customHeight="1">
      <x:c r="A1426" s="1" t="str">
        <x:v>C0002296</x:v>
      </x:c>
      <x:c r="B1426" s="1" t="n">
        <x:v>24</x:v>
      </x:c>
      <x:c r="C1426" s="1" t="n">
        <x:v>84</x:v>
      </x:c>
      <x:c r="D1426" s="6" t="n">
        <x:v>13768</x:v>
      </x:c>
      <x:c r="E1426" s="6" t="n">
        <x:v>0</x:v>
      </x:c>
      <x:c r="F1426" s="6" t="n">
        <x:v>0</x:v>
      </x:c>
      <x:c r="G1426" s="6" t="n">
        <x:v>0</x:v>
      </x:c>
      <x:c r="H1426" s="6" t="n">
        <x:v>-13768</x:v>
      </x:c>
    </x:row>
    <x:row r="1427" ht="21" customHeight="1">
      <x:c r="A1427" s="1" t="str">
        <x:v>C0005177</x:v>
      </x:c>
      <x:c r="B1427" s="1" t="n">
        <x:v>24</x:v>
      </x:c>
      <x:c r="C1427" s="1" t="n">
        <x:v>84</x:v>
      </x:c>
      <x:c r="D1427" s="6" t="n">
        <x:v>0</x:v>
      </x:c>
      <x:c r="E1427" s="6" t="n">
        <x:v>13768</x:v>
      </x:c>
      <x:c r="F1427" s="6" t="n">
        <x:v>0</x:v>
      </x:c>
      <x:c r="G1427" s="6" t="n">
        <x:v>13768</x:v>
      </x:c>
      <x:c r="H1427" s="6" t="n">
        <x:v>13768</x:v>
      </x:c>
    </x:row>
    <x:row r="1428" ht="21" customHeight="1">
      <x:c r="A1428" s="1" t="str">
        <x:v>C0015814</x:v>
      </x:c>
      <x:c r="B1428" s="1" t="n">
        <x:v>24</x:v>
      </x:c>
      <x:c r="C1428" s="1" t="n">
        <x:v>84</x:v>
      </x:c>
      <x:c r="D1428" s="6" t="n">
        <x:v>13768</x:v>
      </x:c>
      <x:c r="E1428" s="6" t="n">
        <x:v>0</x:v>
      </x:c>
      <x:c r="F1428" s="6" t="n">
        <x:v>0</x:v>
      </x:c>
      <x:c r="G1428" s="6" t="n">
        <x:v>0</x:v>
      </x:c>
      <x:c r="H1428" s="6" t="n">
        <x:v>-13768</x:v>
      </x:c>
    </x:row>
    <x:row r="1429" ht="21" customHeight="1">
      <x:c r="A1429" s="1" t="str">
        <x:v>C0014934</x:v>
      </x:c>
      <x:c r="B1429" s="1" t="n">
        <x:v>24</x:v>
      </x:c>
      <x:c r="C1429" s="1" t="n">
        <x:v>84</x:v>
      </x:c>
      <x:c r="D1429" s="6" t="n">
        <x:v>13768</x:v>
      </x:c>
      <x:c r="E1429" s="6" t="n">
        <x:v>0</x:v>
      </x:c>
      <x:c r="F1429" s="6" t="n">
        <x:v>0</x:v>
      </x:c>
      <x:c r="G1429" s="6" t="n">
        <x:v>0</x:v>
      </x:c>
      <x:c r="H1429" s="6" t="n">
        <x:v>-13768</x:v>
      </x:c>
    </x:row>
    <x:row r="1430" ht="21" customHeight="1">
      <x:c r="A1430" s="1" t="str">
        <x:v>C0003148</x:v>
      </x:c>
      <x:c r="B1430" s="1" t="n">
        <x:v>5</x:v>
      </x:c>
      <x:c r="C1430" s="1" t="n">
        <x:v>65</x:v>
      </x:c>
      <x:c r="D1430" s="6" t="n">
        <x:v>13676</x:v>
      </x:c>
      <x:c r="E1430" s="6" t="n">
        <x:v>0</x:v>
      </x:c>
      <x:c r="F1430" s="6" t="n">
        <x:v>0</x:v>
      </x:c>
      <x:c r="G1430" s="6" t="n">
        <x:v>0</x:v>
      </x:c>
      <x:c r="H1430" s="6" t="n">
        <x:v>-13676</x:v>
      </x:c>
    </x:row>
    <x:row r="1431" ht="21" customHeight="1">
      <x:c r="A1431" s="1" t="str">
        <x:v>C0001216</x:v>
      </x:c>
      <x:c r="B1431" s="1" t="n">
        <x:v>5</x:v>
      </x:c>
      <x:c r="C1431" s="1" t="n">
        <x:v>65</x:v>
      </x:c>
      <x:c r="D1431" s="6" t="n">
        <x:v>13676</x:v>
      </x:c>
      <x:c r="E1431" s="6" t="n">
        <x:v>0</x:v>
      </x:c>
      <x:c r="F1431" s="6" t="n">
        <x:v>0</x:v>
      </x:c>
      <x:c r="G1431" s="6" t="n">
        <x:v>0</x:v>
      </x:c>
      <x:c r="H1431" s="6" t="n">
        <x:v>-13676</x:v>
      </x:c>
    </x:row>
    <x:row r="1432" ht="21" customHeight="1">
      <x:c r="A1432" s="1" t="str">
        <x:v>C0017195</x:v>
      </x:c>
      <x:c r="B1432" s="1" t="n">
        <x:v>5</x:v>
      </x:c>
      <x:c r="C1432" s="1" t="n">
        <x:v>65</x:v>
      </x:c>
      <x:c r="D1432" s="6" t="n">
        <x:v>13676</x:v>
      </x:c>
      <x:c r="E1432" s="6" t="n">
        <x:v>27352</x:v>
      </x:c>
      <x:c r="F1432" s="6" t="n">
        <x:v>0</x:v>
      </x:c>
      <x:c r="G1432" s="6" t="n">
        <x:v>27352</x:v>
      </x:c>
      <x:c r="H1432" s="6" t="n">
        <x:v>13676</x:v>
      </x:c>
    </x:row>
    <x:row r="1433" ht="21" customHeight="1">
      <x:c r="A1433" s="1" t="str">
        <x:v>C0006330</x:v>
      </x:c>
      <x:c r="B1433" s="1" t="n">
        <x:v>5</x:v>
      </x:c>
      <x:c r="C1433" s="1" t="n">
        <x:v>65</x:v>
      </x:c>
      <x:c r="D1433" s="6" t="n">
        <x:v>13676</x:v>
      </x:c>
      <x:c r="E1433" s="6" t="n">
        <x:v>27352</x:v>
      </x:c>
      <x:c r="F1433" s="6" t="n">
        <x:v>0</x:v>
      </x:c>
      <x:c r="G1433" s="6" t="n">
        <x:v>27352</x:v>
      </x:c>
      <x:c r="H1433" s="6" t="n">
        <x:v>13676</x:v>
      </x:c>
    </x:row>
    <x:row r="1434" ht="21" customHeight="1">
      <x:c r="A1434" s="1" t="str">
        <x:v>C0006658</x:v>
      </x:c>
      <x:c r="B1434" s="1" t="n">
        <x:v>5</x:v>
      </x:c>
      <x:c r="C1434" s="1" t="n">
        <x:v>65</x:v>
      </x:c>
      <x:c r="D1434" s="6" t="n">
        <x:v>13676</x:v>
      </x:c>
      <x:c r="E1434" s="6" t="n">
        <x:v>27352</x:v>
      </x:c>
      <x:c r="F1434" s="6" t="n">
        <x:v>0</x:v>
      </x:c>
      <x:c r="G1434" s="6" t="n">
        <x:v>27352</x:v>
      </x:c>
      <x:c r="H1434" s="6" t="n">
        <x:v>13676</x:v>
      </x:c>
    </x:row>
    <x:row r="1435" ht="21" customHeight="1">
      <x:c r="A1435" s="1" t="str">
        <x:v>C0005729</x:v>
      </x:c>
      <x:c r="B1435" s="1" t="n">
        <x:v>5</x:v>
      </x:c>
      <x:c r="C1435" s="1" t="n">
        <x:v>65</x:v>
      </x:c>
      <x:c r="D1435" s="6" t="n">
        <x:v>13676</x:v>
      </x:c>
      <x:c r="E1435" s="6" t="n">
        <x:v>27352</x:v>
      </x:c>
      <x:c r="F1435" s="6" t="n">
        <x:v>0</x:v>
      </x:c>
      <x:c r="G1435" s="6" t="n">
        <x:v>27352</x:v>
      </x:c>
      <x:c r="H1435" s="6" t="n">
        <x:v>13676</x:v>
      </x:c>
    </x:row>
    <x:row r="1436" ht="21" customHeight="1">
      <x:c r="A1436" s="1" t="str">
        <x:v>C0012505</x:v>
      </x:c>
      <x:c r="B1436" s="1" t="n">
        <x:v>5</x:v>
      </x:c>
      <x:c r="C1436" s="1" t="n">
        <x:v>65</x:v>
      </x:c>
      <x:c r="D1436" s="6" t="n">
        <x:v>13676</x:v>
      </x:c>
      <x:c r="E1436" s="6" t="n">
        <x:v>27352</x:v>
      </x:c>
      <x:c r="F1436" s="6" t="n">
        <x:v>0</x:v>
      </x:c>
      <x:c r="G1436" s="6" t="n">
        <x:v>27352</x:v>
      </x:c>
      <x:c r="H1436" s="6" t="n">
        <x:v>13676</x:v>
      </x:c>
    </x:row>
    <x:row r="1437" ht="21" customHeight="1">
      <x:c r="A1437" s="1" t="str">
        <x:v>C0013012</x:v>
      </x:c>
      <x:c r="B1437" s="1" t="n">
        <x:v>5</x:v>
      </x:c>
      <x:c r="C1437" s="1" t="n">
        <x:v>65</x:v>
      </x:c>
      <x:c r="D1437" s="6" t="n">
        <x:v>13676</x:v>
      </x:c>
      <x:c r="E1437" s="6" t="n">
        <x:v>0</x:v>
      </x:c>
      <x:c r="F1437" s="6" t="n">
        <x:v>0</x:v>
      </x:c>
      <x:c r="G1437" s="6" t="n">
        <x:v>0</x:v>
      </x:c>
      <x:c r="H1437" s="6" t="n">
        <x:v>-13676</x:v>
      </x:c>
    </x:row>
    <x:row r="1438" ht="21" customHeight="1">
      <x:c r="A1438" s="1" t="str">
        <x:v>C0015103</x:v>
      </x:c>
      <x:c r="B1438" s="1" t="n">
        <x:v>14</x:v>
      </x:c>
      <x:c r="C1438" s="1" t="n">
        <x:v>14</x:v>
      </x:c>
      <x:c r="D1438" s="6" t="n">
        <x:v>13642</x:v>
      </x:c>
      <x:c r="E1438" s="6" t="n">
        <x:v>0</x:v>
      </x:c>
      <x:c r="F1438" s="6" t="n">
        <x:v>0</x:v>
      </x:c>
      <x:c r="G1438" s="6" t="n">
        <x:v>0</x:v>
      </x:c>
      <x:c r="H1438" s="6" t="n">
        <x:v>-13642</x:v>
      </x:c>
    </x:row>
    <x:row r="1439" ht="21" customHeight="1">
      <x:c r="A1439" s="1" t="str">
        <x:v>C0008052</x:v>
      </x:c>
      <x:c r="B1439" s="1" t="n">
        <x:v>14</x:v>
      </x:c>
      <x:c r="C1439" s="1" t="n">
        <x:v>14</x:v>
      </x:c>
      <x:c r="D1439" s="6" t="n">
        <x:v>13642</x:v>
      </x:c>
      <x:c r="E1439" s="6" t="n">
        <x:v>27284</x:v>
      </x:c>
      <x:c r="F1439" s="6" t="n">
        <x:v>0</x:v>
      </x:c>
      <x:c r="G1439" s="6" t="n">
        <x:v>27284</x:v>
      </x:c>
      <x:c r="H1439" s="6" t="n">
        <x:v>13642</x:v>
      </x:c>
    </x:row>
    <x:row r="1440" ht="21" customHeight="1">
      <x:c r="A1440" s="1" t="str">
        <x:v>C0006221</x:v>
      </x:c>
      <x:c r="B1440" s="1" t="n">
        <x:v>14</x:v>
      </x:c>
      <x:c r="C1440" s="1" t="n">
        <x:v>14</x:v>
      </x:c>
      <x:c r="D1440" s="6" t="n">
        <x:v>13642</x:v>
      </x:c>
      <x:c r="E1440" s="6" t="n">
        <x:v>27284</x:v>
      </x:c>
      <x:c r="F1440" s="6" t="n">
        <x:v>0</x:v>
      </x:c>
      <x:c r="G1440" s="6" t="n">
        <x:v>27284</x:v>
      </x:c>
      <x:c r="H1440" s="6" t="n">
        <x:v>13642</x:v>
      </x:c>
    </x:row>
    <x:row r="1441" ht="21" customHeight="1">
      <x:c r="A1441" s="1" t="str">
        <x:v>C0002779</x:v>
      </x:c>
      <x:c r="B1441" s="1" t="n">
        <x:v>14</x:v>
      </x:c>
      <x:c r="C1441" s="1" t="n">
        <x:v>14</x:v>
      </x:c>
      <x:c r="D1441" s="6" t="n">
        <x:v>13642</x:v>
      </x:c>
      <x:c r="E1441" s="6" t="n">
        <x:v>0</x:v>
      </x:c>
      <x:c r="F1441" s="6" t="n">
        <x:v>0</x:v>
      </x:c>
      <x:c r="G1441" s="6" t="n">
        <x:v>0</x:v>
      </x:c>
      <x:c r="H1441" s="6" t="n">
        <x:v>-13642</x:v>
      </x:c>
    </x:row>
    <x:row r="1442" ht="21" customHeight="1">
      <x:c r="A1442" s="1" t="str">
        <x:v>C0009903</x:v>
      </x:c>
      <x:c r="B1442" s="1" t="n">
        <x:v>14</x:v>
      </x:c>
      <x:c r="C1442" s="1" t="n">
        <x:v>14</x:v>
      </x:c>
      <x:c r="D1442" s="6" t="n">
        <x:v>13642</x:v>
      </x:c>
      <x:c r="E1442" s="6" t="n">
        <x:v>27284</x:v>
      </x:c>
      <x:c r="F1442" s="6" t="n">
        <x:v>0</x:v>
      </x:c>
      <x:c r="G1442" s="6" t="n">
        <x:v>27284</x:v>
      </x:c>
      <x:c r="H1442" s="6" t="n">
        <x:v>13642</x:v>
      </x:c>
    </x:row>
    <x:row r="1443" ht="21" customHeight="1">
      <x:c r="A1443" s="1" t="str">
        <x:v>C0016299</x:v>
      </x:c>
      <x:c r="B1443" s="1" t="n">
        <x:v>14</x:v>
      </x:c>
      <x:c r="C1443" s="1" t="n">
        <x:v>14</x:v>
      </x:c>
      <x:c r="D1443" s="6" t="n">
        <x:v>13642</x:v>
      </x:c>
      <x:c r="E1443" s="6" t="n">
        <x:v>27284</x:v>
      </x:c>
      <x:c r="F1443" s="6" t="n">
        <x:v>0</x:v>
      </x:c>
      <x:c r="G1443" s="6" t="n">
        <x:v>27284</x:v>
      </x:c>
      <x:c r="H1443" s="6" t="n">
        <x:v>13642</x:v>
      </x:c>
    </x:row>
    <x:row r="1444" ht="21" customHeight="1">
      <x:c r="A1444" s="1" t="str">
        <x:v>C0005249</x:v>
      </x:c>
      <x:c r="B1444" s="1" t="n">
        <x:v>28</x:v>
      </x:c>
      <x:c r="C1444" s="1" t="n">
        <x:v>88</x:v>
      </x:c>
      <x:c r="D1444" s="6" t="n">
        <x:v>13626</x:v>
      </x:c>
      <x:c r="E1444" s="6" t="n">
        <x:v>27252</x:v>
      </x:c>
      <x:c r="F1444" s="6" t="n">
        <x:v>0</x:v>
      </x:c>
      <x:c r="G1444" s="6" t="n">
        <x:v>27252</x:v>
      </x:c>
      <x:c r="H1444" s="6" t="n">
        <x:v>13626</x:v>
      </x:c>
    </x:row>
    <x:row r="1445" ht="21" customHeight="1">
      <x:c r="A1445" s="1" t="str">
        <x:v>C0014858</x:v>
      </x:c>
      <x:c r="B1445" s="1" t="n">
        <x:v>28</x:v>
      </x:c>
      <x:c r="C1445" s="1" t="n">
        <x:v>88</x:v>
      </x:c>
      <x:c r="D1445" s="6" t="n">
        <x:v>13626</x:v>
      </x:c>
      <x:c r="E1445" s="6" t="n">
        <x:v>0</x:v>
      </x:c>
      <x:c r="F1445" s="6" t="n">
        <x:v>0</x:v>
      </x:c>
      <x:c r="G1445" s="6" t="n">
        <x:v>0</x:v>
      </x:c>
      <x:c r="H1445" s="6" t="n">
        <x:v>-13626</x:v>
      </x:c>
    </x:row>
    <x:row r="1446" ht="21" customHeight="1">
      <x:c r="A1446" s="1" t="str">
        <x:v>C0004458</x:v>
      </x:c>
      <x:c r="B1446" s="1" t="n">
        <x:v>28</x:v>
      </x:c>
      <x:c r="C1446" s="1" t="n">
        <x:v>88</x:v>
      </x:c>
      <x:c r="D1446" s="6" t="n">
        <x:v>13626</x:v>
      </x:c>
      <x:c r="E1446" s="6" t="n">
        <x:v>0</x:v>
      </x:c>
      <x:c r="F1446" s="6" t="n">
        <x:v>0</x:v>
      </x:c>
      <x:c r="G1446" s="6" t="n">
        <x:v>0</x:v>
      </x:c>
      <x:c r="H1446" s="6" t="n">
        <x:v>-13626</x:v>
      </x:c>
    </x:row>
    <x:row r="1447" ht="21" customHeight="1">
      <x:c r="A1447" s="1" t="str">
        <x:v>C0006786</x:v>
      </x:c>
      <x:c r="B1447" s="1" t="n">
        <x:v>28</x:v>
      </x:c>
      <x:c r="C1447" s="1" t="n">
        <x:v>88</x:v>
      </x:c>
      <x:c r="D1447" s="6" t="n">
        <x:v>13626</x:v>
      </x:c>
      <x:c r="E1447" s="6" t="n">
        <x:v>27252</x:v>
      </x:c>
      <x:c r="F1447" s="6" t="n">
        <x:v>0</x:v>
      </x:c>
      <x:c r="G1447" s="6" t="n">
        <x:v>27252</x:v>
      </x:c>
      <x:c r="H1447" s="6" t="n">
        <x:v>13626</x:v>
      </x:c>
    </x:row>
    <x:row r="1448" ht="21" customHeight="1">
      <x:c r="A1448" s="1" t="str">
        <x:v>C0006582</x:v>
      </x:c>
      <x:c r="B1448" s="1" t="n">
        <x:v>28</x:v>
      </x:c>
      <x:c r="C1448" s="1" t="n">
        <x:v>88</x:v>
      </x:c>
      <x:c r="D1448" s="6" t="n">
        <x:v>13626</x:v>
      </x:c>
      <x:c r="E1448" s="6" t="n">
        <x:v>0</x:v>
      </x:c>
      <x:c r="F1448" s="6" t="n">
        <x:v>0</x:v>
      </x:c>
      <x:c r="G1448" s="6" t="n">
        <x:v>0</x:v>
      </x:c>
      <x:c r="H1448" s="6" t="n">
        <x:v>-13626</x:v>
      </x:c>
    </x:row>
    <x:row r="1449" ht="21" customHeight="1">
      <x:c r="A1449" s="1" t="str">
        <x:v>C0000407</x:v>
      </x:c>
      <x:c r="B1449" s="1" t="n">
        <x:v>28</x:v>
      </x:c>
      <x:c r="C1449" s="1" t="n">
        <x:v>88</x:v>
      </x:c>
      <x:c r="D1449" s="6" t="n">
        <x:v>13626</x:v>
      </x:c>
      <x:c r="E1449" s="6" t="n">
        <x:v>27252</x:v>
      </x:c>
      <x:c r="F1449" s="6" t="n">
        <x:v>0</x:v>
      </x:c>
      <x:c r="G1449" s="6" t="n">
        <x:v>27252</x:v>
      </x:c>
      <x:c r="H1449" s="6" t="n">
        <x:v>13626</x:v>
      </x:c>
    </x:row>
    <x:row r="1450" ht="21" customHeight="1">
      <x:c r="A1450" s="1" t="str">
        <x:v>C0017361</x:v>
      </x:c>
      <x:c r="B1450" s="1" t="n">
        <x:v>13</x:v>
      </x:c>
      <x:c r="C1450" s="1" t="n">
        <x:v>103</x:v>
      </x:c>
      <x:c r="D1450" s="6" t="n">
        <x:v>13620</x:v>
      </x:c>
      <x:c r="E1450" s="6" t="n">
        <x:v>27240</x:v>
      </x:c>
      <x:c r="F1450" s="6" t="n">
        <x:v>0</x:v>
      </x:c>
      <x:c r="G1450" s="6" t="n">
        <x:v>27240</x:v>
      </x:c>
      <x:c r="H1450" s="6" t="n">
        <x:v>13620</x:v>
      </x:c>
    </x:row>
    <x:row r="1451" ht="21" customHeight="1">
      <x:c r="A1451" s="1" t="str">
        <x:v>C0005121</x:v>
      </x:c>
      <x:c r="B1451" s="1" t="n">
        <x:v>13</x:v>
      </x:c>
      <x:c r="C1451" s="1" t="n">
        <x:v>103</x:v>
      </x:c>
      <x:c r="D1451" s="6" t="n">
        <x:v>13620</x:v>
      </x:c>
      <x:c r="E1451" s="6" t="n">
        <x:v>0</x:v>
      </x:c>
      <x:c r="F1451" s="6" t="n">
        <x:v>0</x:v>
      </x:c>
      <x:c r="G1451" s="6" t="n">
        <x:v>0</x:v>
      </x:c>
      <x:c r="H1451" s="6" t="n">
        <x:v>-13620</x:v>
      </x:c>
    </x:row>
    <x:row r="1452" ht="21" customHeight="1">
      <x:c r="A1452" s="1" t="str">
        <x:v>C0017081</x:v>
      </x:c>
      <x:c r="B1452" s="1" t="n">
        <x:v>13</x:v>
      </x:c>
      <x:c r="C1452" s="1" t="n">
        <x:v>103</x:v>
      </x:c>
      <x:c r="D1452" s="6" t="n">
        <x:v>13620</x:v>
      </x:c>
      <x:c r="E1452" s="6" t="n">
        <x:v>27240</x:v>
      </x:c>
      <x:c r="F1452" s="6" t="n">
        <x:v>0</x:v>
      </x:c>
      <x:c r="G1452" s="6" t="n">
        <x:v>27240</x:v>
      </x:c>
      <x:c r="H1452" s="6" t="n">
        <x:v>13620</x:v>
      </x:c>
    </x:row>
    <x:row r="1453" ht="21" customHeight="1">
      <x:c r="A1453" s="1" t="str">
        <x:v>C0005160</x:v>
      </x:c>
      <x:c r="B1453" s="1" t="n">
        <x:v>13</x:v>
      </x:c>
      <x:c r="C1453" s="1" t="n">
        <x:v>103</x:v>
      </x:c>
      <x:c r="D1453" s="6" t="n">
        <x:v>13620</x:v>
      </x:c>
      <x:c r="E1453" s="6" t="n">
        <x:v>27240</x:v>
      </x:c>
      <x:c r="F1453" s="6" t="n">
        <x:v>0</x:v>
      </x:c>
      <x:c r="G1453" s="6" t="n">
        <x:v>27240</x:v>
      </x:c>
      <x:c r="H1453" s="6" t="n">
        <x:v>13620</x:v>
      </x:c>
    </x:row>
    <x:row r="1454" ht="21" customHeight="1">
      <x:c r="A1454" s="1" t="str">
        <x:v>C0007753</x:v>
      </x:c>
      <x:c r="B1454" s="1" t="n">
        <x:v>13</x:v>
      </x:c>
      <x:c r="C1454" s="1" t="n">
        <x:v>103</x:v>
      </x:c>
      <x:c r="D1454" s="6" t="n">
        <x:v>13620</x:v>
      </x:c>
      <x:c r="E1454" s="6" t="n">
        <x:v>27240</x:v>
      </x:c>
      <x:c r="F1454" s="6" t="n">
        <x:v>0</x:v>
      </x:c>
      <x:c r="G1454" s="6" t="n">
        <x:v>27240</x:v>
      </x:c>
      <x:c r="H1454" s="6" t="n">
        <x:v>13620</x:v>
      </x:c>
    </x:row>
    <x:row r="1455" ht="21" customHeight="1">
      <x:c r="A1455" s="1" t="str">
        <x:v>C0008965</x:v>
      </x:c>
      <x:c r="B1455" s="1" t="n">
        <x:v>13</x:v>
      </x:c>
      <x:c r="C1455" s="1" t="n">
        <x:v>103</x:v>
      </x:c>
      <x:c r="D1455" s="6" t="n">
        <x:v>13620</x:v>
      </x:c>
      <x:c r="E1455" s="6" t="n">
        <x:v>27240</x:v>
      </x:c>
      <x:c r="F1455" s="6" t="n">
        <x:v>0</x:v>
      </x:c>
      <x:c r="G1455" s="6" t="n">
        <x:v>27240</x:v>
      </x:c>
      <x:c r="H1455" s="6" t="n">
        <x:v>13620</x:v>
      </x:c>
    </x:row>
    <x:row r="1456" ht="21" customHeight="1">
      <x:c r="A1456" s="1" t="str">
        <x:v>C0012350</x:v>
      </x:c>
      <x:c r="B1456" s="1" t="n">
        <x:v>30</x:v>
      </x:c>
      <x:c r="C1456" s="1" t="n">
        <x:v>30</x:v>
      </x:c>
      <x:c r="D1456" s="6" t="n">
        <x:v>13518</x:v>
      </x:c>
      <x:c r="E1456" s="6" t="n">
        <x:v>0</x:v>
      </x:c>
      <x:c r="F1456" s="6" t="n">
        <x:v>0</x:v>
      </x:c>
      <x:c r="G1456" s="6" t="n">
        <x:v>0</x:v>
      </x:c>
      <x:c r="H1456" s="6" t="n">
        <x:v>-13518</x:v>
      </x:c>
    </x:row>
    <x:row r="1457" ht="21" customHeight="1">
      <x:c r="A1457" s="1" t="str">
        <x:v>C0004795</x:v>
      </x:c>
      <x:c r="B1457" s="1" t="n">
        <x:v>30</x:v>
      </x:c>
      <x:c r="C1457" s="1" t="n">
        <x:v>30</x:v>
      </x:c>
      <x:c r="D1457" s="6" t="n">
        <x:v>13518</x:v>
      </x:c>
      <x:c r="E1457" s="6" t="n">
        <x:v>27036</x:v>
      </x:c>
      <x:c r="F1457" s="6" t="n">
        <x:v>0</x:v>
      </x:c>
      <x:c r="G1457" s="6" t="n">
        <x:v>27036</x:v>
      </x:c>
      <x:c r="H1457" s="6" t="n">
        <x:v>13518</x:v>
      </x:c>
    </x:row>
    <x:row r="1458" ht="21" customHeight="1">
      <x:c r="A1458" s="1" t="str">
        <x:v>C0002288</x:v>
      </x:c>
      <x:c r="B1458" s="1" t="n">
        <x:v>30</x:v>
      </x:c>
      <x:c r="C1458" s="1" t="n">
        <x:v>30</x:v>
      </x:c>
      <x:c r="D1458" s="6" t="n">
        <x:v>13518</x:v>
      </x:c>
      <x:c r="E1458" s="6" t="n">
        <x:v>27036</x:v>
      </x:c>
      <x:c r="F1458" s="6" t="n">
        <x:v>0</x:v>
      </x:c>
      <x:c r="G1458" s="6" t="n">
        <x:v>27036</x:v>
      </x:c>
      <x:c r="H1458" s="6" t="n">
        <x:v>13518</x:v>
      </x:c>
    </x:row>
    <x:row r="1459" ht="21" customHeight="1">
      <x:c r="A1459" s="1" t="str">
        <x:v>C0011840</x:v>
      </x:c>
      <x:c r="B1459" s="1" t="n">
        <x:v>30</x:v>
      </x:c>
      <x:c r="C1459" s="1" t="n">
        <x:v>30</x:v>
      </x:c>
      <x:c r="D1459" s="6" t="n">
        <x:v>13518</x:v>
      </x:c>
      <x:c r="E1459" s="6" t="n">
        <x:v>0</x:v>
      </x:c>
      <x:c r="F1459" s="6" t="n">
        <x:v>0</x:v>
      </x:c>
      <x:c r="G1459" s="6" t="n">
        <x:v>0</x:v>
      </x:c>
      <x:c r="H1459" s="6" t="n">
        <x:v>-13518</x:v>
      </x:c>
    </x:row>
    <x:row r="1460" ht="21" customHeight="1">
      <x:c r="A1460" s="1" t="str">
        <x:v>C0013914</x:v>
      </x:c>
      <x:c r="B1460" s="1" t="n">
        <x:v>30</x:v>
      </x:c>
      <x:c r="C1460" s="1" t="n">
        <x:v>30</x:v>
      </x:c>
      <x:c r="D1460" s="6" t="n">
        <x:v>13518</x:v>
      </x:c>
      <x:c r="E1460" s="6" t="n">
        <x:v>27036</x:v>
      </x:c>
      <x:c r="F1460" s="6" t="n">
        <x:v>0</x:v>
      </x:c>
      <x:c r="G1460" s="6" t="n">
        <x:v>27036</x:v>
      </x:c>
      <x:c r="H1460" s="6" t="n">
        <x:v>13518</x:v>
      </x:c>
    </x:row>
    <x:row r="1461" ht="21" customHeight="1">
      <x:c r="A1461" s="1" t="str">
        <x:v>C0006339</x:v>
      </x:c>
      <x:c r="B1461" s="1" t="n">
        <x:v>30</x:v>
      </x:c>
      <x:c r="C1461" s="1" t="n">
        <x:v>30</x:v>
      </x:c>
      <x:c r="D1461" s="6" t="n">
        <x:v>13518</x:v>
      </x:c>
      <x:c r="E1461" s="6" t="n">
        <x:v>27036</x:v>
      </x:c>
      <x:c r="F1461" s="6" t="n">
        <x:v>0</x:v>
      </x:c>
      <x:c r="G1461" s="6" t="n">
        <x:v>27036</x:v>
      </x:c>
      <x:c r="H1461" s="6" t="n">
        <x:v>13518</x:v>
      </x:c>
    </x:row>
    <x:row r="1462" ht="21" customHeight="1">
      <x:c r="A1462" s="1" t="str">
        <x:v>C0005419</x:v>
      </x:c>
      <x:c r="B1462" s="1" t="n">
        <x:v>30</x:v>
      </x:c>
      <x:c r="C1462" s="1" t="n">
        <x:v>30</x:v>
      </x:c>
      <x:c r="D1462" s="6" t="n">
        <x:v>13518</x:v>
      </x:c>
      <x:c r="E1462" s="6" t="n">
        <x:v>0</x:v>
      </x:c>
      <x:c r="F1462" s="6" t="n">
        <x:v>0</x:v>
      </x:c>
      <x:c r="G1462" s="6" t="n">
        <x:v>0</x:v>
      </x:c>
      <x:c r="H1462" s="6" t="n">
        <x:v>-13518</x:v>
      </x:c>
    </x:row>
    <x:row r="1463" ht="21" customHeight="1">
      <x:c r="A1463" s="1" t="str">
        <x:v>C0000644</x:v>
      </x:c>
      <x:c r="B1463" s="1" t="n">
        <x:v>19</x:v>
      </x:c>
      <x:c r="C1463" s="1" t="n">
        <x:v>79</x:v>
      </x:c>
      <x:c r="D1463" s="6" t="n">
        <x:v>13498</x:v>
      </x:c>
      <x:c r="E1463" s="6" t="n">
        <x:v>26996</x:v>
      </x:c>
      <x:c r="F1463" s="6" t="n">
        <x:v>0</x:v>
      </x:c>
      <x:c r="G1463" s="6" t="n">
        <x:v>26996</x:v>
      </x:c>
      <x:c r="H1463" s="6" t="n">
        <x:v>13498</x:v>
      </x:c>
    </x:row>
    <x:row r="1464" ht="21" customHeight="1">
      <x:c r="A1464" s="1" t="str">
        <x:v>C0009070</x:v>
      </x:c>
      <x:c r="B1464" s="1" t="n">
        <x:v>19</x:v>
      </x:c>
      <x:c r="C1464" s="1" t="n">
        <x:v>79</x:v>
      </x:c>
      <x:c r="D1464" s="6" t="n">
        <x:v>13498</x:v>
      </x:c>
      <x:c r="E1464" s="6" t="n">
        <x:v>0</x:v>
      </x:c>
      <x:c r="F1464" s="6" t="n">
        <x:v>0</x:v>
      </x:c>
      <x:c r="G1464" s="6" t="n">
        <x:v>0</x:v>
      </x:c>
      <x:c r="H1464" s="6" t="n">
        <x:v>-13498</x:v>
      </x:c>
    </x:row>
    <x:row r="1465" ht="21" customHeight="1">
      <x:c r="A1465" s="1" t="str">
        <x:v>C0003506</x:v>
      </x:c>
      <x:c r="B1465" s="1" t="n">
        <x:v>19</x:v>
      </x:c>
      <x:c r="C1465" s="1" t="n">
        <x:v>79</x:v>
      </x:c>
      <x:c r="D1465" s="6" t="n">
        <x:v>13498</x:v>
      </x:c>
      <x:c r="E1465" s="6" t="n">
        <x:v>26996</x:v>
      </x:c>
      <x:c r="F1465" s="6" t="n">
        <x:v>0</x:v>
      </x:c>
      <x:c r="G1465" s="6" t="n">
        <x:v>26996</x:v>
      </x:c>
      <x:c r="H1465" s="6" t="n">
        <x:v>13498</x:v>
      </x:c>
    </x:row>
    <x:row r="1466" ht="21" customHeight="1">
      <x:c r="A1466" s="1" t="str">
        <x:v>C0006275</x:v>
      </x:c>
      <x:c r="B1466" s="1" t="n">
        <x:v>19</x:v>
      </x:c>
      <x:c r="C1466" s="1" t="n">
        <x:v>79</x:v>
      </x:c>
      <x:c r="D1466" s="6" t="n">
        <x:v>13498</x:v>
      </x:c>
      <x:c r="E1466" s="6" t="n">
        <x:v>0</x:v>
      </x:c>
      <x:c r="F1466" s="6" t="n">
        <x:v>0</x:v>
      </x:c>
      <x:c r="G1466" s="6" t="n">
        <x:v>0</x:v>
      </x:c>
      <x:c r="H1466" s="6" t="n">
        <x:v>-13498</x:v>
      </x:c>
    </x:row>
    <x:row r="1467" ht="21" customHeight="1">
      <x:c r="A1467" s="1" t="str">
        <x:v>C0011601</x:v>
      </x:c>
      <x:c r="B1467" s="1" t="n">
        <x:v>19</x:v>
      </x:c>
      <x:c r="C1467" s="1" t="n">
        <x:v>79</x:v>
      </x:c>
      <x:c r="D1467" s="6" t="n">
        <x:v>13498</x:v>
      </x:c>
      <x:c r="E1467" s="6" t="n">
        <x:v>0</x:v>
      </x:c>
      <x:c r="F1467" s="6" t="n">
        <x:v>0</x:v>
      </x:c>
      <x:c r="G1467" s="6" t="n">
        <x:v>0</x:v>
      </x:c>
      <x:c r="H1467" s="6" t="n">
        <x:v>-13498</x:v>
      </x:c>
    </x:row>
    <x:row r="1468" ht="21" customHeight="1">
      <x:c r="A1468" s="1" t="str">
        <x:v>C0017751</x:v>
      </x:c>
      <x:c r="B1468" s="1" t="n">
        <x:v>19</x:v>
      </x:c>
      <x:c r="C1468" s="1" t="n">
        <x:v>79</x:v>
      </x:c>
      <x:c r="D1468" s="6" t="n">
        <x:v>13498</x:v>
      </x:c>
      <x:c r="E1468" s="6" t="n">
        <x:v>26996</x:v>
      </x:c>
      <x:c r="F1468" s="6" t="n">
        <x:v>0</x:v>
      </x:c>
      <x:c r="G1468" s="6" t="n">
        <x:v>26996</x:v>
      </x:c>
      <x:c r="H1468" s="6" t="n">
        <x:v>13498</x:v>
      </x:c>
    </x:row>
    <x:row r="1469" ht="21" customHeight="1">
      <x:c r="A1469" s="1" t="str">
        <x:v>C0003403</x:v>
      </x:c>
      <x:c r="B1469" s="1" t="n">
        <x:v>1</x:v>
      </x:c>
      <x:c r="C1469" s="1" t="n">
        <x:v>1</x:v>
      </x:c>
      <x:c r="D1469" s="6" t="n">
        <x:v>13436</x:v>
      </x:c>
      <x:c r="E1469" s="6" t="n">
        <x:v>0</x:v>
      </x:c>
      <x:c r="F1469" s="6" t="n">
        <x:v>0</x:v>
      </x:c>
      <x:c r="G1469" s="6" t="n">
        <x:v>0</x:v>
      </x:c>
      <x:c r="H1469" s="6" t="n">
        <x:v>-13436</x:v>
      </x:c>
    </x:row>
    <x:row r="1470" ht="21" customHeight="1">
      <x:c r="A1470" s="1" t="str">
        <x:v>C0004080</x:v>
      </x:c>
      <x:c r="B1470" s="1" t="n">
        <x:v>1</x:v>
      </x:c>
      <x:c r="C1470" s="1" t="n">
        <x:v>1</x:v>
      </x:c>
      <x:c r="D1470" s="6" t="n">
        <x:v>13436</x:v>
      </x:c>
      <x:c r="E1470" s="6" t="n">
        <x:v>26872</x:v>
      </x:c>
      <x:c r="F1470" s="6" t="n">
        <x:v>0</x:v>
      </x:c>
      <x:c r="G1470" s="6" t="n">
        <x:v>26872</x:v>
      </x:c>
      <x:c r="H1470" s="6" t="n">
        <x:v>13436</x:v>
      </x:c>
    </x:row>
    <x:row r="1471" ht="21" customHeight="1">
      <x:c r="A1471" s="1" t="str">
        <x:v>C0017383</x:v>
      </x:c>
      <x:c r="B1471" s="1" t="n">
        <x:v>1</x:v>
      </x:c>
      <x:c r="C1471" s="1" t="n">
        <x:v>1</x:v>
      </x:c>
      <x:c r="D1471" s="6" t="n">
        <x:v>13436</x:v>
      </x:c>
      <x:c r="E1471" s="6" t="n">
        <x:v>0</x:v>
      </x:c>
      <x:c r="F1471" s="6" t="n">
        <x:v>0</x:v>
      </x:c>
      <x:c r="G1471" s="6" t="n">
        <x:v>0</x:v>
      </x:c>
      <x:c r="H1471" s="6" t="n">
        <x:v>-13436</x:v>
      </x:c>
    </x:row>
    <x:row r="1472" ht="21" customHeight="1">
      <x:c r="A1472" s="1" t="str">
        <x:v>C0005304</x:v>
      </x:c>
      <x:c r="B1472" s="1" t="n">
        <x:v>1</x:v>
      </x:c>
      <x:c r="C1472" s="1" t="n">
        <x:v>1</x:v>
      </x:c>
      <x:c r="D1472" s="6" t="n">
        <x:v>13436</x:v>
      </x:c>
      <x:c r="E1472" s="6" t="n">
        <x:v>0</x:v>
      </x:c>
      <x:c r="F1472" s="6" t="n">
        <x:v>0</x:v>
      </x:c>
      <x:c r="G1472" s="6" t="n">
        <x:v>0</x:v>
      </x:c>
      <x:c r="H1472" s="6" t="n">
        <x:v>-13436</x:v>
      </x:c>
    </x:row>
    <x:row r="1473" ht="21" customHeight="1">
      <x:c r="A1473" s="1" t="str">
        <x:v>C0007158</x:v>
      </x:c>
      <x:c r="B1473" s="1" t="n">
        <x:v>1</x:v>
      </x:c>
      <x:c r="C1473" s="1" t="n">
        <x:v>1</x:v>
      </x:c>
      <x:c r="D1473" s="6" t="n">
        <x:v>13436</x:v>
      </x:c>
      <x:c r="E1473" s="6" t="n">
        <x:v>0</x:v>
      </x:c>
      <x:c r="F1473" s="6" t="n">
        <x:v>0</x:v>
      </x:c>
      <x:c r="G1473" s="6" t="n">
        <x:v>0</x:v>
      </x:c>
      <x:c r="H1473" s="6" t="n">
        <x:v>-13436</x:v>
      </x:c>
    </x:row>
    <x:row r="1474" ht="21" customHeight="1">
      <x:c r="A1474" s="1" t="str">
        <x:v>C0001994</x:v>
      </x:c>
      <x:c r="B1474" s="1" t="n">
        <x:v>1</x:v>
      </x:c>
      <x:c r="C1474" s="1" t="n">
        <x:v>1</x:v>
      </x:c>
      <x:c r="D1474" s="6" t="n">
        <x:v>13436</x:v>
      </x:c>
      <x:c r="E1474" s="6" t="n">
        <x:v>0</x:v>
      </x:c>
      <x:c r="F1474" s="6" t="n">
        <x:v>0</x:v>
      </x:c>
      <x:c r="G1474" s="6" t="n">
        <x:v>0</x:v>
      </x:c>
      <x:c r="H1474" s="6" t="n">
        <x:v>-13436</x:v>
      </x:c>
    </x:row>
    <x:row r="1475" ht="21" customHeight="1">
      <x:c r="A1475" s="1" t="str">
        <x:v>C0009207</x:v>
      </x:c>
      <x:c r="B1475" s="1" t="n">
        <x:v>1</x:v>
      </x:c>
      <x:c r="C1475" s="1" t="n">
        <x:v>1</x:v>
      </x:c>
      <x:c r="D1475" s="6" t="n">
        <x:v>13436</x:v>
      </x:c>
      <x:c r="E1475" s="6" t="n">
        <x:v>26872</x:v>
      </x:c>
      <x:c r="F1475" s="6" t="n">
        <x:v>0</x:v>
      </x:c>
      <x:c r="G1475" s="6" t="n">
        <x:v>26872</x:v>
      </x:c>
      <x:c r="H1475" s="6" t="n">
        <x:v>13436</x:v>
      </x:c>
    </x:row>
    <x:row r="1476" ht="21" customHeight="1">
      <x:c r="A1476" s="1" t="str">
        <x:v>C0009400</x:v>
      </x:c>
      <x:c r="B1476" s="1" t="n">
        <x:v>1</x:v>
      </x:c>
      <x:c r="C1476" s="1" t="n">
        <x:v>1</x:v>
      </x:c>
      <x:c r="D1476" s="6" t="n">
        <x:v>13436</x:v>
      </x:c>
      <x:c r="E1476" s="6" t="n">
        <x:v>0</x:v>
      </x:c>
      <x:c r="F1476" s="6" t="n">
        <x:v>0</x:v>
      </x:c>
      <x:c r="G1476" s="6" t="n">
        <x:v>0</x:v>
      </x:c>
      <x:c r="H1476" s="6" t="n">
        <x:v>-13436</x:v>
      </x:c>
    </x:row>
    <x:row r="1477" ht="21" customHeight="1">
      <x:c r="A1477" s="1" t="str">
        <x:v>C0000001</x:v>
      </x:c>
      <x:c r="B1477" s="1" t="n">
        <x:v>1</x:v>
      </x:c>
      <x:c r="C1477" s="1" t="n">
        <x:v>1</x:v>
      </x:c>
      <x:c r="D1477" s="6" t="n">
        <x:v>13436</x:v>
      </x:c>
      <x:c r="E1477" s="6" t="n">
        <x:v>0</x:v>
      </x:c>
      <x:c r="F1477" s="6" t="n">
        <x:v>0</x:v>
      </x:c>
      <x:c r="G1477" s="6" t="n">
        <x:v>0</x:v>
      </x:c>
      <x:c r="H1477" s="6" t="n">
        <x:v>-13436</x:v>
      </x:c>
    </x:row>
    <x:row r="1478" ht="21" customHeight="1">
      <x:c r="A1478" s="1" t="str">
        <x:v>C0016998</x:v>
      </x:c>
      <x:c r="B1478" s="1" t="n">
        <x:v>10</x:v>
      </x:c>
      <x:c r="C1478" s="1" t="n">
        <x:v>70</x:v>
      </x:c>
      <x:c r="D1478" s="6" t="n">
        <x:v>13405</x:v>
      </x:c>
      <x:c r="E1478" s="6" t="n">
        <x:v>26810</x:v>
      </x:c>
      <x:c r="F1478" s="6" t="n">
        <x:v>0</x:v>
      </x:c>
      <x:c r="G1478" s="6" t="n">
        <x:v>26810</x:v>
      </x:c>
      <x:c r="H1478" s="6" t="n">
        <x:v>13405</x:v>
      </x:c>
    </x:row>
    <x:row r="1479" ht="21" customHeight="1">
      <x:c r="A1479" s="1" t="str">
        <x:v>C0003912</x:v>
      </x:c>
      <x:c r="B1479" s="1" t="n">
        <x:v>10</x:v>
      </x:c>
      <x:c r="C1479" s="1" t="n">
        <x:v>70</x:v>
      </x:c>
      <x:c r="D1479" s="6" t="n">
        <x:v>13405</x:v>
      </x:c>
      <x:c r="E1479" s="6" t="n">
        <x:v>26810</x:v>
      </x:c>
      <x:c r="F1479" s="6" t="n">
        <x:v>0</x:v>
      </x:c>
      <x:c r="G1479" s="6" t="n">
        <x:v>26810</x:v>
      </x:c>
      <x:c r="H1479" s="6" t="n">
        <x:v>13405</x:v>
      </x:c>
    </x:row>
    <x:row r="1480" ht="21" customHeight="1">
      <x:c r="A1480" s="1" t="str">
        <x:v>C0007650</x:v>
      </x:c>
      <x:c r="B1480" s="1" t="n">
        <x:v>10</x:v>
      </x:c>
      <x:c r="C1480" s="1" t="n">
        <x:v>70</x:v>
      </x:c>
      <x:c r="D1480" s="6" t="n">
        <x:v>13405</x:v>
      </x:c>
      <x:c r="E1480" s="6" t="n">
        <x:v>0</x:v>
      </x:c>
      <x:c r="F1480" s="6" t="n">
        <x:v>0</x:v>
      </x:c>
      <x:c r="G1480" s="6" t="n">
        <x:v>0</x:v>
      </x:c>
      <x:c r="H1480" s="6" t="n">
        <x:v>-13405</x:v>
      </x:c>
    </x:row>
    <x:row r="1481" ht="21" customHeight="1">
      <x:c r="A1481" s="1" t="str">
        <x:v>C0009673</x:v>
      </x:c>
      <x:c r="B1481" s="1" t="n">
        <x:v>10</x:v>
      </x:c>
      <x:c r="C1481" s="1" t="n">
        <x:v>70</x:v>
      </x:c>
      <x:c r="D1481" s="6" t="n">
        <x:v>0</x:v>
      </x:c>
      <x:c r="E1481" s="6" t="n">
        <x:v>13405</x:v>
      </x:c>
      <x:c r="F1481" s="6" t="n">
        <x:v>0</x:v>
      </x:c>
      <x:c r="G1481" s="6" t="n">
        <x:v>13405</x:v>
      </x:c>
      <x:c r="H1481" s="6" t="n">
        <x:v>13405</x:v>
      </x:c>
    </x:row>
    <x:row r="1482" ht="21" customHeight="1">
      <x:c r="A1482" s="1" t="str">
        <x:v>C0004906</x:v>
      </x:c>
      <x:c r="B1482" s="1" t="n">
        <x:v>10</x:v>
      </x:c>
      <x:c r="C1482" s="1" t="n">
        <x:v>70</x:v>
      </x:c>
      <x:c r="D1482" s="6" t="n">
        <x:v>13405</x:v>
      </x:c>
      <x:c r="E1482" s="6" t="n">
        <x:v>0</x:v>
      </x:c>
      <x:c r="F1482" s="6" t="n">
        <x:v>0</x:v>
      </x:c>
      <x:c r="G1482" s="6" t="n">
        <x:v>0</x:v>
      </x:c>
      <x:c r="H1482" s="6" t="n">
        <x:v>-13405</x:v>
      </x:c>
    </x:row>
    <x:row r="1483" ht="21" customHeight="1">
      <x:c r="A1483" s="1" t="str">
        <x:v>C0005819</x:v>
      </x:c>
      <x:c r="B1483" s="1" t="n">
        <x:v>10</x:v>
      </x:c>
      <x:c r="C1483" s="1" t="n">
        <x:v>70</x:v>
      </x:c>
      <x:c r="D1483" s="6" t="n">
        <x:v>13405</x:v>
      </x:c>
      <x:c r="E1483" s="6" t="n">
        <x:v>0</x:v>
      </x:c>
      <x:c r="F1483" s="6" t="n">
        <x:v>0</x:v>
      </x:c>
      <x:c r="G1483" s="6" t="n">
        <x:v>0</x:v>
      </x:c>
      <x:c r="H1483" s="6" t="n">
        <x:v>-13405</x:v>
      </x:c>
    </x:row>
    <x:row r="1484" ht="21" customHeight="1">
      <x:c r="A1484" s="1" t="str">
        <x:v>C0011307</x:v>
      </x:c>
      <x:c r="B1484" s="1" t="n">
        <x:v>10</x:v>
      </x:c>
      <x:c r="C1484" s="1" t="n">
        <x:v>70</x:v>
      </x:c>
      <x:c r="D1484" s="6" t="n">
        <x:v>13405</x:v>
      </x:c>
      <x:c r="E1484" s="6" t="n">
        <x:v>0</x:v>
      </x:c>
      <x:c r="F1484" s="6" t="n">
        <x:v>0</x:v>
      </x:c>
      <x:c r="G1484" s="6" t="n">
        <x:v>0</x:v>
      </x:c>
      <x:c r="H1484" s="6" t="n">
        <x:v>-13405</x:v>
      </x:c>
    </x:row>
    <x:row r="1485" ht="21" customHeight="1">
      <x:c r="A1485" s="1" t="str">
        <x:v>C0000946</x:v>
      </x:c>
      <x:c r="B1485" s="1" t="n">
        <x:v>10</x:v>
      </x:c>
      <x:c r="C1485" s="1" t="n">
        <x:v>70</x:v>
      </x:c>
      <x:c r="D1485" s="6" t="n">
        <x:v>13405</x:v>
      </x:c>
      <x:c r="E1485" s="6" t="n">
        <x:v>26810</x:v>
      </x:c>
      <x:c r="F1485" s="6" t="n">
        <x:v>0</x:v>
      </x:c>
      <x:c r="G1485" s="6" t="n">
        <x:v>26810</x:v>
      </x:c>
      <x:c r="H1485" s="6" t="n">
        <x:v>13405</x:v>
      </x:c>
    </x:row>
    <x:row r="1486" ht="21" customHeight="1">
      <x:c r="A1486" s="1" t="str">
        <x:v>C0004692</x:v>
      </x:c>
      <x:c r="B1486" s="1" t="n">
        <x:v>10</x:v>
      </x:c>
      <x:c r="C1486" s="1" t="n">
        <x:v>10</x:v>
      </x:c>
      <x:c r="D1486" s="6" t="n">
        <x:v>13359</x:v>
      </x:c>
      <x:c r="E1486" s="6" t="n">
        <x:v>26718</x:v>
      </x:c>
      <x:c r="F1486" s="6" t="n">
        <x:v>0</x:v>
      </x:c>
      <x:c r="G1486" s="6" t="n">
        <x:v>26718</x:v>
      </x:c>
      <x:c r="H1486" s="6" t="n">
        <x:v>13359</x:v>
      </x:c>
    </x:row>
    <x:row r="1487" ht="21" customHeight="1">
      <x:c r="A1487" s="1" t="str">
        <x:v>C0010243</x:v>
      </x:c>
      <x:c r="B1487" s="1" t="n">
        <x:v>10</x:v>
      </x:c>
      <x:c r="C1487" s="1" t="n">
        <x:v>10</x:v>
      </x:c>
      <x:c r="D1487" s="6" t="n">
        <x:v>13359</x:v>
      </x:c>
      <x:c r="E1487" s="6" t="n">
        <x:v>0</x:v>
      </x:c>
      <x:c r="F1487" s="6" t="n">
        <x:v>0</x:v>
      </x:c>
      <x:c r="G1487" s="6" t="n">
        <x:v>0</x:v>
      </x:c>
      <x:c r="H1487" s="6" t="n">
        <x:v>-13359</x:v>
      </x:c>
    </x:row>
    <x:row r="1488" ht="21" customHeight="1">
      <x:c r="A1488" s="1" t="str">
        <x:v>C0015860</x:v>
      </x:c>
      <x:c r="B1488" s="1" t="n">
        <x:v>10</x:v>
      </x:c>
      <x:c r="C1488" s="1" t="n">
        <x:v>10</x:v>
      </x:c>
      <x:c r="D1488" s="6" t="n">
        <x:v>13359</x:v>
      </x:c>
      <x:c r="E1488" s="6" t="n">
        <x:v>0</x:v>
      </x:c>
      <x:c r="F1488" s="6" t="n">
        <x:v>0</x:v>
      </x:c>
      <x:c r="G1488" s="6" t="n">
        <x:v>0</x:v>
      </x:c>
      <x:c r="H1488" s="6" t="n">
        <x:v>-13359</x:v>
      </x:c>
    </x:row>
    <x:row r="1489" ht="21" customHeight="1">
      <x:c r="A1489" s="1" t="str">
        <x:v>C0011531</x:v>
      </x:c>
      <x:c r="B1489" s="1" t="n">
        <x:v>10</x:v>
      </x:c>
      <x:c r="C1489" s="1" t="n">
        <x:v>10</x:v>
      </x:c>
      <x:c r="D1489" s="6" t="n">
        <x:v>13359</x:v>
      </x:c>
      <x:c r="E1489" s="6" t="n">
        <x:v>26718</x:v>
      </x:c>
      <x:c r="F1489" s="6" t="n">
        <x:v>0</x:v>
      </x:c>
      <x:c r="G1489" s="6" t="n">
        <x:v>26718</x:v>
      </x:c>
      <x:c r="H1489" s="6" t="n">
        <x:v>13359</x:v>
      </x:c>
    </x:row>
    <x:row r="1490" ht="21" customHeight="1">
      <x:c r="A1490" s="1" t="str">
        <x:v>C0007933</x:v>
      </x:c>
      <x:c r="B1490" s="1" t="n">
        <x:v>10</x:v>
      </x:c>
      <x:c r="C1490" s="1" t="n">
        <x:v>10</x:v>
      </x:c>
      <x:c r="D1490" s="6" t="n">
        <x:v>13359</x:v>
      </x:c>
      <x:c r="E1490" s="6" t="n">
        <x:v>26718</x:v>
      </x:c>
      <x:c r="F1490" s="6" t="n">
        <x:v>0</x:v>
      </x:c>
      <x:c r="G1490" s="6" t="n">
        <x:v>26718</x:v>
      </x:c>
      <x:c r="H1490" s="6" t="n">
        <x:v>13359</x:v>
      </x:c>
    </x:row>
    <x:row r="1491" ht="21" customHeight="1">
      <x:c r="A1491" s="1" t="str">
        <x:v>C0007943</x:v>
      </x:c>
      <x:c r="B1491" s="1" t="n">
        <x:v>25</x:v>
      </x:c>
      <x:c r="C1491" s="1" t="n">
        <x:v>25</x:v>
      </x:c>
      <x:c r="D1491" s="6" t="n">
        <x:v>13341</x:v>
      </x:c>
      <x:c r="E1491" s="6" t="n">
        <x:v>0</x:v>
      </x:c>
      <x:c r="F1491" s="6" t="n">
        <x:v>0</x:v>
      </x:c>
      <x:c r="G1491" s="6" t="n">
        <x:v>0</x:v>
      </x:c>
      <x:c r="H1491" s="6" t="n">
        <x:v>-13341</x:v>
      </x:c>
    </x:row>
    <x:row r="1492" ht="21" customHeight="1">
      <x:c r="A1492" s="1" t="str">
        <x:v>C0003814</x:v>
      </x:c>
      <x:c r="B1492" s="1" t="n">
        <x:v>25</x:v>
      </x:c>
      <x:c r="C1492" s="1" t="n">
        <x:v>25</x:v>
      </x:c>
      <x:c r="D1492" s="6" t="n">
        <x:v>13341</x:v>
      </x:c>
      <x:c r="E1492" s="6" t="n">
        <x:v>26682</x:v>
      </x:c>
      <x:c r="F1492" s="6" t="n">
        <x:v>0</x:v>
      </x:c>
      <x:c r="G1492" s="6" t="n">
        <x:v>26682</x:v>
      </x:c>
      <x:c r="H1492" s="6" t="n">
        <x:v>13341</x:v>
      </x:c>
    </x:row>
    <x:row r="1493" ht="21" customHeight="1">
      <x:c r="A1493" s="1" t="str">
        <x:v>C0015827</x:v>
      </x:c>
      <x:c r="B1493" s="1" t="n">
        <x:v>25</x:v>
      </x:c>
      <x:c r="C1493" s="1" t="n">
        <x:v>25</x:v>
      </x:c>
      <x:c r="D1493" s="6" t="n">
        <x:v>13341</x:v>
      </x:c>
      <x:c r="E1493" s="6" t="n">
        <x:v>26682</x:v>
      </x:c>
      <x:c r="F1493" s="6" t="n">
        <x:v>0</x:v>
      </x:c>
      <x:c r="G1493" s="6" t="n">
        <x:v>26682</x:v>
      </x:c>
      <x:c r="H1493" s="6" t="n">
        <x:v>13341</x:v>
      </x:c>
    </x:row>
    <x:row r="1494" ht="21" customHeight="1">
      <x:c r="A1494" s="1" t="str">
        <x:v>C0006913</x:v>
      </x:c>
      <x:c r="B1494" s="1" t="n">
        <x:v>25</x:v>
      </x:c>
      <x:c r="C1494" s="1" t="n">
        <x:v>25</x:v>
      </x:c>
      <x:c r="D1494" s="6" t="n">
        <x:v>13341</x:v>
      </x:c>
      <x:c r="E1494" s="6" t="n">
        <x:v>0</x:v>
      </x:c>
      <x:c r="F1494" s="6" t="n">
        <x:v>0</x:v>
      </x:c>
      <x:c r="G1494" s="6" t="n">
        <x:v>0</x:v>
      </x:c>
      <x:c r="H1494" s="6" t="n">
        <x:v>-13341</x:v>
      </x:c>
    </x:row>
    <x:row r="1495" ht="21" customHeight="1">
      <x:c r="A1495" s="1" t="str">
        <x:v>C0013154</x:v>
      </x:c>
      <x:c r="B1495" s="1" t="n">
        <x:v>25</x:v>
      </x:c>
      <x:c r="C1495" s="1" t="n">
        <x:v>25</x:v>
      </x:c>
      <x:c r="D1495" s="6" t="n">
        <x:v>13341</x:v>
      </x:c>
      <x:c r="E1495" s="6" t="n">
        <x:v>26682</x:v>
      </x:c>
      <x:c r="F1495" s="6" t="n">
        <x:v>0</x:v>
      </x:c>
      <x:c r="G1495" s="6" t="n">
        <x:v>26682</x:v>
      </x:c>
      <x:c r="H1495" s="6" t="n">
        <x:v>13341</x:v>
      </x:c>
    </x:row>
    <x:row r="1496" ht="21" customHeight="1">
      <x:c r="A1496" s="1" t="str">
        <x:v>C0017184</x:v>
      </x:c>
      <x:c r="B1496" s="1" t="n">
        <x:v>25</x:v>
      </x:c>
      <x:c r="C1496" s="1" t="n">
        <x:v>25</x:v>
      </x:c>
      <x:c r="D1496" s="6" t="n">
        <x:v>13341</x:v>
      </x:c>
      <x:c r="E1496" s="6" t="n">
        <x:v>26682</x:v>
      </x:c>
      <x:c r="F1496" s="6" t="n">
        <x:v>0</x:v>
      </x:c>
      <x:c r="G1496" s="6" t="n">
        <x:v>26682</x:v>
      </x:c>
      <x:c r="H1496" s="6" t="n">
        <x:v>13341</x:v>
      </x:c>
    </x:row>
    <x:row r="1497" ht="21" customHeight="1">
      <x:c r="A1497" s="1" t="str">
        <x:v>C0015066</x:v>
      </x:c>
      <x:c r="B1497" s="1" t="n">
        <x:v>25</x:v>
      </x:c>
      <x:c r="C1497" s="1" t="n">
        <x:v>25</x:v>
      </x:c>
      <x:c r="D1497" s="6" t="n">
        <x:v>13341</x:v>
      </x:c>
      <x:c r="E1497" s="6" t="n">
        <x:v>0</x:v>
      </x:c>
      <x:c r="F1497" s="6" t="n">
        <x:v>0</x:v>
      </x:c>
      <x:c r="G1497" s="6" t="n">
        <x:v>0</x:v>
      </x:c>
      <x:c r="H1497" s="6" t="n">
        <x:v>-13341</x:v>
      </x:c>
    </x:row>
    <x:row r="1498" ht="21" customHeight="1">
      <x:c r="A1498" s="1" t="str">
        <x:v>C0005924</x:v>
      </x:c>
      <x:c r="B1498" s="1" t="n">
        <x:v>25</x:v>
      </x:c>
      <x:c r="C1498" s="1" t="n">
        <x:v>25</x:v>
      </x:c>
      <x:c r="D1498" s="6" t="n">
        <x:v>13341</x:v>
      </x:c>
      <x:c r="E1498" s="6" t="n">
        <x:v>0</x:v>
      </x:c>
      <x:c r="F1498" s="6" t="n">
        <x:v>0</x:v>
      </x:c>
      <x:c r="G1498" s="6" t="n">
        <x:v>0</x:v>
      </x:c>
      <x:c r="H1498" s="6" t="n">
        <x:v>-13341</x:v>
      </x:c>
    </x:row>
    <x:row r="1499" ht="21" customHeight="1">
      <x:c r="A1499" s="1" t="str">
        <x:v>C0006152</x:v>
      </x:c>
      <x:c r="B1499" s="1" t="n">
        <x:v>7</x:v>
      </x:c>
      <x:c r="C1499" s="1" t="n">
        <x:v>37</x:v>
      </x:c>
      <x:c r="D1499" s="6" t="n">
        <x:v>0</x:v>
      </x:c>
      <x:c r="E1499" s="6" t="n">
        <x:v>13338</x:v>
      </x:c>
      <x:c r="F1499" s="6" t="n">
        <x:v>0</x:v>
      </x:c>
      <x:c r="G1499" s="6" t="n">
        <x:v>13338</x:v>
      </x:c>
      <x:c r="H1499" s="6" t="n">
        <x:v>13338</x:v>
      </x:c>
    </x:row>
    <x:row r="1500" ht="21" customHeight="1">
      <x:c r="A1500" s="1" t="str">
        <x:v>C0000110</x:v>
      </x:c>
      <x:c r="B1500" s="1" t="n">
        <x:v>7</x:v>
      </x:c>
      <x:c r="C1500" s="1" t="n">
        <x:v>37</x:v>
      </x:c>
      <x:c r="D1500" s="6" t="n">
        <x:v>13338</x:v>
      </x:c>
      <x:c r="E1500" s="6" t="n">
        <x:v>0</x:v>
      </x:c>
      <x:c r="F1500" s="6" t="n">
        <x:v>0</x:v>
      </x:c>
      <x:c r="G1500" s="6" t="n">
        <x:v>0</x:v>
      </x:c>
      <x:c r="H1500" s="6" t="n">
        <x:v>-13338</x:v>
      </x:c>
    </x:row>
    <x:row r="1501" ht="21" customHeight="1">
      <x:c r="A1501" s="1" t="str">
        <x:v>C0017015</x:v>
      </x:c>
      <x:c r="B1501" s="1" t="n">
        <x:v>7</x:v>
      </x:c>
      <x:c r="C1501" s="1" t="n">
        <x:v>37</x:v>
      </x:c>
      <x:c r="D1501" s="6" t="n">
        <x:v>0</x:v>
      </x:c>
      <x:c r="E1501" s="6" t="n">
        <x:v>13338</x:v>
      </x:c>
      <x:c r="F1501" s="6" t="n">
        <x:v>0</x:v>
      </x:c>
      <x:c r="G1501" s="6" t="n">
        <x:v>13338</x:v>
      </x:c>
      <x:c r="H1501" s="6" t="n">
        <x:v>13338</x:v>
      </x:c>
    </x:row>
    <x:row r="1502" ht="21" customHeight="1">
      <x:c r="A1502" s="1" t="str">
        <x:v>C0015013</x:v>
      </x:c>
      <x:c r="B1502" s="1" t="n">
        <x:v>7</x:v>
      </x:c>
      <x:c r="C1502" s="1" t="n">
        <x:v>37</x:v>
      </x:c>
      <x:c r="D1502" s="6" t="n">
        <x:v>13338</x:v>
      </x:c>
      <x:c r="E1502" s="6" t="n">
        <x:v>0</x:v>
      </x:c>
      <x:c r="F1502" s="6" t="n">
        <x:v>0</x:v>
      </x:c>
      <x:c r="G1502" s="6" t="n">
        <x:v>0</x:v>
      </x:c>
      <x:c r="H1502" s="6" t="n">
        <x:v>-13338</x:v>
      </x:c>
    </x:row>
    <x:row r="1503" ht="21" customHeight="1">
      <x:c r="A1503" s="1" t="str">
        <x:v>C0011539</x:v>
      </x:c>
      <x:c r="B1503" s="1" t="n">
        <x:v>7</x:v>
      </x:c>
      <x:c r="C1503" s="1" t="n">
        <x:v>37</x:v>
      </x:c>
      <x:c r="D1503" s="6" t="n">
        <x:v>13338</x:v>
      </x:c>
      <x:c r="E1503" s="6" t="n">
        <x:v>26676</x:v>
      </x:c>
      <x:c r="F1503" s="6" t="n">
        <x:v>0</x:v>
      </x:c>
      <x:c r="G1503" s="6" t="n">
        <x:v>26676</x:v>
      </x:c>
      <x:c r="H1503" s="6" t="n">
        <x:v>13338</x:v>
      </x:c>
    </x:row>
    <x:row r="1504" ht="21" customHeight="1">
      <x:c r="A1504" s="1" t="str">
        <x:v>C0007462</x:v>
      </x:c>
      <x:c r="B1504" s="1" t="n">
        <x:v>7</x:v>
      </x:c>
      <x:c r="C1504" s="1" t="n">
        <x:v>37</x:v>
      </x:c>
      <x:c r="D1504" s="6" t="n">
        <x:v>13338</x:v>
      </x:c>
      <x:c r="E1504" s="6" t="n">
        <x:v>26676</x:v>
      </x:c>
      <x:c r="F1504" s="6" t="n">
        <x:v>0</x:v>
      </x:c>
      <x:c r="G1504" s="6" t="n">
        <x:v>26676</x:v>
      </x:c>
      <x:c r="H1504" s="6" t="n">
        <x:v>13338</x:v>
      </x:c>
    </x:row>
    <x:row r="1505" ht="21" customHeight="1">
      <x:c r="A1505" s="1" t="str">
        <x:v>C0002062</x:v>
      </x:c>
      <x:c r="B1505" s="1" t="n">
        <x:v>7</x:v>
      </x:c>
      <x:c r="C1505" s="1" t="n">
        <x:v>37</x:v>
      </x:c>
      <x:c r="D1505" s="6" t="n">
        <x:v>13338</x:v>
      </x:c>
      <x:c r="E1505" s="6" t="n">
        <x:v>0</x:v>
      </x:c>
      <x:c r="F1505" s="6" t="n">
        <x:v>0</x:v>
      </x:c>
      <x:c r="G1505" s="6" t="n">
        <x:v>0</x:v>
      </x:c>
      <x:c r="H1505" s="6" t="n">
        <x:v>-13338</x:v>
      </x:c>
    </x:row>
    <x:row r="1506" ht="21" customHeight="1">
      <x:c r="A1506" s="1" t="str">
        <x:v>C0004530</x:v>
      </x:c>
      <x:c r="B1506" s="1" t="n">
        <x:v>17</x:v>
      </x:c>
      <x:c r="C1506" s="1" t="n">
        <x:v>77</x:v>
      </x:c>
      <x:c r="D1506" s="6" t="n">
        <x:v>13300</x:v>
      </x:c>
      <x:c r="E1506" s="6" t="n">
        <x:v>26600</x:v>
      </x:c>
      <x:c r="F1506" s="6" t="n">
        <x:v>0</x:v>
      </x:c>
      <x:c r="G1506" s="6" t="n">
        <x:v>26600</x:v>
      </x:c>
      <x:c r="H1506" s="6" t="n">
        <x:v>13300</x:v>
      </x:c>
    </x:row>
    <x:row r="1507" ht="21" customHeight="1">
      <x:c r="A1507" s="1" t="str">
        <x:v>C0004866</x:v>
      </x:c>
      <x:c r="B1507" s="1" t="n">
        <x:v>17</x:v>
      </x:c>
      <x:c r="C1507" s="1" t="n">
        <x:v>77</x:v>
      </x:c>
      <x:c r="D1507" s="6" t="n">
        <x:v>13300</x:v>
      </x:c>
      <x:c r="E1507" s="6" t="n">
        <x:v>0</x:v>
      </x:c>
      <x:c r="F1507" s="6" t="n">
        <x:v>0</x:v>
      </x:c>
      <x:c r="G1507" s="6" t="n">
        <x:v>0</x:v>
      </x:c>
      <x:c r="H1507" s="6" t="n">
        <x:v>-13300</x:v>
      </x:c>
    </x:row>
    <x:row r="1508" ht="21" customHeight="1">
      <x:c r="A1508" s="1" t="str">
        <x:v>C0011044</x:v>
      </x:c>
      <x:c r="B1508" s="1" t="n">
        <x:v>17</x:v>
      </x:c>
      <x:c r="C1508" s="1" t="n">
        <x:v>77</x:v>
      </x:c>
      <x:c r="D1508" s="6" t="n">
        <x:v>13300</x:v>
      </x:c>
      <x:c r="E1508" s="6" t="n">
        <x:v>0</x:v>
      </x:c>
      <x:c r="F1508" s="6" t="n">
        <x:v>0</x:v>
      </x:c>
      <x:c r="G1508" s="6" t="n">
        <x:v>0</x:v>
      </x:c>
      <x:c r="H1508" s="6" t="n">
        <x:v>-13300</x:v>
      </x:c>
    </x:row>
    <x:row r="1509" ht="21" customHeight="1">
      <x:c r="A1509" s="1" t="str">
        <x:v>C0009566</x:v>
      </x:c>
      <x:c r="B1509" s="1" t="n">
        <x:v>17</x:v>
      </x:c>
      <x:c r="C1509" s="1" t="n">
        <x:v>77</x:v>
      </x:c>
      <x:c r="D1509" s="6" t="n">
        <x:v>13300</x:v>
      </x:c>
      <x:c r="E1509" s="6" t="n">
        <x:v>26600</x:v>
      </x:c>
      <x:c r="F1509" s="6" t="n">
        <x:v>0</x:v>
      </x:c>
      <x:c r="G1509" s="6" t="n">
        <x:v>26600</x:v>
      </x:c>
      <x:c r="H1509" s="6" t="n">
        <x:v>13300</x:v>
      </x:c>
    </x:row>
    <x:row r="1510" ht="21" customHeight="1">
      <x:c r="A1510" s="1" t="str">
        <x:v>C0017317</x:v>
      </x:c>
      <x:c r="B1510" s="1" t="n">
        <x:v>3</x:v>
      </x:c>
      <x:c r="C1510" s="1" t="n">
        <x:v>93</x:v>
      </x:c>
      <x:c r="D1510" s="6" t="n">
        <x:v>13176</x:v>
      </x:c>
      <x:c r="E1510" s="6" t="n">
        <x:v>26352</x:v>
      </x:c>
      <x:c r="F1510" s="6" t="n">
        <x:v>0</x:v>
      </x:c>
      <x:c r="G1510" s="6" t="n">
        <x:v>26352</x:v>
      </x:c>
      <x:c r="H1510" s="6" t="n">
        <x:v>13176</x:v>
      </x:c>
    </x:row>
    <x:row r="1511" ht="21" customHeight="1">
      <x:c r="A1511" s="1" t="str">
        <x:v>C0001567</x:v>
      </x:c>
      <x:c r="B1511" s="1" t="n">
        <x:v>3</x:v>
      </x:c>
      <x:c r="C1511" s="1" t="n">
        <x:v>93</x:v>
      </x:c>
      <x:c r="D1511" s="6" t="n">
        <x:v>13176</x:v>
      </x:c>
      <x:c r="E1511" s="6" t="n">
        <x:v>0</x:v>
      </x:c>
      <x:c r="F1511" s="6" t="n">
        <x:v>0</x:v>
      </x:c>
      <x:c r="G1511" s="6" t="n">
        <x:v>0</x:v>
      </x:c>
      <x:c r="H1511" s="6" t="n">
        <x:v>-13176</x:v>
      </x:c>
    </x:row>
    <x:row r="1512" ht="21" customHeight="1">
      <x:c r="A1512" s="1" t="str">
        <x:v>C0008277</x:v>
      </x:c>
      <x:c r="B1512" s="1" t="n">
        <x:v>3</x:v>
      </x:c>
      <x:c r="C1512" s="1" t="n">
        <x:v>93</x:v>
      </x:c>
      <x:c r="D1512" s="6" t="n">
        <x:v>13176</x:v>
      </x:c>
      <x:c r="E1512" s="6" t="n">
        <x:v>26352</x:v>
      </x:c>
      <x:c r="F1512" s="6" t="n">
        <x:v>0</x:v>
      </x:c>
      <x:c r="G1512" s="6" t="n">
        <x:v>26352</x:v>
      </x:c>
      <x:c r="H1512" s="6" t="n">
        <x:v>13176</x:v>
      </x:c>
    </x:row>
    <x:row r="1513" ht="21" customHeight="1">
      <x:c r="A1513" s="1" t="str">
        <x:v>C0010139</x:v>
      </x:c>
      <x:c r="B1513" s="1" t="n">
        <x:v>3</x:v>
      </x:c>
      <x:c r="C1513" s="1" t="n">
        <x:v>93</x:v>
      </x:c>
      <x:c r="D1513" s="6" t="n">
        <x:v>0</x:v>
      </x:c>
      <x:c r="E1513" s="6" t="n">
        <x:v>13176</x:v>
      </x:c>
      <x:c r="F1513" s="6" t="n">
        <x:v>0</x:v>
      </x:c>
      <x:c r="G1513" s="6" t="n">
        <x:v>13176</x:v>
      </x:c>
      <x:c r="H1513" s="6" t="n">
        <x:v>13176</x:v>
      </x:c>
    </x:row>
    <x:row r="1514" ht="21" customHeight="1">
      <x:c r="A1514" s="1" t="str">
        <x:v>C0004018</x:v>
      </x:c>
      <x:c r="B1514" s="1" t="n">
        <x:v>3</x:v>
      </x:c>
      <x:c r="C1514" s="1" t="n">
        <x:v>93</x:v>
      </x:c>
      <x:c r="D1514" s="6" t="n">
        <x:v>13176</x:v>
      </x:c>
      <x:c r="E1514" s="6" t="n">
        <x:v>26352</x:v>
      </x:c>
      <x:c r="F1514" s="6" t="n">
        <x:v>0</x:v>
      </x:c>
      <x:c r="G1514" s="6" t="n">
        <x:v>26352</x:v>
      </x:c>
      <x:c r="H1514" s="6" t="n">
        <x:v>13176</x:v>
      </x:c>
    </x:row>
    <x:row r="1515" ht="21" customHeight="1">
      <x:c r="A1515" s="1" t="str">
        <x:v>C0006550</x:v>
      </x:c>
      <x:c r="B1515" s="1" t="n">
        <x:v>3</x:v>
      </x:c>
      <x:c r="C1515" s="1" t="n">
        <x:v>93</x:v>
      </x:c>
      <x:c r="D1515" s="6" t="n">
        <x:v>13176</x:v>
      </x:c>
      <x:c r="E1515" s="6" t="n">
        <x:v>0</x:v>
      </x:c>
      <x:c r="F1515" s="6" t="n">
        <x:v>0</x:v>
      </x:c>
      <x:c r="G1515" s="6" t="n">
        <x:v>0</x:v>
      </x:c>
      <x:c r="H1515" s="6" t="n">
        <x:v>-13176</x:v>
      </x:c>
    </x:row>
    <x:row r="1516" ht="21" customHeight="1">
      <x:c r="A1516" s="1" t="str">
        <x:v>C0007062</x:v>
      </x:c>
      <x:c r="B1516" s="1" t="n">
        <x:v>5</x:v>
      </x:c>
      <x:c r="C1516" s="1" t="n">
        <x:v>35</x:v>
      </x:c>
      <x:c r="D1516" s="6" t="n">
        <x:v>13082</x:v>
      </x:c>
      <x:c r="E1516" s="6" t="n">
        <x:v>26164</x:v>
      </x:c>
      <x:c r="F1516" s="6" t="n">
        <x:v>0</x:v>
      </x:c>
      <x:c r="G1516" s="6" t="n">
        <x:v>26164</x:v>
      </x:c>
      <x:c r="H1516" s="6" t="n">
        <x:v>13082</x:v>
      </x:c>
    </x:row>
    <x:row r="1517" ht="21" customHeight="1">
      <x:c r="A1517" s="1" t="str">
        <x:v>C0001740</x:v>
      </x:c>
      <x:c r="B1517" s="1" t="n">
        <x:v>5</x:v>
      </x:c>
      <x:c r="C1517" s="1" t="n">
        <x:v>35</x:v>
      </x:c>
      <x:c r="D1517" s="6" t="n">
        <x:v>13082</x:v>
      </x:c>
      <x:c r="E1517" s="6" t="n">
        <x:v>26164</x:v>
      </x:c>
      <x:c r="F1517" s="6" t="n">
        <x:v>0</x:v>
      </x:c>
      <x:c r="G1517" s="6" t="n">
        <x:v>26164</x:v>
      </x:c>
      <x:c r="H1517" s="6" t="n">
        <x:v>13082</x:v>
      </x:c>
    </x:row>
    <x:row r="1518" ht="21" customHeight="1">
      <x:c r="A1518" s="1" t="str">
        <x:v>C0017435</x:v>
      </x:c>
      <x:c r="B1518" s="1" t="n">
        <x:v>5</x:v>
      </x:c>
      <x:c r="C1518" s="1" t="n">
        <x:v>35</x:v>
      </x:c>
      <x:c r="D1518" s="6" t="n">
        <x:v>13082</x:v>
      </x:c>
      <x:c r="E1518" s="6" t="n">
        <x:v>26164</x:v>
      </x:c>
      <x:c r="F1518" s="6" t="n">
        <x:v>0</x:v>
      </x:c>
      <x:c r="G1518" s="6" t="n">
        <x:v>26164</x:v>
      </x:c>
      <x:c r="H1518" s="6" t="n">
        <x:v>13082</x:v>
      </x:c>
    </x:row>
    <x:row r="1519" ht="21" customHeight="1">
      <x:c r="A1519" s="1" t="str">
        <x:v>C0011173</x:v>
      </x:c>
      <x:c r="B1519" s="1" t="n">
        <x:v>5</x:v>
      </x:c>
      <x:c r="C1519" s="1" t="n">
        <x:v>35</x:v>
      </x:c>
      <x:c r="D1519" s="6" t="n">
        <x:v>13082</x:v>
      </x:c>
      <x:c r="E1519" s="6" t="n">
        <x:v>26164</x:v>
      </x:c>
      <x:c r="F1519" s="6" t="n">
        <x:v>0</x:v>
      </x:c>
      <x:c r="G1519" s="6" t="n">
        <x:v>26164</x:v>
      </x:c>
      <x:c r="H1519" s="6" t="n">
        <x:v>13082</x:v>
      </x:c>
    </x:row>
    <x:row r="1520" ht="21" customHeight="1">
      <x:c r="A1520" s="1" t="str">
        <x:v>C0017803</x:v>
      </x:c>
      <x:c r="B1520" s="1" t="n">
        <x:v>26</x:v>
      </x:c>
      <x:c r="C1520" s="1" t="n">
        <x:v>56</x:v>
      </x:c>
      <x:c r="D1520" s="6" t="n">
        <x:v>13081</x:v>
      </x:c>
      <x:c r="E1520" s="6" t="n">
        <x:v>26162</x:v>
      </x:c>
      <x:c r="F1520" s="6" t="n">
        <x:v>0</x:v>
      </x:c>
      <x:c r="G1520" s="6" t="n">
        <x:v>26162</x:v>
      </x:c>
      <x:c r="H1520" s="6" t="n">
        <x:v>13081</x:v>
      </x:c>
    </x:row>
    <x:row r="1521" ht="21" customHeight="1">
      <x:c r="A1521" s="1" t="str">
        <x:v>C0010718</x:v>
      </x:c>
      <x:c r="B1521" s="1" t="n">
        <x:v>26</x:v>
      </x:c>
      <x:c r="C1521" s="1" t="n">
        <x:v>56</x:v>
      </x:c>
      <x:c r="D1521" s="6" t="n">
        <x:v>0</x:v>
      </x:c>
      <x:c r="E1521" s="6" t="n">
        <x:v>13081</x:v>
      </x:c>
      <x:c r="F1521" s="6" t="n">
        <x:v>0</x:v>
      </x:c>
      <x:c r="G1521" s="6" t="n">
        <x:v>13081</x:v>
      </x:c>
      <x:c r="H1521" s="6" t="n">
        <x:v>13081</x:v>
      </x:c>
    </x:row>
    <x:row r="1522" ht="21" customHeight="1">
      <x:c r="A1522" s="1" t="str">
        <x:v>C0011113</x:v>
      </x:c>
      <x:c r="B1522" s="1" t="n">
        <x:v>26</x:v>
      </x:c>
      <x:c r="C1522" s="1" t="n">
        <x:v>56</x:v>
      </x:c>
      <x:c r="D1522" s="6" t="n">
        <x:v>13081</x:v>
      </x:c>
      <x:c r="E1522" s="6" t="n">
        <x:v>26162</x:v>
      </x:c>
      <x:c r="F1522" s="6" t="n">
        <x:v>0</x:v>
      </x:c>
      <x:c r="G1522" s="6" t="n">
        <x:v>26162</x:v>
      </x:c>
      <x:c r="H1522" s="6" t="n">
        <x:v>13081</x:v>
      </x:c>
    </x:row>
    <x:row r="1523" ht="21" customHeight="1">
      <x:c r="A1523" s="1" t="str">
        <x:v>C0012576</x:v>
      </x:c>
      <x:c r="B1523" s="1" t="n">
        <x:v>26</x:v>
      </x:c>
      <x:c r="C1523" s="1" t="n">
        <x:v>56</x:v>
      </x:c>
      <x:c r="D1523" s="6" t="n">
        <x:v>0</x:v>
      </x:c>
      <x:c r="E1523" s="6" t="n">
        <x:v>13081</x:v>
      </x:c>
      <x:c r="F1523" s="6" t="n">
        <x:v>0</x:v>
      </x:c>
      <x:c r="G1523" s="6" t="n">
        <x:v>13081</x:v>
      </x:c>
      <x:c r="H1523" s="6" t="n">
        <x:v>13081</x:v>
      </x:c>
    </x:row>
    <x:row r="1524" ht="21" customHeight="1">
      <x:c r="A1524" s="1" t="str">
        <x:v>C0014906</x:v>
      </x:c>
      <x:c r="B1524" s="1" t="n">
        <x:v>26</x:v>
      </x:c>
      <x:c r="C1524" s="1" t="n">
        <x:v>56</x:v>
      </x:c>
      <x:c r="D1524" s="6" t="n">
        <x:v>13081</x:v>
      </x:c>
      <x:c r="E1524" s="6" t="n">
        <x:v>0</x:v>
      </x:c>
      <x:c r="F1524" s="6" t="n">
        <x:v>0</x:v>
      </x:c>
      <x:c r="G1524" s="6" t="n">
        <x:v>0</x:v>
      </x:c>
      <x:c r="H1524" s="6" t="n">
        <x:v>-13081</x:v>
      </x:c>
    </x:row>
    <x:row r="1525" ht="21" customHeight="1">
      <x:c r="A1525" s="1" t="str">
        <x:v>C0000778</x:v>
      </x:c>
      <x:c r="B1525" s="1" t="n">
        <x:v>23</x:v>
      </x:c>
      <x:c r="C1525" s="1" t="n">
        <x:v>113</x:v>
      </x:c>
      <x:c r="D1525" s="6" t="n">
        <x:v>12972</x:v>
      </x:c>
      <x:c r="E1525" s="6" t="n">
        <x:v>25944</x:v>
      </x:c>
      <x:c r="F1525" s="6" t="n">
        <x:v>0</x:v>
      </x:c>
      <x:c r="G1525" s="6" t="n">
        <x:v>25944</x:v>
      </x:c>
      <x:c r="H1525" s="6" t="n">
        <x:v>12972</x:v>
      </x:c>
    </x:row>
    <x:row r="1526" ht="21" customHeight="1">
      <x:c r="A1526" s="1" t="str">
        <x:v>C0008548</x:v>
      </x:c>
      <x:c r="B1526" s="1" t="n">
        <x:v>23</x:v>
      </x:c>
      <x:c r="C1526" s="1" t="n">
        <x:v>113</x:v>
      </x:c>
      <x:c r="D1526" s="6" t="n">
        <x:v>0</x:v>
      </x:c>
      <x:c r="E1526" s="6" t="n">
        <x:v>12972</x:v>
      </x:c>
      <x:c r="F1526" s="6" t="n">
        <x:v>0</x:v>
      </x:c>
      <x:c r="G1526" s="6" t="n">
        <x:v>12972</x:v>
      </x:c>
      <x:c r="H1526" s="6" t="n">
        <x:v>12972</x:v>
      </x:c>
    </x:row>
    <x:row r="1527" ht="21" customHeight="1">
      <x:c r="A1527" s="1" t="str">
        <x:v>C0014430</x:v>
      </x:c>
      <x:c r="B1527" s="1" t="n">
        <x:v>23</x:v>
      </x:c>
      <x:c r="C1527" s="1" t="n">
        <x:v>113</x:v>
      </x:c>
      <x:c r="D1527" s="6" t="n">
        <x:v>12972</x:v>
      </x:c>
      <x:c r="E1527" s="6" t="n">
        <x:v>25944</x:v>
      </x:c>
      <x:c r="F1527" s="6" t="n">
        <x:v>0</x:v>
      </x:c>
      <x:c r="G1527" s="6" t="n">
        <x:v>25944</x:v>
      </x:c>
      <x:c r="H1527" s="6" t="n">
        <x:v>12972</x:v>
      </x:c>
    </x:row>
    <x:row r="1528" ht="21" customHeight="1">
      <x:c r="A1528" s="1" t="str">
        <x:v>C0010627</x:v>
      </x:c>
      <x:c r="B1528" s="1" t="n">
        <x:v>23</x:v>
      </x:c>
      <x:c r="C1528" s="1" t="n">
        <x:v>113</x:v>
      </x:c>
      <x:c r="D1528" s="6" t="n">
        <x:v>12972</x:v>
      </x:c>
      <x:c r="E1528" s="6" t="n">
        <x:v>25944</x:v>
      </x:c>
      <x:c r="F1528" s="6" t="n">
        <x:v>0</x:v>
      </x:c>
      <x:c r="G1528" s="6" t="n">
        <x:v>25944</x:v>
      </x:c>
      <x:c r="H1528" s="6" t="n">
        <x:v>12972</x:v>
      </x:c>
    </x:row>
    <x:row r="1529" ht="21" customHeight="1">
      <x:c r="A1529" s="1" t="str">
        <x:v>C0003570</x:v>
      </x:c>
      <x:c r="B1529" s="1" t="n">
        <x:v>9</x:v>
      </x:c>
      <x:c r="C1529" s="1" t="n">
        <x:v>69</x:v>
      </x:c>
      <x:c r="D1529" s="6" t="n">
        <x:v>12971</x:v>
      </x:c>
      <x:c r="E1529" s="6" t="n">
        <x:v>25942</x:v>
      </x:c>
      <x:c r="F1529" s="6" t="n">
        <x:v>0</x:v>
      </x:c>
      <x:c r="G1529" s="6" t="n">
        <x:v>25942</x:v>
      </x:c>
      <x:c r="H1529" s="6" t="n">
        <x:v>12971</x:v>
      </x:c>
    </x:row>
    <x:row r="1530" ht="21" customHeight="1">
      <x:c r="A1530" s="1" t="str">
        <x:v>C0013373</x:v>
      </x:c>
      <x:c r="B1530" s="1" t="n">
        <x:v>9</x:v>
      </x:c>
      <x:c r="C1530" s="1" t="n">
        <x:v>69</x:v>
      </x:c>
      <x:c r="D1530" s="6" t="n">
        <x:v>12971</x:v>
      </x:c>
      <x:c r="E1530" s="6" t="n">
        <x:v>0</x:v>
      </x:c>
      <x:c r="F1530" s="6" t="n">
        <x:v>0</x:v>
      </x:c>
      <x:c r="G1530" s="6" t="n">
        <x:v>0</x:v>
      </x:c>
      <x:c r="H1530" s="6" t="n">
        <x:v>-12971</x:v>
      </x:c>
    </x:row>
    <x:row r="1531" ht="21" customHeight="1">
      <x:c r="A1531" s="1" t="str">
        <x:v>C0017594</x:v>
      </x:c>
      <x:c r="B1531" s="1" t="n">
        <x:v>9</x:v>
      </x:c>
      <x:c r="C1531" s="1" t="n">
        <x:v>69</x:v>
      </x:c>
      <x:c r="D1531" s="6" t="n">
        <x:v>12971</x:v>
      </x:c>
      <x:c r="E1531" s="6" t="n">
        <x:v>0</x:v>
      </x:c>
      <x:c r="F1531" s="6" t="n">
        <x:v>0</x:v>
      </x:c>
      <x:c r="G1531" s="6" t="n">
        <x:v>0</x:v>
      </x:c>
      <x:c r="H1531" s="6" t="n">
        <x:v>-12971</x:v>
      </x:c>
    </x:row>
    <x:row r="1532" ht="21" customHeight="1">
      <x:c r="A1532" s="1" t="str">
        <x:v>C0013485</x:v>
      </x:c>
      <x:c r="B1532" s="1" t="n">
        <x:v>9</x:v>
      </x:c>
      <x:c r="C1532" s="1" t="n">
        <x:v>69</x:v>
      </x:c>
      <x:c r="D1532" s="6" t="n">
        <x:v>12971</x:v>
      </x:c>
      <x:c r="E1532" s="6" t="n">
        <x:v>0</x:v>
      </x:c>
      <x:c r="F1532" s="6" t="n">
        <x:v>0</x:v>
      </x:c>
      <x:c r="G1532" s="6" t="n">
        <x:v>0</x:v>
      </x:c>
      <x:c r="H1532" s="6" t="n">
        <x:v>-12971</x:v>
      </x:c>
    </x:row>
    <x:row r="1533" ht="21" customHeight="1">
      <x:c r="A1533" s="1" t="str">
        <x:v>C0017037</x:v>
      </x:c>
      <x:c r="B1533" s="1" t="n">
        <x:v>9</x:v>
      </x:c>
      <x:c r="C1533" s="1" t="n">
        <x:v>69</x:v>
      </x:c>
      <x:c r="D1533" s="6" t="n">
        <x:v>12971</x:v>
      </x:c>
      <x:c r="E1533" s="6" t="n">
        <x:v>0</x:v>
      </x:c>
      <x:c r="F1533" s="6" t="n">
        <x:v>0</x:v>
      </x:c>
      <x:c r="G1533" s="6" t="n">
        <x:v>0</x:v>
      </x:c>
      <x:c r="H1533" s="6" t="n">
        <x:v>-12971</x:v>
      </x:c>
    </x:row>
    <x:row r="1534" ht="21" customHeight="1">
      <x:c r="A1534" s="1" t="str">
        <x:v>C0013969</x:v>
      </x:c>
      <x:c r="B1534" s="1" t="n">
        <x:v>9</x:v>
      </x:c>
      <x:c r="C1534" s="1" t="n">
        <x:v>69</x:v>
      </x:c>
      <x:c r="D1534" s="6" t="n">
        <x:v>12971</x:v>
      </x:c>
      <x:c r="E1534" s="6" t="n">
        <x:v>25942</x:v>
      </x:c>
      <x:c r="F1534" s="6" t="n">
        <x:v>0</x:v>
      </x:c>
      <x:c r="G1534" s="6" t="n">
        <x:v>25942</x:v>
      </x:c>
      <x:c r="H1534" s="6" t="n">
        <x:v>12971</x:v>
      </x:c>
    </x:row>
    <x:row r="1535" ht="21" customHeight="1">
      <x:c r="A1535" s="1" t="str">
        <x:v>C0004105</x:v>
      </x:c>
      <x:c r="B1535" s="1" t="n">
        <x:v>9</x:v>
      </x:c>
      <x:c r="C1535" s="1" t="n">
        <x:v>69</x:v>
      </x:c>
      <x:c r="D1535" s="6" t="n">
        <x:v>12971</x:v>
      </x:c>
      <x:c r="E1535" s="6" t="n">
        <x:v>0</x:v>
      </x:c>
      <x:c r="F1535" s="6" t="n">
        <x:v>0</x:v>
      </x:c>
      <x:c r="G1535" s="6" t="n">
        <x:v>0</x:v>
      </x:c>
      <x:c r="H1535" s="6" t="n">
        <x:v>-12971</x:v>
      </x:c>
    </x:row>
    <x:row r="1536" ht="21" customHeight="1">
      <x:c r="A1536" s="1" t="str">
        <x:v>C0004368</x:v>
      </x:c>
      <x:c r="B1536" s="1" t="n">
        <x:v>9</x:v>
      </x:c>
      <x:c r="C1536" s="1" t="n">
        <x:v>69</x:v>
      </x:c>
      <x:c r="D1536" s="6" t="n">
        <x:v>12971</x:v>
      </x:c>
      <x:c r="E1536" s="6" t="n">
        <x:v>0</x:v>
      </x:c>
      <x:c r="F1536" s="6" t="n">
        <x:v>0</x:v>
      </x:c>
      <x:c r="G1536" s="6" t="n">
        <x:v>0</x:v>
      </x:c>
      <x:c r="H1536" s="6" t="n">
        <x:v>-12971</x:v>
      </x:c>
    </x:row>
    <x:row r="1537" ht="21" customHeight="1">
      <x:c r="A1537" s="1" t="str">
        <x:v>C0014676</x:v>
      </x:c>
      <x:c r="B1537" s="1" t="n">
        <x:v>9</x:v>
      </x:c>
      <x:c r="C1537" s="1" t="n">
        <x:v>69</x:v>
      </x:c>
      <x:c r="D1537" s="6" t="n">
        <x:v>12971</x:v>
      </x:c>
      <x:c r="E1537" s="6" t="n">
        <x:v>25942</x:v>
      </x:c>
      <x:c r="F1537" s="6" t="n">
        <x:v>0</x:v>
      </x:c>
      <x:c r="G1537" s="6" t="n">
        <x:v>25942</x:v>
      </x:c>
      <x:c r="H1537" s="6" t="n">
        <x:v>12971</x:v>
      </x:c>
    </x:row>
    <x:row r="1538" ht="21" customHeight="1">
      <x:c r="A1538" s="1" t="str">
        <x:v>C0010043</x:v>
      </x:c>
      <x:c r="B1538" s="1" t="n">
        <x:v>9</x:v>
      </x:c>
      <x:c r="C1538" s="1" t="n">
        <x:v>69</x:v>
      </x:c>
      <x:c r="D1538" s="6" t="n">
        <x:v>0</x:v>
      </x:c>
      <x:c r="E1538" s="6" t="n">
        <x:v>12971</x:v>
      </x:c>
      <x:c r="F1538" s="6" t="n">
        <x:v>0</x:v>
      </x:c>
      <x:c r="G1538" s="6" t="n">
        <x:v>12971</x:v>
      </x:c>
      <x:c r="H1538" s="6" t="n">
        <x:v>12971</x:v>
      </x:c>
    </x:row>
    <x:row r="1539" ht="21" customHeight="1">
      <x:c r="A1539" s="1" t="str">
        <x:v>C0000206</x:v>
      </x:c>
      <x:c r="B1539" s="1" t="n">
        <x:v>9</x:v>
      </x:c>
      <x:c r="C1539" s="1" t="n">
        <x:v>69</x:v>
      </x:c>
      <x:c r="D1539" s="6" t="n">
        <x:v>12971</x:v>
      </x:c>
      <x:c r="E1539" s="6" t="n">
        <x:v>0</x:v>
      </x:c>
      <x:c r="F1539" s="6" t="n">
        <x:v>0</x:v>
      </x:c>
      <x:c r="G1539" s="6" t="n">
        <x:v>0</x:v>
      </x:c>
      <x:c r="H1539" s="6" t="n">
        <x:v>-12971</x:v>
      </x:c>
    </x:row>
    <x:row r="1540" ht="21" customHeight="1">
      <x:c r="A1540" s="1" t="str">
        <x:v>C0013264</x:v>
      </x:c>
      <x:c r="B1540" s="1" t="n">
        <x:v>8</x:v>
      </x:c>
      <x:c r="C1540" s="1" t="n">
        <x:v>98</x:v>
      </x:c>
      <x:c r="D1540" s="6" t="n">
        <x:v>12923</x:v>
      </x:c>
      <x:c r="E1540" s="6" t="n">
        <x:v>0</x:v>
      </x:c>
      <x:c r="F1540" s="6" t="n">
        <x:v>0</x:v>
      </x:c>
      <x:c r="G1540" s="6" t="n">
        <x:v>0</x:v>
      </x:c>
      <x:c r="H1540" s="6" t="n">
        <x:v>-12923</x:v>
      </x:c>
    </x:row>
    <x:row r="1541" ht="21" customHeight="1">
      <x:c r="A1541" s="1" t="str">
        <x:v>C0014157</x:v>
      </x:c>
      <x:c r="B1541" s="1" t="n">
        <x:v>8</x:v>
      </x:c>
      <x:c r="C1541" s="1" t="n">
        <x:v>98</x:v>
      </x:c>
      <x:c r="D1541" s="6" t="n">
        <x:v>12923</x:v>
      </x:c>
      <x:c r="E1541" s="6" t="n">
        <x:v>25846</x:v>
      </x:c>
      <x:c r="F1541" s="6" t="n">
        <x:v>0</x:v>
      </x:c>
      <x:c r="G1541" s="6" t="n">
        <x:v>25846</x:v>
      </x:c>
      <x:c r="H1541" s="6" t="n">
        <x:v>12923</x:v>
      </x:c>
    </x:row>
    <x:row r="1542" ht="21" customHeight="1">
      <x:c r="A1542" s="1" t="str">
        <x:v>C0016333</x:v>
      </x:c>
      <x:c r="B1542" s="1" t="n">
        <x:v>8</x:v>
      </x:c>
      <x:c r="C1542" s="1" t="n">
        <x:v>98</x:v>
      </x:c>
      <x:c r="D1542" s="6" t="n">
        <x:v>12923</x:v>
      </x:c>
      <x:c r="E1542" s="6" t="n">
        <x:v>25846</x:v>
      </x:c>
      <x:c r="F1542" s="6" t="n">
        <x:v>0</x:v>
      </x:c>
      <x:c r="G1542" s="6" t="n">
        <x:v>25846</x:v>
      </x:c>
      <x:c r="H1542" s="6" t="n">
        <x:v>12923</x:v>
      </x:c>
    </x:row>
    <x:row r="1543" ht="21" customHeight="1">
      <x:c r="A1543" s="1" t="str">
        <x:v>C0004026</x:v>
      </x:c>
      <x:c r="B1543" s="1" t="n">
        <x:v>8</x:v>
      </x:c>
      <x:c r="C1543" s="1" t="n">
        <x:v>98</x:v>
      </x:c>
      <x:c r="D1543" s="6" t="n">
        <x:v>12923</x:v>
      </x:c>
      <x:c r="E1543" s="6" t="n">
        <x:v>25846</x:v>
      </x:c>
      <x:c r="F1543" s="6" t="n">
        <x:v>0</x:v>
      </x:c>
      <x:c r="G1543" s="6" t="n">
        <x:v>25846</x:v>
      </x:c>
      <x:c r="H1543" s="6" t="n">
        <x:v>12923</x:v>
      </x:c>
    </x:row>
    <x:row r="1544" ht="21" customHeight="1">
      <x:c r="A1544" s="1" t="str">
        <x:v>C0006079</x:v>
      </x:c>
      <x:c r="B1544" s="1" t="n">
        <x:v>8</x:v>
      </x:c>
      <x:c r="C1544" s="1" t="n">
        <x:v>98</x:v>
      </x:c>
      <x:c r="D1544" s="6" t="n">
        <x:v>12923</x:v>
      </x:c>
      <x:c r="E1544" s="6" t="n">
        <x:v>0</x:v>
      </x:c>
      <x:c r="F1544" s="6" t="n">
        <x:v>0</x:v>
      </x:c>
      <x:c r="G1544" s="6" t="n">
        <x:v>0</x:v>
      </x:c>
      <x:c r="H1544" s="6" t="n">
        <x:v>-12923</x:v>
      </x:c>
    </x:row>
    <x:row r="1545" ht="21" customHeight="1">
      <x:c r="A1545" s="1" t="str">
        <x:v>C0006471</x:v>
      </x:c>
      <x:c r="B1545" s="1" t="n">
        <x:v>8</x:v>
      </x:c>
      <x:c r="C1545" s="1" t="n">
        <x:v>98</x:v>
      </x:c>
      <x:c r="D1545" s="6" t="n">
        <x:v>12923</x:v>
      </x:c>
      <x:c r="E1545" s="6" t="n">
        <x:v>0</x:v>
      </x:c>
      <x:c r="F1545" s="6" t="n">
        <x:v>0</x:v>
      </x:c>
      <x:c r="G1545" s="6" t="n">
        <x:v>0</x:v>
      </x:c>
      <x:c r="H1545" s="6" t="n">
        <x:v>-12923</x:v>
      </x:c>
    </x:row>
    <x:row r="1546" ht="21" customHeight="1">
      <x:c r="A1546" s="1" t="str">
        <x:v>C0015677</x:v>
      </x:c>
      <x:c r="B1546" s="1" t="n">
        <x:v>8</x:v>
      </x:c>
      <x:c r="C1546" s="1" t="n">
        <x:v>98</x:v>
      </x:c>
      <x:c r="D1546" s="6" t="n">
        <x:v>12923</x:v>
      </x:c>
      <x:c r="E1546" s="6" t="n">
        <x:v>25846</x:v>
      </x:c>
      <x:c r="F1546" s="6" t="n">
        <x:v>0</x:v>
      </x:c>
      <x:c r="G1546" s="6" t="n">
        <x:v>25846</x:v>
      </x:c>
      <x:c r="H1546" s="6" t="n">
        <x:v>12923</x:v>
      </x:c>
    </x:row>
    <x:row r="1547" ht="21" customHeight="1">
      <x:c r="A1547" s="1" t="str">
        <x:v>C0009385</x:v>
      </x:c>
      <x:c r="B1547" s="1" t="n">
        <x:v>8</x:v>
      </x:c>
      <x:c r="C1547" s="1" t="n">
        <x:v>98</x:v>
      </x:c>
      <x:c r="D1547" s="6" t="n">
        <x:v>12923</x:v>
      </x:c>
      <x:c r="E1547" s="6" t="n">
        <x:v>0</x:v>
      </x:c>
      <x:c r="F1547" s="6" t="n">
        <x:v>0</x:v>
      </x:c>
      <x:c r="G1547" s="6" t="n">
        <x:v>0</x:v>
      </x:c>
      <x:c r="H1547" s="6" t="n">
        <x:v>-12923</x:v>
      </x:c>
    </x:row>
    <x:row r="1548" ht="21" customHeight="1">
      <x:c r="A1548" s="1" t="str">
        <x:v>C0013267</x:v>
      </x:c>
      <x:c r="B1548" s="1" t="n">
        <x:v>8</x:v>
      </x:c>
      <x:c r="C1548" s="1" t="n">
        <x:v>98</x:v>
      </x:c>
      <x:c r="D1548" s="6" t="n">
        <x:v>12923</x:v>
      </x:c>
      <x:c r="E1548" s="6" t="n">
        <x:v>25846</x:v>
      </x:c>
      <x:c r="F1548" s="6" t="n">
        <x:v>0</x:v>
      </x:c>
      <x:c r="G1548" s="6" t="n">
        <x:v>25846</x:v>
      </x:c>
      <x:c r="H1548" s="6" t="n">
        <x:v>12923</x:v>
      </x:c>
    </x:row>
    <x:row r="1549" ht="21" customHeight="1">
      <x:c r="A1549" s="1" t="str">
        <x:v>C0004693</x:v>
      </x:c>
      <x:c r="B1549" s="1" t="n">
        <x:v>23</x:v>
      </x:c>
      <x:c r="C1549" s="1" t="n">
        <x:v>113</x:v>
      </x:c>
      <x:c r="D1549" s="6" t="n">
        <x:v>12866</x:v>
      </x:c>
      <x:c r="E1549" s="6" t="n">
        <x:v>0</x:v>
      </x:c>
      <x:c r="F1549" s="6" t="n">
        <x:v>0</x:v>
      </x:c>
      <x:c r="G1549" s="6" t="n">
        <x:v>0</x:v>
      </x:c>
      <x:c r="H1549" s="6" t="n">
        <x:v>-12866</x:v>
      </x:c>
    </x:row>
    <x:row r="1550" ht="21" customHeight="1">
      <x:c r="A1550" s="1" t="str">
        <x:v>C0014719</x:v>
      </x:c>
      <x:c r="B1550" s="1" t="n">
        <x:v>23</x:v>
      </x:c>
      <x:c r="C1550" s="1" t="n">
        <x:v>113</x:v>
      </x:c>
      <x:c r="D1550" s="6" t="n">
        <x:v>12866</x:v>
      </x:c>
      <x:c r="E1550" s="6" t="n">
        <x:v>25732</x:v>
      </x:c>
      <x:c r="F1550" s="6" t="n">
        <x:v>0</x:v>
      </x:c>
      <x:c r="G1550" s="6" t="n">
        <x:v>25732</x:v>
      </x:c>
      <x:c r="H1550" s="6" t="n">
        <x:v>12866</x:v>
      </x:c>
    </x:row>
    <x:row r="1551" ht="21" customHeight="1">
      <x:c r="A1551" s="1" t="str">
        <x:v>C0002701</x:v>
      </x:c>
      <x:c r="B1551" s="1" t="n">
        <x:v>23</x:v>
      </x:c>
      <x:c r="C1551" s="1" t="n">
        <x:v>113</x:v>
      </x:c>
      <x:c r="D1551" s="6" t="n">
        <x:v>12866</x:v>
      </x:c>
      <x:c r="E1551" s="6" t="n">
        <x:v>25732</x:v>
      </x:c>
      <x:c r="F1551" s="6" t="n">
        <x:v>0</x:v>
      </x:c>
      <x:c r="G1551" s="6" t="n">
        <x:v>25732</x:v>
      </x:c>
      <x:c r="H1551" s="6" t="n">
        <x:v>12866</x:v>
      </x:c>
    </x:row>
    <x:row r="1552" ht="21" customHeight="1">
      <x:c r="A1552" s="1" t="str">
        <x:v>C0014848</x:v>
      </x:c>
      <x:c r="B1552" s="1" t="n">
        <x:v>23</x:v>
      </x:c>
      <x:c r="C1552" s="1" t="n">
        <x:v>113</x:v>
      </x:c>
      <x:c r="D1552" s="6" t="n">
        <x:v>12866</x:v>
      </x:c>
      <x:c r="E1552" s="6" t="n">
        <x:v>0</x:v>
      </x:c>
      <x:c r="F1552" s="6" t="n">
        <x:v>0</x:v>
      </x:c>
      <x:c r="G1552" s="6" t="n">
        <x:v>0</x:v>
      </x:c>
      <x:c r="H1552" s="6" t="n">
        <x:v>-12866</x:v>
      </x:c>
    </x:row>
    <x:row r="1553" ht="21" customHeight="1">
      <x:c r="A1553" s="1" t="str">
        <x:v>C0014397</x:v>
      </x:c>
      <x:c r="B1553" s="1" t="n">
        <x:v>23</x:v>
      </x:c>
      <x:c r="C1553" s="1" t="n">
        <x:v>113</x:v>
      </x:c>
      <x:c r="D1553" s="6" t="n">
        <x:v>12866</x:v>
      </x:c>
      <x:c r="E1553" s="6" t="n">
        <x:v>0</x:v>
      </x:c>
      <x:c r="F1553" s="6" t="n">
        <x:v>0</x:v>
      </x:c>
      <x:c r="G1553" s="6" t="n">
        <x:v>0</x:v>
      </x:c>
      <x:c r="H1553" s="6" t="n">
        <x:v>-12866</x:v>
      </x:c>
    </x:row>
    <x:row r="1554" ht="21" customHeight="1">
      <x:c r="A1554" s="1" t="str">
        <x:v>C0007683</x:v>
      </x:c>
      <x:c r="B1554" s="1" t="n">
        <x:v>23</x:v>
      </x:c>
      <x:c r="C1554" s="1" t="n">
        <x:v>113</x:v>
      </x:c>
      <x:c r="D1554" s="6" t="n">
        <x:v>12866</x:v>
      </x:c>
      <x:c r="E1554" s="6" t="n">
        <x:v>25732</x:v>
      </x:c>
      <x:c r="F1554" s="6" t="n">
        <x:v>0</x:v>
      </x:c>
      <x:c r="G1554" s="6" t="n">
        <x:v>25732</x:v>
      </x:c>
      <x:c r="H1554" s="6" t="n">
        <x:v>12866</x:v>
      </x:c>
    </x:row>
    <x:row r="1555" ht="21" customHeight="1">
      <x:c r="A1555" s="1" t="str">
        <x:v>C0009224</x:v>
      </x:c>
      <x:c r="B1555" s="1" t="n">
        <x:v>9</x:v>
      </x:c>
      <x:c r="C1555" s="1" t="n">
        <x:v>69</x:v>
      </x:c>
      <x:c r="D1555" s="6" t="n">
        <x:v>12830</x:v>
      </x:c>
      <x:c r="E1555" s="6" t="n">
        <x:v>0</x:v>
      </x:c>
      <x:c r="F1555" s="6" t="n">
        <x:v>0</x:v>
      </x:c>
      <x:c r="G1555" s="6" t="n">
        <x:v>0</x:v>
      </x:c>
      <x:c r="H1555" s="6" t="n">
        <x:v>-12830</x:v>
      </x:c>
    </x:row>
    <x:row r="1556" ht="21" customHeight="1">
      <x:c r="A1556" s="1" t="str">
        <x:v>C0006505</x:v>
      </x:c>
      <x:c r="B1556" s="1" t="n">
        <x:v>9</x:v>
      </x:c>
      <x:c r="C1556" s="1" t="n">
        <x:v>69</x:v>
      </x:c>
      <x:c r="D1556" s="6" t="n">
        <x:v>12830</x:v>
      </x:c>
      <x:c r="E1556" s="6" t="n">
        <x:v>0</x:v>
      </x:c>
      <x:c r="F1556" s="6" t="n">
        <x:v>0</x:v>
      </x:c>
      <x:c r="G1556" s="6" t="n">
        <x:v>0</x:v>
      </x:c>
      <x:c r="H1556" s="6" t="n">
        <x:v>-12830</x:v>
      </x:c>
    </x:row>
    <x:row r="1557" ht="21" customHeight="1">
      <x:c r="A1557" s="1" t="str">
        <x:v>C0013183</x:v>
      </x:c>
      <x:c r="B1557" s="1" t="n">
        <x:v>9</x:v>
      </x:c>
      <x:c r="C1557" s="1" t="n">
        <x:v>69</x:v>
      </x:c>
      <x:c r="D1557" s="6" t="n">
        <x:v>12830</x:v>
      </x:c>
      <x:c r="E1557" s="6" t="n">
        <x:v>0</x:v>
      </x:c>
      <x:c r="F1557" s="6" t="n">
        <x:v>0</x:v>
      </x:c>
      <x:c r="G1557" s="6" t="n">
        <x:v>0</x:v>
      </x:c>
      <x:c r="H1557" s="6" t="n">
        <x:v>-12830</x:v>
      </x:c>
    </x:row>
    <x:row r="1558" ht="21" customHeight="1">
      <x:c r="A1558" s="1" t="str">
        <x:v>C0017682</x:v>
      </x:c>
      <x:c r="B1558" s="1" t="n">
        <x:v>9</x:v>
      </x:c>
      <x:c r="C1558" s="1" t="n">
        <x:v>69</x:v>
      </x:c>
      <x:c r="D1558" s="6" t="n">
        <x:v>12830</x:v>
      </x:c>
      <x:c r="E1558" s="6" t="n">
        <x:v>0</x:v>
      </x:c>
      <x:c r="F1558" s="6" t="n">
        <x:v>0</x:v>
      </x:c>
      <x:c r="G1558" s="6" t="n">
        <x:v>0</x:v>
      </x:c>
      <x:c r="H1558" s="6" t="n">
        <x:v>-12830</x:v>
      </x:c>
    </x:row>
    <x:row r="1559" ht="21" customHeight="1">
      <x:c r="A1559" s="1" t="str">
        <x:v>C0012898</x:v>
      </x:c>
      <x:c r="B1559" s="1" t="n">
        <x:v>9</x:v>
      </x:c>
      <x:c r="C1559" s="1" t="n">
        <x:v>69</x:v>
      </x:c>
      <x:c r="D1559" s="6" t="n">
        <x:v>12830</x:v>
      </x:c>
      <x:c r="E1559" s="6" t="n">
        <x:v>25660</x:v>
      </x:c>
      <x:c r="F1559" s="6" t="n">
        <x:v>0</x:v>
      </x:c>
      <x:c r="G1559" s="6" t="n">
        <x:v>25660</x:v>
      </x:c>
      <x:c r="H1559" s="6" t="n">
        <x:v>12830</x:v>
      </x:c>
    </x:row>
    <x:row r="1560" ht="21" customHeight="1">
      <x:c r="A1560" s="1" t="str">
        <x:v>C0009278</x:v>
      </x:c>
      <x:c r="B1560" s="1" t="n">
        <x:v>9</x:v>
      </x:c>
      <x:c r="C1560" s="1" t="n">
        <x:v>69</x:v>
      </x:c>
      <x:c r="D1560" s="6" t="n">
        <x:v>12830</x:v>
      </x:c>
      <x:c r="E1560" s="6" t="n">
        <x:v>25660</x:v>
      </x:c>
      <x:c r="F1560" s="6" t="n">
        <x:v>0</x:v>
      </x:c>
      <x:c r="G1560" s="6" t="n">
        <x:v>25660</x:v>
      </x:c>
      <x:c r="H1560" s="6" t="n">
        <x:v>12830</x:v>
      </x:c>
    </x:row>
    <x:row r="1561" ht="21" customHeight="1">
      <x:c r="A1561" s="1" t="str">
        <x:v>C0006263</x:v>
      </x:c>
      <x:c r="B1561" s="1" t="n">
        <x:v>9</x:v>
      </x:c>
      <x:c r="C1561" s="1" t="n">
        <x:v>69</x:v>
      </x:c>
      <x:c r="D1561" s="6" t="n">
        <x:v>12830</x:v>
      </x:c>
      <x:c r="E1561" s="6" t="n">
        <x:v>25660</x:v>
      </x:c>
      <x:c r="F1561" s="6" t="n">
        <x:v>0</x:v>
      </x:c>
      <x:c r="G1561" s="6" t="n">
        <x:v>25660</x:v>
      </x:c>
      <x:c r="H1561" s="6" t="n">
        <x:v>12830</x:v>
      </x:c>
    </x:row>
    <x:row r="1562" ht="21" customHeight="1">
      <x:c r="A1562" s="1" t="str">
        <x:v>C0013737</x:v>
      </x:c>
      <x:c r="B1562" s="1" t="n">
        <x:v>9</x:v>
      </x:c>
      <x:c r="C1562" s="1" t="n">
        <x:v>69</x:v>
      </x:c>
      <x:c r="D1562" s="6" t="n">
        <x:v>12830</x:v>
      </x:c>
      <x:c r="E1562" s="6" t="n">
        <x:v>25660</x:v>
      </x:c>
      <x:c r="F1562" s="6" t="n">
        <x:v>0</x:v>
      </x:c>
      <x:c r="G1562" s="6" t="n">
        <x:v>25660</x:v>
      </x:c>
      <x:c r="H1562" s="6" t="n">
        <x:v>12830</x:v>
      </x:c>
    </x:row>
    <x:row r="1563" ht="21" customHeight="1">
      <x:c r="A1563" s="1" t="str">
        <x:v>C0015999</x:v>
      </x:c>
      <x:c r="B1563" s="1" t="n">
        <x:v>9</x:v>
      </x:c>
      <x:c r="C1563" s="1" t="n">
        <x:v>69</x:v>
      </x:c>
      <x:c r="D1563" s="6" t="n">
        <x:v>0</x:v>
      </x:c>
      <x:c r="E1563" s="6" t="n">
        <x:v>12830</x:v>
      </x:c>
      <x:c r="F1563" s="6" t="n">
        <x:v>0</x:v>
      </x:c>
      <x:c r="G1563" s="6" t="n">
        <x:v>12830</x:v>
      </x:c>
      <x:c r="H1563" s="6" t="n">
        <x:v>12830</x:v>
      </x:c>
    </x:row>
    <x:row r="1564" ht="21" customHeight="1">
      <x:c r="A1564" s="1" t="str">
        <x:v>C0003606</x:v>
      </x:c>
      <x:c r="B1564" s="1" t="n">
        <x:v>9</x:v>
      </x:c>
      <x:c r="C1564" s="1" t="n">
        <x:v>69</x:v>
      </x:c>
      <x:c r="D1564" s="6" t="n">
        <x:v>12830</x:v>
      </x:c>
      <x:c r="E1564" s="6" t="n">
        <x:v>25660</x:v>
      </x:c>
      <x:c r="F1564" s="6" t="n">
        <x:v>0</x:v>
      </x:c>
      <x:c r="G1564" s="6" t="n">
        <x:v>25660</x:v>
      </x:c>
      <x:c r="H1564" s="6" t="n">
        <x:v>12830</x:v>
      </x:c>
    </x:row>
    <x:row r="1565" ht="21" customHeight="1">
      <x:c r="A1565" s="1" t="str">
        <x:v>C0009507</x:v>
      </x:c>
      <x:c r="B1565" s="1" t="n">
        <x:v>9</x:v>
      </x:c>
      <x:c r="C1565" s="1" t="n">
        <x:v>69</x:v>
      </x:c>
      <x:c r="D1565" s="6" t="n">
        <x:v>12830</x:v>
      </x:c>
      <x:c r="E1565" s="6" t="n">
        <x:v>0</x:v>
      </x:c>
      <x:c r="F1565" s="6" t="n">
        <x:v>0</x:v>
      </x:c>
      <x:c r="G1565" s="6" t="n">
        <x:v>0</x:v>
      </x:c>
      <x:c r="H1565" s="6" t="n">
        <x:v>-12830</x:v>
      </x:c>
    </x:row>
    <x:row r="1566" ht="21" customHeight="1">
      <x:c r="A1566" s="1" t="str">
        <x:v>C0000453</x:v>
      </x:c>
      <x:c r="B1566" s="1" t="n">
        <x:v>3</x:v>
      </x:c>
      <x:c r="C1566" s="1" t="n">
        <x:v>63</x:v>
      </x:c>
      <x:c r="D1566" s="6" t="n">
        <x:v>12757</x:v>
      </x:c>
      <x:c r="E1566" s="6" t="n">
        <x:v>25514</x:v>
      </x:c>
      <x:c r="F1566" s="6" t="n">
        <x:v>0</x:v>
      </x:c>
      <x:c r="G1566" s="6" t="n">
        <x:v>25514</x:v>
      </x:c>
      <x:c r="H1566" s="6" t="n">
        <x:v>12757</x:v>
      </x:c>
    </x:row>
    <x:row r="1567" ht="21" customHeight="1">
      <x:c r="A1567" s="1" t="str">
        <x:v>C0005000</x:v>
      </x:c>
      <x:c r="B1567" s="1" t="n">
        <x:v>3</x:v>
      </x:c>
      <x:c r="C1567" s="1" t="n">
        <x:v>63</x:v>
      </x:c>
      <x:c r="D1567" s="6" t="n">
        <x:v>12757</x:v>
      </x:c>
      <x:c r="E1567" s="6" t="n">
        <x:v>25514</x:v>
      </x:c>
      <x:c r="F1567" s="6" t="n">
        <x:v>0</x:v>
      </x:c>
      <x:c r="G1567" s="6" t="n">
        <x:v>25514</x:v>
      </x:c>
      <x:c r="H1567" s="6" t="n">
        <x:v>12757</x:v>
      </x:c>
    </x:row>
    <x:row r="1568" ht="21" customHeight="1">
      <x:c r="A1568" s="1" t="str">
        <x:v>C0016974</x:v>
      </x:c>
      <x:c r="B1568" s="1" t="n">
        <x:v>3</x:v>
      </x:c>
      <x:c r="C1568" s="1" t="n">
        <x:v>63</x:v>
      </x:c>
      <x:c r="D1568" s="6" t="n">
        <x:v>12757</x:v>
      </x:c>
      <x:c r="E1568" s="6" t="n">
        <x:v>25514</x:v>
      </x:c>
      <x:c r="F1568" s="6" t="n">
        <x:v>0</x:v>
      </x:c>
      <x:c r="G1568" s="6" t="n">
        <x:v>25514</x:v>
      </x:c>
      <x:c r="H1568" s="6" t="n">
        <x:v>12757</x:v>
      </x:c>
    </x:row>
    <x:row r="1569" ht="21" customHeight="1">
      <x:c r="A1569" s="1" t="str">
        <x:v>C0010493</x:v>
      </x:c>
      <x:c r="B1569" s="1" t="n">
        <x:v>3</x:v>
      </x:c>
      <x:c r="C1569" s="1" t="n">
        <x:v>63</x:v>
      </x:c>
      <x:c r="D1569" s="6" t="n">
        <x:v>12757</x:v>
      </x:c>
      <x:c r="E1569" s="6" t="n">
        <x:v>25514</x:v>
      </x:c>
      <x:c r="F1569" s="6" t="n">
        <x:v>0</x:v>
      </x:c>
      <x:c r="G1569" s="6" t="n">
        <x:v>25514</x:v>
      </x:c>
      <x:c r="H1569" s="6" t="n">
        <x:v>12757</x:v>
      </x:c>
    </x:row>
    <x:row r="1570" ht="21" customHeight="1">
      <x:c r="A1570" s="1" t="str">
        <x:v>C0005362</x:v>
      </x:c>
      <x:c r="B1570" s="1" t="n">
        <x:v>3</x:v>
      </x:c>
      <x:c r="C1570" s="1" t="n">
        <x:v>63</x:v>
      </x:c>
      <x:c r="D1570" s="6" t="n">
        <x:v>12757</x:v>
      </x:c>
      <x:c r="E1570" s="6" t="n">
        <x:v>25514</x:v>
      </x:c>
      <x:c r="F1570" s="6" t="n">
        <x:v>0</x:v>
      </x:c>
      <x:c r="G1570" s="6" t="n">
        <x:v>25514</x:v>
      </x:c>
      <x:c r="H1570" s="6" t="n">
        <x:v>12757</x:v>
      </x:c>
    </x:row>
    <x:row r="1571" ht="21" customHeight="1">
      <x:c r="A1571" s="1" t="str">
        <x:v>C0003953</x:v>
      </x:c>
      <x:c r="B1571" s="1" t="n">
        <x:v>3</x:v>
      </x:c>
      <x:c r="C1571" s="1" t="n">
        <x:v>63</x:v>
      </x:c>
      <x:c r="D1571" s="6" t="n">
        <x:v>12757</x:v>
      </x:c>
      <x:c r="E1571" s="6" t="n">
        <x:v>25514</x:v>
      </x:c>
      <x:c r="F1571" s="6" t="n">
        <x:v>0</x:v>
      </x:c>
      <x:c r="G1571" s="6" t="n">
        <x:v>25514</x:v>
      </x:c>
      <x:c r="H1571" s="6" t="n">
        <x:v>12757</x:v>
      </x:c>
    </x:row>
    <x:row r="1572" ht="21" customHeight="1">
      <x:c r="A1572" s="1" t="str">
        <x:v>C0006559</x:v>
      </x:c>
      <x:c r="B1572" s="1" t="n">
        <x:v>3</x:v>
      </x:c>
      <x:c r="C1572" s="1" t="n">
        <x:v>63</x:v>
      </x:c>
      <x:c r="D1572" s="6" t="n">
        <x:v>12757</x:v>
      </x:c>
      <x:c r="E1572" s="6" t="n">
        <x:v>25514</x:v>
      </x:c>
      <x:c r="F1572" s="6" t="n">
        <x:v>0</x:v>
      </x:c>
      <x:c r="G1572" s="6" t="n">
        <x:v>25514</x:v>
      </x:c>
      <x:c r="H1572" s="6" t="n">
        <x:v>12757</x:v>
      </x:c>
    </x:row>
    <x:row r="1573" ht="21" customHeight="1">
      <x:c r="A1573" s="1" t="str">
        <x:v>C0007082</x:v>
      </x:c>
      <x:c r="B1573" s="1" t="n">
        <x:v>3</x:v>
      </x:c>
      <x:c r="C1573" s="1" t="n">
        <x:v>63</x:v>
      </x:c>
      <x:c r="D1573" s="6" t="n">
        <x:v>12757</x:v>
      </x:c>
      <x:c r="E1573" s="6" t="n">
        <x:v>0</x:v>
      </x:c>
      <x:c r="F1573" s="6" t="n">
        <x:v>0</x:v>
      </x:c>
      <x:c r="G1573" s="6" t="n">
        <x:v>0</x:v>
      </x:c>
      <x:c r="H1573" s="6" t="n">
        <x:v>-12757</x:v>
      </x:c>
    </x:row>
    <x:row r="1574" ht="21" customHeight="1">
      <x:c r="A1574" s="1" t="str">
        <x:v>C0013272</x:v>
      </x:c>
      <x:c r="B1574" s="1" t="n">
        <x:v>3</x:v>
      </x:c>
      <x:c r="C1574" s="1" t="n">
        <x:v>63</x:v>
      </x:c>
      <x:c r="D1574" s="6" t="n">
        <x:v>12757</x:v>
      </x:c>
      <x:c r="E1574" s="6" t="n">
        <x:v>25514</x:v>
      </x:c>
      <x:c r="F1574" s="6" t="n">
        <x:v>0</x:v>
      </x:c>
      <x:c r="G1574" s="6" t="n">
        <x:v>25514</x:v>
      </x:c>
      <x:c r="H1574" s="6" t="n">
        <x:v>12757</x:v>
      </x:c>
    </x:row>
    <x:row r="1575" ht="21" customHeight="1">
      <x:c r="A1575" s="1" t="str">
        <x:v>C0001034</x:v>
      </x:c>
      <x:c r="B1575" s="1" t="n">
        <x:v>3</x:v>
      </x:c>
      <x:c r="C1575" s="1" t="n">
        <x:v>63</x:v>
      </x:c>
      <x:c r="D1575" s="6" t="n">
        <x:v>12757</x:v>
      </x:c>
      <x:c r="E1575" s="6" t="n">
        <x:v>25514</x:v>
      </x:c>
      <x:c r="F1575" s="6" t="n">
        <x:v>0</x:v>
      </x:c>
      <x:c r="G1575" s="6" t="n">
        <x:v>25514</x:v>
      </x:c>
      <x:c r="H1575" s="6" t="n">
        <x:v>12757</x:v>
      </x:c>
    </x:row>
    <x:row r="1576" ht="21" customHeight="1">
      <x:c r="A1576" s="1" t="str">
        <x:v>C0014796</x:v>
      </x:c>
      <x:c r="B1576" s="1" t="n">
        <x:v>3</x:v>
      </x:c>
      <x:c r="C1576" s="1" t="n">
        <x:v>63</x:v>
      </x:c>
      <x:c r="D1576" s="6" t="n">
        <x:v>12757</x:v>
      </x:c>
      <x:c r="E1576" s="6" t="n">
        <x:v>0</x:v>
      </x:c>
      <x:c r="F1576" s="6" t="n">
        <x:v>0</x:v>
      </x:c>
      <x:c r="G1576" s="6" t="n">
        <x:v>0</x:v>
      </x:c>
      <x:c r="H1576" s="6" t="n">
        <x:v>-12757</x:v>
      </x:c>
    </x:row>
    <x:row r="1577" ht="21" customHeight="1">
      <x:c r="A1577" s="1" t="str">
        <x:v>C0013744</x:v>
      </x:c>
      <x:c r="B1577" s="1" t="n">
        <x:v>4</x:v>
      </x:c>
      <x:c r="C1577" s="1" t="n">
        <x:v>94</x:v>
      </x:c>
      <x:c r="D1577" s="6" t="n">
        <x:v>12667</x:v>
      </x:c>
      <x:c r="E1577" s="6" t="n">
        <x:v>0</x:v>
      </x:c>
      <x:c r="F1577" s="6" t="n">
        <x:v>0</x:v>
      </x:c>
      <x:c r="G1577" s="6" t="n">
        <x:v>0</x:v>
      </x:c>
      <x:c r="H1577" s="6" t="n">
        <x:v>-12667</x:v>
      </x:c>
    </x:row>
    <x:row r="1578" ht="21" customHeight="1">
      <x:c r="A1578" s="1" t="str">
        <x:v>C0017151</x:v>
      </x:c>
      <x:c r="B1578" s="1" t="n">
        <x:v>4</x:v>
      </x:c>
      <x:c r="C1578" s="1" t="n">
        <x:v>94</x:v>
      </x:c>
      <x:c r="D1578" s="6" t="n">
        <x:v>12667</x:v>
      </x:c>
      <x:c r="E1578" s="6" t="n">
        <x:v>25334</x:v>
      </x:c>
      <x:c r="F1578" s="6" t="n">
        <x:v>0</x:v>
      </x:c>
      <x:c r="G1578" s="6" t="n">
        <x:v>25334</x:v>
      </x:c>
      <x:c r="H1578" s="6" t="n">
        <x:v>12667</x:v>
      </x:c>
    </x:row>
    <x:row r="1579" ht="21" customHeight="1">
      <x:c r="A1579" s="1" t="str">
        <x:v>C0000343</x:v>
      </x:c>
      <x:c r="B1579" s="1" t="n">
        <x:v>25</x:v>
      </x:c>
      <x:c r="C1579" s="1" t="n">
        <x:v>115</x:v>
      </x:c>
      <x:c r="D1579" s="6" t="n">
        <x:v>0</x:v>
      </x:c>
      <x:c r="E1579" s="6" t="n">
        <x:v>12603</x:v>
      </x:c>
      <x:c r="F1579" s="6" t="n">
        <x:v>0</x:v>
      </x:c>
      <x:c r="G1579" s="6" t="n">
        <x:v>12603</x:v>
      </x:c>
      <x:c r="H1579" s="6" t="n">
        <x:v>12603</x:v>
      </x:c>
    </x:row>
    <x:row r="1580" ht="21" customHeight="1">
      <x:c r="A1580" s="1" t="str">
        <x:v>C0011919</x:v>
      </x:c>
      <x:c r="B1580" s="1" t="n">
        <x:v>25</x:v>
      </x:c>
      <x:c r="C1580" s="1" t="n">
        <x:v>115</x:v>
      </x:c>
      <x:c r="D1580" s="6" t="n">
        <x:v>12603</x:v>
      </x:c>
      <x:c r="E1580" s="6" t="n">
        <x:v>0</x:v>
      </x:c>
      <x:c r="F1580" s="6" t="n">
        <x:v>0</x:v>
      </x:c>
      <x:c r="G1580" s="6" t="n">
        <x:v>0</x:v>
      </x:c>
      <x:c r="H1580" s="6" t="n">
        <x:v>-12603</x:v>
      </x:c>
    </x:row>
    <x:row r="1581" ht="21" customHeight="1">
      <x:c r="A1581" s="1" t="str">
        <x:v>C0003428</x:v>
      </x:c>
      <x:c r="B1581" s="1" t="n">
        <x:v>25</x:v>
      </x:c>
      <x:c r="C1581" s="1" t="n">
        <x:v>115</x:v>
      </x:c>
      <x:c r="D1581" s="6" t="n">
        <x:v>12603</x:v>
      </x:c>
      <x:c r="E1581" s="6" t="n">
        <x:v>0</x:v>
      </x:c>
      <x:c r="F1581" s="6" t="n">
        <x:v>0</x:v>
      </x:c>
      <x:c r="G1581" s="6" t="n">
        <x:v>0</x:v>
      </x:c>
      <x:c r="H1581" s="6" t="n">
        <x:v>-12603</x:v>
      </x:c>
    </x:row>
    <x:row r="1582" ht="21" customHeight="1">
      <x:c r="A1582" s="1" t="str">
        <x:v>C0007034</x:v>
      </x:c>
      <x:c r="B1582" s="1" t="n">
        <x:v>25</x:v>
      </x:c>
      <x:c r="C1582" s="1" t="n">
        <x:v>115</x:v>
      </x:c>
      <x:c r="D1582" s="6" t="n">
        <x:v>12603</x:v>
      </x:c>
      <x:c r="E1582" s="6" t="n">
        <x:v>0</x:v>
      </x:c>
      <x:c r="F1582" s="6" t="n">
        <x:v>0</x:v>
      </x:c>
      <x:c r="G1582" s="6" t="n">
        <x:v>0</x:v>
      </x:c>
      <x:c r="H1582" s="6" t="n">
        <x:v>-12603</x:v>
      </x:c>
    </x:row>
    <x:row r="1583" ht="21" customHeight="1">
      <x:c r="A1583" s="1" t="str">
        <x:v>C0002222</x:v>
      </x:c>
      <x:c r="B1583" s="1" t="n">
        <x:v>25</x:v>
      </x:c>
      <x:c r="C1583" s="1" t="n">
        <x:v>115</x:v>
      </x:c>
      <x:c r="D1583" s="6" t="n">
        <x:v>12603</x:v>
      </x:c>
      <x:c r="E1583" s="6" t="n">
        <x:v>25206</x:v>
      </x:c>
      <x:c r="F1583" s="6" t="n">
        <x:v>0</x:v>
      </x:c>
      <x:c r="G1583" s="6" t="n">
        <x:v>25206</x:v>
      </x:c>
      <x:c r="H1583" s="6" t="n">
        <x:v>12603</x:v>
      </x:c>
    </x:row>
    <x:row r="1584" ht="21" customHeight="1">
      <x:c r="A1584" s="1" t="str">
        <x:v>C0015980</x:v>
      </x:c>
      <x:c r="B1584" s="1" t="n">
        <x:v>25</x:v>
      </x:c>
      <x:c r="C1584" s="1" t="n">
        <x:v>115</x:v>
      </x:c>
      <x:c r="D1584" s="6" t="n">
        <x:v>0</x:v>
      </x:c>
      <x:c r="E1584" s="6" t="n">
        <x:v>12603</x:v>
      </x:c>
      <x:c r="F1584" s="6" t="n">
        <x:v>0</x:v>
      </x:c>
      <x:c r="G1584" s="6" t="n">
        <x:v>12603</x:v>
      </x:c>
      <x:c r="H1584" s="6" t="n">
        <x:v>12603</x:v>
      </x:c>
    </x:row>
    <x:row r="1585" ht="21" customHeight="1">
      <x:c r="A1585" s="1" t="str">
        <x:v>C0014320</x:v>
      </x:c>
      <x:c r="B1585" s="1" t="n">
        <x:v>25</x:v>
      </x:c>
      <x:c r="C1585" s="1" t="n">
        <x:v>115</x:v>
      </x:c>
      <x:c r="D1585" s="6" t="n">
        <x:v>12603</x:v>
      </x:c>
      <x:c r="E1585" s="6" t="n">
        <x:v>0</x:v>
      </x:c>
      <x:c r="F1585" s="6" t="n">
        <x:v>0</x:v>
      </x:c>
      <x:c r="G1585" s="6" t="n">
        <x:v>0</x:v>
      </x:c>
      <x:c r="H1585" s="6" t="n">
        <x:v>-12603</x:v>
      </x:c>
    </x:row>
    <x:row r="1586" ht="21" customHeight="1">
      <x:c r="A1586" s="1" t="str">
        <x:v>C0015861</x:v>
      </x:c>
      <x:c r="B1586" s="1" t="n">
        <x:v>25</x:v>
      </x:c>
      <x:c r="C1586" s="1" t="n">
        <x:v>115</x:v>
      </x:c>
      <x:c r="D1586" s="6" t="n">
        <x:v>12603</x:v>
      </x:c>
      <x:c r="E1586" s="6" t="n">
        <x:v>0</x:v>
      </x:c>
      <x:c r="F1586" s="6" t="n">
        <x:v>0</x:v>
      </x:c>
      <x:c r="G1586" s="6" t="n">
        <x:v>0</x:v>
      </x:c>
      <x:c r="H1586" s="6" t="n">
        <x:v>-12603</x:v>
      </x:c>
    </x:row>
    <x:row r="1587" ht="21" customHeight="1">
      <x:c r="A1587" s="1" t="str">
        <x:v>C0003326</x:v>
      </x:c>
      <x:c r="B1587" s="1" t="n">
        <x:v>25</x:v>
      </x:c>
      <x:c r="C1587" s="1" t="n">
        <x:v>115</x:v>
      </x:c>
      <x:c r="D1587" s="6" t="n">
        <x:v>0</x:v>
      </x:c>
      <x:c r="E1587" s="6" t="n">
        <x:v>12603</x:v>
      </x:c>
      <x:c r="F1587" s="6" t="n">
        <x:v>0</x:v>
      </x:c>
      <x:c r="G1587" s="6" t="n">
        <x:v>12603</x:v>
      </x:c>
      <x:c r="H1587" s="6" t="n">
        <x:v>12603</x:v>
      </x:c>
    </x:row>
    <x:row r="1588" ht="21" customHeight="1">
      <x:c r="A1588" s="1" t="str">
        <x:v>C0015779</x:v>
      </x:c>
      <x:c r="B1588" s="1" t="n">
        <x:v>25</x:v>
      </x:c>
      <x:c r="C1588" s="1" t="n">
        <x:v>115</x:v>
      </x:c>
      <x:c r="D1588" s="6" t="n">
        <x:v>12603</x:v>
      </x:c>
      <x:c r="E1588" s="6" t="n">
        <x:v>0</x:v>
      </x:c>
      <x:c r="F1588" s="6" t="n">
        <x:v>0</x:v>
      </x:c>
      <x:c r="G1588" s="6" t="n">
        <x:v>0</x:v>
      </x:c>
      <x:c r="H1588" s="6" t="n">
        <x:v>-12603</x:v>
      </x:c>
    </x:row>
    <x:row r="1589" ht="21" customHeight="1">
      <x:c r="A1589" s="1" t="str">
        <x:v>C0007584</x:v>
      </x:c>
      <x:c r="B1589" s="1" t="n">
        <x:v>24</x:v>
      </x:c>
      <x:c r="C1589" s="1" t="n">
        <x:v>54</x:v>
      </x:c>
      <x:c r="D1589" s="6" t="n">
        <x:v>12527</x:v>
      </x:c>
      <x:c r="E1589" s="6" t="n">
        <x:v>0</x:v>
      </x:c>
      <x:c r="F1589" s="6" t="n">
        <x:v>0</x:v>
      </x:c>
      <x:c r="G1589" s="6" t="n">
        <x:v>0</x:v>
      </x:c>
      <x:c r="H1589" s="6" t="n">
        <x:v>-12527</x:v>
      </x:c>
    </x:row>
    <x:row r="1590" ht="21" customHeight="1">
      <x:c r="A1590" s="1" t="str">
        <x:v>C0009624</x:v>
      </x:c>
      <x:c r="B1590" s="1" t="n">
        <x:v>24</x:v>
      </x:c>
      <x:c r="C1590" s="1" t="n">
        <x:v>54</x:v>
      </x:c>
      <x:c r="D1590" s="6" t="n">
        <x:v>12527</x:v>
      </x:c>
      <x:c r="E1590" s="6" t="n">
        <x:v>0</x:v>
      </x:c>
      <x:c r="F1590" s="6" t="n">
        <x:v>0</x:v>
      </x:c>
      <x:c r="G1590" s="6" t="n">
        <x:v>0</x:v>
      </x:c>
      <x:c r="H1590" s="6" t="n">
        <x:v>-12527</x:v>
      </x:c>
    </x:row>
    <x:row r="1591" ht="21" customHeight="1">
      <x:c r="A1591" s="1" t="str">
        <x:v>C0002785</x:v>
      </x:c>
      <x:c r="B1591" s="1" t="n">
        <x:v>24</x:v>
      </x:c>
      <x:c r="C1591" s="1" t="n">
        <x:v>54</x:v>
      </x:c>
      <x:c r="D1591" s="6" t="n">
        <x:v>12527</x:v>
      </x:c>
      <x:c r="E1591" s="6" t="n">
        <x:v>25054</x:v>
      </x:c>
      <x:c r="F1591" s="6" t="n">
        <x:v>0</x:v>
      </x:c>
      <x:c r="G1591" s="6" t="n">
        <x:v>25054</x:v>
      </x:c>
      <x:c r="H1591" s="6" t="n">
        <x:v>12527</x:v>
      </x:c>
    </x:row>
    <x:row r="1592" ht="21" customHeight="1">
      <x:c r="A1592" s="1" t="str">
        <x:v>C0014455</x:v>
      </x:c>
      <x:c r="B1592" s="1" t="n">
        <x:v>24</x:v>
      </x:c>
      <x:c r="C1592" s="1" t="n">
        <x:v>54</x:v>
      </x:c>
      <x:c r="D1592" s="6" t="n">
        <x:v>12527</x:v>
      </x:c>
      <x:c r="E1592" s="6" t="n">
        <x:v>0</x:v>
      </x:c>
      <x:c r="F1592" s="6" t="n">
        <x:v>0</x:v>
      </x:c>
      <x:c r="G1592" s="6" t="n">
        <x:v>0</x:v>
      </x:c>
      <x:c r="H1592" s="6" t="n">
        <x:v>-12527</x:v>
      </x:c>
    </x:row>
    <x:row r="1593" ht="21" customHeight="1">
      <x:c r="A1593" s="1" t="str">
        <x:v>C0000161</x:v>
      </x:c>
      <x:c r="B1593" s="1" t="n">
        <x:v>24</x:v>
      </x:c>
      <x:c r="C1593" s="1" t="n">
        <x:v>54</x:v>
      </x:c>
      <x:c r="D1593" s="6" t="n">
        <x:v>12527</x:v>
      </x:c>
      <x:c r="E1593" s="6" t="n">
        <x:v>25054</x:v>
      </x:c>
      <x:c r="F1593" s="6" t="n">
        <x:v>0</x:v>
      </x:c>
      <x:c r="G1593" s="6" t="n">
        <x:v>25054</x:v>
      </x:c>
      <x:c r="H1593" s="6" t="n">
        <x:v>12527</x:v>
      </x:c>
    </x:row>
    <x:row r="1594" ht="21" customHeight="1">
      <x:c r="A1594" s="1" t="str">
        <x:v>C0005407</x:v>
      </x:c>
      <x:c r="B1594" s="1" t="n">
        <x:v>24</x:v>
      </x:c>
      <x:c r="C1594" s="1" t="n">
        <x:v>54</x:v>
      </x:c>
      <x:c r="D1594" s="6" t="n">
        <x:v>12527</x:v>
      </x:c>
      <x:c r="E1594" s="6" t="n">
        <x:v>25054</x:v>
      </x:c>
      <x:c r="F1594" s="6" t="n">
        <x:v>0</x:v>
      </x:c>
      <x:c r="G1594" s="6" t="n">
        <x:v>25054</x:v>
      </x:c>
      <x:c r="H1594" s="6" t="n">
        <x:v>12527</x:v>
      </x:c>
    </x:row>
    <x:row r="1595" ht="21" customHeight="1">
      <x:c r="A1595" s="1" t="str">
        <x:v>C0004452</x:v>
      </x:c>
      <x:c r="B1595" s="1" t="n">
        <x:v>24</x:v>
      </x:c>
      <x:c r="C1595" s="1" t="n">
        <x:v>54</x:v>
      </x:c>
      <x:c r="D1595" s="6" t="n">
        <x:v>0</x:v>
      </x:c>
      <x:c r="E1595" s="6" t="n">
        <x:v>12527</x:v>
      </x:c>
      <x:c r="F1595" s="6" t="n">
        <x:v>0</x:v>
      </x:c>
      <x:c r="G1595" s="6" t="n">
        <x:v>12527</x:v>
      </x:c>
      <x:c r="H1595" s="6" t="n">
        <x:v>12527</x:v>
      </x:c>
    </x:row>
    <x:row r="1596" ht="21" customHeight="1">
      <x:c r="A1596" s="1" t="str">
        <x:v>C0017321</x:v>
      </x:c>
      <x:c r="B1596" s="1" t="n">
        <x:v>24</x:v>
      </x:c>
      <x:c r="C1596" s="1" t="n">
        <x:v>54</x:v>
      </x:c>
      <x:c r="D1596" s="6" t="n">
        <x:v>12527</x:v>
      </x:c>
      <x:c r="E1596" s="6" t="n">
        <x:v>25054</x:v>
      </x:c>
      <x:c r="F1596" s="6" t="n">
        <x:v>0</x:v>
      </x:c>
      <x:c r="G1596" s="6" t="n">
        <x:v>25054</x:v>
      </x:c>
      <x:c r="H1596" s="6" t="n">
        <x:v>12527</x:v>
      </x:c>
    </x:row>
    <x:row r="1597" ht="21" customHeight="1">
      <x:c r="A1597" s="1" t="str">
        <x:v>C0002617</x:v>
      </x:c>
      <x:c r="B1597" s="1" t="n">
        <x:v>24</x:v>
      </x:c>
      <x:c r="C1597" s="1" t="n">
        <x:v>54</x:v>
      </x:c>
      <x:c r="D1597" s="6" t="n">
        <x:v>12527</x:v>
      </x:c>
      <x:c r="E1597" s="6" t="n">
        <x:v>0</x:v>
      </x:c>
      <x:c r="F1597" s="6" t="n">
        <x:v>0</x:v>
      </x:c>
      <x:c r="G1597" s="6" t="n">
        <x:v>0</x:v>
      </x:c>
      <x:c r="H1597" s="6" t="n">
        <x:v>-12527</x:v>
      </x:c>
    </x:row>
    <x:row r="1598" ht="21" customHeight="1">
      <x:c r="A1598" s="1" t="str">
        <x:v>C0001407</x:v>
      </x:c>
      <x:c r="B1598" s="1" t="n">
        <x:v>22</x:v>
      </x:c>
      <x:c r="C1598" s="1" t="n">
        <x:v>22</x:v>
      </x:c>
      <x:c r="D1598" s="6" t="n">
        <x:v>12473</x:v>
      </x:c>
      <x:c r="E1598" s="6" t="n">
        <x:v>0</x:v>
      </x:c>
      <x:c r="F1598" s="6" t="n">
        <x:v>0</x:v>
      </x:c>
      <x:c r="G1598" s="6" t="n">
        <x:v>0</x:v>
      </x:c>
      <x:c r="H1598" s="6" t="n">
        <x:v>-12473</x:v>
      </x:c>
    </x:row>
    <x:row r="1599" ht="21" customHeight="1">
      <x:c r="A1599" s="1" t="str">
        <x:v>C0011555</x:v>
      </x:c>
      <x:c r="B1599" s="1" t="n">
        <x:v>22</x:v>
      </x:c>
      <x:c r="C1599" s="1" t="n">
        <x:v>22</x:v>
      </x:c>
      <x:c r="D1599" s="6" t="n">
        <x:v>12473</x:v>
      </x:c>
      <x:c r="E1599" s="6" t="n">
        <x:v>24946</x:v>
      </x:c>
      <x:c r="F1599" s="6" t="n">
        <x:v>0</x:v>
      </x:c>
      <x:c r="G1599" s="6" t="n">
        <x:v>24946</x:v>
      </x:c>
      <x:c r="H1599" s="6" t="n">
        <x:v>12473</x:v>
      </x:c>
    </x:row>
    <x:row r="1600" ht="21" customHeight="1">
      <x:c r="A1600" s="1" t="str">
        <x:v>C0001988</x:v>
      </x:c>
      <x:c r="B1600" s="1" t="n">
        <x:v>22</x:v>
      </x:c>
      <x:c r="C1600" s="1" t="n">
        <x:v>22</x:v>
      </x:c>
      <x:c r="D1600" s="6" t="n">
        <x:v>12473</x:v>
      </x:c>
      <x:c r="E1600" s="6" t="n">
        <x:v>24946</x:v>
      </x:c>
      <x:c r="F1600" s="6" t="n">
        <x:v>0</x:v>
      </x:c>
      <x:c r="G1600" s="6" t="n">
        <x:v>24946</x:v>
      </x:c>
      <x:c r="H1600" s="6" t="n">
        <x:v>12473</x:v>
      </x:c>
    </x:row>
    <x:row r="1601" ht="21" customHeight="1">
      <x:c r="A1601" s="1" t="str">
        <x:v>C0007516</x:v>
      </x:c>
      <x:c r="B1601" s="1" t="n">
        <x:v>22</x:v>
      </x:c>
      <x:c r="C1601" s="1" t="n">
        <x:v>22</x:v>
      </x:c>
      <x:c r="D1601" s="6" t="n">
        <x:v>0</x:v>
      </x:c>
      <x:c r="E1601" s="6" t="n">
        <x:v>12473</x:v>
      </x:c>
      <x:c r="F1601" s="6" t="n">
        <x:v>0</x:v>
      </x:c>
      <x:c r="G1601" s="6" t="n">
        <x:v>12473</x:v>
      </x:c>
      <x:c r="H1601" s="6" t="n">
        <x:v>12473</x:v>
      </x:c>
    </x:row>
    <x:row r="1602" ht="21" customHeight="1">
      <x:c r="A1602" s="1" t="str">
        <x:v>C0016899</x:v>
      </x:c>
      <x:c r="B1602" s="1" t="n">
        <x:v>22</x:v>
      </x:c>
      <x:c r="C1602" s="1" t="n">
        <x:v>22</x:v>
      </x:c>
      <x:c r="D1602" s="6" t="n">
        <x:v>0</x:v>
      </x:c>
      <x:c r="E1602" s="6" t="n">
        <x:v>12473</x:v>
      </x:c>
      <x:c r="F1602" s="6" t="n">
        <x:v>0</x:v>
      </x:c>
      <x:c r="G1602" s="6" t="n">
        <x:v>12473</x:v>
      </x:c>
      <x:c r="H1602" s="6" t="n">
        <x:v>12473</x:v>
      </x:c>
    </x:row>
    <x:row r="1603" ht="21" customHeight="1">
      <x:c r="A1603" s="1" t="str">
        <x:v>C0017001</x:v>
      </x:c>
      <x:c r="B1603" s="1" t="n">
        <x:v>22</x:v>
      </x:c>
      <x:c r="C1603" s="1" t="n">
        <x:v>22</x:v>
      </x:c>
      <x:c r="D1603" s="6" t="n">
        <x:v>12473</x:v>
      </x:c>
      <x:c r="E1603" s="6" t="n">
        <x:v>24946</x:v>
      </x:c>
      <x:c r="F1603" s="6" t="n">
        <x:v>0</x:v>
      </x:c>
      <x:c r="G1603" s="6" t="n">
        <x:v>24946</x:v>
      </x:c>
      <x:c r="H1603" s="6" t="n">
        <x:v>12473</x:v>
      </x:c>
    </x:row>
    <x:row r="1604" ht="21" customHeight="1">
      <x:c r="A1604" s="1" t="str">
        <x:v>C0011549</x:v>
      </x:c>
      <x:c r="B1604" s="1" t="n">
        <x:v>22</x:v>
      </x:c>
      <x:c r="C1604" s="1" t="n">
        <x:v>22</x:v>
      </x:c>
      <x:c r="D1604" s="6" t="n">
        <x:v>12473</x:v>
      </x:c>
      <x:c r="E1604" s="6" t="n">
        <x:v>0</x:v>
      </x:c>
      <x:c r="F1604" s="6" t="n">
        <x:v>0</x:v>
      </x:c>
      <x:c r="G1604" s="6" t="n">
        <x:v>0</x:v>
      </x:c>
      <x:c r="H1604" s="6" t="n">
        <x:v>-12473</x:v>
      </x:c>
    </x:row>
    <x:row r="1605" ht="21" customHeight="1">
      <x:c r="A1605" s="1" t="str">
        <x:v>C0011134</x:v>
      </x:c>
      <x:c r="B1605" s="1" t="n">
        <x:v>26</x:v>
      </x:c>
      <x:c r="C1605" s="1" t="n">
        <x:v>116</x:v>
      </x:c>
      <x:c r="D1605" s="6" t="n">
        <x:v>12417</x:v>
      </x:c>
      <x:c r="E1605" s="6" t="n">
        <x:v>0</x:v>
      </x:c>
      <x:c r="F1605" s="6" t="n">
        <x:v>0</x:v>
      </x:c>
      <x:c r="G1605" s="6" t="n">
        <x:v>0</x:v>
      </x:c>
      <x:c r="H1605" s="6" t="n">
        <x:v>-12417</x:v>
      </x:c>
    </x:row>
    <x:row r="1606" ht="21" customHeight="1">
      <x:c r="A1606" s="1" t="str">
        <x:v>C0000997</x:v>
      </x:c>
      <x:c r="B1606" s="1" t="n">
        <x:v>26</x:v>
      </x:c>
      <x:c r="C1606" s="1" t="n">
        <x:v>116</x:v>
      </x:c>
      <x:c r="D1606" s="6" t="n">
        <x:v>0</x:v>
      </x:c>
      <x:c r="E1606" s="6" t="n">
        <x:v>12417</x:v>
      </x:c>
      <x:c r="F1606" s="6" t="n">
        <x:v>0</x:v>
      </x:c>
      <x:c r="G1606" s="6" t="n">
        <x:v>12417</x:v>
      </x:c>
      <x:c r="H1606" s="6" t="n">
        <x:v>12417</x:v>
      </x:c>
    </x:row>
    <x:row r="1607" ht="21" customHeight="1">
      <x:c r="A1607" s="1" t="str">
        <x:v>C0015948</x:v>
      </x:c>
      <x:c r="B1607" s="1" t="n">
        <x:v>26</x:v>
      </x:c>
      <x:c r="C1607" s="1" t="n">
        <x:v>116</x:v>
      </x:c>
      <x:c r="D1607" s="6" t="n">
        <x:v>12417</x:v>
      </x:c>
      <x:c r="E1607" s="6" t="n">
        <x:v>0</x:v>
      </x:c>
      <x:c r="F1607" s="6" t="n">
        <x:v>0</x:v>
      </x:c>
      <x:c r="G1607" s="6" t="n">
        <x:v>0</x:v>
      </x:c>
      <x:c r="H1607" s="6" t="n">
        <x:v>-12417</x:v>
      </x:c>
    </x:row>
    <x:row r="1608" ht="21" customHeight="1">
      <x:c r="A1608" s="1" t="str">
        <x:v>C0014683</x:v>
      </x:c>
      <x:c r="B1608" s="1" t="n">
        <x:v>26</x:v>
      </x:c>
      <x:c r="C1608" s="1" t="n">
        <x:v>116</x:v>
      </x:c>
      <x:c r="D1608" s="6" t="n">
        <x:v>12417</x:v>
      </x:c>
      <x:c r="E1608" s="6" t="n">
        <x:v>24834</x:v>
      </x:c>
      <x:c r="F1608" s="6" t="n">
        <x:v>0</x:v>
      </x:c>
      <x:c r="G1608" s="6" t="n">
        <x:v>24834</x:v>
      </x:c>
      <x:c r="H1608" s="6" t="n">
        <x:v>12417</x:v>
      </x:c>
    </x:row>
    <x:row r="1609" ht="21" customHeight="1">
      <x:c r="A1609" s="1" t="str">
        <x:v>C0015499</x:v>
      </x:c>
      <x:c r="B1609" s="1" t="n">
        <x:v>26</x:v>
      </x:c>
      <x:c r="C1609" s="1" t="n">
        <x:v>116</x:v>
      </x:c>
      <x:c r="D1609" s="6" t="n">
        <x:v>0</x:v>
      </x:c>
      <x:c r="E1609" s="6" t="n">
        <x:v>12417</x:v>
      </x:c>
      <x:c r="F1609" s="6" t="n">
        <x:v>0</x:v>
      </x:c>
      <x:c r="G1609" s="6" t="n">
        <x:v>12417</x:v>
      </x:c>
      <x:c r="H1609" s="6" t="n">
        <x:v>12417</x:v>
      </x:c>
    </x:row>
    <x:row r="1610" ht="21" customHeight="1">
      <x:c r="A1610" s="1" t="str">
        <x:v>C0017386</x:v>
      </x:c>
      <x:c r="B1610" s="1" t="n">
        <x:v>26</x:v>
      </x:c>
      <x:c r="C1610" s="1" t="n">
        <x:v>116</x:v>
      </x:c>
      <x:c r="D1610" s="6" t="n">
        <x:v>12417</x:v>
      </x:c>
      <x:c r="E1610" s="6" t="n">
        <x:v>0</x:v>
      </x:c>
      <x:c r="F1610" s="6" t="n">
        <x:v>0</x:v>
      </x:c>
      <x:c r="G1610" s="6" t="n">
        <x:v>0</x:v>
      </x:c>
      <x:c r="H1610" s="6" t="n">
        <x:v>-12417</x:v>
      </x:c>
    </x:row>
    <x:row r="1611" ht="21" customHeight="1">
      <x:c r="A1611" s="1" t="str">
        <x:v>C0005880</x:v>
      </x:c>
      <x:c r="B1611" s="1" t="n">
        <x:v>26</x:v>
      </x:c>
      <x:c r="C1611" s="1" t="n">
        <x:v>116</x:v>
      </x:c>
      <x:c r="D1611" s="6" t="n">
        <x:v>12417</x:v>
      </x:c>
      <x:c r="E1611" s="6" t="n">
        <x:v>24834</x:v>
      </x:c>
      <x:c r="F1611" s="6" t="n">
        <x:v>0</x:v>
      </x:c>
      <x:c r="G1611" s="6" t="n">
        <x:v>24834</x:v>
      </x:c>
      <x:c r="H1611" s="6" t="n">
        <x:v>12417</x:v>
      </x:c>
    </x:row>
    <x:row r="1612" ht="21" customHeight="1">
      <x:c r="A1612" s="1" t="str">
        <x:v>C0017561</x:v>
      </x:c>
      <x:c r="B1612" s="1" t="n">
        <x:v>4</x:v>
      </x:c>
      <x:c r="C1612" s="1" t="n">
        <x:v>4</x:v>
      </x:c>
      <x:c r="D1612" s="6" t="n">
        <x:v>12409</x:v>
      </x:c>
      <x:c r="E1612" s="6" t="n">
        <x:v>24818</x:v>
      </x:c>
      <x:c r="F1612" s="6" t="n">
        <x:v>0</x:v>
      </x:c>
      <x:c r="G1612" s="6" t="n">
        <x:v>24818</x:v>
      </x:c>
      <x:c r="H1612" s="6" t="n">
        <x:v>12409</x:v>
      </x:c>
    </x:row>
    <x:row r="1613" ht="21" customHeight="1">
      <x:c r="A1613" s="1" t="str">
        <x:v>C0010742</x:v>
      </x:c>
      <x:c r="B1613" s="1" t="n">
        <x:v>4</x:v>
      </x:c>
      <x:c r="C1613" s="1" t="n">
        <x:v>4</x:v>
      </x:c>
      <x:c r="D1613" s="6" t="n">
        <x:v>12409</x:v>
      </x:c>
      <x:c r="E1613" s="6" t="n">
        <x:v>0</x:v>
      </x:c>
      <x:c r="F1613" s="6" t="n">
        <x:v>0</x:v>
      </x:c>
      <x:c r="G1613" s="6" t="n">
        <x:v>0</x:v>
      </x:c>
      <x:c r="H1613" s="6" t="n">
        <x:v>-12409</x:v>
      </x:c>
    </x:row>
    <x:row r="1614" ht="21" customHeight="1">
      <x:c r="A1614" s="1" t="str">
        <x:v>C0002356</x:v>
      </x:c>
      <x:c r="B1614" s="1" t="n">
        <x:v>4</x:v>
      </x:c>
      <x:c r="C1614" s="1" t="n">
        <x:v>4</x:v>
      </x:c>
      <x:c r="D1614" s="6" t="n">
        <x:v>12409</x:v>
      </x:c>
      <x:c r="E1614" s="6" t="n">
        <x:v>0</x:v>
      </x:c>
      <x:c r="F1614" s="6" t="n">
        <x:v>0</x:v>
      </x:c>
      <x:c r="G1614" s="6" t="n">
        <x:v>0</x:v>
      </x:c>
      <x:c r="H1614" s="6" t="n">
        <x:v>-12409</x:v>
      </x:c>
    </x:row>
    <x:row r="1615" ht="21" customHeight="1">
      <x:c r="A1615" s="1" t="str">
        <x:v>C0012809</x:v>
      </x:c>
      <x:c r="B1615" s="1" t="n">
        <x:v>4</x:v>
      </x:c>
      <x:c r="C1615" s="1" t="n">
        <x:v>4</x:v>
      </x:c>
      <x:c r="D1615" s="6" t="n">
        <x:v>12333</x:v>
      </x:c>
      <x:c r="E1615" s="6" t="n">
        <x:v>0</x:v>
      </x:c>
      <x:c r="F1615" s="6" t="n">
        <x:v>0</x:v>
      </x:c>
      <x:c r="G1615" s="6" t="n">
        <x:v>0</x:v>
      </x:c>
      <x:c r="H1615" s="6" t="n">
        <x:v>-12333</x:v>
      </x:c>
    </x:row>
    <x:row r="1616" ht="21" customHeight="1">
      <x:c r="A1616" s="1" t="str">
        <x:v>C0007951</x:v>
      </x:c>
      <x:c r="B1616" s="1" t="n">
        <x:v>4</x:v>
      </x:c>
      <x:c r="C1616" s="1" t="n">
        <x:v>4</x:v>
      </x:c>
      <x:c r="D1616" s="6" t="n">
        <x:v>0</x:v>
      </x:c>
      <x:c r="E1616" s="6" t="n">
        <x:v>12333</x:v>
      </x:c>
      <x:c r="F1616" s="6" t="n">
        <x:v>0</x:v>
      </x:c>
      <x:c r="G1616" s="6" t="n">
        <x:v>12333</x:v>
      </x:c>
      <x:c r="H1616" s="6" t="n">
        <x:v>12333</x:v>
      </x:c>
    </x:row>
    <x:row r="1617" ht="21" customHeight="1">
      <x:c r="A1617" s="1" t="str">
        <x:v>C0012625</x:v>
      </x:c>
      <x:c r="B1617" s="1" t="n">
        <x:v>4</x:v>
      </x:c>
      <x:c r="C1617" s="1" t="n">
        <x:v>4</x:v>
      </x:c>
      <x:c r="D1617" s="6" t="n">
        <x:v>12333</x:v>
      </x:c>
      <x:c r="E1617" s="6" t="n">
        <x:v>24666</x:v>
      </x:c>
      <x:c r="F1617" s="6" t="n">
        <x:v>0</x:v>
      </x:c>
      <x:c r="G1617" s="6" t="n">
        <x:v>24666</x:v>
      </x:c>
      <x:c r="H1617" s="6" t="n">
        <x:v>12333</x:v>
      </x:c>
    </x:row>
    <x:row r="1618" ht="21" customHeight="1">
      <x:c r="A1618" s="1" t="str">
        <x:v>C0002855</x:v>
      </x:c>
      <x:c r="B1618" s="1" t="n">
        <x:v>4</x:v>
      </x:c>
      <x:c r="C1618" s="1" t="n">
        <x:v>4</x:v>
      </x:c>
      <x:c r="D1618" s="6" t="n">
        <x:v>12333</x:v>
      </x:c>
      <x:c r="E1618" s="6" t="n">
        <x:v>0</x:v>
      </x:c>
      <x:c r="F1618" s="6" t="n">
        <x:v>0</x:v>
      </x:c>
      <x:c r="G1618" s="6" t="n">
        <x:v>0</x:v>
      </x:c>
      <x:c r="H1618" s="6" t="n">
        <x:v>-12333</x:v>
      </x:c>
    </x:row>
    <x:row r="1619" ht="21" customHeight="1">
      <x:c r="A1619" s="1" t="str">
        <x:v>C0010467</x:v>
      </x:c>
      <x:c r="B1619" s="1" t="n">
        <x:v>4</x:v>
      </x:c>
      <x:c r="C1619" s="1" t="n">
        <x:v>4</x:v>
      </x:c>
      <x:c r="D1619" s="6" t="n">
        <x:v>12333</x:v>
      </x:c>
      <x:c r="E1619" s="6" t="n">
        <x:v>24666</x:v>
      </x:c>
      <x:c r="F1619" s="6" t="n">
        <x:v>0</x:v>
      </x:c>
      <x:c r="G1619" s="6" t="n">
        <x:v>24666</x:v>
      </x:c>
      <x:c r="H1619" s="6" t="n">
        <x:v>12333</x:v>
      </x:c>
    </x:row>
    <x:row r="1620" ht="21" customHeight="1">
      <x:c r="A1620" s="1" t="str">
        <x:v>C0016328</x:v>
      </x:c>
      <x:c r="B1620" s="1" t="n">
        <x:v>4</x:v>
      </x:c>
      <x:c r="C1620" s="1" t="n">
        <x:v>4</x:v>
      </x:c>
      <x:c r="D1620" s="6" t="n">
        <x:v>12333</x:v>
      </x:c>
      <x:c r="E1620" s="6" t="n">
        <x:v>0</x:v>
      </x:c>
      <x:c r="F1620" s="6" t="n">
        <x:v>0</x:v>
      </x:c>
      <x:c r="G1620" s="6" t="n">
        <x:v>0</x:v>
      </x:c>
      <x:c r="H1620" s="6" t="n">
        <x:v>-12333</x:v>
      </x:c>
    </x:row>
    <x:row r="1621" ht="21" customHeight="1">
      <x:c r="A1621" s="1" t="str">
        <x:v>C0012933</x:v>
      </x:c>
      <x:c r="B1621" s="1" t="n">
        <x:v>4</x:v>
      </x:c>
      <x:c r="C1621" s="1" t="n">
        <x:v>4</x:v>
      </x:c>
      <x:c r="D1621" s="6" t="n">
        <x:v>12333</x:v>
      </x:c>
      <x:c r="E1621" s="6" t="n">
        <x:v>0</x:v>
      </x:c>
      <x:c r="F1621" s="6" t="n">
        <x:v>0</x:v>
      </x:c>
      <x:c r="G1621" s="6" t="n">
        <x:v>0</x:v>
      </x:c>
      <x:c r="H1621" s="6" t="n">
        <x:v>-12333</x:v>
      </x:c>
    </x:row>
    <x:row r="1622" ht="21" customHeight="1">
      <x:c r="A1622" s="1" t="str">
        <x:v>C0006470</x:v>
      </x:c>
      <x:c r="B1622" s="1" t="n">
        <x:v>4</x:v>
      </x:c>
      <x:c r="C1622" s="1" t="n">
        <x:v>4</x:v>
      </x:c>
      <x:c r="D1622" s="6" t="n">
        <x:v>12333</x:v>
      </x:c>
      <x:c r="E1622" s="6" t="n">
        <x:v>24666</x:v>
      </x:c>
      <x:c r="F1622" s="6" t="n">
        <x:v>0</x:v>
      </x:c>
      <x:c r="G1622" s="6" t="n">
        <x:v>24666</x:v>
      </x:c>
      <x:c r="H1622" s="6" t="n">
        <x:v>12333</x:v>
      </x:c>
    </x:row>
    <x:row r="1623" ht="21" customHeight="1">
      <x:c r="A1623" s="1" t="str">
        <x:v>C0002809</x:v>
      </x:c>
      <x:c r="B1623" s="1" t="n">
        <x:v>20</x:v>
      </x:c>
      <x:c r="C1623" s="1" t="n">
        <x:v>80</x:v>
      </x:c>
      <x:c r="D1623" s="6" t="n">
        <x:v>12307</x:v>
      </x:c>
      <x:c r="E1623" s="6" t="n">
        <x:v>0</x:v>
      </x:c>
      <x:c r="F1623" s="6" t="n">
        <x:v>0</x:v>
      </x:c>
      <x:c r="G1623" s="6" t="n">
        <x:v>0</x:v>
      </x:c>
      <x:c r="H1623" s="6" t="n">
        <x:v>-12307</x:v>
      </x:c>
    </x:row>
    <x:row r="1624" ht="21" customHeight="1">
      <x:c r="A1624" s="1" t="str">
        <x:v>C0012584</x:v>
      </x:c>
      <x:c r="B1624" s="1" t="n">
        <x:v>20</x:v>
      </x:c>
      <x:c r="C1624" s="1" t="n">
        <x:v>80</x:v>
      </x:c>
      <x:c r="D1624" s="6" t="n">
        <x:v>12307</x:v>
      </x:c>
      <x:c r="E1624" s="6" t="n">
        <x:v>24614</x:v>
      </x:c>
      <x:c r="F1624" s="6" t="n">
        <x:v>0</x:v>
      </x:c>
      <x:c r="G1624" s="6" t="n">
        <x:v>24614</x:v>
      </x:c>
      <x:c r="H1624" s="6" t="n">
        <x:v>12307</x:v>
      </x:c>
    </x:row>
    <x:row r="1625" ht="21" customHeight="1">
      <x:c r="A1625" s="1" t="str">
        <x:v>C0012146</x:v>
      </x:c>
      <x:c r="B1625" s="1" t="n">
        <x:v>20</x:v>
      </x:c>
      <x:c r="C1625" s="1" t="n">
        <x:v>80</x:v>
      </x:c>
      <x:c r="D1625" s="6" t="n">
        <x:v>12307</x:v>
      </x:c>
      <x:c r="E1625" s="6" t="n">
        <x:v>24614</x:v>
      </x:c>
      <x:c r="F1625" s="6" t="n">
        <x:v>0</x:v>
      </x:c>
      <x:c r="G1625" s="6" t="n">
        <x:v>24614</x:v>
      </x:c>
      <x:c r="H1625" s="6" t="n">
        <x:v>12307</x:v>
      </x:c>
    </x:row>
    <x:row r="1626" ht="21" customHeight="1">
      <x:c r="A1626" s="1" t="str">
        <x:v>C0013513</x:v>
      </x:c>
      <x:c r="B1626" s="1" t="n">
        <x:v>20</x:v>
      </x:c>
      <x:c r="C1626" s="1" t="n">
        <x:v>80</x:v>
      </x:c>
      <x:c r="D1626" s="6" t="n">
        <x:v>0</x:v>
      </x:c>
      <x:c r="E1626" s="6" t="n">
        <x:v>12307</x:v>
      </x:c>
      <x:c r="F1626" s="6" t="n">
        <x:v>0</x:v>
      </x:c>
      <x:c r="G1626" s="6" t="n">
        <x:v>12307</x:v>
      </x:c>
      <x:c r="H1626" s="6" t="n">
        <x:v>12307</x:v>
      </x:c>
    </x:row>
    <x:row r="1627" ht="21" customHeight="1">
      <x:c r="A1627" s="1" t="str">
        <x:v>C0002381</x:v>
      </x:c>
      <x:c r="B1627" s="1" t="n">
        <x:v>18</x:v>
      </x:c>
      <x:c r="C1627" s="1" t="n">
        <x:v>18</x:v>
      </x:c>
      <x:c r="D1627" s="6" t="n">
        <x:v>12273</x:v>
      </x:c>
      <x:c r="E1627" s="6" t="n">
        <x:v>24546</x:v>
      </x:c>
      <x:c r="F1627" s="6" t="n">
        <x:v>0</x:v>
      </x:c>
      <x:c r="G1627" s="6" t="n">
        <x:v>24546</x:v>
      </x:c>
      <x:c r="H1627" s="6" t="n">
        <x:v>12273</x:v>
      </x:c>
    </x:row>
    <x:row r="1628" ht="21" customHeight="1">
      <x:c r="A1628" s="1" t="str">
        <x:v>C0012889</x:v>
      </x:c>
      <x:c r="B1628" s="1" t="n">
        <x:v>18</x:v>
      </x:c>
      <x:c r="C1628" s="1" t="n">
        <x:v>18</x:v>
      </x:c>
      <x:c r="D1628" s="6" t="n">
        <x:v>12273</x:v>
      </x:c>
      <x:c r="E1628" s="6" t="n">
        <x:v>0</x:v>
      </x:c>
      <x:c r="F1628" s="6" t="n">
        <x:v>0</x:v>
      </x:c>
      <x:c r="G1628" s="6" t="n">
        <x:v>0</x:v>
      </x:c>
      <x:c r="H1628" s="6" t="n">
        <x:v>-12273</x:v>
      </x:c>
    </x:row>
    <x:row r="1629" ht="21" customHeight="1">
      <x:c r="A1629" s="1" t="str">
        <x:v>C0006264</x:v>
      </x:c>
      <x:c r="B1629" s="1" t="n">
        <x:v>18</x:v>
      </x:c>
      <x:c r="C1629" s="1" t="n">
        <x:v>18</x:v>
      </x:c>
      <x:c r="D1629" s="6" t="n">
        <x:v>12273</x:v>
      </x:c>
      <x:c r="E1629" s="6" t="n">
        <x:v>24546</x:v>
      </x:c>
      <x:c r="F1629" s="6" t="n">
        <x:v>0</x:v>
      </x:c>
      <x:c r="G1629" s="6" t="n">
        <x:v>24546</x:v>
      </x:c>
      <x:c r="H1629" s="6" t="n">
        <x:v>12273</x:v>
      </x:c>
    </x:row>
    <x:row r="1630" ht="21" customHeight="1">
      <x:c r="A1630" s="1" t="str">
        <x:v>C0006035</x:v>
      </x:c>
      <x:c r="B1630" s="1" t="n">
        <x:v>18</x:v>
      </x:c>
      <x:c r="C1630" s="1" t="n">
        <x:v>18</x:v>
      </x:c>
      <x:c r="D1630" s="6" t="n">
        <x:v>12273</x:v>
      </x:c>
      <x:c r="E1630" s="6" t="n">
        <x:v>0</x:v>
      </x:c>
      <x:c r="F1630" s="6" t="n">
        <x:v>0</x:v>
      </x:c>
      <x:c r="G1630" s="6" t="n">
        <x:v>0</x:v>
      </x:c>
      <x:c r="H1630" s="6" t="n">
        <x:v>-12273</x:v>
      </x:c>
    </x:row>
    <x:row r="1631" ht="21" customHeight="1">
      <x:c r="A1631" s="1" t="str">
        <x:v>C0010739</x:v>
      </x:c>
      <x:c r="B1631" s="1" t="n">
        <x:v>18</x:v>
      </x:c>
      <x:c r="C1631" s="1" t="n">
        <x:v>18</x:v>
      </x:c>
      <x:c r="D1631" s="6" t="n">
        <x:v>12273</x:v>
      </x:c>
      <x:c r="E1631" s="6" t="n">
        <x:v>0</x:v>
      </x:c>
      <x:c r="F1631" s="6" t="n">
        <x:v>0</x:v>
      </x:c>
      <x:c r="G1631" s="6" t="n">
        <x:v>0</x:v>
      </x:c>
      <x:c r="H1631" s="6" t="n">
        <x:v>-12273</x:v>
      </x:c>
    </x:row>
    <x:row r="1632" ht="21" customHeight="1">
      <x:c r="A1632" s="1" t="str">
        <x:v>C0012461</x:v>
      </x:c>
      <x:c r="B1632" s="1" t="n">
        <x:v>12</x:v>
      </x:c>
      <x:c r="C1632" s="1" t="n">
        <x:v>12</x:v>
      </x:c>
      <x:c r="D1632" s="6" t="n">
        <x:v>12236</x:v>
      </x:c>
      <x:c r="E1632" s="6" t="n">
        <x:v>24472</x:v>
      </x:c>
      <x:c r="F1632" s="6" t="n">
        <x:v>0</x:v>
      </x:c>
      <x:c r="G1632" s="6" t="n">
        <x:v>24472</x:v>
      </x:c>
      <x:c r="H1632" s="6" t="n">
        <x:v>12236</x:v>
      </x:c>
    </x:row>
    <x:row r="1633" ht="21" customHeight="1">
      <x:c r="A1633" s="1" t="str">
        <x:v>C0003802</x:v>
      </x:c>
      <x:c r="B1633" s="1" t="n">
        <x:v>12</x:v>
      </x:c>
      <x:c r="C1633" s="1" t="n">
        <x:v>12</x:v>
      </x:c>
      <x:c r="D1633" s="6" t="n">
        <x:v>12236</x:v>
      </x:c>
      <x:c r="E1633" s="6" t="n">
        <x:v>24472</x:v>
      </x:c>
      <x:c r="F1633" s="6" t="n">
        <x:v>0</x:v>
      </x:c>
      <x:c r="G1633" s="6" t="n">
        <x:v>24472</x:v>
      </x:c>
      <x:c r="H1633" s="6" t="n">
        <x:v>12236</x:v>
      </x:c>
    </x:row>
    <x:row r="1634" ht="21" customHeight="1">
      <x:c r="A1634" s="1" t="str">
        <x:v>C0011611</x:v>
      </x:c>
      <x:c r="B1634" s="1" t="n">
        <x:v>12</x:v>
      </x:c>
      <x:c r="C1634" s="1" t="n">
        <x:v>12</x:v>
      </x:c>
      <x:c r="D1634" s="6" t="n">
        <x:v>12236</x:v>
      </x:c>
      <x:c r="E1634" s="6" t="n">
        <x:v>24472</x:v>
      </x:c>
      <x:c r="F1634" s="6" t="n">
        <x:v>0</x:v>
      </x:c>
      <x:c r="G1634" s="6" t="n">
        <x:v>24472</x:v>
      </x:c>
      <x:c r="H1634" s="6" t="n">
        <x:v>12236</x:v>
      </x:c>
    </x:row>
    <x:row r="1635" ht="21" customHeight="1">
      <x:c r="A1635" s="1" t="str">
        <x:v>C0003885</x:v>
      </x:c>
      <x:c r="B1635" s="1" t="n">
        <x:v>12</x:v>
      </x:c>
      <x:c r="C1635" s="1" t="n">
        <x:v>12</x:v>
      </x:c>
      <x:c r="D1635" s="6" t="n">
        <x:v>12236</x:v>
      </x:c>
      <x:c r="E1635" s="6" t="n">
        <x:v>0</x:v>
      </x:c>
      <x:c r="F1635" s="6" t="n">
        <x:v>0</x:v>
      </x:c>
      <x:c r="G1635" s="6" t="n">
        <x:v>0</x:v>
      </x:c>
      <x:c r="H1635" s="6" t="n">
        <x:v>-12236</x:v>
      </x:c>
    </x:row>
    <x:row r="1636" ht="21" customHeight="1">
      <x:c r="A1636" s="1" t="str">
        <x:v>C0015160</x:v>
      </x:c>
      <x:c r="B1636" s="1" t="n">
        <x:v>12</x:v>
      </x:c>
      <x:c r="C1636" s="1" t="n">
        <x:v>12</x:v>
      </x:c>
      <x:c r="D1636" s="6" t="n">
        <x:v>12236</x:v>
      </x:c>
      <x:c r="E1636" s="6" t="n">
        <x:v>0</x:v>
      </x:c>
      <x:c r="F1636" s="6" t="n">
        <x:v>0</x:v>
      </x:c>
      <x:c r="G1636" s="6" t="n">
        <x:v>0</x:v>
      </x:c>
      <x:c r="H1636" s="6" t="n">
        <x:v>-12236</x:v>
      </x:c>
    </x:row>
    <x:row r="1637" ht="21" customHeight="1">
      <x:c r="A1637" s="1" t="str">
        <x:v>C0002421</x:v>
      </x:c>
      <x:c r="B1637" s="1" t="n">
        <x:v>12</x:v>
      </x:c>
      <x:c r="C1637" s="1" t="n">
        <x:v>12</x:v>
      </x:c>
      <x:c r="D1637" s="6" t="n">
        <x:v>12236</x:v>
      </x:c>
      <x:c r="E1637" s="6" t="n">
        <x:v>0</x:v>
      </x:c>
      <x:c r="F1637" s="6" t="n">
        <x:v>0</x:v>
      </x:c>
      <x:c r="G1637" s="6" t="n">
        <x:v>0</x:v>
      </x:c>
      <x:c r="H1637" s="6" t="n">
        <x:v>-12236</x:v>
      </x:c>
    </x:row>
    <x:row r="1638" ht="21" customHeight="1">
      <x:c r="A1638" s="1" t="str">
        <x:v>C0014955</x:v>
      </x:c>
      <x:c r="B1638" s="1" t="n">
        <x:v>12</x:v>
      </x:c>
      <x:c r="C1638" s="1" t="n">
        <x:v>12</x:v>
      </x:c>
      <x:c r="D1638" s="6" t="n">
        <x:v>12236</x:v>
      </x:c>
      <x:c r="E1638" s="6" t="n">
        <x:v>24472</x:v>
      </x:c>
      <x:c r="F1638" s="6" t="n">
        <x:v>0</x:v>
      </x:c>
      <x:c r="G1638" s="6" t="n">
        <x:v>24472</x:v>
      </x:c>
      <x:c r="H1638" s="6" t="n">
        <x:v>12236</x:v>
      </x:c>
    </x:row>
    <x:row r="1639" ht="21" customHeight="1">
      <x:c r="A1639" s="1" t="str">
        <x:v>C0004910</x:v>
      </x:c>
      <x:c r="B1639" s="1" t="n">
        <x:v>29</x:v>
      </x:c>
      <x:c r="C1639" s="1" t="n">
        <x:v>59</x:v>
      </x:c>
      <x:c r="D1639" s="6" t="n">
        <x:v>12213</x:v>
      </x:c>
      <x:c r="E1639" s="6" t="n">
        <x:v>0</x:v>
      </x:c>
      <x:c r="F1639" s="6" t="n">
        <x:v>0</x:v>
      </x:c>
      <x:c r="G1639" s="6" t="n">
        <x:v>0</x:v>
      </x:c>
      <x:c r="H1639" s="6" t="n">
        <x:v>-12213</x:v>
      </x:c>
    </x:row>
    <x:row r="1640" ht="21" customHeight="1">
      <x:c r="A1640" s="1" t="str">
        <x:v>C0016674</x:v>
      </x:c>
      <x:c r="B1640" s="1" t="n">
        <x:v>29</x:v>
      </x:c>
      <x:c r="C1640" s="1" t="n">
        <x:v>59</x:v>
      </x:c>
      <x:c r="D1640" s="6" t="n">
        <x:v>12213</x:v>
      </x:c>
      <x:c r="E1640" s="6" t="n">
        <x:v>0</x:v>
      </x:c>
      <x:c r="F1640" s="6" t="n">
        <x:v>0</x:v>
      </x:c>
      <x:c r="G1640" s="6" t="n">
        <x:v>0</x:v>
      </x:c>
      <x:c r="H1640" s="6" t="n">
        <x:v>-12213</x:v>
      </x:c>
    </x:row>
    <x:row r="1641" ht="21" customHeight="1">
      <x:c r="A1641" s="1" t="str">
        <x:v>C0014472</x:v>
      </x:c>
      <x:c r="B1641" s="1" t="n">
        <x:v>29</x:v>
      </x:c>
      <x:c r="C1641" s="1" t="n">
        <x:v>59</x:v>
      </x:c>
      <x:c r="D1641" s="6" t="n">
        <x:v>12213</x:v>
      </x:c>
      <x:c r="E1641" s="6" t="n">
        <x:v>24426</x:v>
      </x:c>
      <x:c r="F1641" s="6" t="n">
        <x:v>0</x:v>
      </x:c>
      <x:c r="G1641" s="6" t="n">
        <x:v>24426</x:v>
      </x:c>
      <x:c r="H1641" s="6" t="n">
        <x:v>12213</x:v>
      </x:c>
    </x:row>
    <x:row r="1642" ht="21" customHeight="1">
      <x:c r="A1642" s="1" t="str">
        <x:v>C0013599</x:v>
      </x:c>
      <x:c r="B1642" s="1" t="n">
        <x:v>29</x:v>
      </x:c>
      <x:c r="C1642" s="1" t="n">
        <x:v>59</x:v>
      </x:c>
      <x:c r="D1642" s="6" t="n">
        <x:v>12213</x:v>
      </x:c>
      <x:c r="E1642" s="6" t="n">
        <x:v>0</x:v>
      </x:c>
      <x:c r="F1642" s="6" t="n">
        <x:v>0</x:v>
      </x:c>
      <x:c r="G1642" s="6" t="n">
        <x:v>0</x:v>
      </x:c>
      <x:c r="H1642" s="6" t="n">
        <x:v>-12213</x:v>
      </x:c>
    </x:row>
    <x:row r="1643" ht="21" customHeight="1">
      <x:c r="A1643" s="1" t="str">
        <x:v>C0012996</x:v>
      </x:c>
      <x:c r="B1643" s="1" t="n">
        <x:v>29</x:v>
      </x:c>
      <x:c r="C1643" s="1" t="n">
        <x:v>59</x:v>
      </x:c>
      <x:c r="D1643" s="6" t="n">
        <x:v>12213</x:v>
      </x:c>
      <x:c r="E1643" s="6" t="n">
        <x:v>24426</x:v>
      </x:c>
      <x:c r="F1643" s="6" t="n">
        <x:v>0</x:v>
      </x:c>
      <x:c r="G1643" s="6" t="n">
        <x:v>24426</x:v>
      </x:c>
      <x:c r="H1643" s="6" t="n">
        <x:v>12213</x:v>
      </x:c>
    </x:row>
    <x:row r="1644" ht="21" customHeight="1">
      <x:c r="A1644" s="1" t="str">
        <x:v>C0016893</x:v>
      </x:c>
      <x:c r="B1644" s="1" t="n">
        <x:v>13</x:v>
      </x:c>
      <x:c r="C1644" s="1" t="n">
        <x:v>73</x:v>
      </x:c>
      <x:c r="D1644" s="6" t="n">
        <x:v>11930</x:v>
      </x:c>
      <x:c r="E1644" s="6" t="n">
        <x:v>23860</x:v>
      </x:c>
      <x:c r="F1644" s="6" t="n">
        <x:v>0</x:v>
      </x:c>
      <x:c r="G1644" s="6" t="n">
        <x:v>23860</x:v>
      </x:c>
      <x:c r="H1644" s="6" t="n">
        <x:v>11930</x:v>
      </x:c>
    </x:row>
    <x:row r="1645" ht="21" customHeight="1">
      <x:c r="A1645" s="1" t="str">
        <x:v>C0004169</x:v>
      </x:c>
      <x:c r="B1645" s="1" t="n">
        <x:v>13</x:v>
      </x:c>
      <x:c r="C1645" s="1" t="n">
        <x:v>73</x:v>
      </x:c>
      <x:c r="D1645" s="6" t="n">
        <x:v>11930</x:v>
      </x:c>
      <x:c r="E1645" s="6" t="n">
        <x:v>0</x:v>
      </x:c>
      <x:c r="F1645" s="6" t="n">
        <x:v>0</x:v>
      </x:c>
      <x:c r="G1645" s="6" t="n">
        <x:v>0</x:v>
      </x:c>
      <x:c r="H1645" s="6" t="n">
        <x:v>-11930</x:v>
      </x:c>
    </x:row>
    <x:row r="1646" ht="21" customHeight="1">
      <x:c r="A1646" s="1" t="str">
        <x:v>C0009951</x:v>
      </x:c>
      <x:c r="B1646" s="1" t="n">
        <x:v>13</x:v>
      </x:c>
      <x:c r="C1646" s="1" t="n">
        <x:v>73</x:v>
      </x:c>
      <x:c r="D1646" s="6" t="n">
        <x:v>11930</x:v>
      </x:c>
      <x:c r="E1646" s="6" t="n">
        <x:v>23860</x:v>
      </x:c>
      <x:c r="F1646" s="6" t="n">
        <x:v>0</x:v>
      </x:c>
      <x:c r="G1646" s="6" t="n">
        <x:v>23860</x:v>
      </x:c>
      <x:c r="H1646" s="6" t="n">
        <x:v>11930</x:v>
      </x:c>
    </x:row>
    <x:row r="1647" ht="21" customHeight="1">
      <x:c r="A1647" s="1" t="str">
        <x:v>C0002553</x:v>
      </x:c>
      <x:c r="B1647" s="1" t="n">
        <x:v>13</x:v>
      </x:c>
      <x:c r="C1647" s="1" t="n">
        <x:v>73</x:v>
      </x:c>
      <x:c r="D1647" s="6" t="n">
        <x:v>11930</x:v>
      </x:c>
      <x:c r="E1647" s="6" t="n">
        <x:v>0</x:v>
      </x:c>
      <x:c r="F1647" s="6" t="n">
        <x:v>0</x:v>
      </x:c>
      <x:c r="G1647" s="6" t="n">
        <x:v>0</x:v>
      </x:c>
      <x:c r="H1647" s="6" t="n">
        <x:v>-11930</x:v>
      </x:c>
    </x:row>
    <x:row r="1648" ht="21" customHeight="1">
      <x:c r="A1648" s="1" t="str">
        <x:v>C0000218</x:v>
      </x:c>
      <x:c r="B1648" s="1" t="n">
        <x:v>13</x:v>
      </x:c>
      <x:c r="C1648" s="1" t="n">
        <x:v>73</x:v>
      </x:c>
      <x:c r="D1648" s="6" t="n">
        <x:v>11930</x:v>
      </x:c>
      <x:c r="E1648" s="6" t="n">
        <x:v>23860</x:v>
      </x:c>
      <x:c r="F1648" s="6" t="n">
        <x:v>0</x:v>
      </x:c>
      <x:c r="G1648" s="6" t="n">
        <x:v>23860</x:v>
      </x:c>
      <x:c r="H1648" s="6" t="n">
        <x:v>11930</x:v>
      </x:c>
    </x:row>
    <x:row r="1649" ht="21" customHeight="1">
      <x:c r="A1649" s="1" t="str">
        <x:v>C0013342</x:v>
      </x:c>
      <x:c r="B1649" s="1" t="n">
        <x:v>13</x:v>
      </x:c>
      <x:c r="C1649" s="1" t="n">
        <x:v>73</x:v>
      </x:c>
      <x:c r="D1649" s="6" t="n">
        <x:v>11930</x:v>
      </x:c>
      <x:c r="E1649" s="6" t="n">
        <x:v>0</x:v>
      </x:c>
      <x:c r="F1649" s="6" t="n">
        <x:v>0</x:v>
      </x:c>
      <x:c r="G1649" s="6" t="n">
        <x:v>0</x:v>
      </x:c>
      <x:c r="H1649" s="6" t="n">
        <x:v>-11930</x:v>
      </x:c>
    </x:row>
    <x:row r="1650" ht="21" customHeight="1">
      <x:c r="A1650" s="1" t="str">
        <x:v>C0002196</x:v>
      </x:c>
      <x:c r="B1650" s="1" t="n">
        <x:v>13</x:v>
      </x:c>
      <x:c r="C1650" s="1" t="n">
        <x:v>73</x:v>
      </x:c>
      <x:c r="D1650" s="6" t="n">
        <x:v>11930</x:v>
      </x:c>
      <x:c r="E1650" s="6" t="n">
        <x:v>0</x:v>
      </x:c>
      <x:c r="F1650" s="6" t="n">
        <x:v>0</x:v>
      </x:c>
      <x:c r="G1650" s="6" t="n">
        <x:v>0</x:v>
      </x:c>
      <x:c r="H1650" s="6" t="n">
        <x:v>-11930</x:v>
      </x:c>
    </x:row>
    <x:row r="1651" ht="21" customHeight="1">
      <x:c r="A1651" s="1" t="str">
        <x:v>C0007225</x:v>
      </x:c>
      <x:c r="B1651" s="1" t="n">
        <x:v>13</x:v>
      </x:c>
      <x:c r="C1651" s="1" t="n">
        <x:v>73</x:v>
      </x:c>
      <x:c r="D1651" s="6" t="n">
        <x:v>0</x:v>
      </x:c>
      <x:c r="E1651" s="6" t="n">
        <x:v>11930</x:v>
      </x:c>
      <x:c r="F1651" s="6" t="n">
        <x:v>0</x:v>
      </x:c>
      <x:c r="G1651" s="6" t="n">
        <x:v>11930</x:v>
      </x:c>
      <x:c r="H1651" s="6" t="n">
        <x:v>11930</x:v>
      </x:c>
    </x:row>
    <x:row r="1652" ht="21" customHeight="1">
      <x:c r="A1652" s="1" t="str">
        <x:v>C0016839</x:v>
      </x:c>
      <x:c r="B1652" s="1" t="n">
        <x:v>13</x:v>
      </x:c>
      <x:c r="C1652" s="1" t="n">
        <x:v>73</x:v>
      </x:c>
      <x:c r="D1652" s="6" t="n">
        <x:v>11930</x:v>
      </x:c>
      <x:c r="E1652" s="6" t="n">
        <x:v>0</x:v>
      </x:c>
      <x:c r="F1652" s="6" t="n">
        <x:v>0</x:v>
      </x:c>
      <x:c r="G1652" s="6" t="n">
        <x:v>0</x:v>
      </x:c>
      <x:c r="H1652" s="6" t="n">
        <x:v>-11930</x:v>
      </x:c>
    </x:row>
    <x:row r="1653" ht="21" customHeight="1">
      <x:c r="A1653" s="1" t="str">
        <x:v>C0009418</x:v>
      </x:c>
      <x:c r="B1653" s="1" t="n">
        <x:v>21</x:v>
      </x:c>
      <x:c r="C1653" s="1" t="n">
        <x:v>81</x:v>
      </x:c>
      <x:c r="D1653" s="6" t="n">
        <x:v>11866</x:v>
      </x:c>
      <x:c r="E1653" s="6" t="n">
        <x:v>0</x:v>
      </x:c>
      <x:c r="F1653" s="6" t="n">
        <x:v>0</x:v>
      </x:c>
      <x:c r="G1653" s="6" t="n">
        <x:v>0</x:v>
      </x:c>
      <x:c r="H1653" s="6" t="n">
        <x:v>-11866</x:v>
      </x:c>
    </x:row>
    <x:row r="1654" ht="21" customHeight="1">
      <x:c r="A1654" s="1" t="str">
        <x:v>C0008239</x:v>
      </x:c>
      <x:c r="B1654" s="1" t="n">
        <x:v>21</x:v>
      </x:c>
      <x:c r="C1654" s="1" t="n">
        <x:v>81</x:v>
      </x:c>
      <x:c r="D1654" s="6" t="n">
        <x:v>11866</x:v>
      </x:c>
      <x:c r="E1654" s="6" t="n">
        <x:v>23732</x:v>
      </x:c>
      <x:c r="F1654" s="6" t="n">
        <x:v>0</x:v>
      </x:c>
      <x:c r="G1654" s="6" t="n">
        <x:v>23732</x:v>
      </x:c>
      <x:c r="H1654" s="6" t="n">
        <x:v>11866</x:v>
      </x:c>
    </x:row>
    <x:row r="1655" ht="21" customHeight="1">
      <x:c r="A1655" s="1" t="str">
        <x:v>C0003168</x:v>
      </x:c>
      <x:c r="B1655" s="1" t="n">
        <x:v>12</x:v>
      </x:c>
      <x:c r="C1655" s="1" t="n">
        <x:v>12</x:v>
      </x:c>
      <x:c r="D1655" s="6" t="n">
        <x:v>11779</x:v>
      </x:c>
      <x:c r="E1655" s="6" t="n">
        <x:v>23558</x:v>
      </x:c>
      <x:c r="F1655" s="6" t="n">
        <x:v>0</x:v>
      </x:c>
      <x:c r="G1655" s="6" t="n">
        <x:v>23558</x:v>
      </x:c>
      <x:c r="H1655" s="6" t="n">
        <x:v>11779</x:v>
      </x:c>
    </x:row>
    <x:row r="1656" ht="21" customHeight="1">
      <x:c r="A1656" s="1" t="str">
        <x:v>C0012783</x:v>
      </x:c>
      <x:c r="B1656" s="1" t="n">
        <x:v>12</x:v>
      </x:c>
      <x:c r="C1656" s="1" t="n">
        <x:v>12</x:v>
      </x:c>
      <x:c r="D1656" s="6" t="n">
        <x:v>11779</x:v>
      </x:c>
      <x:c r="E1656" s="6" t="n">
        <x:v>23558</x:v>
      </x:c>
      <x:c r="F1656" s="6" t="n">
        <x:v>0</x:v>
      </x:c>
      <x:c r="G1656" s="6" t="n">
        <x:v>23558</x:v>
      </x:c>
      <x:c r="H1656" s="6" t="n">
        <x:v>11779</x:v>
      </x:c>
    </x:row>
    <x:row r="1657" ht="21" customHeight="1">
      <x:c r="A1657" s="1" t="str">
        <x:v>C0011153</x:v>
      </x:c>
      <x:c r="B1657" s="1" t="n">
        <x:v>12</x:v>
      </x:c>
      <x:c r="C1657" s="1" t="n">
        <x:v>12</x:v>
      </x:c>
      <x:c r="D1657" s="6" t="n">
        <x:v>11779</x:v>
      </x:c>
      <x:c r="E1657" s="6" t="n">
        <x:v>23558</x:v>
      </x:c>
      <x:c r="F1657" s="6" t="n">
        <x:v>0</x:v>
      </x:c>
      <x:c r="G1657" s="6" t="n">
        <x:v>23558</x:v>
      </x:c>
      <x:c r="H1657" s="6" t="n">
        <x:v>11779</x:v>
      </x:c>
    </x:row>
    <x:row r="1658" ht="21" customHeight="1">
      <x:c r="A1658" s="1" t="str">
        <x:v>C0001062</x:v>
      </x:c>
      <x:c r="B1658" s="1" t="n">
        <x:v>12</x:v>
      </x:c>
      <x:c r="C1658" s="1" t="n">
        <x:v>12</x:v>
      </x:c>
      <x:c r="D1658" s="6" t="n">
        <x:v>0</x:v>
      </x:c>
      <x:c r="E1658" s="6" t="n">
        <x:v>11779</x:v>
      </x:c>
      <x:c r="F1658" s="6" t="n">
        <x:v>0</x:v>
      </x:c>
      <x:c r="G1658" s="6" t="n">
        <x:v>11779</x:v>
      </x:c>
      <x:c r="H1658" s="6" t="n">
        <x:v>11779</x:v>
      </x:c>
    </x:row>
    <x:row r="1659" ht="21" customHeight="1">
      <x:c r="A1659" s="1" t="str">
        <x:v>C0010339</x:v>
      </x:c>
      <x:c r="B1659" s="1" t="n">
        <x:v>12</x:v>
      </x:c>
      <x:c r="C1659" s="1" t="n">
        <x:v>12</x:v>
      </x:c>
      <x:c r="D1659" s="6" t="n">
        <x:v>11779</x:v>
      </x:c>
      <x:c r="E1659" s="6" t="n">
        <x:v>23558</x:v>
      </x:c>
      <x:c r="F1659" s="6" t="n">
        <x:v>0</x:v>
      </x:c>
      <x:c r="G1659" s="6" t="n">
        <x:v>23558</x:v>
      </x:c>
      <x:c r="H1659" s="6" t="n">
        <x:v>11779</x:v>
      </x:c>
    </x:row>
    <x:row r="1660" ht="21" customHeight="1">
      <x:c r="A1660" s="1" t="str">
        <x:v>C0017264</x:v>
      </x:c>
      <x:c r="B1660" s="1" t="n">
        <x:v>12</x:v>
      </x:c>
      <x:c r="C1660" s="1" t="n">
        <x:v>12</x:v>
      </x:c>
      <x:c r="D1660" s="6" t="n">
        <x:v>11779</x:v>
      </x:c>
      <x:c r="E1660" s="6" t="n">
        <x:v>23558</x:v>
      </x:c>
      <x:c r="F1660" s="6" t="n">
        <x:v>0</x:v>
      </x:c>
      <x:c r="G1660" s="6" t="n">
        <x:v>23558</x:v>
      </x:c>
      <x:c r="H1660" s="6" t="n">
        <x:v>11779</x:v>
      </x:c>
    </x:row>
    <x:row r="1661" ht="21" customHeight="1">
      <x:c r="A1661" s="1" t="str">
        <x:v>C0012608</x:v>
      </x:c>
      <x:c r="B1661" s="1" t="n">
        <x:v>12</x:v>
      </x:c>
      <x:c r="C1661" s="1" t="n">
        <x:v>12</x:v>
      </x:c>
      <x:c r="D1661" s="6" t="n">
        <x:v>11779</x:v>
      </x:c>
      <x:c r="E1661" s="6" t="n">
        <x:v>0</x:v>
      </x:c>
      <x:c r="F1661" s="6" t="n">
        <x:v>0</x:v>
      </x:c>
      <x:c r="G1661" s="6" t="n">
        <x:v>0</x:v>
      </x:c>
      <x:c r="H1661" s="6" t="n">
        <x:v>-11779</x:v>
      </x:c>
    </x:row>
    <x:row r="1662" ht="21" customHeight="1">
      <x:c r="A1662" s="1" t="str">
        <x:v>C0004469</x:v>
      </x:c>
      <x:c r="B1662" s="1" t="n">
        <x:v>12</x:v>
      </x:c>
      <x:c r="C1662" s="1" t="n">
        <x:v>12</x:v>
      </x:c>
      <x:c r="D1662" s="6" t="n">
        <x:v>11779</x:v>
      </x:c>
      <x:c r="E1662" s="6" t="n">
        <x:v>23558</x:v>
      </x:c>
      <x:c r="F1662" s="6" t="n">
        <x:v>0</x:v>
      </x:c>
      <x:c r="G1662" s="6" t="n">
        <x:v>23558</x:v>
      </x:c>
      <x:c r="H1662" s="6" t="n">
        <x:v>11779</x:v>
      </x:c>
    </x:row>
    <x:row r="1663" ht="21" customHeight="1">
      <x:c r="A1663" s="1" t="str">
        <x:v>C0011176</x:v>
      </x:c>
      <x:c r="B1663" s="1" t="n">
        <x:v>18</x:v>
      </x:c>
      <x:c r="C1663" s="1" t="n">
        <x:v>48</x:v>
      </x:c>
      <x:c r="D1663" s="6" t="n">
        <x:v>11766</x:v>
      </x:c>
      <x:c r="E1663" s="6" t="n">
        <x:v>23532</x:v>
      </x:c>
      <x:c r="F1663" s="6" t="n">
        <x:v>0</x:v>
      </x:c>
      <x:c r="G1663" s="6" t="n">
        <x:v>23532</x:v>
      </x:c>
      <x:c r="H1663" s="6" t="n">
        <x:v>11766</x:v>
      </x:c>
    </x:row>
    <x:row r="1664" ht="21" customHeight="1">
      <x:c r="A1664" s="1" t="str">
        <x:v>C0011143</x:v>
      </x:c>
      <x:c r="B1664" s="1" t="n">
        <x:v>18</x:v>
      </x:c>
      <x:c r="C1664" s="1" t="n">
        <x:v>48</x:v>
      </x:c>
      <x:c r="D1664" s="6" t="n">
        <x:v>11766</x:v>
      </x:c>
      <x:c r="E1664" s="6" t="n">
        <x:v>0</x:v>
      </x:c>
      <x:c r="F1664" s="6" t="n">
        <x:v>0</x:v>
      </x:c>
      <x:c r="G1664" s="6" t="n">
        <x:v>0</x:v>
      </x:c>
      <x:c r="H1664" s="6" t="n">
        <x:v>-11766</x:v>
      </x:c>
    </x:row>
    <x:row r="1665" ht="21" customHeight="1">
      <x:c r="A1665" s="1" t="str">
        <x:v>C0014822</x:v>
      </x:c>
      <x:c r="B1665" s="1" t="n">
        <x:v>18</x:v>
      </x:c>
      <x:c r="C1665" s="1" t="n">
        <x:v>48</x:v>
      </x:c>
      <x:c r="D1665" s="6" t="n">
        <x:v>11766</x:v>
      </x:c>
      <x:c r="E1665" s="6" t="n">
        <x:v>23532</x:v>
      </x:c>
      <x:c r="F1665" s="6" t="n">
        <x:v>0</x:v>
      </x:c>
      <x:c r="G1665" s="6" t="n">
        <x:v>23532</x:v>
      </x:c>
      <x:c r="H1665" s="6" t="n">
        <x:v>11766</x:v>
      </x:c>
    </x:row>
    <x:row r="1666" ht="21" customHeight="1">
      <x:c r="A1666" s="1" t="str">
        <x:v>C0017857</x:v>
      </x:c>
      <x:c r="B1666" s="1" t="n">
        <x:v>18</x:v>
      </x:c>
      <x:c r="C1666" s="1" t="n">
        <x:v>48</x:v>
      </x:c>
      <x:c r="D1666" s="6" t="n">
        <x:v>11766</x:v>
      </x:c>
      <x:c r="E1666" s="6" t="n">
        <x:v>23532</x:v>
      </x:c>
      <x:c r="F1666" s="6" t="n">
        <x:v>0</x:v>
      </x:c>
      <x:c r="G1666" s="6" t="n">
        <x:v>23532</x:v>
      </x:c>
      <x:c r="H1666" s="6" t="n">
        <x:v>11766</x:v>
      </x:c>
    </x:row>
    <x:row r="1667" ht="21" customHeight="1">
      <x:c r="A1667" s="1" t="str">
        <x:v>C0010663</x:v>
      </x:c>
      <x:c r="B1667" s="1" t="n">
        <x:v>18</x:v>
      </x:c>
      <x:c r="C1667" s="1" t="n">
        <x:v>48</x:v>
      </x:c>
      <x:c r="D1667" s="6" t="n">
        <x:v>11766</x:v>
      </x:c>
      <x:c r="E1667" s="6" t="n">
        <x:v>0</x:v>
      </x:c>
      <x:c r="F1667" s="6" t="n">
        <x:v>0</x:v>
      </x:c>
      <x:c r="G1667" s="6" t="n">
        <x:v>0</x:v>
      </x:c>
      <x:c r="H1667" s="6" t="n">
        <x:v>-11766</x:v>
      </x:c>
    </x:row>
    <x:row r="1668" ht="21" customHeight="1">
      <x:c r="A1668" s="1" t="str">
        <x:v>C0003452</x:v>
      </x:c>
      <x:c r="B1668" s="1" t="n">
        <x:v>18</x:v>
      </x:c>
      <x:c r="C1668" s="1" t="n">
        <x:v>48</x:v>
      </x:c>
      <x:c r="D1668" s="6" t="n">
        <x:v>11766</x:v>
      </x:c>
      <x:c r="E1668" s="6" t="n">
        <x:v>23532</x:v>
      </x:c>
      <x:c r="F1668" s="6" t="n">
        <x:v>0</x:v>
      </x:c>
      <x:c r="G1668" s="6" t="n">
        <x:v>23532</x:v>
      </x:c>
      <x:c r="H1668" s="6" t="n">
        <x:v>11766</x:v>
      </x:c>
    </x:row>
    <x:row r="1669" ht="21" customHeight="1">
      <x:c r="A1669" s="1" t="str">
        <x:v>C0010734</x:v>
      </x:c>
      <x:c r="B1669" s="1" t="n">
        <x:v>18</x:v>
      </x:c>
      <x:c r="C1669" s="1" t="n">
        <x:v>48</x:v>
      </x:c>
      <x:c r="D1669" s="6" t="n">
        <x:v>0</x:v>
      </x:c>
      <x:c r="E1669" s="6" t="n">
        <x:v>11766</x:v>
      </x:c>
      <x:c r="F1669" s="6" t="n">
        <x:v>0</x:v>
      </x:c>
      <x:c r="G1669" s="6" t="n">
        <x:v>11766</x:v>
      </x:c>
      <x:c r="H1669" s="6" t="n">
        <x:v>11766</x:v>
      </x:c>
    </x:row>
    <x:row r="1670" ht="21" customHeight="1">
      <x:c r="A1670" s="1" t="str">
        <x:v>C0007817</x:v>
      </x:c>
      <x:c r="B1670" s="1" t="n">
        <x:v>18</x:v>
      </x:c>
      <x:c r="C1670" s="1" t="n">
        <x:v>48</x:v>
      </x:c>
      <x:c r="D1670" s="6" t="n">
        <x:v>11766</x:v>
      </x:c>
      <x:c r="E1670" s="6" t="n">
        <x:v>0</x:v>
      </x:c>
      <x:c r="F1670" s="6" t="n">
        <x:v>0</x:v>
      </x:c>
      <x:c r="G1670" s="6" t="n">
        <x:v>0</x:v>
      </x:c>
      <x:c r="H1670" s="6" t="n">
        <x:v>-11766</x:v>
      </x:c>
    </x:row>
    <x:row r="1671" ht="21" customHeight="1">
      <x:c r="A1671" s="1" t="str">
        <x:v>C0006960</x:v>
      </x:c>
      <x:c r="B1671" s="1" t="n">
        <x:v>18</x:v>
      </x:c>
      <x:c r="C1671" s="1" t="n">
        <x:v>48</x:v>
      </x:c>
      <x:c r="D1671" s="6" t="n">
        <x:v>11766</x:v>
      </x:c>
      <x:c r="E1671" s="6" t="n">
        <x:v>23532</x:v>
      </x:c>
      <x:c r="F1671" s="6" t="n">
        <x:v>0</x:v>
      </x:c>
      <x:c r="G1671" s="6" t="n">
        <x:v>23532</x:v>
      </x:c>
      <x:c r="H1671" s="6" t="n">
        <x:v>11766</x:v>
      </x:c>
    </x:row>
    <x:row r="1672" ht="21" customHeight="1">
      <x:c r="A1672" s="1" t="str">
        <x:v>C0000143</x:v>
      </x:c>
      <x:c r="B1672" s="1" t="n">
        <x:v>18</x:v>
      </x:c>
      <x:c r="C1672" s="1" t="n">
        <x:v>48</x:v>
      </x:c>
      <x:c r="D1672" s="6" t="n">
        <x:v>11766</x:v>
      </x:c>
      <x:c r="E1672" s="6" t="n">
        <x:v>23532</x:v>
      </x:c>
      <x:c r="F1672" s="6" t="n">
        <x:v>0</x:v>
      </x:c>
      <x:c r="G1672" s="6" t="n">
        <x:v>23532</x:v>
      </x:c>
      <x:c r="H1672" s="6" t="n">
        <x:v>11766</x:v>
      </x:c>
    </x:row>
    <x:row r="1673" ht="21" customHeight="1">
      <x:c r="A1673" s="1" t="str">
        <x:v>C0006150</x:v>
      </x:c>
      <x:c r="B1673" s="1" t="n">
        <x:v>18</x:v>
      </x:c>
      <x:c r="C1673" s="1" t="n">
        <x:v>48</x:v>
      </x:c>
      <x:c r="D1673" s="6" t="n">
        <x:v>11766</x:v>
      </x:c>
      <x:c r="E1673" s="6" t="n">
        <x:v>0</x:v>
      </x:c>
      <x:c r="F1673" s="6" t="n">
        <x:v>0</x:v>
      </x:c>
      <x:c r="G1673" s="6" t="n">
        <x:v>0</x:v>
      </x:c>
      <x:c r="H1673" s="6" t="n">
        <x:v>-11766</x:v>
      </x:c>
    </x:row>
    <x:row r="1674" ht="21" customHeight="1">
      <x:c r="A1674" s="1" t="str">
        <x:v>C0004629</x:v>
      </x:c>
      <x:c r="B1674" s="1" t="n">
        <x:v>18</x:v>
      </x:c>
      <x:c r="C1674" s="1" t="n">
        <x:v>48</x:v>
      </x:c>
      <x:c r="D1674" s="6" t="n">
        <x:v>11766</x:v>
      </x:c>
      <x:c r="E1674" s="6" t="n">
        <x:v>23532</x:v>
      </x:c>
      <x:c r="F1674" s="6" t="n">
        <x:v>0</x:v>
      </x:c>
      <x:c r="G1674" s="6" t="n">
        <x:v>23532</x:v>
      </x:c>
      <x:c r="H1674" s="6" t="n">
        <x:v>11766</x:v>
      </x:c>
    </x:row>
    <x:row r="1675" ht="21" customHeight="1">
      <x:c r="A1675" s="1" t="str">
        <x:v>C0012673</x:v>
      </x:c>
      <x:c r="B1675" s="1" t="n">
        <x:v>14</x:v>
      </x:c>
      <x:c r="C1675" s="1" t="n">
        <x:v>44</x:v>
      </x:c>
      <x:c r="D1675" s="6" t="n">
        <x:v>11673</x:v>
      </x:c>
      <x:c r="E1675" s="6" t="n">
        <x:v>23346</x:v>
      </x:c>
      <x:c r="F1675" s="6" t="n">
        <x:v>0</x:v>
      </x:c>
      <x:c r="G1675" s="6" t="n">
        <x:v>23346</x:v>
      </x:c>
      <x:c r="H1675" s="6" t="n">
        <x:v>11673</x:v>
      </x:c>
    </x:row>
    <x:row r="1676" ht="21" customHeight="1">
      <x:c r="A1676" s="1" t="str">
        <x:v>C0010676</x:v>
      </x:c>
      <x:c r="B1676" s="1" t="n">
        <x:v>14</x:v>
      </x:c>
      <x:c r="C1676" s="1" t="n">
        <x:v>44</x:v>
      </x:c>
      <x:c r="D1676" s="6" t="n">
        <x:v>11673</x:v>
      </x:c>
      <x:c r="E1676" s="6" t="n">
        <x:v>0</x:v>
      </x:c>
      <x:c r="F1676" s="6" t="n">
        <x:v>0</x:v>
      </x:c>
      <x:c r="G1676" s="6" t="n">
        <x:v>0</x:v>
      </x:c>
      <x:c r="H1676" s="6" t="n">
        <x:v>-11673</x:v>
      </x:c>
    </x:row>
    <x:row r="1677" ht="21" customHeight="1">
      <x:c r="A1677" s="1" t="str">
        <x:v>C0003810</x:v>
      </x:c>
      <x:c r="B1677" s="1" t="n">
        <x:v>14</x:v>
      </x:c>
      <x:c r="C1677" s="1" t="n">
        <x:v>44</x:v>
      </x:c>
      <x:c r="D1677" s="6" t="n">
        <x:v>11673</x:v>
      </x:c>
      <x:c r="E1677" s="6" t="n">
        <x:v>0</x:v>
      </x:c>
      <x:c r="F1677" s="6" t="n">
        <x:v>0</x:v>
      </x:c>
      <x:c r="G1677" s="6" t="n">
        <x:v>0</x:v>
      </x:c>
      <x:c r="H1677" s="6" t="n">
        <x:v>-11673</x:v>
      </x:c>
    </x:row>
    <x:row r="1678" ht="21" customHeight="1">
      <x:c r="A1678" s="1" t="str">
        <x:v>C0016484</x:v>
      </x:c>
      <x:c r="B1678" s="1" t="n">
        <x:v>14</x:v>
      </x:c>
      <x:c r="C1678" s="1" t="n">
        <x:v>44</x:v>
      </x:c>
      <x:c r="D1678" s="6" t="n">
        <x:v>11673</x:v>
      </x:c>
      <x:c r="E1678" s="6" t="n">
        <x:v>23346</x:v>
      </x:c>
      <x:c r="F1678" s="6" t="n">
        <x:v>0</x:v>
      </x:c>
      <x:c r="G1678" s="6" t="n">
        <x:v>23346</x:v>
      </x:c>
      <x:c r="H1678" s="6" t="n">
        <x:v>11673</x:v>
      </x:c>
    </x:row>
    <x:row r="1679" ht="21" customHeight="1">
      <x:c r="A1679" s="1" t="str">
        <x:v>C0013589</x:v>
      </x:c>
      <x:c r="B1679" s="1" t="n">
        <x:v>14</x:v>
      </x:c>
      <x:c r="C1679" s="1" t="n">
        <x:v>44</x:v>
      </x:c>
      <x:c r="D1679" s="6" t="n">
        <x:v>11673</x:v>
      </x:c>
      <x:c r="E1679" s="6" t="n">
        <x:v>0</x:v>
      </x:c>
      <x:c r="F1679" s="6" t="n">
        <x:v>0</x:v>
      </x:c>
      <x:c r="G1679" s="6" t="n">
        <x:v>0</x:v>
      </x:c>
      <x:c r="H1679" s="6" t="n">
        <x:v>-11673</x:v>
      </x:c>
    </x:row>
    <x:row r="1680" ht="21" customHeight="1">
      <x:c r="A1680" s="1" t="str">
        <x:v>C0002177</x:v>
      </x:c>
      <x:c r="B1680" s="1" t="n">
        <x:v>14</x:v>
      </x:c>
      <x:c r="C1680" s="1" t="n">
        <x:v>44</x:v>
      </x:c>
      <x:c r="D1680" s="6" t="n">
        <x:v>11673</x:v>
      </x:c>
      <x:c r="E1680" s="6" t="n">
        <x:v>23346</x:v>
      </x:c>
      <x:c r="F1680" s="6" t="n">
        <x:v>0</x:v>
      </x:c>
      <x:c r="G1680" s="6" t="n">
        <x:v>23346</x:v>
      </x:c>
      <x:c r="H1680" s="6" t="n">
        <x:v>11673</x:v>
      </x:c>
    </x:row>
    <x:row r="1681" ht="21" customHeight="1">
      <x:c r="A1681" s="1" t="str">
        <x:v>C0000193</x:v>
      </x:c>
      <x:c r="B1681" s="1" t="n">
        <x:v>5</x:v>
      </x:c>
      <x:c r="C1681" s="1" t="n">
        <x:v>65</x:v>
      </x:c>
      <x:c r="D1681" s="6" t="n">
        <x:v>11572</x:v>
      </x:c>
      <x:c r="E1681" s="6" t="n">
        <x:v>23144</x:v>
      </x:c>
      <x:c r="F1681" s="6" t="n">
        <x:v>0</x:v>
      </x:c>
      <x:c r="G1681" s="6" t="n">
        <x:v>23144</x:v>
      </x:c>
      <x:c r="H1681" s="6" t="n">
        <x:v>11572</x:v>
      </x:c>
    </x:row>
    <x:row r="1682" ht="21" customHeight="1">
      <x:c r="A1682" s="1" t="str">
        <x:v>C0000630</x:v>
      </x:c>
      <x:c r="B1682" s="1" t="n">
        <x:v>5</x:v>
      </x:c>
      <x:c r="C1682" s="1" t="n">
        <x:v>65</x:v>
      </x:c>
      <x:c r="D1682" s="6" t="n">
        <x:v>11572</x:v>
      </x:c>
      <x:c r="E1682" s="6" t="n">
        <x:v>23144</x:v>
      </x:c>
      <x:c r="F1682" s="6" t="n">
        <x:v>0</x:v>
      </x:c>
      <x:c r="G1682" s="6" t="n">
        <x:v>23144</x:v>
      </x:c>
      <x:c r="H1682" s="6" t="n">
        <x:v>11572</x:v>
      </x:c>
    </x:row>
    <x:row r="1683" ht="21" customHeight="1">
      <x:c r="A1683" s="1" t="str">
        <x:v>C0005600</x:v>
      </x:c>
      <x:c r="B1683" s="1" t="n">
        <x:v>5</x:v>
      </x:c>
      <x:c r="C1683" s="1" t="n">
        <x:v>65</x:v>
      </x:c>
      <x:c r="D1683" s="6" t="n">
        <x:v>0</x:v>
      </x:c>
      <x:c r="E1683" s="6" t="n">
        <x:v>11572</x:v>
      </x:c>
      <x:c r="F1683" s="6" t="n">
        <x:v>0</x:v>
      </x:c>
      <x:c r="G1683" s="6" t="n">
        <x:v>11572</x:v>
      </x:c>
      <x:c r="H1683" s="6" t="n">
        <x:v>11572</x:v>
      </x:c>
    </x:row>
    <x:row r="1684" ht="21" customHeight="1">
      <x:c r="A1684" s="1" t="str">
        <x:v>C0005639</x:v>
      </x:c>
      <x:c r="B1684" s="1" t="n">
        <x:v>5</x:v>
      </x:c>
      <x:c r="C1684" s="1" t="n">
        <x:v>65</x:v>
      </x:c>
      <x:c r="D1684" s="6" t="n">
        <x:v>11572</x:v>
      </x:c>
      <x:c r="E1684" s="6" t="n">
        <x:v>0</x:v>
      </x:c>
      <x:c r="F1684" s="6" t="n">
        <x:v>0</x:v>
      </x:c>
      <x:c r="G1684" s="6" t="n">
        <x:v>0</x:v>
      </x:c>
      <x:c r="H1684" s="6" t="n">
        <x:v>-11572</x:v>
      </x:c>
    </x:row>
    <x:row r="1685" ht="21" customHeight="1">
      <x:c r="A1685" s="1" t="str">
        <x:v>C0003401</x:v>
      </x:c>
      <x:c r="B1685" s="1" t="n">
        <x:v>8</x:v>
      </x:c>
      <x:c r="C1685" s="1" t="n">
        <x:v>38</x:v>
      </x:c>
      <x:c r="D1685" s="6" t="n">
        <x:v>11567</x:v>
      </x:c>
      <x:c r="E1685" s="6" t="n">
        <x:v>23134</x:v>
      </x:c>
      <x:c r="F1685" s="6" t="n">
        <x:v>0</x:v>
      </x:c>
      <x:c r="G1685" s="6" t="n">
        <x:v>23134</x:v>
      </x:c>
      <x:c r="H1685" s="6" t="n">
        <x:v>11567</x:v>
      </x:c>
    </x:row>
    <x:row r="1686" ht="21" customHeight="1">
      <x:c r="A1686" s="1" t="str">
        <x:v>C0003848</x:v>
      </x:c>
      <x:c r="B1686" s="1" t="n">
        <x:v>8</x:v>
      </x:c>
      <x:c r="C1686" s="1" t="n">
        <x:v>38</x:v>
      </x:c>
      <x:c r="D1686" s="6" t="n">
        <x:v>11567</x:v>
      </x:c>
      <x:c r="E1686" s="6" t="n">
        <x:v>23134</x:v>
      </x:c>
      <x:c r="F1686" s="6" t="n">
        <x:v>0</x:v>
      </x:c>
      <x:c r="G1686" s="6" t="n">
        <x:v>23134</x:v>
      </x:c>
      <x:c r="H1686" s="6" t="n">
        <x:v>11567</x:v>
      </x:c>
    </x:row>
    <x:row r="1687" ht="21" customHeight="1">
      <x:c r="A1687" s="1" t="str">
        <x:v>C0015406</x:v>
      </x:c>
      <x:c r="B1687" s="1" t="n">
        <x:v>8</x:v>
      </x:c>
      <x:c r="C1687" s="1" t="n">
        <x:v>38</x:v>
      </x:c>
      <x:c r="D1687" s="6" t="n">
        <x:v>11567</x:v>
      </x:c>
      <x:c r="E1687" s="6" t="n">
        <x:v>0</x:v>
      </x:c>
      <x:c r="F1687" s="6" t="n">
        <x:v>0</x:v>
      </x:c>
      <x:c r="G1687" s="6" t="n">
        <x:v>0</x:v>
      </x:c>
      <x:c r="H1687" s="6" t="n">
        <x:v>-11567</x:v>
      </x:c>
    </x:row>
    <x:row r="1688" ht="21" customHeight="1">
      <x:c r="A1688" s="1" t="str">
        <x:v>C0003889</x:v>
      </x:c>
      <x:c r="B1688" s="1" t="n">
        <x:v>8</x:v>
      </x:c>
      <x:c r="C1688" s="1" t="n">
        <x:v>38</x:v>
      </x:c>
      <x:c r="D1688" s="6" t="n">
        <x:v>11567</x:v>
      </x:c>
      <x:c r="E1688" s="6" t="n">
        <x:v>0</x:v>
      </x:c>
      <x:c r="F1688" s="6" t="n">
        <x:v>0</x:v>
      </x:c>
      <x:c r="G1688" s="6" t="n">
        <x:v>0</x:v>
      </x:c>
      <x:c r="H1688" s="6" t="n">
        <x:v>-11567</x:v>
      </x:c>
    </x:row>
    <x:row r="1689" ht="21" customHeight="1">
      <x:c r="A1689" s="1" t="str">
        <x:v>C0010913</x:v>
      </x:c>
      <x:c r="B1689" s="1" t="n">
        <x:v>8</x:v>
      </x:c>
      <x:c r="C1689" s="1" t="n">
        <x:v>38</x:v>
      </x:c>
      <x:c r="D1689" s="6" t="n">
        <x:v>11567</x:v>
      </x:c>
      <x:c r="E1689" s="6" t="n">
        <x:v>23134</x:v>
      </x:c>
      <x:c r="F1689" s="6" t="n">
        <x:v>0</x:v>
      </x:c>
      <x:c r="G1689" s="6" t="n">
        <x:v>23134</x:v>
      </x:c>
      <x:c r="H1689" s="6" t="n">
        <x:v>11567</x:v>
      </x:c>
    </x:row>
    <x:row r="1690" ht="21" customHeight="1">
      <x:c r="A1690" s="1" t="str">
        <x:v>C0011123</x:v>
      </x:c>
      <x:c r="B1690" s="1" t="n">
        <x:v>8</x:v>
      </x:c>
      <x:c r="C1690" s="1" t="n">
        <x:v>38</x:v>
      </x:c>
      <x:c r="D1690" s="6" t="n">
        <x:v>11567</x:v>
      </x:c>
      <x:c r="E1690" s="6" t="n">
        <x:v>23134</x:v>
      </x:c>
      <x:c r="F1690" s="6" t="n">
        <x:v>0</x:v>
      </x:c>
      <x:c r="G1690" s="6" t="n">
        <x:v>23134</x:v>
      </x:c>
      <x:c r="H1690" s="6" t="n">
        <x:v>11567</x:v>
      </x:c>
    </x:row>
    <x:row r="1691" ht="21" customHeight="1">
      <x:c r="A1691" s="1" t="str">
        <x:v>C0016389</x:v>
      </x:c>
      <x:c r="B1691" s="1" t="n">
        <x:v>8</x:v>
      </x:c>
      <x:c r="C1691" s="1" t="n">
        <x:v>38</x:v>
      </x:c>
      <x:c r="D1691" s="6" t="n">
        <x:v>11567</x:v>
      </x:c>
      <x:c r="E1691" s="6" t="n">
        <x:v>0</x:v>
      </x:c>
      <x:c r="F1691" s="6" t="n">
        <x:v>0</x:v>
      </x:c>
      <x:c r="G1691" s="6" t="n">
        <x:v>0</x:v>
      </x:c>
      <x:c r="H1691" s="6" t="n">
        <x:v>-11567</x:v>
      </x:c>
    </x:row>
    <x:row r="1692" ht="21" customHeight="1">
      <x:c r="A1692" s="1" t="str">
        <x:v>C0000107</x:v>
      </x:c>
      <x:c r="B1692" s="1" t="n">
        <x:v>6</x:v>
      </x:c>
      <x:c r="C1692" s="1" t="n">
        <x:v>36</x:v>
      </x:c>
      <x:c r="D1692" s="6" t="n">
        <x:v>11461</x:v>
      </x:c>
      <x:c r="E1692" s="6" t="n">
        <x:v>22922</x:v>
      </x:c>
      <x:c r="F1692" s="6" t="n">
        <x:v>0</x:v>
      </x:c>
      <x:c r="G1692" s="6" t="n">
        <x:v>22922</x:v>
      </x:c>
      <x:c r="H1692" s="6" t="n">
        <x:v>11461</x:v>
      </x:c>
    </x:row>
    <x:row r="1693" ht="21" customHeight="1">
      <x:c r="A1693" s="1" t="str">
        <x:v>C0017395</x:v>
      </x:c>
      <x:c r="B1693" s="1" t="n">
        <x:v>6</x:v>
      </x:c>
      <x:c r="C1693" s="1" t="n">
        <x:v>36</x:v>
      </x:c>
      <x:c r="D1693" s="6" t="n">
        <x:v>11461</x:v>
      </x:c>
      <x:c r="E1693" s="6" t="n">
        <x:v>22922</x:v>
      </x:c>
      <x:c r="F1693" s="6" t="n">
        <x:v>0</x:v>
      </x:c>
      <x:c r="G1693" s="6" t="n">
        <x:v>22922</x:v>
      </x:c>
      <x:c r="H1693" s="6" t="n">
        <x:v>11461</x:v>
      </x:c>
    </x:row>
    <x:row r="1694" ht="21" customHeight="1">
      <x:c r="A1694" s="1" t="str">
        <x:v>C0008936</x:v>
      </x:c>
      <x:c r="B1694" s="1" t="n">
        <x:v>6</x:v>
      </x:c>
      <x:c r="C1694" s="1" t="n">
        <x:v>36</x:v>
      </x:c>
      <x:c r="D1694" s="6" t="n">
        <x:v>11461</x:v>
      </x:c>
      <x:c r="E1694" s="6" t="n">
        <x:v>22922</x:v>
      </x:c>
      <x:c r="F1694" s="6" t="n">
        <x:v>0</x:v>
      </x:c>
      <x:c r="G1694" s="6" t="n">
        <x:v>22922</x:v>
      </x:c>
      <x:c r="H1694" s="6" t="n">
        <x:v>11461</x:v>
      </x:c>
    </x:row>
    <x:row r="1695" ht="21" customHeight="1">
      <x:c r="A1695" s="1" t="str">
        <x:v>C0008524</x:v>
      </x:c>
      <x:c r="B1695" s="1" t="n">
        <x:v>6</x:v>
      </x:c>
      <x:c r="C1695" s="1" t="n">
        <x:v>36</x:v>
      </x:c>
      <x:c r="D1695" s="6" t="n">
        <x:v>11461</x:v>
      </x:c>
      <x:c r="E1695" s="6" t="n">
        <x:v>22922</x:v>
      </x:c>
      <x:c r="F1695" s="6" t="n">
        <x:v>0</x:v>
      </x:c>
      <x:c r="G1695" s="6" t="n">
        <x:v>22922</x:v>
      </x:c>
      <x:c r="H1695" s="6" t="n">
        <x:v>11461</x:v>
      </x:c>
    </x:row>
    <x:row r="1696" ht="21" customHeight="1">
      <x:c r="A1696" s="1" t="str">
        <x:v>C0017524</x:v>
      </x:c>
      <x:c r="B1696" s="1" t="n">
        <x:v>24</x:v>
      </x:c>
      <x:c r="C1696" s="1" t="n">
        <x:v>24</x:v>
      </x:c>
      <x:c r="D1696" s="6" t="n">
        <x:v>11408</x:v>
      </x:c>
      <x:c r="E1696" s="6" t="n">
        <x:v>22816</x:v>
      </x:c>
      <x:c r="F1696" s="6" t="n">
        <x:v>0</x:v>
      </x:c>
      <x:c r="G1696" s="6" t="n">
        <x:v>22816</x:v>
      </x:c>
      <x:c r="H1696" s="6" t="n">
        <x:v>11408</x:v>
      </x:c>
    </x:row>
    <x:row r="1697" ht="21" customHeight="1">
      <x:c r="A1697" s="1" t="str">
        <x:v>C0007578</x:v>
      </x:c>
      <x:c r="B1697" s="1" t="n">
        <x:v>24</x:v>
      </x:c>
      <x:c r="C1697" s="1" t="n">
        <x:v>24</x:v>
      </x:c>
      <x:c r="D1697" s="6" t="n">
        <x:v>11408</x:v>
      </x:c>
      <x:c r="E1697" s="6" t="n">
        <x:v>0</x:v>
      </x:c>
      <x:c r="F1697" s="6" t="n">
        <x:v>0</x:v>
      </x:c>
      <x:c r="G1697" s="6" t="n">
        <x:v>0</x:v>
      </x:c>
      <x:c r="H1697" s="6" t="n">
        <x:v>-11408</x:v>
      </x:c>
    </x:row>
    <x:row r="1698" ht="21" customHeight="1">
      <x:c r="A1698" s="1" t="str">
        <x:v>C0002013</x:v>
      </x:c>
      <x:c r="B1698" s="1" t="n">
        <x:v>24</x:v>
      </x:c>
      <x:c r="C1698" s="1" t="n">
        <x:v>24</x:v>
      </x:c>
      <x:c r="D1698" s="6" t="n">
        <x:v>11408</x:v>
      </x:c>
      <x:c r="E1698" s="6" t="n">
        <x:v>0</x:v>
      </x:c>
      <x:c r="F1698" s="6" t="n">
        <x:v>0</x:v>
      </x:c>
      <x:c r="G1698" s="6" t="n">
        <x:v>0</x:v>
      </x:c>
      <x:c r="H1698" s="6" t="n">
        <x:v>-11408</x:v>
      </x:c>
    </x:row>
    <x:row r="1699" ht="21" customHeight="1">
      <x:c r="A1699" s="1" t="str">
        <x:v>C0014362</x:v>
      </x:c>
      <x:c r="B1699" s="1" t="n">
        <x:v>24</x:v>
      </x:c>
      <x:c r="C1699" s="1" t="n">
        <x:v>24</x:v>
      </x:c>
      <x:c r="D1699" s="6" t="n">
        <x:v>11408</x:v>
      </x:c>
      <x:c r="E1699" s="6" t="n">
        <x:v>0</x:v>
      </x:c>
      <x:c r="F1699" s="6" t="n">
        <x:v>0</x:v>
      </x:c>
      <x:c r="G1699" s="6" t="n">
        <x:v>0</x:v>
      </x:c>
      <x:c r="H1699" s="6" t="n">
        <x:v>-11408</x:v>
      </x:c>
    </x:row>
    <x:row r="1700" ht="21" customHeight="1">
      <x:c r="A1700" s="1" t="str">
        <x:v>C0010060</x:v>
      </x:c>
      <x:c r="B1700" s="1" t="n">
        <x:v>24</x:v>
      </x:c>
      <x:c r="C1700" s="1" t="n">
        <x:v>24</x:v>
      </x:c>
      <x:c r="D1700" s="6" t="n">
        <x:v>11408</x:v>
      </x:c>
      <x:c r="E1700" s="6" t="n">
        <x:v>22816</x:v>
      </x:c>
      <x:c r="F1700" s="6" t="n">
        <x:v>0</x:v>
      </x:c>
      <x:c r="G1700" s="6" t="n">
        <x:v>22816</x:v>
      </x:c>
      <x:c r="H1700" s="6" t="n">
        <x:v>11408</x:v>
      </x:c>
    </x:row>
    <x:row r="1701" ht="21" customHeight="1">
      <x:c r="A1701" s="1" t="str">
        <x:v>C0001578</x:v>
      </x:c>
      <x:c r="B1701" s="1" t="n">
        <x:v>24</x:v>
      </x:c>
      <x:c r="C1701" s="1" t="n">
        <x:v>24</x:v>
      </x:c>
      <x:c r="D1701" s="6" t="n">
        <x:v>11408</x:v>
      </x:c>
      <x:c r="E1701" s="6" t="n">
        <x:v>0</x:v>
      </x:c>
      <x:c r="F1701" s="6" t="n">
        <x:v>0</x:v>
      </x:c>
      <x:c r="G1701" s="6" t="n">
        <x:v>0</x:v>
      </x:c>
      <x:c r="H1701" s="6" t="n">
        <x:v>-11408</x:v>
      </x:c>
    </x:row>
    <x:row r="1702" ht="21" customHeight="1">
      <x:c r="A1702" s="1" t="str">
        <x:v>C0010647</x:v>
      </x:c>
      <x:c r="B1702" s="1" t="n">
        <x:v>24</x:v>
      </x:c>
      <x:c r="C1702" s="1" t="n">
        <x:v>24</x:v>
      </x:c>
      <x:c r="D1702" s="6" t="n">
        <x:v>11408</x:v>
      </x:c>
      <x:c r="E1702" s="6" t="n">
        <x:v>22816</x:v>
      </x:c>
      <x:c r="F1702" s="6" t="n">
        <x:v>0</x:v>
      </x:c>
      <x:c r="G1702" s="6" t="n">
        <x:v>22816</x:v>
      </x:c>
      <x:c r="H1702" s="6" t="n">
        <x:v>11408</x:v>
      </x:c>
    </x:row>
    <x:row r="1703" ht="21" customHeight="1">
      <x:c r="A1703" s="1" t="str">
        <x:v>C0007076</x:v>
      </x:c>
      <x:c r="B1703" s="1" t="n">
        <x:v>24</x:v>
      </x:c>
      <x:c r="C1703" s="1" t="n">
        <x:v>24</x:v>
      </x:c>
      <x:c r="D1703" s="6" t="n">
        <x:v>11408</x:v>
      </x:c>
      <x:c r="E1703" s="6" t="n">
        <x:v>22816</x:v>
      </x:c>
      <x:c r="F1703" s="6" t="n">
        <x:v>0</x:v>
      </x:c>
      <x:c r="G1703" s="6" t="n">
        <x:v>22816</x:v>
      </x:c>
      <x:c r="H1703" s="6" t="n">
        <x:v>11408</x:v>
      </x:c>
    </x:row>
    <x:row r="1704" ht="21" customHeight="1">
      <x:c r="A1704" s="1" t="str">
        <x:v>C0009829</x:v>
      </x:c>
      <x:c r="B1704" s="1" t="n">
        <x:v>24</x:v>
      </x:c>
      <x:c r="C1704" s="1" t="n">
        <x:v>24</x:v>
      </x:c>
      <x:c r="D1704" s="6" t="n">
        <x:v>11408</x:v>
      </x:c>
      <x:c r="E1704" s="6" t="n">
        <x:v>0</x:v>
      </x:c>
      <x:c r="F1704" s="6" t="n">
        <x:v>0</x:v>
      </x:c>
      <x:c r="G1704" s="6" t="n">
        <x:v>0</x:v>
      </x:c>
      <x:c r="H1704" s="6" t="n">
        <x:v>-11408</x:v>
      </x:c>
    </x:row>
    <x:row r="1705" ht="21" customHeight="1">
      <x:c r="A1705" s="1" t="str">
        <x:v>C0016157</x:v>
      </x:c>
      <x:c r="B1705" s="1" t="n">
        <x:v>24</x:v>
      </x:c>
      <x:c r="C1705" s="1" t="n">
        <x:v>24</x:v>
      </x:c>
      <x:c r="D1705" s="6" t="n">
        <x:v>11408</x:v>
      </x:c>
      <x:c r="E1705" s="6" t="n">
        <x:v>22816</x:v>
      </x:c>
      <x:c r="F1705" s="6" t="n">
        <x:v>0</x:v>
      </x:c>
      <x:c r="G1705" s="6" t="n">
        <x:v>22816</x:v>
      </x:c>
      <x:c r="H1705" s="6" t="n">
        <x:v>11408</x:v>
      </x:c>
    </x:row>
    <x:row r="1706" ht="21" customHeight="1">
      <x:c r="A1706" s="1" t="str">
        <x:v>C0016745</x:v>
      </x:c>
      <x:c r="B1706" s="1" t="n">
        <x:v>25</x:v>
      </x:c>
      <x:c r="C1706" s="1" t="n">
        <x:v>85</x:v>
      </x:c>
      <x:c r="D1706" s="6" t="n">
        <x:v>11389</x:v>
      </x:c>
      <x:c r="E1706" s="6" t="n">
        <x:v>22778</x:v>
      </x:c>
      <x:c r="F1706" s="6" t="n">
        <x:v>0</x:v>
      </x:c>
      <x:c r="G1706" s="6" t="n">
        <x:v>22778</x:v>
      </x:c>
      <x:c r="H1706" s="6" t="n">
        <x:v>11389</x:v>
      </x:c>
    </x:row>
    <x:row r="1707" ht="21" customHeight="1">
      <x:c r="A1707" s="1" t="str">
        <x:v>C0011060</x:v>
      </x:c>
      <x:c r="B1707" s="1" t="n">
        <x:v>25</x:v>
      </x:c>
      <x:c r="C1707" s="1" t="n">
        <x:v>85</x:v>
      </x:c>
      <x:c r="D1707" s="6" t="n">
        <x:v>11389</x:v>
      </x:c>
      <x:c r="E1707" s="6" t="n">
        <x:v>22778</x:v>
      </x:c>
      <x:c r="F1707" s="6" t="n">
        <x:v>0</x:v>
      </x:c>
      <x:c r="G1707" s="6" t="n">
        <x:v>22778</x:v>
      </x:c>
      <x:c r="H1707" s="6" t="n">
        <x:v>11389</x:v>
      </x:c>
    </x:row>
    <x:row r="1708" ht="21" customHeight="1">
      <x:c r="A1708" s="1" t="str">
        <x:v>C0017572</x:v>
      </x:c>
      <x:c r="B1708" s="1" t="n">
        <x:v>25</x:v>
      </x:c>
      <x:c r="C1708" s="1" t="n">
        <x:v>85</x:v>
      </x:c>
      <x:c r="D1708" s="6" t="n">
        <x:v>11389</x:v>
      </x:c>
      <x:c r="E1708" s="6" t="n">
        <x:v>0</x:v>
      </x:c>
      <x:c r="F1708" s="6" t="n">
        <x:v>0</x:v>
      </x:c>
      <x:c r="G1708" s="6" t="n">
        <x:v>0</x:v>
      </x:c>
      <x:c r="H1708" s="6" t="n">
        <x:v>-11389</x:v>
      </x:c>
    </x:row>
    <x:row r="1709" ht="21" customHeight="1">
      <x:c r="A1709" s="1" t="str">
        <x:v>C0012181</x:v>
      </x:c>
      <x:c r="B1709" s="1" t="n">
        <x:v>25</x:v>
      </x:c>
      <x:c r="C1709" s="1" t="n">
        <x:v>85</x:v>
      </x:c>
      <x:c r="D1709" s="6" t="n">
        <x:v>0</x:v>
      </x:c>
      <x:c r="E1709" s="6" t="n">
        <x:v>11389</x:v>
      </x:c>
      <x:c r="F1709" s="6" t="n">
        <x:v>0</x:v>
      </x:c>
      <x:c r="G1709" s="6" t="n">
        <x:v>11389</x:v>
      </x:c>
      <x:c r="H1709" s="6" t="n">
        <x:v>11389</x:v>
      </x:c>
    </x:row>
    <x:row r="1710" ht="21" customHeight="1">
      <x:c r="A1710" s="1" t="str">
        <x:v>C0000461</x:v>
      </x:c>
      <x:c r="B1710" s="1" t="n">
        <x:v>25</x:v>
      </x:c>
      <x:c r="C1710" s="1" t="n">
        <x:v>85</x:v>
      </x:c>
      <x:c r="D1710" s="6" t="n">
        <x:v>11389</x:v>
      </x:c>
      <x:c r="E1710" s="6" t="n">
        <x:v>0</x:v>
      </x:c>
      <x:c r="F1710" s="6" t="n">
        <x:v>0</x:v>
      </x:c>
      <x:c r="G1710" s="6" t="n">
        <x:v>0</x:v>
      </x:c>
      <x:c r="H1710" s="6" t="n">
        <x:v>-11389</x:v>
      </x:c>
    </x:row>
    <x:row r="1711" ht="21" customHeight="1">
      <x:c r="A1711" s="1" t="str">
        <x:v>C0017565</x:v>
      </x:c>
      <x:c r="B1711" s="1" t="n">
        <x:v>17</x:v>
      </x:c>
      <x:c r="C1711" s="1" t="n">
        <x:v>47</x:v>
      </x:c>
      <x:c r="D1711" s="6" t="n">
        <x:v>11308</x:v>
      </x:c>
      <x:c r="E1711" s="6" t="n">
        <x:v>22616</x:v>
      </x:c>
      <x:c r="F1711" s="6" t="n">
        <x:v>0</x:v>
      </x:c>
      <x:c r="G1711" s="6" t="n">
        <x:v>22616</x:v>
      </x:c>
      <x:c r="H1711" s="6" t="n">
        <x:v>11308</x:v>
      </x:c>
    </x:row>
    <x:row r="1712" ht="21" customHeight="1">
      <x:c r="A1712" s="1" t="str">
        <x:v>C0017381</x:v>
      </x:c>
      <x:c r="B1712" s="1" t="n">
        <x:v>17</x:v>
      </x:c>
      <x:c r="C1712" s="1" t="n">
        <x:v>47</x:v>
      </x:c>
      <x:c r="D1712" s="6" t="n">
        <x:v>11308</x:v>
      </x:c>
      <x:c r="E1712" s="6" t="n">
        <x:v>22616</x:v>
      </x:c>
      <x:c r="F1712" s="6" t="n">
        <x:v>0</x:v>
      </x:c>
      <x:c r="G1712" s="6" t="n">
        <x:v>22616</x:v>
      </x:c>
      <x:c r="H1712" s="6" t="n">
        <x:v>11308</x:v>
      </x:c>
    </x:row>
    <x:row r="1713" ht="21" customHeight="1">
      <x:c r="A1713" s="1" t="str">
        <x:v>C0016780</x:v>
      </x:c>
      <x:c r="B1713" s="1" t="n">
        <x:v>17</x:v>
      </x:c>
      <x:c r="C1713" s="1" t="n">
        <x:v>47</x:v>
      </x:c>
      <x:c r="D1713" s="6" t="n">
        <x:v>11308</x:v>
      </x:c>
      <x:c r="E1713" s="6" t="n">
        <x:v>22616</x:v>
      </x:c>
      <x:c r="F1713" s="6" t="n">
        <x:v>0</x:v>
      </x:c>
      <x:c r="G1713" s="6" t="n">
        <x:v>22616</x:v>
      </x:c>
      <x:c r="H1713" s="6" t="n">
        <x:v>11308</x:v>
      </x:c>
    </x:row>
    <x:row r="1714" ht="21" customHeight="1">
      <x:c r="A1714" s="1" t="str">
        <x:v>C0002470</x:v>
      </x:c>
      <x:c r="B1714" s="1" t="n">
        <x:v>17</x:v>
      </x:c>
      <x:c r="C1714" s="1" t="n">
        <x:v>47</x:v>
      </x:c>
      <x:c r="D1714" s="6" t="n">
        <x:v>11308</x:v>
      </x:c>
      <x:c r="E1714" s="6" t="n">
        <x:v>22616</x:v>
      </x:c>
      <x:c r="F1714" s="6" t="n">
        <x:v>0</x:v>
      </x:c>
      <x:c r="G1714" s="6" t="n">
        <x:v>22616</x:v>
      </x:c>
      <x:c r="H1714" s="6" t="n">
        <x:v>11308</x:v>
      </x:c>
    </x:row>
    <x:row r="1715" ht="21" customHeight="1">
      <x:c r="A1715" s="1" t="str">
        <x:v>C0012990</x:v>
      </x:c>
      <x:c r="B1715" s="1" t="n">
        <x:v>17</x:v>
      </x:c>
      <x:c r="C1715" s="1" t="n">
        <x:v>47</x:v>
      </x:c>
      <x:c r="D1715" s="6" t="n">
        <x:v>11308</x:v>
      </x:c>
      <x:c r="E1715" s="6" t="n">
        <x:v>22616</x:v>
      </x:c>
      <x:c r="F1715" s="6" t="n">
        <x:v>0</x:v>
      </x:c>
      <x:c r="G1715" s="6" t="n">
        <x:v>22616</x:v>
      </x:c>
      <x:c r="H1715" s="6" t="n">
        <x:v>11308</x:v>
      </x:c>
    </x:row>
    <x:row r="1716" ht="21" customHeight="1">
      <x:c r="A1716" s="1" t="str">
        <x:v>C0013114</x:v>
      </x:c>
      <x:c r="B1716" s="1" t="n">
        <x:v>17</x:v>
      </x:c>
      <x:c r="C1716" s="1" t="n">
        <x:v>47</x:v>
      </x:c>
      <x:c r="D1716" s="6" t="n">
        <x:v>11308</x:v>
      </x:c>
      <x:c r="E1716" s="6" t="n">
        <x:v>22616</x:v>
      </x:c>
      <x:c r="F1716" s="6" t="n">
        <x:v>0</x:v>
      </x:c>
      <x:c r="G1716" s="6" t="n">
        <x:v>22616</x:v>
      </x:c>
      <x:c r="H1716" s="6" t="n">
        <x:v>11308</x:v>
      </x:c>
    </x:row>
    <x:row r="1717" ht="21" customHeight="1">
      <x:c r="A1717" s="1" t="str">
        <x:v>C0004409</x:v>
      </x:c>
      <x:c r="B1717" s="1" t="n">
        <x:v>17</x:v>
      </x:c>
      <x:c r="C1717" s="1" t="n">
        <x:v>47</x:v>
      </x:c>
      <x:c r="D1717" s="6" t="n">
        <x:v>11308</x:v>
      </x:c>
      <x:c r="E1717" s="6" t="n">
        <x:v>0</x:v>
      </x:c>
      <x:c r="F1717" s="6" t="n">
        <x:v>0</x:v>
      </x:c>
      <x:c r="G1717" s="6" t="n">
        <x:v>0</x:v>
      </x:c>
      <x:c r="H1717" s="6" t="n">
        <x:v>-11308</x:v>
      </x:c>
    </x:row>
    <x:row r="1718" ht="21" customHeight="1">
      <x:c r="A1718" s="1" t="str">
        <x:v>C0001003</x:v>
      </x:c>
      <x:c r="B1718" s="1" t="n">
        <x:v>17</x:v>
      </x:c>
      <x:c r="C1718" s="1" t="n">
        <x:v>47</x:v>
      </x:c>
      <x:c r="D1718" s="6" t="n">
        <x:v>11308</x:v>
      </x:c>
      <x:c r="E1718" s="6" t="n">
        <x:v>22616</x:v>
      </x:c>
      <x:c r="F1718" s="6" t="n">
        <x:v>0</x:v>
      </x:c>
      <x:c r="G1718" s="6" t="n">
        <x:v>22616</x:v>
      </x:c>
      <x:c r="H1718" s="6" t="n">
        <x:v>11308</x:v>
      </x:c>
    </x:row>
    <x:row r="1719" ht="21" customHeight="1">
      <x:c r="A1719" s="1" t="str">
        <x:v>C0015364</x:v>
      </x:c>
      <x:c r="B1719" s="1" t="n">
        <x:v>14</x:v>
      </x:c>
      <x:c r="C1719" s="1" t="n">
        <x:v>44</x:v>
      </x:c>
      <x:c r="D1719" s="6" t="n">
        <x:v>11289</x:v>
      </x:c>
      <x:c r="E1719" s="6" t="n">
        <x:v>0</x:v>
      </x:c>
      <x:c r="F1719" s="6" t="n">
        <x:v>0</x:v>
      </x:c>
      <x:c r="G1719" s="6" t="n">
        <x:v>0</x:v>
      </x:c>
      <x:c r="H1719" s="6" t="n">
        <x:v>-11289</x:v>
      </x:c>
    </x:row>
    <x:row r="1720" ht="21" customHeight="1">
      <x:c r="A1720" s="1" t="str">
        <x:v>C0005208</x:v>
      </x:c>
      <x:c r="B1720" s="1" t="n">
        <x:v>14</x:v>
      </x:c>
      <x:c r="C1720" s="1" t="n">
        <x:v>44</x:v>
      </x:c>
      <x:c r="D1720" s="6" t="n">
        <x:v>0</x:v>
      </x:c>
      <x:c r="E1720" s="6" t="n">
        <x:v>11289</x:v>
      </x:c>
      <x:c r="F1720" s="6" t="n">
        <x:v>0</x:v>
      </x:c>
      <x:c r="G1720" s="6" t="n">
        <x:v>11289</x:v>
      </x:c>
      <x:c r="H1720" s="6" t="n">
        <x:v>11289</x:v>
      </x:c>
    </x:row>
    <x:row r="1721" ht="21" customHeight="1">
      <x:c r="A1721" s="1" t="str">
        <x:v>C0016544</x:v>
      </x:c>
      <x:c r="B1721" s="1" t="n">
        <x:v>14</x:v>
      </x:c>
      <x:c r="C1721" s="1" t="n">
        <x:v>44</x:v>
      </x:c>
      <x:c r="D1721" s="6" t="n">
        <x:v>11289</x:v>
      </x:c>
      <x:c r="E1721" s="6" t="n">
        <x:v>0</x:v>
      </x:c>
      <x:c r="F1721" s="6" t="n">
        <x:v>0</x:v>
      </x:c>
      <x:c r="G1721" s="6" t="n">
        <x:v>0</x:v>
      </x:c>
      <x:c r="H1721" s="6" t="n">
        <x:v>-11289</x:v>
      </x:c>
    </x:row>
    <x:row r="1722" ht="21" customHeight="1">
      <x:c r="A1722" s="1" t="str">
        <x:v>C0013279</x:v>
      </x:c>
      <x:c r="B1722" s="1" t="n">
        <x:v>14</x:v>
      </x:c>
      <x:c r="C1722" s="1" t="n">
        <x:v>44</x:v>
      </x:c>
      <x:c r="D1722" s="6" t="n">
        <x:v>11289</x:v>
      </x:c>
      <x:c r="E1722" s="6" t="n">
        <x:v>0</x:v>
      </x:c>
      <x:c r="F1722" s="6" t="n">
        <x:v>0</x:v>
      </x:c>
      <x:c r="G1722" s="6" t="n">
        <x:v>0</x:v>
      </x:c>
      <x:c r="H1722" s="6" t="n">
        <x:v>-11289</x:v>
      </x:c>
    </x:row>
    <x:row r="1723" ht="21" customHeight="1">
      <x:c r="A1723" s="1" t="str">
        <x:v>C0004787</x:v>
      </x:c>
      <x:c r="B1723" s="1" t="n">
        <x:v>14</x:v>
      </x:c>
      <x:c r="C1723" s="1" t="n">
        <x:v>44</x:v>
      </x:c>
      <x:c r="D1723" s="6" t="n">
        <x:v>11289</x:v>
      </x:c>
      <x:c r="E1723" s="6" t="n">
        <x:v>22578</x:v>
      </x:c>
      <x:c r="F1723" s="6" t="n">
        <x:v>0</x:v>
      </x:c>
      <x:c r="G1723" s="6" t="n">
        <x:v>22578</x:v>
      </x:c>
      <x:c r="H1723" s="6" t="n">
        <x:v>11289</x:v>
      </x:c>
    </x:row>
    <x:row r="1724" ht="21" customHeight="1">
      <x:c r="A1724" s="1" t="str">
        <x:v>C0006322</x:v>
      </x:c>
      <x:c r="B1724" s="1" t="n">
        <x:v>26</x:v>
      </x:c>
      <x:c r="C1724" s="1" t="n">
        <x:v>86</x:v>
      </x:c>
      <x:c r="D1724" s="6" t="n">
        <x:v>11251</x:v>
      </x:c>
      <x:c r="E1724" s="6" t="n">
        <x:v>22502</x:v>
      </x:c>
      <x:c r="F1724" s="6" t="n">
        <x:v>0</x:v>
      </x:c>
      <x:c r="G1724" s="6" t="n">
        <x:v>22502</x:v>
      </x:c>
      <x:c r="H1724" s="6" t="n">
        <x:v>11251</x:v>
      </x:c>
    </x:row>
    <x:row r="1725" ht="21" customHeight="1">
      <x:c r="A1725" s="1" t="str">
        <x:v>C0012218</x:v>
      </x:c>
      <x:c r="B1725" s="1" t="n">
        <x:v>26</x:v>
      </x:c>
      <x:c r="C1725" s="1" t="n">
        <x:v>86</x:v>
      </x:c>
      <x:c r="D1725" s="6" t="n">
        <x:v>11251</x:v>
      </x:c>
      <x:c r="E1725" s="6" t="n">
        <x:v>22502</x:v>
      </x:c>
      <x:c r="F1725" s="6" t="n">
        <x:v>0</x:v>
      </x:c>
      <x:c r="G1725" s="6" t="n">
        <x:v>22502</x:v>
      </x:c>
      <x:c r="H1725" s="6" t="n">
        <x:v>11251</x:v>
      </x:c>
    </x:row>
    <x:row r="1726" ht="21" customHeight="1">
      <x:c r="A1726" s="1" t="str">
        <x:v>C0017009</x:v>
      </x:c>
      <x:c r="B1726" s="1" t="n">
        <x:v>26</x:v>
      </x:c>
      <x:c r="C1726" s="1" t="n">
        <x:v>86</x:v>
      </x:c>
      <x:c r="D1726" s="6" t="n">
        <x:v>11251</x:v>
      </x:c>
      <x:c r="E1726" s="6" t="n">
        <x:v>22502</x:v>
      </x:c>
      <x:c r="F1726" s="6" t="n">
        <x:v>0</x:v>
      </x:c>
      <x:c r="G1726" s="6" t="n">
        <x:v>22502</x:v>
      </x:c>
      <x:c r="H1726" s="6" t="n">
        <x:v>11251</x:v>
      </x:c>
    </x:row>
    <x:row r="1727" ht="21" customHeight="1">
      <x:c r="A1727" s="1" t="str">
        <x:v>C0003573</x:v>
      </x:c>
      <x:c r="B1727" s="1" t="n">
        <x:v>26</x:v>
      </x:c>
      <x:c r="C1727" s="1" t="n">
        <x:v>86</x:v>
      </x:c>
      <x:c r="D1727" s="6" t="n">
        <x:v>11251</x:v>
      </x:c>
      <x:c r="E1727" s="6" t="n">
        <x:v>22502</x:v>
      </x:c>
      <x:c r="F1727" s="6" t="n">
        <x:v>0</x:v>
      </x:c>
      <x:c r="G1727" s="6" t="n">
        <x:v>22502</x:v>
      </x:c>
      <x:c r="H1727" s="6" t="n">
        <x:v>11251</x:v>
      </x:c>
    </x:row>
    <x:row r="1728" ht="21" customHeight="1">
      <x:c r="A1728" s="1" t="str">
        <x:v>C0011246</x:v>
      </x:c>
      <x:c r="B1728" s="1" t="n">
        <x:v>26</x:v>
      </x:c>
      <x:c r="C1728" s="1" t="n">
        <x:v>86</x:v>
      </x:c>
      <x:c r="D1728" s="6" t="n">
        <x:v>11251</x:v>
      </x:c>
      <x:c r="E1728" s="6" t="n">
        <x:v>22502</x:v>
      </x:c>
      <x:c r="F1728" s="6" t="n">
        <x:v>0</x:v>
      </x:c>
      <x:c r="G1728" s="6" t="n">
        <x:v>22502</x:v>
      </x:c>
      <x:c r="H1728" s="6" t="n">
        <x:v>11251</x:v>
      </x:c>
    </x:row>
    <x:row r="1729" ht="21" customHeight="1">
      <x:c r="A1729" s="1" t="str">
        <x:v>C0005157</x:v>
      </x:c>
      <x:c r="B1729" s="1" t="n">
        <x:v>26</x:v>
      </x:c>
      <x:c r="C1729" s="1" t="n">
        <x:v>86</x:v>
      </x:c>
      <x:c r="D1729" s="6" t="n">
        <x:v>11251</x:v>
      </x:c>
      <x:c r="E1729" s="6" t="n">
        <x:v>0</x:v>
      </x:c>
      <x:c r="F1729" s="6" t="n">
        <x:v>0</x:v>
      </x:c>
      <x:c r="G1729" s="6" t="n">
        <x:v>0</x:v>
      </x:c>
      <x:c r="H1729" s="6" t="n">
        <x:v>-11251</x:v>
      </x:c>
    </x:row>
    <x:row r="1730" ht="21" customHeight="1">
      <x:c r="A1730" s="1" t="str">
        <x:v>C0017183</x:v>
      </x:c>
      <x:c r="B1730" s="1" t="n">
        <x:v>26</x:v>
      </x:c>
      <x:c r="C1730" s="1" t="n">
        <x:v>86</x:v>
      </x:c>
      <x:c r="D1730" s="6" t="n">
        <x:v>11251</x:v>
      </x:c>
      <x:c r="E1730" s="6" t="n">
        <x:v>0</x:v>
      </x:c>
      <x:c r="F1730" s="6" t="n">
        <x:v>0</x:v>
      </x:c>
      <x:c r="G1730" s="6" t="n">
        <x:v>0</x:v>
      </x:c>
      <x:c r="H1730" s="6" t="n">
        <x:v>-11251</x:v>
      </x:c>
    </x:row>
    <x:row r="1731" ht="21" customHeight="1">
      <x:c r="A1731" s="1" t="str">
        <x:v>C0015748</x:v>
      </x:c>
      <x:c r="B1731" s="1" t="n">
        <x:v>26</x:v>
      </x:c>
      <x:c r="C1731" s="1" t="n">
        <x:v>86</x:v>
      </x:c>
      <x:c r="D1731" s="6" t="n">
        <x:v>11251</x:v>
      </x:c>
      <x:c r="E1731" s="6" t="n">
        <x:v>22502</x:v>
      </x:c>
      <x:c r="F1731" s="6" t="n">
        <x:v>0</x:v>
      </x:c>
      <x:c r="G1731" s="6" t="n">
        <x:v>22502</x:v>
      </x:c>
      <x:c r="H1731" s="6" t="n">
        <x:v>11251</x:v>
      </x:c>
    </x:row>
    <x:row r="1732" ht="21" customHeight="1">
      <x:c r="A1732" s="1" t="str">
        <x:v>C0017923</x:v>
      </x:c>
      <x:c r="B1732" s="1" t="n">
        <x:v>5</x:v>
      </x:c>
      <x:c r="C1732" s="1" t="n">
        <x:v>65</x:v>
      </x:c>
      <x:c r="D1732" s="6" t="n">
        <x:v>11127</x:v>
      </x:c>
      <x:c r="E1732" s="6" t="n">
        <x:v>22254</x:v>
      </x:c>
      <x:c r="F1732" s="6" t="n">
        <x:v>0</x:v>
      </x:c>
      <x:c r="G1732" s="6" t="n">
        <x:v>22254</x:v>
      </x:c>
      <x:c r="H1732" s="6" t="n">
        <x:v>11127</x:v>
      </x:c>
    </x:row>
    <x:row r="1733" ht="21" customHeight="1">
      <x:c r="A1733" s="1" t="str">
        <x:v>C0013754</x:v>
      </x:c>
      <x:c r="B1733" s="1" t="n">
        <x:v>5</x:v>
      </x:c>
      <x:c r="C1733" s="1" t="n">
        <x:v>65</x:v>
      </x:c>
      <x:c r="D1733" s="6" t="n">
        <x:v>11127</x:v>
      </x:c>
      <x:c r="E1733" s="6" t="n">
        <x:v>22254</x:v>
      </x:c>
      <x:c r="F1733" s="6" t="n">
        <x:v>0</x:v>
      </x:c>
      <x:c r="G1733" s="6" t="n">
        <x:v>22254</x:v>
      </x:c>
      <x:c r="H1733" s="6" t="n">
        <x:v>11127</x:v>
      </x:c>
    </x:row>
    <x:row r="1734" ht="21" customHeight="1">
      <x:c r="A1734" s="1" t="str">
        <x:v>C0010349</x:v>
      </x:c>
      <x:c r="B1734" s="1" t="n">
        <x:v>5</x:v>
      </x:c>
      <x:c r="C1734" s="1" t="n">
        <x:v>65</x:v>
      </x:c>
      <x:c r="D1734" s="6" t="n">
        <x:v>0</x:v>
      </x:c>
      <x:c r="E1734" s="6" t="n">
        <x:v>11127</x:v>
      </x:c>
      <x:c r="F1734" s="6" t="n">
        <x:v>0</x:v>
      </x:c>
      <x:c r="G1734" s="6" t="n">
        <x:v>11127</x:v>
      </x:c>
      <x:c r="H1734" s="6" t="n">
        <x:v>11127</x:v>
      </x:c>
    </x:row>
    <x:row r="1735" ht="21" customHeight="1">
      <x:c r="A1735" s="1" t="str">
        <x:v>C0008429</x:v>
      </x:c>
      <x:c r="B1735" s="1" t="n">
        <x:v>5</x:v>
      </x:c>
      <x:c r="C1735" s="1" t="n">
        <x:v>65</x:v>
      </x:c>
      <x:c r="D1735" s="6" t="n">
        <x:v>11127</x:v>
      </x:c>
      <x:c r="E1735" s="6" t="n">
        <x:v>22254</x:v>
      </x:c>
      <x:c r="F1735" s="6" t="n">
        <x:v>0</x:v>
      </x:c>
      <x:c r="G1735" s="6" t="n">
        <x:v>22254</x:v>
      </x:c>
      <x:c r="H1735" s="6" t="n">
        <x:v>11127</x:v>
      </x:c>
    </x:row>
    <x:row r="1736" ht="21" customHeight="1">
      <x:c r="A1736" s="1" t="str">
        <x:v>C0003901</x:v>
      </x:c>
      <x:c r="B1736" s="1" t="n">
        <x:v>5</x:v>
      </x:c>
      <x:c r="C1736" s="1" t="n">
        <x:v>65</x:v>
      </x:c>
      <x:c r="D1736" s="6" t="n">
        <x:v>11127</x:v>
      </x:c>
      <x:c r="E1736" s="6" t="n">
        <x:v>22254</x:v>
      </x:c>
      <x:c r="F1736" s="6" t="n">
        <x:v>0</x:v>
      </x:c>
      <x:c r="G1736" s="6" t="n">
        <x:v>22254</x:v>
      </x:c>
      <x:c r="H1736" s="6" t="n">
        <x:v>11127</x:v>
      </x:c>
    </x:row>
    <x:row r="1737" ht="21" customHeight="1">
      <x:c r="A1737" s="1" t="str">
        <x:v>C0009886</x:v>
      </x:c>
      <x:c r="B1737" s="1" t="n">
        <x:v>26</x:v>
      </x:c>
      <x:c r="C1737" s="1" t="n">
        <x:v>56</x:v>
      </x:c>
      <x:c r="D1737" s="6" t="n">
        <x:v>11094</x:v>
      </x:c>
      <x:c r="E1737" s="6" t="n">
        <x:v>22188</x:v>
      </x:c>
      <x:c r="F1737" s="6" t="n">
        <x:v>0</x:v>
      </x:c>
      <x:c r="G1737" s="6" t="n">
        <x:v>22188</x:v>
      </x:c>
      <x:c r="H1737" s="6" t="n">
        <x:v>11094</x:v>
      </x:c>
    </x:row>
    <x:row r="1738" ht="21" customHeight="1">
      <x:c r="A1738" s="1" t="str">
        <x:v>C0016973</x:v>
      </x:c>
      <x:c r="B1738" s="1" t="n">
        <x:v>26</x:v>
      </x:c>
      <x:c r="C1738" s="1" t="n">
        <x:v>56</x:v>
      </x:c>
      <x:c r="D1738" s="6" t="n">
        <x:v>11094</x:v>
      </x:c>
      <x:c r="E1738" s="6" t="n">
        <x:v>0</x:v>
      </x:c>
      <x:c r="F1738" s="6" t="n">
        <x:v>0</x:v>
      </x:c>
      <x:c r="G1738" s="6" t="n">
        <x:v>0</x:v>
      </x:c>
      <x:c r="H1738" s="6" t="n">
        <x:v>-11094</x:v>
      </x:c>
    </x:row>
    <x:row r="1739" ht="21" customHeight="1">
      <x:c r="A1739" s="1" t="str">
        <x:v>C0016316</x:v>
      </x:c>
      <x:c r="B1739" s="1" t="n">
        <x:v>26</x:v>
      </x:c>
      <x:c r="C1739" s="1" t="n">
        <x:v>56</x:v>
      </x:c>
      <x:c r="D1739" s="6" t="n">
        <x:v>11094</x:v>
      </x:c>
      <x:c r="E1739" s="6" t="n">
        <x:v>0</x:v>
      </x:c>
      <x:c r="F1739" s="6" t="n">
        <x:v>0</x:v>
      </x:c>
      <x:c r="G1739" s="6" t="n">
        <x:v>0</x:v>
      </x:c>
      <x:c r="H1739" s="6" t="n">
        <x:v>-11094</x:v>
      </x:c>
    </x:row>
    <x:row r="1740" ht="21" customHeight="1">
      <x:c r="A1740" s="1" t="str">
        <x:v>C0010987</x:v>
      </x:c>
      <x:c r="B1740" s="1" t="n">
        <x:v>26</x:v>
      </x:c>
      <x:c r="C1740" s="1" t="n">
        <x:v>56</x:v>
      </x:c>
      <x:c r="D1740" s="6" t="n">
        <x:v>11094</x:v>
      </x:c>
      <x:c r="E1740" s="6" t="n">
        <x:v>0</x:v>
      </x:c>
      <x:c r="F1740" s="6" t="n">
        <x:v>0</x:v>
      </x:c>
      <x:c r="G1740" s="6" t="n">
        <x:v>0</x:v>
      </x:c>
      <x:c r="H1740" s="6" t="n">
        <x:v>-11094</x:v>
      </x:c>
    </x:row>
    <x:row r="1741" ht="21" customHeight="1">
      <x:c r="A1741" s="1" t="str">
        <x:v>C0004775</x:v>
      </x:c>
      <x:c r="B1741" s="1" t="n">
        <x:v>26</x:v>
      </x:c>
      <x:c r="C1741" s="1" t="n">
        <x:v>56</x:v>
      </x:c>
      <x:c r="D1741" s="6" t="n">
        <x:v>11094</x:v>
      </x:c>
      <x:c r="E1741" s="6" t="n">
        <x:v>22188</x:v>
      </x:c>
      <x:c r="F1741" s="6" t="n">
        <x:v>0</x:v>
      </x:c>
      <x:c r="G1741" s="6" t="n">
        <x:v>22188</x:v>
      </x:c>
      <x:c r="H1741" s="6" t="n">
        <x:v>11094</x:v>
      </x:c>
    </x:row>
    <x:row r="1742" ht="21" customHeight="1">
      <x:c r="A1742" s="1" t="str">
        <x:v>C0000785</x:v>
      </x:c>
      <x:c r="B1742" s="1" t="n">
        <x:v>26</x:v>
      </x:c>
      <x:c r="C1742" s="1" t="n">
        <x:v>56</x:v>
      </x:c>
      <x:c r="D1742" s="6" t="n">
        <x:v>11094</x:v>
      </x:c>
      <x:c r="E1742" s="6" t="n">
        <x:v>0</x:v>
      </x:c>
      <x:c r="F1742" s="6" t="n">
        <x:v>0</x:v>
      </x:c>
      <x:c r="G1742" s="6" t="n">
        <x:v>0</x:v>
      </x:c>
      <x:c r="H1742" s="6" t="n">
        <x:v>-11094</x:v>
      </x:c>
    </x:row>
    <x:row r="1743" ht="21" customHeight="1">
      <x:c r="A1743" s="1" t="str">
        <x:v>C0002274</x:v>
      </x:c>
      <x:c r="B1743" s="1" t="n">
        <x:v>26</x:v>
      </x:c>
      <x:c r="C1743" s="1" t="n">
        <x:v>56</x:v>
      </x:c>
      <x:c r="D1743" s="6" t="n">
        <x:v>11094</x:v>
      </x:c>
      <x:c r="E1743" s="6" t="n">
        <x:v>22188</x:v>
      </x:c>
      <x:c r="F1743" s="6" t="n">
        <x:v>0</x:v>
      </x:c>
      <x:c r="G1743" s="6" t="n">
        <x:v>22188</x:v>
      </x:c>
      <x:c r="H1743" s="6" t="n">
        <x:v>11094</x:v>
      </x:c>
    </x:row>
    <x:row r="1744" ht="21" customHeight="1">
      <x:c r="A1744" s="1" t="str">
        <x:v>C0004495</x:v>
      </x:c>
      <x:c r="B1744" s="1" t="n">
        <x:v>26</x:v>
      </x:c>
      <x:c r="C1744" s="1" t="n">
        <x:v>56</x:v>
      </x:c>
      <x:c r="D1744" s="6" t="n">
        <x:v>11094</x:v>
      </x:c>
      <x:c r="E1744" s="6" t="n">
        <x:v>0</x:v>
      </x:c>
      <x:c r="F1744" s="6" t="n">
        <x:v>0</x:v>
      </x:c>
      <x:c r="G1744" s="6" t="n">
        <x:v>0</x:v>
      </x:c>
      <x:c r="H1744" s="6" t="n">
        <x:v>-11094</x:v>
      </x:c>
    </x:row>
    <x:row r="1745" ht="21" customHeight="1">
      <x:c r="A1745" s="1" t="str">
        <x:v>C0010130</x:v>
      </x:c>
      <x:c r="B1745" s="1" t="n">
        <x:v>26</x:v>
      </x:c>
      <x:c r="C1745" s="1" t="n">
        <x:v>56</x:v>
      </x:c>
      <x:c r="D1745" s="6" t="n">
        <x:v>11094</x:v>
      </x:c>
      <x:c r="E1745" s="6" t="n">
        <x:v>22188</x:v>
      </x:c>
      <x:c r="F1745" s="6" t="n">
        <x:v>0</x:v>
      </x:c>
      <x:c r="G1745" s="6" t="n">
        <x:v>22188</x:v>
      </x:c>
      <x:c r="H1745" s="6" t="n">
        <x:v>11094</x:v>
      </x:c>
    </x:row>
    <x:row r="1746" ht="21" customHeight="1">
      <x:c r="A1746" s="1" t="str">
        <x:v>C0010502</x:v>
      </x:c>
      <x:c r="B1746" s="1" t="n">
        <x:v>8</x:v>
      </x:c>
      <x:c r="C1746" s="1" t="n">
        <x:v>8</x:v>
      </x:c>
      <x:c r="D1746" s="6" t="n">
        <x:v>11079</x:v>
      </x:c>
      <x:c r="E1746" s="6" t="n">
        <x:v>0</x:v>
      </x:c>
      <x:c r="F1746" s="6" t="n">
        <x:v>0</x:v>
      </x:c>
      <x:c r="G1746" s="6" t="n">
        <x:v>0</x:v>
      </x:c>
      <x:c r="H1746" s="6" t="n">
        <x:v>-11079</x:v>
      </x:c>
    </x:row>
    <x:row r="1747" ht="21" customHeight="1">
      <x:c r="A1747" s="1" t="str">
        <x:v>C0004651</x:v>
      </x:c>
      <x:c r="B1747" s="1" t="n">
        <x:v>8</x:v>
      </x:c>
      <x:c r="C1747" s="1" t="n">
        <x:v>8</x:v>
      </x:c>
      <x:c r="D1747" s="6" t="n">
        <x:v>11079</x:v>
      </x:c>
      <x:c r="E1747" s="6" t="n">
        <x:v>0</x:v>
      </x:c>
      <x:c r="F1747" s="6" t="n">
        <x:v>0</x:v>
      </x:c>
      <x:c r="G1747" s="6" t="n">
        <x:v>0</x:v>
      </x:c>
      <x:c r="H1747" s="6" t="n">
        <x:v>-11079</x:v>
      </x:c>
    </x:row>
    <x:row r="1748" ht="21" customHeight="1">
      <x:c r="A1748" s="1" t="str">
        <x:v>C0004459</x:v>
      </x:c>
      <x:c r="B1748" s="1" t="n">
        <x:v>8</x:v>
      </x:c>
      <x:c r="C1748" s="1" t="n">
        <x:v>8</x:v>
      </x:c>
      <x:c r="D1748" s="6" t="n">
        <x:v>11079</x:v>
      </x:c>
      <x:c r="E1748" s="6" t="n">
        <x:v>22158</x:v>
      </x:c>
      <x:c r="F1748" s="6" t="n">
        <x:v>0</x:v>
      </x:c>
      <x:c r="G1748" s="6" t="n">
        <x:v>22158</x:v>
      </x:c>
      <x:c r="H1748" s="6" t="n">
        <x:v>11079</x:v>
      </x:c>
    </x:row>
    <x:row r="1749" ht="21" customHeight="1">
      <x:c r="A1749" s="1" t="str">
        <x:v>C0000651</x:v>
      </x:c>
      <x:c r="B1749" s="1" t="n">
        <x:v>8</x:v>
      </x:c>
      <x:c r="C1749" s="1" t="n">
        <x:v>8</x:v>
      </x:c>
      <x:c r="D1749" s="6" t="n">
        <x:v>11079</x:v>
      </x:c>
      <x:c r="E1749" s="6" t="n">
        <x:v>22158</x:v>
      </x:c>
      <x:c r="F1749" s="6" t="n">
        <x:v>0</x:v>
      </x:c>
      <x:c r="G1749" s="6" t="n">
        <x:v>22158</x:v>
      </x:c>
      <x:c r="H1749" s="6" t="n">
        <x:v>11079</x:v>
      </x:c>
    </x:row>
    <x:row r="1750" ht="21" customHeight="1">
      <x:c r="A1750" s="1" t="str">
        <x:v>C0004016</x:v>
      </x:c>
      <x:c r="B1750" s="1" t="n">
        <x:v>8</x:v>
      </x:c>
      <x:c r="C1750" s="1" t="n">
        <x:v>8</x:v>
      </x:c>
      <x:c r="D1750" s="6" t="n">
        <x:v>11079</x:v>
      </x:c>
      <x:c r="E1750" s="6" t="n">
        <x:v>22158</x:v>
      </x:c>
      <x:c r="F1750" s="6" t="n">
        <x:v>0</x:v>
      </x:c>
      <x:c r="G1750" s="6" t="n">
        <x:v>22158</x:v>
      </x:c>
      <x:c r="H1750" s="6" t="n">
        <x:v>11079</x:v>
      </x:c>
    </x:row>
    <x:row r="1751" ht="21" customHeight="1">
      <x:c r="A1751" s="1" t="str">
        <x:v>C0011111</x:v>
      </x:c>
      <x:c r="B1751" s="1" t="n">
        <x:v>8</x:v>
      </x:c>
      <x:c r="C1751" s="1" t="n">
        <x:v>8</x:v>
      </x:c>
      <x:c r="D1751" s="6" t="n">
        <x:v>11079</x:v>
      </x:c>
      <x:c r="E1751" s="6" t="n">
        <x:v>0</x:v>
      </x:c>
      <x:c r="F1751" s="6" t="n">
        <x:v>0</x:v>
      </x:c>
      <x:c r="G1751" s="6" t="n">
        <x:v>0</x:v>
      </x:c>
      <x:c r="H1751" s="6" t="n">
        <x:v>-11079</x:v>
      </x:c>
    </x:row>
    <x:row r="1752" ht="21" customHeight="1">
      <x:c r="A1752" s="1" t="str">
        <x:v>C0011361</x:v>
      </x:c>
      <x:c r="B1752" s="1" t="n">
        <x:v>8</x:v>
      </x:c>
      <x:c r="C1752" s="1" t="n">
        <x:v>8</x:v>
      </x:c>
      <x:c r="D1752" s="6" t="n">
        <x:v>11079</x:v>
      </x:c>
      <x:c r="E1752" s="6" t="n">
        <x:v>0</x:v>
      </x:c>
      <x:c r="F1752" s="6" t="n">
        <x:v>0</x:v>
      </x:c>
      <x:c r="G1752" s="6" t="n">
        <x:v>0</x:v>
      </x:c>
      <x:c r="H1752" s="6" t="n">
        <x:v>-11079</x:v>
      </x:c>
    </x:row>
    <x:row r="1753" ht="21" customHeight="1">
      <x:c r="A1753" s="1" t="str">
        <x:v>C0017228</x:v>
      </x:c>
      <x:c r="B1753" s="1" t="n">
        <x:v>21</x:v>
      </x:c>
      <x:c r="C1753" s="1" t="n">
        <x:v>81</x:v>
      </x:c>
      <x:c r="D1753" s="6" t="n">
        <x:v>11036</x:v>
      </x:c>
      <x:c r="E1753" s="6" t="n">
        <x:v>0</x:v>
      </x:c>
      <x:c r="F1753" s="6" t="n">
        <x:v>0</x:v>
      </x:c>
      <x:c r="G1753" s="6" t="n">
        <x:v>0</x:v>
      </x:c>
      <x:c r="H1753" s="6" t="n">
        <x:v>-11036</x:v>
      </x:c>
    </x:row>
    <x:row r="1754" ht="21" customHeight="1">
      <x:c r="A1754" s="1" t="str">
        <x:v>C0014702</x:v>
      </x:c>
      <x:c r="B1754" s="1" t="n">
        <x:v>21</x:v>
      </x:c>
      <x:c r="C1754" s="1" t="n">
        <x:v>81</x:v>
      </x:c>
      <x:c r="D1754" s="6" t="n">
        <x:v>11036</x:v>
      </x:c>
      <x:c r="E1754" s="6" t="n">
        <x:v>22072</x:v>
      </x:c>
      <x:c r="F1754" s="6" t="n">
        <x:v>0</x:v>
      </x:c>
      <x:c r="G1754" s="6" t="n">
        <x:v>22072</x:v>
      </x:c>
      <x:c r="H1754" s="6" t="n">
        <x:v>11036</x:v>
      </x:c>
    </x:row>
    <x:row r="1755" ht="21" customHeight="1">
      <x:c r="A1755" s="1" t="str">
        <x:v>C0003767</x:v>
      </x:c>
      <x:c r="B1755" s="1" t="n">
        <x:v>21</x:v>
      </x:c>
      <x:c r="C1755" s="1" t="n">
        <x:v>81</x:v>
      </x:c>
      <x:c r="D1755" s="6" t="n">
        <x:v>11036</x:v>
      </x:c>
      <x:c r="E1755" s="6" t="n">
        <x:v>22072</x:v>
      </x:c>
      <x:c r="F1755" s="6" t="n">
        <x:v>0</x:v>
      </x:c>
      <x:c r="G1755" s="6" t="n">
        <x:v>22072</x:v>
      </x:c>
      <x:c r="H1755" s="6" t="n">
        <x:v>11036</x:v>
      </x:c>
    </x:row>
    <x:row r="1756" ht="21" customHeight="1">
      <x:c r="A1756" s="1" t="str">
        <x:v>C0011230</x:v>
      </x:c>
      <x:c r="B1756" s="1" t="n">
        <x:v>21</x:v>
      </x:c>
      <x:c r="C1756" s="1" t="n">
        <x:v>81</x:v>
      </x:c>
      <x:c r="D1756" s="6" t="n">
        <x:v>11036</x:v>
      </x:c>
      <x:c r="E1756" s="6" t="n">
        <x:v>0</x:v>
      </x:c>
      <x:c r="F1756" s="6" t="n">
        <x:v>0</x:v>
      </x:c>
      <x:c r="G1756" s="6" t="n">
        <x:v>0</x:v>
      </x:c>
      <x:c r="H1756" s="6" t="n">
        <x:v>-11036</x:v>
      </x:c>
    </x:row>
    <x:row r="1757" ht="21" customHeight="1">
      <x:c r="A1757" s="1" t="str">
        <x:v>C0013546</x:v>
      </x:c>
      <x:c r="B1757" s="1" t="n">
        <x:v>21</x:v>
      </x:c>
      <x:c r="C1757" s="1" t="n">
        <x:v>81</x:v>
      </x:c>
      <x:c r="D1757" s="6" t="n">
        <x:v>11036</x:v>
      </x:c>
      <x:c r="E1757" s="6" t="n">
        <x:v>0</x:v>
      </x:c>
      <x:c r="F1757" s="6" t="n">
        <x:v>0</x:v>
      </x:c>
      <x:c r="G1757" s="6" t="n">
        <x:v>0</x:v>
      </x:c>
      <x:c r="H1757" s="6" t="n">
        <x:v>-11036</x:v>
      </x:c>
    </x:row>
    <x:row r="1758" ht="21" customHeight="1">
      <x:c r="A1758" s="1" t="str">
        <x:v>C0000422</x:v>
      </x:c>
      <x:c r="B1758" s="1" t="n">
        <x:v>21</x:v>
      </x:c>
      <x:c r="C1758" s="1" t="n">
        <x:v>81</x:v>
      </x:c>
      <x:c r="D1758" s="6" t="n">
        <x:v>11036</x:v>
      </x:c>
      <x:c r="E1758" s="6" t="n">
        <x:v>22072</x:v>
      </x:c>
      <x:c r="F1758" s="6" t="n">
        <x:v>0</x:v>
      </x:c>
      <x:c r="G1758" s="6" t="n">
        <x:v>22072</x:v>
      </x:c>
      <x:c r="H1758" s="6" t="n">
        <x:v>11036</x:v>
      </x:c>
    </x:row>
    <x:row r="1759" ht="21" customHeight="1">
      <x:c r="A1759" s="1" t="str">
        <x:v>C0016853</x:v>
      </x:c>
      <x:c r="B1759" s="1" t="n">
        <x:v>26</x:v>
      </x:c>
      <x:c r="C1759" s="1" t="n">
        <x:v>26</x:v>
      </x:c>
      <x:c r="D1759" s="6" t="n">
        <x:v>11019</x:v>
      </x:c>
      <x:c r="E1759" s="6" t="n">
        <x:v>22038</x:v>
      </x:c>
      <x:c r="F1759" s="6" t="n">
        <x:v>0</x:v>
      </x:c>
      <x:c r="G1759" s="6" t="n">
        <x:v>22038</x:v>
      </x:c>
      <x:c r="H1759" s="6" t="n">
        <x:v>11019</x:v>
      </x:c>
    </x:row>
    <x:row r="1760" ht="21" customHeight="1">
      <x:c r="A1760" s="1" t="str">
        <x:v>C0006513</x:v>
      </x:c>
      <x:c r="B1760" s="1" t="n">
        <x:v>26</x:v>
      </x:c>
      <x:c r="C1760" s="1" t="n">
        <x:v>26</x:v>
      </x:c>
      <x:c r="D1760" s="6" t="n">
        <x:v>11019</x:v>
      </x:c>
      <x:c r="E1760" s="6" t="n">
        <x:v>22038</x:v>
      </x:c>
      <x:c r="F1760" s="6" t="n">
        <x:v>0</x:v>
      </x:c>
      <x:c r="G1760" s="6" t="n">
        <x:v>22038</x:v>
      </x:c>
      <x:c r="H1760" s="6" t="n">
        <x:v>11019</x:v>
      </x:c>
    </x:row>
    <x:row r="1761" ht="21" customHeight="1">
      <x:c r="A1761" s="1" t="str">
        <x:v>C0003890</x:v>
      </x:c>
      <x:c r="B1761" s="1" t="n">
        <x:v>26</x:v>
      </x:c>
      <x:c r="C1761" s="1" t="n">
        <x:v>26</x:v>
      </x:c>
      <x:c r="D1761" s="6" t="n">
        <x:v>11019</x:v>
      </x:c>
      <x:c r="E1761" s="6" t="n">
        <x:v>22038</x:v>
      </x:c>
      <x:c r="F1761" s="6" t="n">
        <x:v>0</x:v>
      </x:c>
      <x:c r="G1761" s="6" t="n">
        <x:v>22038</x:v>
      </x:c>
      <x:c r="H1761" s="6" t="n">
        <x:v>11019</x:v>
      </x:c>
    </x:row>
    <x:row r="1762" ht="21" customHeight="1">
      <x:c r="A1762" s="1" t="str">
        <x:v>C0017894</x:v>
      </x:c>
      <x:c r="B1762" s="1" t="n">
        <x:v>26</x:v>
      </x:c>
      <x:c r="C1762" s="1" t="n">
        <x:v>26</x:v>
      </x:c>
      <x:c r="D1762" s="6" t="n">
        <x:v>11019</x:v>
      </x:c>
      <x:c r="E1762" s="6" t="n">
        <x:v>22038</x:v>
      </x:c>
      <x:c r="F1762" s="6" t="n">
        <x:v>0</x:v>
      </x:c>
      <x:c r="G1762" s="6" t="n">
        <x:v>22038</x:v>
      </x:c>
      <x:c r="H1762" s="6" t="n">
        <x:v>11019</x:v>
      </x:c>
    </x:row>
    <x:row r="1763" ht="21" customHeight="1">
      <x:c r="A1763" s="1" t="str">
        <x:v>C0009078</x:v>
      </x:c>
      <x:c r="B1763" s="1" t="n">
        <x:v>26</x:v>
      </x:c>
      <x:c r="C1763" s="1" t="n">
        <x:v>26</x:v>
      </x:c>
      <x:c r="D1763" s="6" t="n">
        <x:v>11019</x:v>
      </x:c>
      <x:c r="E1763" s="6" t="n">
        <x:v>22038</x:v>
      </x:c>
      <x:c r="F1763" s="6" t="n">
        <x:v>0</x:v>
      </x:c>
      <x:c r="G1763" s="6" t="n">
        <x:v>22038</x:v>
      </x:c>
      <x:c r="H1763" s="6" t="n">
        <x:v>11019</x:v>
      </x:c>
    </x:row>
    <x:row r="1764" ht="21" customHeight="1">
      <x:c r="A1764" s="1" t="str">
        <x:v>C0000078</x:v>
      </x:c>
      <x:c r="B1764" s="1" t="n">
        <x:v>26</x:v>
      </x:c>
      <x:c r="C1764" s="1" t="n">
        <x:v>26</x:v>
      </x:c>
      <x:c r="D1764" s="6" t="n">
        <x:v>11019</x:v>
      </x:c>
      <x:c r="E1764" s="6" t="n">
        <x:v>0</x:v>
      </x:c>
      <x:c r="F1764" s="6" t="n">
        <x:v>0</x:v>
      </x:c>
      <x:c r="G1764" s="6" t="n">
        <x:v>0</x:v>
      </x:c>
      <x:c r="H1764" s="6" t="n">
        <x:v>-11019</x:v>
      </x:c>
    </x:row>
    <x:row r="1765" ht="21" customHeight="1">
      <x:c r="A1765" s="1" t="str">
        <x:v>C0000790</x:v>
      </x:c>
      <x:c r="B1765" s="1" t="n">
        <x:v>26</x:v>
      </x:c>
      <x:c r="C1765" s="1" t="n">
        <x:v>26</x:v>
      </x:c>
      <x:c r="D1765" s="6" t="n">
        <x:v>11019</x:v>
      </x:c>
      <x:c r="E1765" s="6" t="n">
        <x:v>0</x:v>
      </x:c>
      <x:c r="F1765" s="6" t="n">
        <x:v>0</x:v>
      </x:c>
      <x:c r="G1765" s="6" t="n">
        <x:v>0</x:v>
      </x:c>
      <x:c r="H1765" s="6" t="n">
        <x:v>-11019</x:v>
      </x:c>
    </x:row>
    <x:row r="1766" ht="21" customHeight="1">
      <x:c r="A1766" s="1" t="str">
        <x:v>C0002907</x:v>
      </x:c>
      <x:c r="B1766" s="1" t="n">
        <x:v>26</x:v>
      </x:c>
      <x:c r="C1766" s="1" t="n">
        <x:v>26</x:v>
      </x:c>
      <x:c r="D1766" s="6" t="n">
        <x:v>0</x:v>
      </x:c>
      <x:c r="E1766" s="6" t="n">
        <x:v>11019</x:v>
      </x:c>
      <x:c r="F1766" s="6" t="n">
        <x:v>0</x:v>
      </x:c>
      <x:c r="G1766" s="6" t="n">
        <x:v>11019</x:v>
      </x:c>
      <x:c r="H1766" s="6" t="n">
        <x:v>11019</x:v>
      </x:c>
    </x:row>
    <x:row r="1767" ht="21" customHeight="1">
      <x:c r="A1767" s="1" t="str">
        <x:v>C0015073</x:v>
      </x:c>
      <x:c r="B1767" s="1" t="n">
        <x:v>27</x:v>
      </x:c>
      <x:c r="C1767" s="1" t="n">
        <x:v>27</x:v>
      </x:c>
      <x:c r="D1767" s="6" t="n">
        <x:v>10994</x:v>
      </x:c>
      <x:c r="E1767" s="6" t="n">
        <x:v>21988</x:v>
      </x:c>
      <x:c r="F1767" s="6" t="n">
        <x:v>0</x:v>
      </x:c>
      <x:c r="G1767" s="6" t="n">
        <x:v>21988</x:v>
      </x:c>
      <x:c r="H1767" s="6" t="n">
        <x:v>10994</x:v>
      </x:c>
    </x:row>
    <x:row r="1768" ht="21" customHeight="1">
      <x:c r="A1768" s="1" t="str">
        <x:v>C0004482</x:v>
      </x:c>
      <x:c r="B1768" s="1" t="n">
        <x:v>27</x:v>
      </x:c>
      <x:c r="C1768" s="1" t="n">
        <x:v>27</x:v>
      </x:c>
      <x:c r="D1768" s="6" t="n">
        <x:v>10994</x:v>
      </x:c>
      <x:c r="E1768" s="6" t="n">
        <x:v>0</x:v>
      </x:c>
      <x:c r="F1768" s="6" t="n">
        <x:v>0</x:v>
      </x:c>
      <x:c r="G1768" s="6" t="n">
        <x:v>0</x:v>
      </x:c>
      <x:c r="H1768" s="6" t="n">
        <x:v>-10994</x:v>
      </x:c>
    </x:row>
    <x:row r="1769" ht="21" customHeight="1">
      <x:c r="A1769" s="1" t="str">
        <x:v>C0000714</x:v>
      </x:c>
      <x:c r="B1769" s="1" t="n">
        <x:v>27</x:v>
      </x:c>
      <x:c r="C1769" s="1" t="n">
        <x:v>27</x:v>
      </x:c>
      <x:c r="D1769" s="6" t="n">
        <x:v>10994</x:v>
      </x:c>
      <x:c r="E1769" s="6" t="n">
        <x:v>21988</x:v>
      </x:c>
      <x:c r="F1769" s="6" t="n">
        <x:v>0</x:v>
      </x:c>
      <x:c r="G1769" s="6" t="n">
        <x:v>21988</x:v>
      </x:c>
      <x:c r="H1769" s="6" t="n">
        <x:v>10994</x:v>
      </x:c>
    </x:row>
    <x:row r="1770" ht="21" customHeight="1">
      <x:c r="A1770" s="1" t="str">
        <x:v>C0010016</x:v>
      </x:c>
      <x:c r="B1770" s="1" t="n">
        <x:v>27</x:v>
      </x:c>
      <x:c r="C1770" s="1" t="n">
        <x:v>27</x:v>
      </x:c>
      <x:c r="D1770" s="6" t="n">
        <x:v>10994</x:v>
      </x:c>
      <x:c r="E1770" s="6" t="n">
        <x:v>21988</x:v>
      </x:c>
      <x:c r="F1770" s="6" t="n">
        <x:v>0</x:v>
      </x:c>
      <x:c r="G1770" s="6" t="n">
        <x:v>21988</x:v>
      </x:c>
      <x:c r="H1770" s="6" t="n">
        <x:v>10994</x:v>
      </x:c>
    </x:row>
    <x:row r="1771" ht="21" customHeight="1">
      <x:c r="A1771" s="1" t="str">
        <x:v>C0002272</x:v>
      </x:c>
      <x:c r="B1771" s="1" t="n">
        <x:v>27</x:v>
      </x:c>
      <x:c r="C1771" s="1" t="n">
        <x:v>27</x:v>
      </x:c>
      <x:c r="D1771" s="6" t="n">
        <x:v>10994</x:v>
      </x:c>
      <x:c r="E1771" s="6" t="n">
        <x:v>0</x:v>
      </x:c>
      <x:c r="F1771" s="6" t="n">
        <x:v>0</x:v>
      </x:c>
      <x:c r="G1771" s="6" t="n">
        <x:v>0</x:v>
      </x:c>
      <x:c r="H1771" s="6" t="n">
        <x:v>-10994</x:v>
      </x:c>
    </x:row>
    <x:row r="1772" ht="21" customHeight="1">
      <x:c r="A1772" s="1" t="str">
        <x:v>C0003250</x:v>
      </x:c>
      <x:c r="B1772" s="1" t="n">
        <x:v>27</x:v>
      </x:c>
      <x:c r="C1772" s="1" t="n">
        <x:v>27</x:v>
      </x:c>
      <x:c r="D1772" s="6" t="n">
        <x:v>10994</x:v>
      </x:c>
      <x:c r="E1772" s="6" t="n">
        <x:v>21988</x:v>
      </x:c>
      <x:c r="F1772" s="6" t="n">
        <x:v>0</x:v>
      </x:c>
      <x:c r="G1772" s="6" t="n">
        <x:v>21988</x:v>
      </x:c>
      <x:c r="H1772" s="6" t="n">
        <x:v>10994</x:v>
      </x:c>
    </x:row>
    <x:row r="1773" ht="21" customHeight="1">
      <x:c r="A1773" s="1" t="str">
        <x:v>C0008114</x:v>
      </x:c>
      <x:c r="B1773" s="1" t="n">
        <x:v>27</x:v>
      </x:c>
      <x:c r="C1773" s="1" t="n">
        <x:v>27</x:v>
      </x:c>
      <x:c r="D1773" s="6" t="n">
        <x:v>10994</x:v>
      </x:c>
      <x:c r="E1773" s="6" t="n">
        <x:v>0</x:v>
      </x:c>
      <x:c r="F1773" s="6" t="n">
        <x:v>0</x:v>
      </x:c>
      <x:c r="G1773" s="6" t="n">
        <x:v>0</x:v>
      </x:c>
      <x:c r="H1773" s="6" t="n">
        <x:v>-10994</x:v>
      </x:c>
    </x:row>
    <x:row r="1774" ht="21" customHeight="1">
      <x:c r="A1774" s="1" t="str">
        <x:v>C0010254</x:v>
      </x:c>
      <x:c r="B1774" s="1" t="n">
        <x:v>3</x:v>
      </x:c>
      <x:c r="C1774" s="1" t="n">
        <x:v>93</x:v>
      </x:c>
      <x:c r="D1774" s="6" t="n">
        <x:v>10929</x:v>
      </x:c>
      <x:c r="E1774" s="6" t="n">
        <x:v>0</x:v>
      </x:c>
      <x:c r="F1774" s="6" t="n">
        <x:v>0</x:v>
      </x:c>
      <x:c r="G1774" s="6" t="n">
        <x:v>0</x:v>
      </x:c>
      <x:c r="H1774" s="6" t="n">
        <x:v>-10929</x:v>
      </x:c>
    </x:row>
    <x:row r="1775" ht="21" customHeight="1">
      <x:c r="A1775" s="1" t="str">
        <x:v>C0005587</x:v>
      </x:c>
      <x:c r="B1775" s="1" t="n">
        <x:v>3</x:v>
      </x:c>
      <x:c r="C1775" s="1" t="n">
        <x:v>93</x:v>
      </x:c>
      <x:c r="D1775" s="6" t="n">
        <x:v>10929</x:v>
      </x:c>
      <x:c r="E1775" s="6" t="n">
        <x:v>21858</x:v>
      </x:c>
      <x:c r="F1775" s="6" t="n">
        <x:v>0</x:v>
      </x:c>
      <x:c r="G1775" s="6" t="n">
        <x:v>21858</x:v>
      </x:c>
      <x:c r="H1775" s="6" t="n">
        <x:v>10929</x:v>
      </x:c>
    </x:row>
    <x:row r="1776" ht="21" customHeight="1">
      <x:c r="A1776" s="1" t="str">
        <x:v>C0007129</x:v>
      </x:c>
      <x:c r="B1776" s="1" t="n">
        <x:v>3</x:v>
      </x:c>
      <x:c r="C1776" s="1" t="n">
        <x:v>93</x:v>
      </x:c>
      <x:c r="D1776" s="6" t="n">
        <x:v>10929</x:v>
      </x:c>
      <x:c r="E1776" s="6" t="n">
        <x:v>21858</x:v>
      </x:c>
      <x:c r="F1776" s="6" t="n">
        <x:v>0</x:v>
      </x:c>
      <x:c r="G1776" s="6" t="n">
        <x:v>21858</x:v>
      </x:c>
      <x:c r="H1776" s="6" t="n">
        <x:v>10929</x:v>
      </x:c>
    </x:row>
    <x:row r="1777" ht="21" customHeight="1">
      <x:c r="A1777" s="1" t="str">
        <x:v>C0007699</x:v>
      </x:c>
      <x:c r="B1777" s="1" t="n">
        <x:v>3</x:v>
      </x:c>
      <x:c r="C1777" s="1" t="n">
        <x:v>93</x:v>
      </x:c>
      <x:c r="D1777" s="6" t="n">
        <x:v>10929</x:v>
      </x:c>
      <x:c r="E1777" s="6" t="n">
        <x:v>21858</x:v>
      </x:c>
      <x:c r="F1777" s="6" t="n">
        <x:v>0</x:v>
      </x:c>
      <x:c r="G1777" s="6" t="n">
        <x:v>21858</x:v>
      </x:c>
      <x:c r="H1777" s="6" t="n">
        <x:v>10929</x:v>
      </x:c>
    </x:row>
    <x:row r="1778" ht="21" customHeight="1">
      <x:c r="A1778" s="1" t="str">
        <x:v>C0007779</x:v>
      </x:c>
      <x:c r="B1778" s="1" t="n">
        <x:v>3</x:v>
      </x:c>
      <x:c r="C1778" s="1" t="n">
        <x:v>93</x:v>
      </x:c>
      <x:c r="D1778" s="6" t="n">
        <x:v>10929</x:v>
      </x:c>
      <x:c r="E1778" s="6" t="n">
        <x:v>0</x:v>
      </x:c>
      <x:c r="F1778" s="6" t="n">
        <x:v>0</x:v>
      </x:c>
      <x:c r="G1778" s="6" t="n">
        <x:v>0</x:v>
      </x:c>
      <x:c r="H1778" s="6" t="n">
        <x:v>-10929</x:v>
      </x:c>
    </x:row>
    <x:row r="1779" ht="21" customHeight="1">
      <x:c r="A1779" s="1" t="str">
        <x:v>C0016949</x:v>
      </x:c>
      <x:c r="B1779" s="1" t="n">
        <x:v>3</x:v>
      </x:c>
      <x:c r="C1779" s="1" t="n">
        <x:v>93</x:v>
      </x:c>
      <x:c r="D1779" s="6" t="n">
        <x:v>10929</x:v>
      </x:c>
      <x:c r="E1779" s="6" t="n">
        <x:v>0</x:v>
      </x:c>
      <x:c r="F1779" s="6" t="n">
        <x:v>0</x:v>
      </x:c>
      <x:c r="G1779" s="6" t="n">
        <x:v>0</x:v>
      </x:c>
      <x:c r="H1779" s="6" t="n">
        <x:v>-10929</x:v>
      </x:c>
    </x:row>
    <x:row r="1780" ht="21" customHeight="1">
      <x:c r="A1780" s="1" t="str">
        <x:v>C0004367</x:v>
      </x:c>
      <x:c r="B1780" s="1" t="n">
        <x:v>14</x:v>
      </x:c>
      <x:c r="C1780" s="1" t="n">
        <x:v>14</x:v>
      </x:c>
      <x:c r="D1780" s="6" t="n">
        <x:v>0</x:v>
      </x:c>
      <x:c r="E1780" s="6" t="n">
        <x:v>10780</x:v>
      </x:c>
      <x:c r="F1780" s="6" t="n">
        <x:v>0</x:v>
      </x:c>
      <x:c r="G1780" s="6" t="n">
        <x:v>10780</x:v>
      </x:c>
      <x:c r="H1780" s="6" t="n">
        <x:v>10780</x:v>
      </x:c>
    </x:row>
    <x:row r="1781" ht="21" customHeight="1">
      <x:c r="A1781" s="1" t="str">
        <x:v>C0010911</x:v>
      </x:c>
      <x:c r="B1781" s="1" t="n">
        <x:v>14</x:v>
      </x:c>
      <x:c r="C1781" s="1" t="n">
        <x:v>14</x:v>
      </x:c>
      <x:c r="D1781" s="6" t="n">
        <x:v>10780</x:v>
      </x:c>
      <x:c r="E1781" s="6" t="n">
        <x:v>0</x:v>
      </x:c>
      <x:c r="F1781" s="6" t="n">
        <x:v>0</x:v>
      </x:c>
      <x:c r="G1781" s="6" t="n">
        <x:v>0</x:v>
      </x:c>
      <x:c r="H1781" s="6" t="n">
        <x:v>-10780</x:v>
      </x:c>
    </x:row>
    <x:row r="1782" ht="21" customHeight="1">
      <x:c r="A1782" s="1" t="str">
        <x:v>C0015033</x:v>
      </x:c>
      <x:c r="B1782" s="1" t="n">
        <x:v>14</x:v>
      </x:c>
      <x:c r="C1782" s="1" t="n">
        <x:v>14</x:v>
      </x:c>
      <x:c r="D1782" s="6" t="n">
        <x:v>10780</x:v>
      </x:c>
      <x:c r="E1782" s="6" t="n">
        <x:v>0</x:v>
      </x:c>
      <x:c r="F1782" s="6" t="n">
        <x:v>0</x:v>
      </x:c>
      <x:c r="G1782" s="6" t="n">
        <x:v>0</x:v>
      </x:c>
      <x:c r="H1782" s="6" t="n">
        <x:v>-10780</x:v>
      </x:c>
    </x:row>
    <x:row r="1783" ht="21" customHeight="1">
      <x:c r="A1783" s="1" t="str">
        <x:v>C0013418</x:v>
      </x:c>
      <x:c r="B1783" s="1" t="n">
        <x:v>14</x:v>
      </x:c>
      <x:c r="C1783" s="1" t="n">
        <x:v>14</x:v>
      </x:c>
      <x:c r="D1783" s="6" t="n">
        <x:v>10780</x:v>
      </x:c>
      <x:c r="E1783" s="6" t="n">
        <x:v>0</x:v>
      </x:c>
      <x:c r="F1783" s="6" t="n">
        <x:v>0</x:v>
      </x:c>
      <x:c r="G1783" s="6" t="n">
        <x:v>0</x:v>
      </x:c>
      <x:c r="H1783" s="6" t="n">
        <x:v>-10780</x:v>
      </x:c>
    </x:row>
    <x:row r="1784" ht="21" customHeight="1">
      <x:c r="A1784" s="1" t="str">
        <x:v>C0000564</x:v>
      </x:c>
      <x:c r="B1784" s="1" t="n">
        <x:v>14</x:v>
      </x:c>
      <x:c r="C1784" s="1" t="n">
        <x:v>14</x:v>
      </x:c>
      <x:c r="D1784" s="6" t="n">
        <x:v>10780</x:v>
      </x:c>
      <x:c r="E1784" s="6" t="n">
        <x:v>0</x:v>
      </x:c>
      <x:c r="F1784" s="6" t="n">
        <x:v>0</x:v>
      </x:c>
      <x:c r="G1784" s="6" t="n">
        <x:v>0</x:v>
      </x:c>
      <x:c r="H1784" s="6" t="n">
        <x:v>-10780</x:v>
      </x:c>
    </x:row>
    <x:row r="1785" ht="21" customHeight="1">
      <x:c r="A1785" s="1" t="str">
        <x:v>C0009326</x:v>
      </x:c>
      <x:c r="B1785" s="1" t="n">
        <x:v>14</x:v>
      </x:c>
      <x:c r="C1785" s="1" t="n">
        <x:v>14</x:v>
      </x:c>
      <x:c r="D1785" s="6" t="n">
        <x:v>10780</x:v>
      </x:c>
      <x:c r="E1785" s="6" t="n">
        <x:v>21560</x:v>
      </x:c>
      <x:c r="F1785" s="6" t="n">
        <x:v>0</x:v>
      </x:c>
      <x:c r="G1785" s="6" t="n">
        <x:v>21560</x:v>
      </x:c>
      <x:c r="H1785" s="6" t="n">
        <x:v>10780</x:v>
      </x:c>
    </x:row>
    <x:row r="1786" ht="21" customHeight="1">
      <x:c r="A1786" s="1" t="str">
        <x:v>C0002707</x:v>
      </x:c>
      <x:c r="B1786" s="1" t="n">
        <x:v>2</x:v>
      </x:c>
      <x:c r="C1786" s="1" t="n">
        <x:v>32</x:v>
      </x:c>
      <x:c r="D1786" s="6" t="n">
        <x:v>10694</x:v>
      </x:c>
      <x:c r="E1786" s="6" t="n">
        <x:v>21388</x:v>
      </x:c>
      <x:c r="F1786" s="6" t="n">
        <x:v>0</x:v>
      </x:c>
      <x:c r="G1786" s="6" t="n">
        <x:v>21388</x:v>
      </x:c>
      <x:c r="H1786" s="6" t="n">
        <x:v>10694</x:v>
      </x:c>
    </x:row>
    <x:row r="1787" ht="21" customHeight="1">
      <x:c r="A1787" s="1" t="str">
        <x:v>C0009123</x:v>
      </x:c>
      <x:c r="B1787" s="1" t="n">
        <x:v>2</x:v>
      </x:c>
      <x:c r="C1787" s="1" t="n">
        <x:v>32</x:v>
      </x:c>
      <x:c r="D1787" s="6" t="n">
        <x:v>10694</x:v>
      </x:c>
      <x:c r="E1787" s="6" t="n">
        <x:v>21388</x:v>
      </x:c>
      <x:c r="F1787" s="6" t="n">
        <x:v>0</x:v>
      </x:c>
      <x:c r="G1787" s="6" t="n">
        <x:v>21388</x:v>
      </x:c>
      <x:c r="H1787" s="6" t="n">
        <x:v>10694</x:v>
      </x:c>
    </x:row>
    <x:row r="1788" ht="21" customHeight="1">
      <x:c r="A1788" s="1" t="str">
        <x:v>C0010385</x:v>
      </x:c>
      <x:c r="B1788" s="1" t="n">
        <x:v>2</x:v>
      </x:c>
      <x:c r="C1788" s="1" t="n">
        <x:v>32</x:v>
      </x:c>
      <x:c r="D1788" s="6" t="n">
        <x:v>10694</x:v>
      </x:c>
      <x:c r="E1788" s="6" t="n">
        <x:v>0</x:v>
      </x:c>
      <x:c r="F1788" s="6" t="n">
        <x:v>0</x:v>
      </x:c>
      <x:c r="G1788" s="6" t="n">
        <x:v>0</x:v>
      </x:c>
      <x:c r="H1788" s="6" t="n">
        <x:v>-10694</x:v>
      </x:c>
    </x:row>
    <x:row r="1789" ht="21" customHeight="1">
      <x:c r="A1789" s="1" t="str">
        <x:v>C0006747</x:v>
      </x:c>
      <x:c r="B1789" s="1" t="n">
        <x:v>2</x:v>
      </x:c>
      <x:c r="C1789" s="1" t="n">
        <x:v>32</x:v>
      </x:c>
      <x:c r="D1789" s="6" t="n">
        <x:v>10694</x:v>
      </x:c>
      <x:c r="E1789" s="6" t="n">
        <x:v>0</x:v>
      </x:c>
      <x:c r="F1789" s="6" t="n">
        <x:v>0</x:v>
      </x:c>
      <x:c r="G1789" s="6" t="n">
        <x:v>0</x:v>
      </x:c>
      <x:c r="H1789" s="6" t="n">
        <x:v>-10694</x:v>
      </x:c>
    </x:row>
    <x:row r="1790" ht="21" customHeight="1">
      <x:c r="A1790" s="1" t="str">
        <x:v>C0004284</x:v>
      </x:c>
      <x:c r="B1790" s="1" t="n">
        <x:v>4</x:v>
      </x:c>
      <x:c r="C1790" s="1" t="n">
        <x:v>34</x:v>
      </x:c>
      <x:c r="D1790" s="6" t="n">
        <x:v>10645</x:v>
      </x:c>
      <x:c r="E1790" s="6" t="n">
        <x:v>21290</x:v>
      </x:c>
      <x:c r="F1790" s="6" t="n">
        <x:v>0</x:v>
      </x:c>
      <x:c r="G1790" s="6" t="n">
        <x:v>21290</x:v>
      </x:c>
      <x:c r="H1790" s="6" t="n">
        <x:v>10645</x:v>
      </x:c>
    </x:row>
    <x:row r="1791" ht="21" customHeight="1">
      <x:c r="A1791" s="1" t="str">
        <x:v>C0007695</x:v>
      </x:c>
      <x:c r="B1791" s="1" t="n">
        <x:v>4</x:v>
      </x:c>
      <x:c r="C1791" s="1" t="n">
        <x:v>34</x:v>
      </x:c>
      <x:c r="D1791" s="6" t="n">
        <x:v>10645</x:v>
      </x:c>
      <x:c r="E1791" s="6" t="n">
        <x:v>21290</x:v>
      </x:c>
      <x:c r="F1791" s="6" t="n">
        <x:v>0</x:v>
      </x:c>
      <x:c r="G1791" s="6" t="n">
        <x:v>21290</x:v>
      </x:c>
      <x:c r="H1791" s="6" t="n">
        <x:v>10645</x:v>
      </x:c>
    </x:row>
    <x:row r="1792" ht="21" customHeight="1">
      <x:c r="A1792" s="1" t="str">
        <x:v>C0010918</x:v>
      </x:c>
      <x:c r="B1792" s="1" t="n">
        <x:v>4</x:v>
      </x:c>
      <x:c r="C1792" s="1" t="n">
        <x:v>34</x:v>
      </x:c>
      <x:c r="D1792" s="6" t="n">
        <x:v>10645</x:v>
      </x:c>
      <x:c r="E1792" s="6" t="n">
        <x:v>21290</x:v>
      </x:c>
      <x:c r="F1792" s="6" t="n">
        <x:v>0</x:v>
      </x:c>
      <x:c r="G1792" s="6" t="n">
        <x:v>21290</x:v>
      </x:c>
      <x:c r="H1792" s="6" t="n">
        <x:v>10645</x:v>
      </x:c>
    </x:row>
    <x:row r="1793" ht="21" customHeight="1">
      <x:c r="A1793" s="1" t="str">
        <x:v>C0005613</x:v>
      </x:c>
      <x:c r="B1793" s="1" t="n">
        <x:v>4</x:v>
      </x:c>
      <x:c r="C1793" s="1" t="n">
        <x:v>34</x:v>
      </x:c>
      <x:c r="D1793" s="6" t="n">
        <x:v>10645</x:v>
      </x:c>
      <x:c r="E1793" s="6" t="n">
        <x:v>21290</x:v>
      </x:c>
      <x:c r="F1793" s="6" t="n">
        <x:v>0</x:v>
      </x:c>
      <x:c r="G1793" s="6" t="n">
        <x:v>21290</x:v>
      </x:c>
      <x:c r="H1793" s="6" t="n">
        <x:v>10645</x:v>
      </x:c>
    </x:row>
    <x:row r="1794" ht="21" customHeight="1">
      <x:c r="A1794" s="1" t="str">
        <x:v>C0002354</x:v>
      </x:c>
      <x:c r="B1794" s="1" t="n">
        <x:v>4</x:v>
      </x:c>
      <x:c r="C1794" s="1" t="n">
        <x:v>34</x:v>
      </x:c>
      <x:c r="D1794" s="6" t="n">
        <x:v>10645</x:v>
      </x:c>
      <x:c r="E1794" s="6" t="n">
        <x:v>21290</x:v>
      </x:c>
      <x:c r="F1794" s="6" t="n">
        <x:v>0</x:v>
      </x:c>
      <x:c r="G1794" s="6" t="n">
        <x:v>21290</x:v>
      </x:c>
      <x:c r="H1794" s="6" t="n">
        <x:v>10645</x:v>
      </x:c>
    </x:row>
    <x:row r="1795" ht="21" customHeight="1">
      <x:c r="A1795" s="1" t="str">
        <x:v>C0006840</x:v>
      </x:c>
      <x:c r="B1795" s="1" t="n">
        <x:v>4</x:v>
      </x:c>
      <x:c r="C1795" s="1" t="n">
        <x:v>34</x:v>
      </x:c>
      <x:c r="D1795" s="6" t="n">
        <x:v>0</x:v>
      </x:c>
      <x:c r="E1795" s="6" t="n">
        <x:v>10645</x:v>
      </x:c>
      <x:c r="F1795" s="6" t="n">
        <x:v>0</x:v>
      </x:c>
      <x:c r="G1795" s="6" t="n">
        <x:v>10645</x:v>
      </x:c>
      <x:c r="H1795" s="6" t="n">
        <x:v>10645</x:v>
      </x:c>
    </x:row>
    <x:row r="1796" ht="21" customHeight="1">
      <x:c r="A1796" s="1" t="str">
        <x:v>C0002466</x:v>
      </x:c>
      <x:c r="B1796" s="1" t="n">
        <x:v>4</x:v>
      </x:c>
      <x:c r="C1796" s="1" t="n">
        <x:v>34</x:v>
      </x:c>
      <x:c r="D1796" s="6" t="n">
        <x:v>10645</x:v>
      </x:c>
      <x:c r="E1796" s="6" t="n">
        <x:v>0</x:v>
      </x:c>
      <x:c r="F1796" s="6" t="n">
        <x:v>0</x:v>
      </x:c>
      <x:c r="G1796" s="6" t="n">
        <x:v>0</x:v>
      </x:c>
      <x:c r="H1796" s="6" t="n">
        <x:v>-10645</x:v>
      </x:c>
    </x:row>
    <x:row r="1797" ht="21" customHeight="1">
      <x:c r="A1797" s="1" t="str">
        <x:v>C0004350</x:v>
      </x:c>
      <x:c r="B1797" s="1" t="n">
        <x:v>4</x:v>
      </x:c>
      <x:c r="C1797" s="1" t="n">
        <x:v>34</x:v>
      </x:c>
      <x:c r="D1797" s="6" t="n">
        <x:v>10645</x:v>
      </x:c>
      <x:c r="E1797" s="6" t="n">
        <x:v>21290</x:v>
      </x:c>
      <x:c r="F1797" s="6" t="n">
        <x:v>0</x:v>
      </x:c>
      <x:c r="G1797" s="6" t="n">
        <x:v>21290</x:v>
      </x:c>
      <x:c r="H1797" s="6" t="n">
        <x:v>10645</x:v>
      </x:c>
    </x:row>
    <x:row r="1798" ht="21" customHeight="1">
      <x:c r="A1798" s="1" t="str">
        <x:v>C0005429</x:v>
      </x:c>
      <x:c r="B1798" s="1" t="n">
        <x:v>4</x:v>
      </x:c>
      <x:c r="C1798" s="1" t="n">
        <x:v>34</x:v>
      </x:c>
      <x:c r="D1798" s="6" t="n">
        <x:v>10645</x:v>
      </x:c>
      <x:c r="E1798" s="6" t="n">
        <x:v>21290</x:v>
      </x:c>
      <x:c r="F1798" s="6" t="n">
        <x:v>0</x:v>
      </x:c>
      <x:c r="G1798" s="6" t="n">
        <x:v>21290</x:v>
      </x:c>
      <x:c r="H1798" s="6" t="n">
        <x:v>10645</x:v>
      </x:c>
    </x:row>
    <x:row r="1799" ht="21" customHeight="1">
      <x:c r="A1799" s="1" t="str">
        <x:v>C0003174</x:v>
      </x:c>
      <x:c r="B1799" s="1" t="n">
        <x:v>9</x:v>
      </x:c>
      <x:c r="C1799" s="1" t="n">
        <x:v>9</x:v>
      </x:c>
      <x:c r="D1799" s="6" t="n">
        <x:v>0</x:v>
      </x:c>
      <x:c r="E1799" s="6" t="n">
        <x:v>10531</x:v>
      </x:c>
      <x:c r="F1799" s="6" t="n">
        <x:v>0</x:v>
      </x:c>
      <x:c r="G1799" s="6" t="n">
        <x:v>10531</x:v>
      </x:c>
      <x:c r="H1799" s="6" t="n">
        <x:v>10531</x:v>
      </x:c>
    </x:row>
    <x:row r="1800" ht="21" customHeight="1">
      <x:c r="A1800" s="1" t="str">
        <x:v>C0010979</x:v>
      </x:c>
      <x:c r="B1800" s="1" t="n">
        <x:v>9</x:v>
      </x:c>
      <x:c r="C1800" s="1" t="n">
        <x:v>9</x:v>
      </x:c>
      <x:c r="D1800" s="6" t="n">
        <x:v>10531</x:v>
      </x:c>
      <x:c r="E1800" s="6" t="n">
        <x:v>0</x:v>
      </x:c>
      <x:c r="F1800" s="6" t="n">
        <x:v>0</x:v>
      </x:c>
      <x:c r="G1800" s="6" t="n">
        <x:v>0</x:v>
      </x:c>
      <x:c r="H1800" s="6" t="n">
        <x:v>-10531</x:v>
      </x:c>
    </x:row>
    <x:row r="1801" ht="21" customHeight="1">
      <x:c r="A1801" s="1" t="str">
        <x:v>C0007024</x:v>
      </x:c>
      <x:c r="B1801" s="1" t="n">
        <x:v>9</x:v>
      </x:c>
      <x:c r="C1801" s="1" t="n">
        <x:v>9</x:v>
      </x:c>
      <x:c r="D1801" s="6" t="n">
        <x:v>10531</x:v>
      </x:c>
      <x:c r="E1801" s="6" t="n">
        <x:v>0</x:v>
      </x:c>
      <x:c r="F1801" s="6" t="n">
        <x:v>0</x:v>
      </x:c>
      <x:c r="G1801" s="6" t="n">
        <x:v>0</x:v>
      </x:c>
      <x:c r="H1801" s="6" t="n">
        <x:v>-10531</x:v>
      </x:c>
    </x:row>
    <x:row r="1802" ht="21" customHeight="1">
      <x:c r="A1802" s="1" t="str">
        <x:v>C0002776</x:v>
      </x:c>
      <x:c r="B1802" s="1" t="n">
        <x:v>9</x:v>
      </x:c>
      <x:c r="C1802" s="1" t="n">
        <x:v>9</x:v>
      </x:c>
      <x:c r="D1802" s="6" t="n">
        <x:v>10531</x:v>
      </x:c>
      <x:c r="E1802" s="6" t="n">
        <x:v>0</x:v>
      </x:c>
      <x:c r="F1802" s="6" t="n">
        <x:v>0</x:v>
      </x:c>
      <x:c r="G1802" s="6" t="n">
        <x:v>0</x:v>
      </x:c>
      <x:c r="H1802" s="6" t="n">
        <x:v>-10531</x:v>
      </x:c>
    </x:row>
    <x:row r="1803" ht="21" customHeight="1">
      <x:c r="A1803" s="1" t="str">
        <x:v>C0016206</x:v>
      </x:c>
      <x:c r="B1803" s="1" t="n">
        <x:v>9</x:v>
      </x:c>
      <x:c r="C1803" s="1" t="n">
        <x:v>9</x:v>
      </x:c>
      <x:c r="D1803" s="6" t="n">
        <x:v>10531</x:v>
      </x:c>
      <x:c r="E1803" s="6" t="n">
        <x:v>0</x:v>
      </x:c>
      <x:c r="F1803" s="6" t="n">
        <x:v>0</x:v>
      </x:c>
      <x:c r="G1803" s="6" t="n">
        <x:v>0</x:v>
      </x:c>
      <x:c r="H1803" s="6" t="n">
        <x:v>-10531</x:v>
      </x:c>
    </x:row>
    <x:row r="1804" ht="21" customHeight="1">
      <x:c r="A1804" s="1" t="str">
        <x:v>C0015025</x:v>
      </x:c>
      <x:c r="B1804" s="1" t="n">
        <x:v>28</x:v>
      </x:c>
      <x:c r="C1804" s="1" t="n">
        <x:v>88</x:v>
      </x:c>
      <x:c r="D1804" s="6" t="n">
        <x:v>10497</x:v>
      </x:c>
      <x:c r="E1804" s="6" t="n">
        <x:v>20994</x:v>
      </x:c>
      <x:c r="F1804" s="6" t="n">
        <x:v>0</x:v>
      </x:c>
      <x:c r="G1804" s="6" t="n">
        <x:v>20994</x:v>
      </x:c>
      <x:c r="H1804" s="6" t="n">
        <x:v>10497</x:v>
      </x:c>
    </x:row>
    <x:row r="1805" ht="21" customHeight="1">
      <x:c r="A1805" s="1" t="str">
        <x:v>C0013745</x:v>
      </x:c>
      <x:c r="B1805" s="1" t="n">
        <x:v>28</x:v>
      </x:c>
      <x:c r="C1805" s="1" t="n">
        <x:v>88</x:v>
      </x:c>
      <x:c r="D1805" s="6" t="n">
        <x:v>10497</x:v>
      </x:c>
      <x:c r="E1805" s="6" t="n">
        <x:v>20994</x:v>
      </x:c>
      <x:c r="F1805" s="6" t="n">
        <x:v>0</x:v>
      </x:c>
      <x:c r="G1805" s="6" t="n">
        <x:v>20994</x:v>
      </x:c>
      <x:c r="H1805" s="6" t="n">
        <x:v>10497</x:v>
      </x:c>
    </x:row>
    <x:row r="1806" ht="21" customHeight="1">
      <x:c r="A1806" s="1" t="str">
        <x:v>C0012618</x:v>
      </x:c>
      <x:c r="B1806" s="1" t="n">
        <x:v>28</x:v>
      </x:c>
      <x:c r="C1806" s="1" t="n">
        <x:v>88</x:v>
      </x:c>
      <x:c r="D1806" s="6" t="n">
        <x:v>0</x:v>
      </x:c>
      <x:c r="E1806" s="6" t="n">
        <x:v>10497</x:v>
      </x:c>
      <x:c r="F1806" s="6" t="n">
        <x:v>0</x:v>
      </x:c>
      <x:c r="G1806" s="6" t="n">
        <x:v>10497</x:v>
      </x:c>
      <x:c r="H1806" s="6" t="n">
        <x:v>10497</x:v>
      </x:c>
    </x:row>
    <x:row r="1807" ht="21" customHeight="1">
      <x:c r="A1807" s="1" t="str">
        <x:v>C0012089</x:v>
      </x:c>
      <x:c r="B1807" s="1" t="n">
        <x:v>28</x:v>
      </x:c>
      <x:c r="C1807" s="1" t="n">
        <x:v>88</x:v>
      </x:c>
      <x:c r="D1807" s="6" t="n">
        <x:v>10497</x:v>
      </x:c>
      <x:c r="E1807" s="6" t="n">
        <x:v>0</x:v>
      </x:c>
      <x:c r="F1807" s="6" t="n">
        <x:v>0</x:v>
      </x:c>
      <x:c r="G1807" s="6" t="n">
        <x:v>0</x:v>
      </x:c>
      <x:c r="H1807" s="6" t="n">
        <x:v>-10497</x:v>
      </x:c>
    </x:row>
    <x:row r="1808" ht="21" customHeight="1">
      <x:c r="A1808" s="1" t="str">
        <x:v>C0007506</x:v>
      </x:c>
      <x:c r="B1808" s="1" t="n">
        <x:v>28</x:v>
      </x:c>
      <x:c r="C1808" s="1" t="n">
        <x:v>88</x:v>
      </x:c>
      <x:c r="D1808" s="6" t="n">
        <x:v>10497</x:v>
      </x:c>
      <x:c r="E1808" s="6" t="n">
        <x:v>0</x:v>
      </x:c>
      <x:c r="F1808" s="6" t="n">
        <x:v>0</x:v>
      </x:c>
      <x:c r="G1808" s="6" t="n">
        <x:v>0</x:v>
      </x:c>
      <x:c r="H1808" s="6" t="n">
        <x:v>-10497</x:v>
      </x:c>
    </x:row>
    <x:row r="1809" ht="21" customHeight="1">
      <x:c r="A1809" s="1" t="str">
        <x:v>C0001600</x:v>
      </x:c>
      <x:c r="B1809" s="1" t="n">
        <x:v>28</x:v>
      </x:c>
      <x:c r="C1809" s="1" t="n">
        <x:v>88</x:v>
      </x:c>
      <x:c r="D1809" s="6" t="n">
        <x:v>10497</x:v>
      </x:c>
      <x:c r="E1809" s="6" t="n">
        <x:v>0</x:v>
      </x:c>
      <x:c r="F1809" s="6" t="n">
        <x:v>0</x:v>
      </x:c>
      <x:c r="G1809" s="6" t="n">
        <x:v>0</x:v>
      </x:c>
      <x:c r="H1809" s="6" t="n">
        <x:v>-10497</x:v>
      </x:c>
    </x:row>
    <x:row r="1810" ht="21" customHeight="1">
      <x:c r="A1810" s="1" t="str">
        <x:v>C0015672</x:v>
      </x:c>
      <x:c r="B1810" s="1" t="n">
        <x:v>28</x:v>
      </x:c>
      <x:c r="C1810" s="1" t="n">
        <x:v>88</x:v>
      </x:c>
      <x:c r="D1810" s="6" t="n">
        <x:v>10497</x:v>
      </x:c>
      <x:c r="E1810" s="6" t="n">
        <x:v>20994</x:v>
      </x:c>
      <x:c r="F1810" s="6" t="n">
        <x:v>0</x:v>
      </x:c>
      <x:c r="G1810" s="6" t="n">
        <x:v>20994</x:v>
      </x:c>
      <x:c r="H1810" s="6" t="n">
        <x:v>10497</x:v>
      </x:c>
    </x:row>
    <x:row r="1811" ht="21" customHeight="1">
      <x:c r="A1811" s="1" t="str">
        <x:v>C0005477</x:v>
      </x:c>
      <x:c r="B1811" s="1" t="n">
        <x:v>28</x:v>
      </x:c>
      <x:c r="C1811" s="1" t="n">
        <x:v>88</x:v>
      </x:c>
      <x:c r="D1811" s="6" t="n">
        <x:v>0</x:v>
      </x:c>
      <x:c r="E1811" s="6" t="n">
        <x:v>10497</x:v>
      </x:c>
      <x:c r="F1811" s="6" t="n">
        <x:v>0</x:v>
      </x:c>
      <x:c r="G1811" s="6" t="n">
        <x:v>10497</x:v>
      </x:c>
      <x:c r="H1811" s="6" t="n">
        <x:v>10497</x:v>
      </x:c>
    </x:row>
    <x:row r="1812" ht="21" customHeight="1">
      <x:c r="A1812" s="1" t="str">
        <x:v>C0000588</x:v>
      </x:c>
      <x:c r="B1812" s="1" t="n">
        <x:v>28</x:v>
      </x:c>
      <x:c r="C1812" s="1" t="n">
        <x:v>88</x:v>
      </x:c>
      <x:c r="D1812" s="6" t="n">
        <x:v>10497</x:v>
      </x:c>
      <x:c r="E1812" s="6" t="n">
        <x:v>0</x:v>
      </x:c>
      <x:c r="F1812" s="6" t="n">
        <x:v>0</x:v>
      </x:c>
      <x:c r="G1812" s="6" t="n">
        <x:v>0</x:v>
      </x:c>
      <x:c r="H1812" s="6" t="n">
        <x:v>-10497</x:v>
      </x:c>
    </x:row>
    <x:row r="1813" ht="21" customHeight="1">
      <x:c r="A1813" s="1" t="str">
        <x:v>C0016945</x:v>
      </x:c>
      <x:c r="B1813" s="1" t="n">
        <x:v>13</x:v>
      </x:c>
      <x:c r="C1813" s="1" t="n">
        <x:v>13</x:v>
      </x:c>
      <x:c r="D1813" s="6" t="n">
        <x:v>10445</x:v>
      </x:c>
      <x:c r="E1813" s="6" t="n">
        <x:v>0</x:v>
      </x:c>
      <x:c r="F1813" s="6" t="n">
        <x:v>0</x:v>
      </x:c>
      <x:c r="G1813" s="6" t="n">
        <x:v>0</x:v>
      </x:c>
      <x:c r="H1813" s="6" t="n">
        <x:v>-10445</x:v>
      </x:c>
    </x:row>
    <x:row r="1814" ht="21" customHeight="1">
      <x:c r="A1814" s="1" t="str">
        <x:v>C0012803</x:v>
      </x:c>
      <x:c r="B1814" s="1" t="n">
        <x:v>13</x:v>
      </x:c>
      <x:c r="C1814" s="1" t="n">
        <x:v>13</x:v>
      </x:c>
      <x:c r="D1814" s="6" t="n">
        <x:v>10445</x:v>
      </x:c>
      <x:c r="E1814" s="6" t="n">
        <x:v>0</x:v>
      </x:c>
      <x:c r="F1814" s="6" t="n">
        <x:v>0</x:v>
      </x:c>
      <x:c r="G1814" s="6" t="n">
        <x:v>0</x:v>
      </x:c>
      <x:c r="H1814" s="6" t="n">
        <x:v>-10445</x:v>
      </x:c>
    </x:row>
    <x:row r="1815" ht="21" customHeight="1">
      <x:c r="A1815" s="1" t="str">
        <x:v>C0009040</x:v>
      </x:c>
      <x:c r="B1815" s="1" t="n">
        <x:v>9</x:v>
      </x:c>
      <x:c r="C1815" s="1" t="n">
        <x:v>99</x:v>
      </x:c>
      <x:c r="D1815" s="6" t="n">
        <x:v>10353</x:v>
      </x:c>
      <x:c r="E1815" s="6" t="n">
        <x:v>0</x:v>
      </x:c>
      <x:c r="F1815" s="6" t="n">
        <x:v>0</x:v>
      </x:c>
      <x:c r="G1815" s="6" t="n">
        <x:v>0</x:v>
      </x:c>
      <x:c r="H1815" s="6" t="n">
        <x:v>-10353</x:v>
      </x:c>
    </x:row>
    <x:row r="1816" ht="21" customHeight="1">
      <x:c r="A1816" s="1" t="str">
        <x:v>C0003509</x:v>
      </x:c>
      <x:c r="B1816" s="1" t="n">
        <x:v>9</x:v>
      </x:c>
      <x:c r="C1816" s="1" t="n">
        <x:v>99</x:v>
      </x:c>
      <x:c r="D1816" s="6" t="n">
        <x:v>10353</x:v>
      </x:c>
      <x:c r="E1816" s="6" t="n">
        <x:v>20706</x:v>
      </x:c>
      <x:c r="F1816" s="6" t="n">
        <x:v>0</x:v>
      </x:c>
      <x:c r="G1816" s="6" t="n">
        <x:v>20706</x:v>
      </x:c>
      <x:c r="H1816" s="6" t="n">
        <x:v>10353</x:v>
      </x:c>
    </x:row>
    <x:row r="1817" ht="21" customHeight="1">
      <x:c r="A1817" s="1" t="str">
        <x:v>C0009176</x:v>
      </x:c>
      <x:c r="B1817" s="1" t="n">
        <x:v>9</x:v>
      </x:c>
      <x:c r="C1817" s="1" t="n">
        <x:v>99</x:v>
      </x:c>
      <x:c r="D1817" s="6" t="n">
        <x:v>10353</x:v>
      </x:c>
      <x:c r="E1817" s="6" t="n">
        <x:v>0</x:v>
      </x:c>
      <x:c r="F1817" s="6" t="n">
        <x:v>0</x:v>
      </x:c>
      <x:c r="G1817" s="6" t="n">
        <x:v>0</x:v>
      </x:c>
      <x:c r="H1817" s="6" t="n">
        <x:v>-10353</x:v>
      </x:c>
    </x:row>
    <x:row r="1818" ht="21" customHeight="1">
      <x:c r="A1818" s="1" t="str">
        <x:v>C0017877</x:v>
      </x:c>
      <x:c r="B1818" s="1" t="n">
        <x:v>9</x:v>
      </x:c>
      <x:c r="C1818" s="1" t="n">
        <x:v>99</x:v>
      </x:c>
      <x:c r="D1818" s="6" t="n">
        <x:v>10353</x:v>
      </x:c>
      <x:c r="E1818" s="6" t="n">
        <x:v>20706</x:v>
      </x:c>
      <x:c r="F1818" s="6" t="n">
        <x:v>0</x:v>
      </x:c>
      <x:c r="G1818" s="6" t="n">
        <x:v>20706</x:v>
      </x:c>
      <x:c r="H1818" s="6" t="n">
        <x:v>10353</x:v>
      </x:c>
    </x:row>
    <x:row r="1819" ht="21" customHeight="1">
      <x:c r="A1819" s="1" t="str">
        <x:v>C0000658</x:v>
      </x:c>
      <x:c r="B1819" s="1" t="n">
        <x:v>9</x:v>
      </x:c>
      <x:c r="C1819" s="1" t="n">
        <x:v>99</x:v>
      </x:c>
      <x:c r="D1819" s="6" t="n">
        <x:v>10353</x:v>
      </x:c>
      <x:c r="E1819" s="6" t="n">
        <x:v>20706</x:v>
      </x:c>
      <x:c r="F1819" s="6" t="n">
        <x:v>0</x:v>
      </x:c>
      <x:c r="G1819" s="6" t="n">
        <x:v>20706</x:v>
      </x:c>
      <x:c r="H1819" s="6" t="n">
        <x:v>10353</x:v>
      </x:c>
    </x:row>
    <x:row r="1820" ht="21" customHeight="1">
      <x:c r="A1820" s="1" t="str">
        <x:v>C0015900</x:v>
      </x:c>
      <x:c r="B1820" s="1" t="n">
        <x:v>9</x:v>
      </x:c>
      <x:c r="C1820" s="1" t="n">
        <x:v>99</x:v>
      </x:c>
      <x:c r="D1820" s="6" t="n">
        <x:v>10353</x:v>
      </x:c>
      <x:c r="E1820" s="6" t="n">
        <x:v>20706</x:v>
      </x:c>
      <x:c r="F1820" s="6" t="n">
        <x:v>0</x:v>
      </x:c>
      <x:c r="G1820" s="6" t="n">
        <x:v>20706</x:v>
      </x:c>
      <x:c r="H1820" s="6" t="n">
        <x:v>10353</x:v>
      </x:c>
    </x:row>
    <x:row r="1821" ht="21" customHeight="1">
      <x:c r="A1821" s="1" t="str">
        <x:v>C0003544</x:v>
      </x:c>
      <x:c r="B1821" s="1" t="n">
        <x:v>9</x:v>
      </x:c>
      <x:c r="C1821" s="1" t="n">
        <x:v>99</x:v>
      </x:c>
      <x:c r="D1821" s="6" t="n">
        <x:v>10353</x:v>
      </x:c>
      <x:c r="E1821" s="6" t="n">
        <x:v>0</x:v>
      </x:c>
      <x:c r="F1821" s="6" t="n">
        <x:v>0</x:v>
      </x:c>
      <x:c r="G1821" s="6" t="n">
        <x:v>0</x:v>
      </x:c>
      <x:c r="H1821" s="6" t="n">
        <x:v>-10353</x:v>
      </x:c>
    </x:row>
    <x:row r="1822" ht="21" customHeight="1">
      <x:c r="A1822" s="1" t="str">
        <x:v>C0012969</x:v>
      </x:c>
      <x:c r="B1822" s="1" t="n">
        <x:v>9</x:v>
      </x:c>
      <x:c r="C1822" s="1" t="n">
        <x:v>99</x:v>
      </x:c>
      <x:c r="D1822" s="6" t="n">
        <x:v>10353</x:v>
      </x:c>
      <x:c r="E1822" s="6" t="n">
        <x:v>0</x:v>
      </x:c>
      <x:c r="F1822" s="6" t="n">
        <x:v>0</x:v>
      </x:c>
      <x:c r="G1822" s="6" t="n">
        <x:v>0</x:v>
      </x:c>
      <x:c r="H1822" s="6" t="n">
        <x:v>-10353</x:v>
      </x:c>
    </x:row>
    <x:row r="1823" ht="21" customHeight="1">
      <x:c r="A1823" s="1" t="str">
        <x:v>C0017367</x:v>
      </x:c>
      <x:c r="B1823" s="1" t="n">
        <x:v>9</x:v>
      </x:c>
      <x:c r="C1823" s="1" t="n">
        <x:v>99</x:v>
      </x:c>
      <x:c r="D1823" s="6" t="n">
        <x:v>10353</x:v>
      </x:c>
      <x:c r="E1823" s="6" t="n">
        <x:v>20706</x:v>
      </x:c>
      <x:c r="F1823" s="6" t="n">
        <x:v>0</x:v>
      </x:c>
      <x:c r="G1823" s="6" t="n">
        <x:v>20706</x:v>
      </x:c>
      <x:c r="H1823" s="6" t="n">
        <x:v>10353</x:v>
      </x:c>
    </x:row>
    <x:row r="1824" ht="21" customHeight="1">
      <x:c r="A1824" s="1" t="str">
        <x:v>C0014492</x:v>
      </x:c>
      <x:c r="B1824" s="1" t="n">
        <x:v>9</x:v>
      </x:c>
      <x:c r="C1824" s="1" t="n">
        <x:v>99</x:v>
      </x:c>
      <x:c r="D1824" s="6" t="n">
        <x:v>10353</x:v>
      </x:c>
      <x:c r="E1824" s="6" t="n">
        <x:v>0</x:v>
      </x:c>
      <x:c r="F1824" s="6" t="n">
        <x:v>0</x:v>
      </x:c>
      <x:c r="G1824" s="6" t="n">
        <x:v>0</x:v>
      </x:c>
      <x:c r="H1824" s="6" t="n">
        <x:v>-10353</x:v>
      </x:c>
    </x:row>
    <x:row r="1825" ht="21" customHeight="1">
      <x:c r="A1825" s="1" t="str">
        <x:v>C0003676</x:v>
      </x:c>
      <x:c r="B1825" s="1" t="n">
        <x:v>9</x:v>
      </x:c>
      <x:c r="C1825" s="1" t="n">
        <x:v>99</x:v>
      </x:c>
      <x:c r="D1825" s="6" t="n">
        <x:v>10353</x:v>
      </x:c>
      <x:c r="E1825" s="6" t="n">
        <x:v>0</x:v>
      </x:c>
      <x:c r="F1825" s="6" t="n">
        <x:v>0</x:v>
      </x:c>
      <x:c r="G1825" s="6" t="n">
        <x:v>0</x:v>
      </x:c>
      <x:c r="H1825" s="6" t="n">
        <x:v>-10353</x:v>
      </x:c>
    </x:row>
    <x:row r="1826" ht="21" customHeight="1">
      <x:c r="A1826" s="1" t="str">
        <x:v>C0007997</x:v>
      </x:c>
      <x:c r="B1826" s="1" t="n">
        <x:v>9</x:v>
      </x:c>
      <x:c r="C1826" s="1" t="n">
        <x:v>99</x:v>
      </x:c>
      <x:c r="D1826" s="6" t="n">
        <x:v>10353</x:v>
      </x:c>
      <x:c r="E1826" s="6" t="n">
        <x:v>0</x:v>
      </x:c>
      <x:c r="F1826" s="6" t="n">
        <x:v>0</x:v>
      </x:c>
      <x:c r="G1826" s="6" t="n">
        <x:v>0</x:v>
      </x:c>
      <x:c r="H1826" s="6" t="n">
        <x:v>-10353</x:v>
      </x:c>
    </x:row>
    <x:row r="1827" ht="21" customHeight="1">
      <x:c r="A1827" s="1" t="str">
        <x:v>C0008362</x:v>
      </x:c>
      <x:c r="B1827" s="1" t="n">
        <x:v>21</x:v>
      </x:c>
      <x:c r="C1827" s="1" t="n">
        <x:v>111</x:v>
      </x:c>
      <x:c r="D1827" s="6" t="n">
        <x:v>10291</x:v>
      </x:c>
      <x:c r="E1827" s="6" t="n">
        <x:v>0</x:v>
      </x:c>
      <x:c r="F1827" s="6" t="n">
        <x:v>0</x:v>
      </x:c>
      <x:c r="G1827" s="6" t="n">
        <x:v>0</x:v>
      </x:c>
      <x:c r="H1827" s="6" t="n">
        <x:v>-10291</x:v>
      </x:c>
    </x:row>
    <x:row r="1828" ht="21" customHeight="1">
      <x:c r="A1828" s="1" t="str">
        <x:v>C0008973</x:v>
      </x:c>
      <x:c r="B1828" s="1" t="n">
        <x:v>21</x:v>
      </x:c>
      <x:c r="C1828" s="1" t="n">
        <x:v>111</x:v>
      </x:c>
      <x:c r="D1828" s="6" t="n">
        <x:v>0</x:v>
      </x:c>
      <x:c r="E1828" s="6" t="n">
        <x:v>10291</x:v>
      </x:c>
      <x:c r="F1828" s="6" t="n">
        <x:v>0</x:v>
      </x:c>
      <x:c r="G1828" s="6" t="n">
        <x:v>10291</x:v>
      </x:c>
      <x:c r="H1828" s="6" t="n">
        <x:v>10291</x:v>
      </x:c>
    </x:row>
    <x:row r="1829" ht="21" customHeight="1">
      <x:c r="A1829" s="1" t="str">
        <x:v>C0010345</x:v>
      </x:c>
      <x:c r="B1829" s="1" t="n">
        <x:v>21</x:v>
      </x:c>
      <x:c r="C1829" s="1" t="n">
        <x:v>111</x:v>
      </x:c>
      <x:c r="D1829" s="6" t="n">
        <x:v>10291</x:v>
      </x:c>
      <x:c r="E1829" s="6" t="n">
        <x:v>20582</x:v>
      </x:c>
      <x:c r="F1829" s="6" t="n">
        <x:v>0</x:v>
      </x:c>
      <x:c r="G1829" s="6" t="n">
        <x:v>20582</x:v>
      </x:c>
      <x:c r="H1829" s="6" t="n">
        <x:v>10291</x:v>
      </x:c>
    </x:row>
    <x:row r="1830" ht="21" customHeight="1">
      <x:c r="A1830" s="1" t="str">
        <x:v>C0007567</x:v>
      </x:c>
      <x:c r="B1830" s="1" t="n">
        <x:v>21</x:v>
      </x:c>
      <x:c r="C1830" s="1" t="n">
        <x:v>111</x:v>
      </x:c>
      <x:c r="D1830" s="6" t="n">
        <x:v>10291</x:v>
      </x:c>
      <x:c r="E1830" s="6" t="n">
        <x:v>20582</x:v>
      </x:c>
      <x:c r="F1830" s="6" t="n">
        <x:v>0</x:v>
      </x:c>
      <x:c r="G1830" s="6" t="n">
        <x:v>20582</x:v>
      </x:c>
      <x:c r="H1830" s="6" t="n">
        <x:v>10291</x:v>
      </x:c>
    </x:row>
    <x:row r="1831" ht="21" customHeight="1">
      <x:c r="A1831" s="1" t="str">
        <x:v>C0013829</x:v>
      </x:c>
      <x:c r="B1831" s="1" t="n">
        <x:v>21</x:v>
      </x:c>
      <x:c r="C1831" s="1" t="n">
        <x:v>111</x:v>
      </x:c>
      <x:c r="D1831" s="6" t="n">
        <x:v>10291</x:v>
      </x:c>
      <x:c r="E1831" s="6" t="n">
        <x:v>0</x:v>
      </x:c>
      <x:c r="F1831" s="6" t="n">
        <x:v>0</x:v>
      </x:c>
      <x:c r="G1831" s="6" t="n">
        <x:v>0</x:v>
      </x:c>
      <x:c r="H1831" s="6" t="n">
        <x:v>-10291</x:v>
      </x:c>
    </x:row>
    <x:row r="1832" ht="21" customHeight="1">
      <x:c r="A1832" s="1" t="str">
        <x:v>C0002955</x:v>
      </x:c>
      <x:c r="B1832" s="1" t="n">
        <x:v>13</x:v>
      </x:c>
      <x:c r="C1832" s="1" t="n">
        <x:v>13</x:v>
      </x:c>
      <x:c r="D1832" s="6" t="n">
        <x:v>10223</x:v>
      </x:c>
      <x:c r="E1832" s="6" t="n">
        <x:v>20446</x:v>
      </x:c>
      <x:c r="F1832" s="6" t="n">
        <x:v>0</x:v>
      </x:c>
      <x:c r="G1832" s="6" t="n">
        <x:v>20446</x:v>
      </x:c>
      <x:c r="H1832" s="6" t="n">
        <x:v>10223</x:v>
      </x:c>
    </x:row>
    <x:row r="1833" ht="21" customHeight="1">
      <x:c r="A1833" s="1" t="str">
        <x:v>C0010025</x:v>
      </x:c>
      <x:c r="B1833" s="1" t="n">
        <x:v>13</x:v>
      </x:c>
      <x:c r="C1833" s="1" t="n">
        <x:v>13</x:v>
      </x:c>
      <x:c r="D1833" s="6" t="n">
        <x:v>0</x:v>
      </x:c>
      <x:c r="E1833" s="6" t="n">
        <x:v>10223</x:v>
      </x:c>
      <x:c r="F1833" s="6" t="n">
        <x:v>0</x:v>
      </x:c>
      <x:c r="G1833" s="6" t="n">
        <x:v>10223</x:v>
      </x:c>
      <x:c r="H1833" s="6" t="n">
        <x:v>10223</x:v>
      </x:c>
    </x:row>
    <x:row r="1834" ht="21" customHeight="1">
      <x:c r="A1834" s="1" t="str">
        <x:v>C0003531</x:v>
      </x:c>
      <x:c r="B1834" s="1" t="n">
        <x:v>13</x:v>
      </x:c>
      <x:c r="C1834" s="1" t="n">
        <x:v>13</x:v>
      </x:c>
      <x:c r="D1834" s="6" t="n">
        <x:v>0</x:v>
      </x:c>
      <x:c r="E1834" s="6" t="n">
        <x:v>10223</x:v>
      </x:c>
      <x:c r="F1834" s="6" t="n">
        <x:v>0</x:v>
      </x:c>
      <x:c r="G1834" s="6" t="n">
        <x:v>10223</x:v>
      </x:c>
      <x:c r="H1834" s="6" t="n">
        <x:v>10223</x:v>
      </x:c>
    </x:row>
    <x:row r="1835" ht="21" customHeight="1">
      <x:c r="A1835" s="1" t="str">
        <x:v>C0009446</x:v>
      </x:c>
      <x:c r="B1835" s="1" t="n">
        <x:v>13</x:v>
      </x:c>
      <x:c r="C1835" s="1" t="n">
        <x:v>13</x:v>
      </x:c>
      <x:c r="D1835" s="6" t="n">
        <x:v>10223</x:v>
      </x:c>
      <x:c r="E1835" s="6" t="n">
        <x:v>0</x:v>
      </x:c>
      <x:c r="F1835" s="6" t="n">
        <x:v>0</x:v>
      </x:c>
      <x:c r="G1835" s="6" t="n">
        <x:v>0</x:v>
      </x:c>
      <x:c r="H1835" s="6" t="n">
        <x:v>-10223</x:v>
      </x:c>
    </x:row>
    <x:row r="1836" ht="21" customHeight="1">
      <x:c r="A1836" s="1" t="str">
        <x:v>C0009342</x:v>
      </x:c>
      <x:c r="B1836" s="1" t="n">
        <x:v>13</x:v>
      </x:c>
      <x:c r="C1836" s="1" t="n">
        <x:v>13</x:v>
      </x:c>
      <x:c r="D1836" s="6" t="n">
        <x:v>10223</x:v>
      </x:c>
      <x:c r="E1836" s="6" t="n">
        <x:v>0</x:v>
      </x:c>
      <x:c r="F1836" s="6" t="n">
        <x:v>0</x:v>
      </x:c>
      <x:c r="G1836" s="6" t="n">
        <x:v>0</x:v>
      </x:c>
      <x:c r="H1836" s="6" t="n">
        <x:v>-10223</x:v>
      </x:c>
    </x:row>
    <x:row r="1837" ht="21" customHeight="1">
      <x:c r="A1837" s="1" t="str">
        <x:v>C0017608</x:v>
      </x:c>
      <x:c r="B1837" s="1" t="n">
        <x:v>13</x:v>
      </x:c>
      <x:c r="C1837" s="1" t="n">
        <x:v>13</x:v>
      </x:c>
      <x:c r="D1837" s="6" t="n">
        <x:v>10223</x:v>
      </x:c>
      <x:c r="E1837" s="6" t="n">
        <x:v>20446</x:v>
      </x:c>
      <x:c r="F1837" s="6" t="n">
        <x:v>0</x:v>
      </x:c>
      <x:c r="G1837" s="6" t="n">
        <x:v>20446</x:v>
      </x:c>
      <x:c r="H1837" s="6" t="n">
        <x:v>10223</x:v>
      </x:c>
    </x:row>
    <x:row r="1838" ht="21" customHeight="1">
      <x:c r="A1838" s="1" t="str">
        <x:v>C0016914</x:v>
      </x:c>
      <x:c r="B1838" s="1" t="n">
        <x:v>13</x:v>
      </x:c>
      <x:c r="C1838" s="1" t="n">
        <x:v>13</x:v>
      </x:c>
      <x:c r="D1838" s="6" t="n">
        <x:v>10223</x:v>
      </x:c>
      <x:c r="E1838" s="6" t="n">
        <x:v>20446</x:v>
      </x:c>
      <x:c r="F1838" s="6" t="n">
        <x:v>0</x:v>
      </x:c>
      <x:c r="G1838" s="6" t="n">
        <x:v>20446</x:v>
      </x:c>
      <x:c r="H1838" s="6" t="n">
        <x:v>10223</x:v>
      </x:c>
    </x:row>
    <x:row r="1839" ht="21" customHeight="1">
      <x:c r="A1839" s="1" t="str">
        <x:v>C0017812</x:v>
      </x:c>
      <x:c r="B1839" s="1" t="n">
        <x:v>6</x:v>
      </x:c>
      <x:c r="C1839" s="1" t="n">
        <x:v>96</x:v>
      </x:c>
      <x:c r="D1839" s="6" t="n">
        <x:v>10160</x:v>
      </x:c>
      <x:c r="E1839" s="6" t="n">
        <x:v>20320</x:v>
      </x:c>
      <x:c r="F1839" s="6" t="n">
        <x:v>0</x:v>
      </x:c>
      <x:c r="G1839" s="6" t="n">
        <x:v>20320</x:v>
      </x:c>
      <x:c r="H1839" s="6" t="n">
        <x:v>10160</x:v>
      </x:c>
    </x:row>
    <x:row r="1840" ht="21" customHeight="1">
      <x:c r="A1840" s="1" t="str">
        <x:v>C0014093</x:v>
      </x:c>
      <x:c r="B1840" s="1" t="n">
        <x:v>6</x:v>
      </x:c>
      <x:c r="C1840" s="1" t="n">
        <x:v>96</x:v>
      </x:c>
      <x:c r="D1840" s="6" t="n">
        <x:v>10160</x:v>
      </x:c>
      <x:c r="E1840" s="6" t="n">
        <x:v>20320</x:v>
      </x:c>
      <x:c r="F1840" s="6" t="n">
        <x:v>0</x:v>
      </x:c>
      <x:c r="G1840" s="6" t="n">
        <x:v>20320</x:v>
      </x:c>
      <x:c r="H1840" s="6" t="n">
        <x:v>10160</x:v>
      </x:c>
    </x:row>
    <x:row r="1841" ht="21" customHeight="1">
      <x:c r="A1841" s="1" t="str">
        <x:v>C0016331</x:v>
      </x:c>
      <x:c r="B1841" s="1" t="n">
        <x:v>6</x:v>
      </x:c>
      <x:c r="C1841" s="1" t="n">
        <x:v>96</x:v>
      </x:c>
      <x:c r="D1841" s="6" t="n">
        <x:v>10160</x:v>
      </x:c>
      <x:c r="E1841" s="6" t="n">
        <x:v>20320</x:v>
      </x:c>
      <x:c r="F1841" s="6" t="n">
        <x:v>0</x:v>
      </x:c>
      <x:c r="G1841" s="6" t="n">
        <x:v>20320</x:v>
      </x:c>
      <x:c r="H1841" s="6" t="n">
        <x:v>10160</x:v>
      </x:c>
    </x:row>
    <x:row r="1842" ht="21" customHeight="1">
      <x:c r="A1842" s="1" t="str">
        <x:v>C0010455</x:v>
      </x:c>
      <x:c r="B1842" s="1" t="n">
        <x:v>6</x:v>
      </x:c>
      <x:c r="C1842" s="1" t="n">
        <x:v>96</x:v>
      </x:c>
      <x:c r="D1842" s="6" t="n">
        <x:v>10160</x:v>
      </x:c>
      <x:c r="E1842" s="6" t="n">
        <x:v>20320</x:v>
      </x:c>
      <x:c r="F1842" s="6" t="n">
        <x:v>0</x:v>
      </x:c>
      <x:c r="G1842" s="6" t="n">
        <x:v>20320</x:v>
      </x:c>
      <x:c r="H1842" s="6" t="n">
        <x:v>10160</x:v>
      </x:c>
    </x:row>
    <x:row r="1843" ht="21" customHeight="1">
      <x:c r="A1843" s="1" t="str">
        <x:v>C0017982</x:v>
      </x:c>
      <x:c r="B1843" s="1" t="n">
        <x:v>6</x:v>
      </x:c>
      <x:c r="C1843" s="1" t="n">
        <x:v>96</x:v>
      </x:c>
      <x:c r="D1843" s="6" t="n">
        <x:v>10160</x:v>
      </x:c>
      <x:c r="E1843" s="6" t="n">
        <x:v>20320</x:v>
      </x:c>
      <x:c r="F1843" s="6" t="n">
        <x:v>0</x:v>
      </x:c>
      <x:c r="G1843" s="6" t="n">
        <x:v>20320</x:v>
      </x:c>
      <x:c r="H1843" s="6" t="n">
        <x:v>10160</x:v>
      </x:c>
    </x:row>
    <x:row r="1844" ht="21" customHeight="1">
      <x:c r="A1844" s="1" t="str">
        <x:v>C0015710</x:v>
      </x:c>
      <x:c r="B1844" s="1" t="n">
        <x:v>6</x:v>
      </x:c>
      <x:c r="C1844" s="1" t="n">
        <x:v>96</x:v>
      </x:c>
      <x:c r="D1844" s="6" t="n">
        <x:v>10160</x:v>
      </x:c>
      <x:c r="E1844" s="6" t="n">
        <x:v>0</x:v>
      </x:c>
      <x:c r="F1844" s="6" t="n">
        <x:v>0</x:v>
      </x:c>
      <x:c r="G1844" s="6" t="n">
        <x:v>0</x:v>
      </x:c>
      <x:c r="H1844" s="6" t="n">
        <x:v>-10160</x:v>
      </x:c>
    </x:row>
    <x:row r="1845" ht="21" customHeight="1">
      <x:c r="A1845" s="1" t="str">
        <x:v>C0011590</x:v>
      </x:c>
      <x:c r="B1845" s="1" t="n">
        <x:v>6</x:v>
      </x:c>
      <x:c r="C1845" s="1" t="n">
        <x:v>96</x:v>
      </x:c>
      <x:c r="D1845" s="6" t="n">
        <x:v>10160</x:v>
      </x:c>
      <x:c r="E1845" s="6" t="n">
        <x:v>20320</x:v>
      </x:c>
      <x:c r="F1845" s="6" t="n">
        <x:v>0</x:v>
      </x:c>
      <x:c r="G1845" s="6" t="n">
        <x:v>20320</x:v>
      </x:c>
      <x:c r="H1845" s="6" t="n">
        <x:v>10160</x:v>
      </x:c>
    </x:row>
    <x:row r="1846" ht="21" customHeight="1">
      <x:c r="A1846" s="1" t="str">
        <x:v>C0000286</x:v>
      </x:c>
      <x:c r="B1846" s="1" t="n">
        <x:v>6</x:v>
      </x:c>
      <x:c r="C1846" s="1" t="n">
        <x:v>96</x:v>
      </x:c>
      <x:c r="D1846" s="6" t="n">
        <x:v>10160</x:v>
      </x:c>
      <x:c r="E1846" s="6" t="n">
        <x:v>0</x:v>
      </x:c>
      <x:c r="F1846" s="6" t="n">
        <x:v>0</x:v>
      </x:c>
      <x:c r="G1846" s="6" t="n">
        <x:v>0</x:v>
      </x:c>
      <x:c r="H1846" s="6" t="n">
        <x:v>-10160</x:v>
      </x:c>
    </x:row>
    <x:row r="1847" ht="21" customHeight="1">
      <x:c r="A1847" s="1" t="str">
        <x:v>C0015430</x:v>
      </x:c>
      <x:c r="B1847" s="1" t="n">
        <x:v>6</x:v>
      </x:c>
      <x:c r="C1847" s="1" t="n">
        <x:v>96</x:v>
      </x:c>
      <x:c r="D1847" s="6" t="n">
        <x:v>10160</x:v>
      </x:c>
      <x:c r="E1847" s="6" t="n">
        <x:v>0</x:v>
      </x:c>
      <x:c r="F1847" s="6" t="n">
        <x:v>0</x:v>
      </x:c>
      <x:c r="G1847" s="6" t="n">
        <x:v>0</x:v>
      </x:c>
      <x:c r="H1847" s="6" t="n">
        <x:v>-10160</x:v>
      </x:c>
    </x:row>
    <x:row r="1848" ht="21" customHeight="1">
      <x:c r="A1848" s="1" t="str">
        <x:v>C0005484</x:v>
      </x:c>
      <x:c r="B1848" s="1" t="n">
        <x:v>6</x:v>
      </x:c>
      <x:c r="C1848" s="1" t="n">
        <x:v>96</x:v>
      </x:c>
      <x:c r="D1848" s="6" t="n">
        <x:v>0</x:v>
      </x:c>
      <x:c r="E1848" s="6" t="n">
        <x:v>10160</x:v>
      </x:c>
      <x:c r="F1848" s="6" t="n">
        <x:v>0</x:v>
      </x:c>
      <x:c r="G1848" s="6" t="n">
        <x:v>10160</x:v>
      </x:c>
      <x:c r="H1848" s="6" t="n">
        <x:v>10160</x:v>
      </x:c>
    </x:row>
    <x:row r="1849" ht="21" customHeight="1">
      <x:c r="A1849" s="1" t="str">
        <x:v>C0000100</x:v>
      </x:c>
      <x:c r="B1849" s="1" t="n">
        <x:v>4</x:v>
      </x:c>
      <x:c r="C1849" s="1" t="n">
        <x:v>34</x:v>
      </x:c>
      <x:c r="D1849" s="6" t="n">
        <x:v>9988</x:v>
      </x:c>
      <x:c r="E1849" s="6" t="n">
        <x:v>0</x:v>
      </x:c>
      <x:c r="F1849" s="6" t="n">
        <x:v>0</x:v>
      </x:c>
      <x:c r="G1849" s="6" t="n">
        <x:v>0</x:v>
      </x:c>
      <x:c r="H1849" s="6" t="n">
        <x:v>-9988</x:v>
      </x:c>
    </x:row>
    <x:row r="1850" ht="21" customHeight="1">
      <x:c r="A1850" s="1" t="str">
        <x:v>C0012978</x:v>
      </x:c>
      <x:c r="B1850" s="1" t="n">
        <x:v>4</x:v>
      </x:c>
      <x:c r="C1850" s="1" t="n">
        <x:v>34</x:v>
      </x:c>
      <x:c r="D1850" s="6" t="n">
        <x:v>0</x:v>
      </x:c>
      <x:c r="E1850" s="6" t="n">
        <x:v>9988</x:v>
      </x:c>
      <x:c r="F1850" s="6" t="n">
        <x:v>0</x:v>
      </x:c>
      <x:c r="G1850" s="6" t="n">
        <x:v>9988</x:v>
      </x:c>
      <x:c r="H1850" s="6" t="n">
        <x:v>9988</x:v>
      </x:c>
    </x:row>
    <x:row r="1851" ht="21" customHeight="1">
      <x:c r="A1851" s="1" t="str">
        <x:v>C0017799</x:v>
      </x:c>
      <x:c r="B1851" s="1" t="n">
        <x:v>4</x:v>
      </x:c>
      <x:c r="C1851" s="1" t="n">
        <x:v>34</x:v>
      </x:c>
      <x:c r="D1851" s="6" t="n">
        <x:v>9988</x:v>
      </x:c>
      <x:c r="E1851" s="6" t="n">
        <x:v>19976</x:v>
      </x:c>
      <x:c r="F1851" s="6" t="n">
        <x:v>0</x:v>
      </x:c>
      <x:c r="G1851" s="6" t="n">
        <x:v>19976</x:v>
      </x:c>
      <x:c r="H1851" s="6" t="n">
        <x:v>9988</x:v>
      </x:c>
    </x:row>
    <x:row r="1852" ht="21" customHeight="1">
      <x:c r="A1852" s="1" t="str">
        <x:v>C0000426</x:v>
      </x:c>
      <x:c r="B1852" s="1" t="n">
        <x:v>4</x:v>
      </x:c>
      <x:c r="C1852" s="1" t="n">
        <x:v>34</x:v>
      </x:c>
      <x:c r="D1852" s="6" t="n">
        <x:v>9988</x:v>
      </x:c>
      <x:c r="E1852" s="6" t="n">
        <x:v>19976</x:v>
      </x:c>
      <x:c r="F1852" s="6" t="n">
        <x:v>0</x:v>
      </x:c>
      <x:c r="G1852" s="6" t="n">
        <x:v>19976</x:v>
      </x:c>
      <x:c r="H1852" s="6" t="n">
        <x:v>9988</x:v>
      </x:c>
    </x:row>
    <x:row r="1853" ht="21" customHeight="1">
      <x:c r="A1853" s="1" t="str">
        <x:v>C0011094</x:v>
      </x:c>
      <x:c r="B1853" s="1" t="n">
        <x:v>4</x:v>
      </x:c>
      <x:c r="C1853" s="1" t="n">
        <x:v>34</x:v>
      </x:c>
      <x:c r="D1853" s="6" t="n">
        <x:v>9988</x:v>
      </x:c>
      <x:c r="E1853" s="6" t="n">
        <x:v>19976</x:v>
      </x:c>
      <x:c r="F1853" s="6" t="n">
        <x:v>0</x:v>
      </x:c>
      <x:c r="G1853" s="6" t="n">
        <x:v>19976</x:v>
      </x:c>
      <x:c r="H1853" s="6" t="n">
        <x:v>9988</x:v>
      </x:c>
    </x:row>
    <x:row r="1854" ht="21" customHeight="1">
      <x:c r="A1854" s="1" t="str">
        <x:v>C0017329</x:v>
      </x:c>
      <x:c r="B1854" s="1" t="n">
        <x:v>22</x:v>
      </x:c>
      <x:c r="C1854" s="1" t="n">
        <x:v>112</x:v>
      </x:c>
      <x:c r="D1854" s="6" t="n">
        <x:v>9968</x:v>
      </x:c>
      <x:c r="E1854" s="6" t="n">
        <x:v>19936</x:v>
      </x:c>
      <x:c r="F1854" s="6" t="n">
        <x:v>0</x:v>
      </x:c>
      <x:c r="G1854" s="6" t="n">
        <x:v>19936</x:v>
      </x:c>
      <x:c r="H1854" s="6" t="n">
        <x:v>9968</x:v>
      </x:c>
    </x:row>
    <x:row r="1855" ht="21" customHeight="1">
      <x:c r="A1855" s="1" t="str">
        <x:v>C0012991</x:v>
      </x:c>
      <x:c r="B1855" s="1" t="n">
        <x:v>22</x:v>
      </x:c>
      <x:c r="C1855" s="1" t="n">
        <x:v>112</x:v>
      </x:c>
      <x:c r="D1855" s="6" t="n">
        <x:v>9968</x:v>
      </x:c>
      <x:c r="E1855" s="6" t="n">
        <x:v>0</x:v>
      </x:c>
      <x:c r="F1855" s="6" t="n">
        <x:v>0</x:v>
      </x:c>
      <x:c r="G1855" s="6" t="n">
        <x:v>0</x:v>
      </x:c>
      <x:c r="H1855" s="6" t="n">
        <x:v>-9968</x:v>
      </x:c>
    </x:row>
    <x:row r="1856" ht="21" customHeight="1">
      <x:c r="A1856" s="1" t="str">
        <x:v>C0004720</x:v>
      </x:c>
      <x:c r="B1856" s="1" t="n">
        <x:v>22</x:v>
      </x:c>
      <x:c r="C1856" s="1" t="n">
        <x:v>112</x:v>
      </x:c>
      <x:c r="D1856" s="6" t="n">
        <x:v>9968</x:v>
      </x:c>
      <x:c r="E1856" s="6" t="n">
        <x:v>19936</x:v>
      </x:c>
      <x:c r="F1856" s="6" t="n">
        <x:v>0</x:v>
      </x:c>
      <x:c r="G1856" s="6" t="n">
        <x:v>19936</x:v>
      </x:c>
      <x:c r="H1856" s="6" t="n">
        <x:v>9968</x:v>
      </x:c>
    </x:row>
    <x:row r="1857" ht="21" customHeight="1">
      <x:c r="A1857" s="1" t="str">
        <x:v>C0013181</x:v>
      </x:c>
      <x:c r="B1857" s="1" t="n">
        <x:v>22</x:v>
      </x:c>
      <x:c r="C1857" s="1" t="n">
        <x:v>112</x:v>
      </x:c>
      <x:c r="D1857" s="6" t="n">
        <x:v>9968</x:v>
      </x:c>
      <x:c r="E1857" s="6" t="n">
        <x:v>0</x:v>
      </x:c>
      <x:c r="F1857" s="6" t="n">
        <x:v>0</x:v>
      </x:c>
      <x:c r="G1857" s="6" t="n">
        <x:v>0</x:v>
      </x:c>
      <x:c r="H1857" s="6" t="n">
        <x:v>-9968</x:v>
      </x:c>
    </x:row>
    <x:row r="1858" ht="21" customHeight="1">
      <x:c r="A1858" s="1" t="str">
        <x:v>C0015304</x:v>
      </x:c>
      <x:c r="B1858" s="1" t="n">
        <x:v>22</x:v>
      </x:c>
      <x:c r="C1858" s="1" t="n">
        <x:v>112</x:v>
      </x:c>
      <x:c r="D1858" s="6" t="n">
        <x:v>9968</x:v>
      </x:c>
      <x:c r="E1858" s="6" t="n">
        <x:v>0</x:v>
      </x:c>
      <x:c r="F1858" s="6" t="n">
        <x:v>0</x:v>
      </x:c>
      <x:c r="G1858" s="6" t="n">
        <x:v>0</x:v>
      </x:c>
      <x:c r="H1858" s="6" t="n">
        <x:v>-9968</x:v>
      </x:c>
    </x:row>
    <x:row r="1859" ht="21" customHeight="1">
      <x:c r="A1859" s="1" t="str">
        <x:v>C0007840</x:v>
      </x:c>
      <x:c r="B1859" s="1" t="n">
        <x:v>22</x:v>
      </x:c>
      <x:c r="C1859" s="1" t="n">
        <x:v>112</x:v>
      </x:c>
      <x:c r="D1859" s="6" t="n">
        <x:v>9968</x:v>
      </x:c>
      <x:c r="E1859" s="6" t="n">
        <x:v>19936</x:v>
      </x:c>
      <x:c r="F1859" s="6" t="n">
        <x:v>0</x:v>
      </x:c>
      <x:c r="G1859" s="6" t="n">
        <x:v>19936</x:v>
      </x:c>
      <x:c r="H1859" s="6" t="n">
        <x:v>9968</x:v>
      </x:c>
    </x:row>
    <x:row r="1860" ht="21" customHeight="1">
      <x:c r="A1860" s="1" t="str">
        <x:v>C0014520</x:v>
      </x:c>
      <x:c r="B1860" s="1" t="n">
        <x:v>22</x:v>
      </x:c>
      <x:c r="C1860" s="1" t="n">
        <x:v>112</x:v>
      </x:c>
      <x:c r="D1860" s="6" t="n">
        <x:v>9968</x:v>
      </x:c>
      <x:c r="E1860" s="6" t="n">
        <x:v>19936</x:v>
      </x:c>
      <x:c r="F1860" s="6" t="n">
        <x:v>0</x:v>
      </x:c>
      <x:c r="G1860" s="6" t="n">
        <x:v>19936</x:v>
      </x:c>
      <x:c r="H1860" s="6" t="n">
        <x:v>9968</x:v>
      </x:c>
    </x:row>
    <x:row r="1861" ht="21" customHeight="1">
      <x:c r="A1861" s="1" t="str">
        <x:v>C0000892</x:v>
      </x:c>
      <x:c r="B1861" s="1" t="n">
        <x:v>22</x:v>
      </x:c>
      <x:c r="C1861" s="1" t="n">
        <x:v>112</x:v>
      </x:c>
      <x:c r="D1861" s="6" t="n">
        <x:v>9968</x:v>
      </x:c>
      <x:c r="E1861" s="6" t="n">
        <x:v>0</x:v>
      </x:c>
      <x:c r="F1861" s="6" t="n">
        <x:v>0</x:v>
      </x:c>
      <x:c r="G1861" s="6" t="n">
        <x:v>0</x:v>
      </x:c>
      <x:c r="H1861" s="6" t="n">
        <x:v>-9968</x:v>
      </x:c>
    </x:row>
    <x:row r="1862" ht="21" customHeight="1">
      <x:c r="A1862" s="1" t="str">
        <x:v>C0012541</x:v>
      </x:c>
      <x:c r="B1862" s="1" t="n">
        <x:v>22</x:v>
      </x:c>
      <x:c r="C1862" s="1" t="n">
        <x:v>112</x:v>
      </x:c>
      <x:c r="D1862" s="6" t="n">
        <x:v>9968</x:v>
      </x:c>
      <x:c r="E1862" s="6" t="n">
        <x:v>19936</x:v>
      </x:c>
      <x:c r="F1862" s="6" t="n">
        <x:v>0</x:v>
      </x:c>
      <x:c r="G1862" s="6" t="n">
        <x:v>19936</x:v>
      </x:c>
      <x:c r="H1862" s="6" t="n">
        <x:v>9968</x:v>
      </x:c>
    </x:row>
    <x:row r="1863" ht="21" customHeight="1">
      <x:c r="A1863" s="1" t="str">
        <x:v>C0008532</x:v>
      </x:c>
      <x:c r="B1863" s="1" t="n">
        <x:v>25</x:v>
      </x:c>
      <x:c r="C1863" s="1" t="n">
        <x:v>55</x:v>
      </x:c>
      <x:c r="D1863" s="6" t="n">
        <x:v>9966</x:v>
      </x:c>
      <x:c r="E1863" s="6" t="n">
        <x:v>19932</x:v>
      </x:c>
      <x:c r="F1863" s="6" t="n">
        <x:v>0</x:v>
      </x:c>
      <x:c r="G1863" s="6" t="n">
        <x:v>19932</x:v>
      </x:c>
      <x:c r="H1863" s="6" t="n">
        <x:v>9966</x:v>
      </x:c>
    </x:row>
    <x:row r="1864" ht="21" customHeight="1">
      <x:c r="A1864" s="1" t="str">
        <x:v>C0010847</x:v>
      </x:c>
      <x:c r="B1864" s="1" t="n">
        <x:v>25</x:v>
      </x:c>
      <x:c r="C1864" s="1" t="n">
        <x:v>55</x:v>
      </x:c>
      <x:c r="D1864" s="6" t="n">
        <x:v>9966</x:v>
      </x:c>
      <x:c r="E1864" s="6" t="n">
        <x:v>19932</x:v>
      </x:c>
      <x:c r="F1864" s="6" t="n">
        <x:v>0</x:v>
      </x:c>
      <x:c r="G1864" s="6" t="n">
        <x:v>19932</x:v>
      </x:c>
      <x:c r="H1864" s="6" t="n">
        <x:v>9966</x:v>
      </x:c>
    </x:row>
    <x:row r="1865" ht="21" customHeight="1">
      <x:c r="A1865" s="1" t="str">
        <x:v>C0012932</x:v>
      </x:c>
      <x:c r="B1865" s="1" t="n">
        <x:v>25</x:v>
      </x:c>
      <x:c r="C1865" s="1" t="n">
        <x:v>55</x:v>
      </x:c>
      <x:c r="D1865" s="6" t="n">
        <x:v>0</x:v>
      </x:c>
      <x:c r="E1865" s="6" t="n">
        <x:v>9966</x:v>
      </x:c>
      <x:c r="F1865" s="6" t="n">
        <x:v>0</x:v>
      </x:c>
      <x:c r="G1865" s="6" t="n">
        <x:v>9966</x:v>
      </x:c>
      <x:c r="H1865" s="6" t="n">
        <x:v>9966</x:v>
      </x:c>
    </x:row>
    <x:row r="1866" ht="21" customHeight="1">
      <x:c r="A1866" s="1" t="str">
        <x:v>C0005242</x:v>
      </x:c>
      <x:c r="B1866" s="1" t="n">
        <x:v>25</x:v>
      </x:c>
      <x:c r="C1866" s="1" t="n">
        <x:v>55</x:v>
      </x:c>
      <x:c r="D1866" s="6" t="n">
        <x:v>9966</x:v>
      </x:c>
      <x:c r="E1866" s="6" t="n">
        <x:v>19932</x:v>
      </x:c>
      <x:c r="F1866" s="6" t="n">
        <x:v>0</x:v>
      </x:c>
      <x:c r="G1866" s="6" t="n">
        <x:v>19932</x:v>
      </x:c>
      <x:c r="H1866" s="6" t="n">
        <x:v>9966</x:v>
      </x:c>
    </x:row>
    <x:row r="1867" ht="21" customHeight="1">
      <x:c r="A1867" s="1" t="str">
        <x:v>C0000755</x:v>
      </x:c>
      <x:c r="B1867" s="1" t="n">
        <x:v>25</x:v>
      </x:c>
      <x:c r="C1867" s="1" t="n">
        <x:v>55</x:v>
      </x:c>
      <x:c r="D1867" s="6" t="n">
        <x:v>9966</x:v>
      </x:c>
      <x:c r="E1867" s="6" t="n">
        <x:v>19932</x:v>
      </x:c>
      <x:c r="F1867" s="6" t="n">
        <x:v>0</x:v>
      </x:c>
      <x:c r="G1867" s="6" t="n">
        <x:v>19932</x:v>
      </x:c>
      <x:c r="H1867" s="6" t="n">
        <x:v>9966</x:v>
      </x:c>
    </x:row>
    <x:row r="1868" ht="21" customHeight="1">
      <x:c r="A1868" s="1" t="str">
        <x:v>C0009271</x:v>
      </x:c>
      <x:c r="B1868" s="1" t="n">
        <x:v>7</x:v>
      </x:c>
      <x:c r="C1868" s="1" t="n">
        <x:v>7</x:v>
      </x:c>
      <x:c r="D1868" s="6" t="n">
        <x:v>9909</x:v>
      </x:c>
      <x:c r="E1868" s="6" t="n">
        <x:v>0</x:v>
      </x:c>
      <x:c r="F1868" s="6" t="n">
        <x:v>0</x:v>
      </x:c>
      <x:c r="G1868" s="6" t="n">
        <x:v>0</x:v>
      </x:c>
      <x:c r="H1868" s="6" t="n">
        <x:v>-9909</x:v>
      </x:c>
    </x:row>
    <x:row r="1869" ht="21" customHeight="1">
      <x:c r="A1869" s="1" t="str">
        <x:v>C0017619</x:v>
      </x:c>
      <x:c r="B1869" s="1" t="n">
        <x:v>7</x:v>
      </x:c>
      <x:c r="C1869" s="1" t="n">
        <x:v>7</x:v>
      </x:c>
      <x:c r="D1869" s="6" t="n">
        <x:v>9909</x:v>
      </x:c>
      <x:c r="E1869" s="6" t="n">
        <x:v>19818</x:v>
      </x:c>
      <x:c r="F1869" s="6" t="n">
        <x:v>0</x:v>
      </x:c>
      <x:c r="G1869" s="6" t="n">
        <x:v>19818</x:v>
      </x:c>
      <x:c r="H1869" s="6" t="n">
        <x:v>9909</x:v>
      </x:c>
    </x:row>
    <x:row r="1870" ht="21" customHeight="1">
      <x:c r="A1870" s="1" t="str">
        <x:v>C0007757</x:v>
      </x:c>
      <x:c r="B1870" s="1" t="n">
        <x:v>7</x:v>
      </x:c>
      <x:c r="C1870" s="1" t="n">
        <x:v>7</x:v>
      </x:c>
      <x:c r="D1870" s="6" t="n">
        <x:v>9909</x:v>
      </x:c>
      <x:c r="E1870" s="6" t="n">
        <x:v>19818</x:v>
      </x:c>
      <x:c r="F1870" s="6" t="n">
        <x:v>0</x:v>
      </x:c>
      <x:c r="G1870" s="6" t="n">
        <x:v>19818</x:v>
      </x:c>
      <x:c r="H1870" s="6" t="n">
        <x:v>9909</x:v>
      </x:c>
    </x:row>
    <x:row r="1871" ht="21" customHeight="1">
      <x:c r="A1871" s="1" t="str">
        <x:v>C0003022</x:v>
      </x:c>
      <x:c r="B1871" s="1" t="n">
        <x:v>7</x:v>
      </x:c>
      <x:c r="C1871" s="1" t="n">
        <x:v>7</x:v>
      </x:c>
      <x:c r="D1871" s="6" t="n">
        <x:v>9909</x:v>
      </x:c>
      <x:c r="E1871" s="6" t="n">
        <x:v>0</x:v>
      </x:c>
      <x:c r="F1871" s="6" t="n">
        <x:v>0</x:v>
      </x:c>
      <x:c r="G1871" s="6" t="n">
        <x:v>0</x:v>
      </x:c>
      <x:c r="H1871" s="6" t="n">
        <x:v>-9909</x:v>
      </x:c>
    </x:row>
    <x:row r="1872" ht="21" customHeight="1">
      <x:c r="A1872" s="1" t="str">
        <x:v>C0004690</x:v>
      </x:c>
      <x:c r="B1872" s="1" t="n">
        <x:v>7</x:v>
      </x:c>
      <x:c r="C1872" s="1" t="n">
        <x:v>7</x:v>
      </x:c>
      <x:c r="D1872" s="6" t="n">
        <x:v>9909</x:v>
      </x:c>
      <x:c r="E1872" s="6" t="n">
        <x:v>19818</x:v>
      </x:c>
      <x:c r="F1872" s="6" t="n">
        <x:v>0</x:v>
      </x:c>
      <x:c r="G1872" s="6" t="n">
        <x:v>19818</x:v>
      </x:c>
      <x:c r="H1872" s="6" t="n">
        <x:v>9909</x:v>
      </x:c>
    </x:row>
    <x:row r="1873" ht="21" customHeight="1">
      <x:c r="A1873" s="1" t="str">
        <x:v>C0011994</x:v>
      </x:c>
      <x:c r="B1873" s="1" t="n">
        <x:v>7</x:v>
      </x:c>
      <x:c r="C1873" s="1" t="n">
        <x:v>7</x:v>
      </x:c>
      <x:c r="D1873" s="6" t="n">
        <x:v>9909</x:v>
      </x:c>
      <x:c r="E1873" s="6" t="n">
        <x:v>19818</x:v>
      </x:c>
      <x:c r="F1873" s="6" t="n">
        <x:v>0</x:v>
      </x:c>
      <x:c r="G1873" s="6" t="n">
        <x:v>19818</x:v>
      </x:c>
      <x:c r="H1873" s="6" t="n">
        <x:v>9909</x:v>
      </x:c>
    </x:row>
    <x:row r="1874" ht="21" customHeight="1">
      <x:c r="A1874" s="1" t="str">
        <x:v>C0017446</x:v>
      </x:c>
      <x:c r="B1874" s="1" t="n">
        <x:v>7</x:v>
      </x:c>
      <x:c r="C1874" s="1" t="n">
        <x:v>7</x:v>
      </x:c>
      <x:c r="D1874" s="6" t="n">
        <x:v>9909</x:v>
      </x:c>
      <x:c r="E1874" s="6" t="n">
        <x:v>19818</x:v>
      </x:c>
      <x:c r="F1874" s="6" t="n">
        <x:v>0</x:v>
      </x:c>
      <x:c r="G1874" s="6" t="n">
        <x:v>19818</x:v>
      </x:c>
      <x:c r="H1874" s="6" t="n">
        <x:v>9909</x:v>
      </x:c>
    </x:row>
    <x:row r="1875" ht="21" customHeight="1">
      <x:c r="A1875" s="1" t="str">
        <x:v>C0009738</x:v>
      </x:c>
      <x:c r="B1875" s="1" t="n">
        <x:v>7</x:v>
      </x:c>
      <x:c r="C1875" s="1" t="n">
        <x:v>7</x:v>
      </x:c>
      <x:c r="D1875" s="6" t="n">
        <x:v>9909</x:v>
      </x:c>
      <x:c r="E1875" s="6" t="n">
        <x:v>0</x:v>
      </x:c>
      <x:c r="F1875" s="6" t="n">
        <x:v>0</x:v>
      </x:c>
      <x:c r="G1875" s="6" t="n">
        <x:v>0</x:v>
      </x:c>
      <x:c r="H1875" s="6" t="n">
        <x:v>-9909</x:v>
      </x:c>
    </x:row>
    <x:row r="1876" ht="21" customHeight="1">
      <x:c r="A1876" s="1" t="str">
        <x:v>C0002312</x:v>
      </x:c>
      <x:c r="B1876" s="1" t="n">
        <x:v>1</x:v>
      </x:c>
      <x:c r="C1876" s="1" t="n">
        <x:v>91</x:v>
      </x:c>
      <x:c r="D1876" s="6" t="n">
        <x:v>9833</x:v>
      </x:c>
      <x:c r="E1876" s="6" t="n">
        <x:v>0</x:v>
      </x:c>
      <x:c r="F1876" s="6" t="n">
        <x:v>0</x:v>
      </x:c>
      <x:c r="G1876" s="6" t="n">
        <x:v>0</x:v>
      </x:c>
      <x:c r="H1876" s="6" t="n">
        <x:v>-9833</x:v>
      </x:c>
    </x:row>
    <x:row r="1877" ht="21" customHeight="1">
      <x:c r="A1877" s="1" t="str">
        <x:v>C0006959</x:v>
      </x:c>
      <x:c r="B1877" s="1" t="n">
        <x:v>1</x:v>
      </x:c>
      <x:c r="C1877" s="1" t="n">
        <x:v>91</x:v>
      </x:c>
      <x:c r="D1877" s="6" t="n">
        <x:v>9833</x:v>
      </x:c>
      <x:c r="E1877" s="6" t="n">
        <x:v>0</x:v>
      </x:c>
      <x:c r="F1877" s="6" t="n">
        <x:v>0</x:v>
      </x:c>
      <x:c r="G1877" s="6" t="n">
        <x:v>0</x:v>
      </x:c>
      <x:c r="H1877" s="6" t="n">
        <x:v>-9833</x:v>
      </x:c>
    </x:row>
    <x:row r="1878" ht="21" customHeight="1">
      <x:c r="A1878" s="1" t="str">
        <x:v>C0002172</x:v>
      </x:c>
      <x:c r="B1878" s="1" t="n">
        <x:v>6</x:v>
      </x:c>
      <x:c r="C1878" s="1" t="n">
        <x:v>6</x:v>
      </x:c>
      <x:c r="D1878" s="6" t="n">
        <x:v>9791</x:v>
      </x:c>
      <x:c r="E1878" s="6" t="n">
        <x:v>19582</x:v>
      </x:c>
      <x:c r="F1878" s="6" t="n">
        <x:v>0</x:v>
      </x:c>
      <x:c r="G1878" s="6" t="n">
        <x:v>19582</x:v>
      </x:c>
      <x:c r="H1878" s="6" t="n">
        <x:v>9791</x:v>
      </x:c>
    </x:row>
    <x:row r="1879" ht="21" customHeight="1">
      <x:c r="A1879" s="1" t="str">
        <x:v>C0005481</x:v>
      </x:c>
      <x:c r="B1879" s="1" t="n">
        <x:v>6</x:v>
      </x:c>
      <x:c r="C1879" s="1" t="n">
        <x:v>6</x:v>
      </x:c>
      <x:c r="D1879" s="6" t="n">
        <x:v>9791</x:v>
      </x:c>
      <x:c r="E1879" s="6" t="n">
        <x:v>0</x:v>
      </x:c>
      <x:c r="F1879" s="6" t="n">
        <x:v>0</x:v>
      </x:c>
      <x:c r="G1879" s="6" t="n">
        <x:v>0</x:v>
      </x:c>
      <x:c r="H1879" s="6" t="n">
        <x:v>-9791</x:v>
      </x:c>
    </x:row>
    <x:row r="1880" ht="21" customHeight="1">
      <x:c r="A1880" s="1" t="str">
        <x:v>C0000017</x:v>
      </x:c>
      <x:c r="B1880" s="1" t="n">
        <x:v>6</x:v>
      </x:c>
      <x:c r="C1880" s="1" t="n">
        <x:v>6</x:v>
      </x:c>
      <x:c r="D1880" s="6" t="n">
        <x:v>9791</x:v>
      </x:c>
      <x:c r="E1880" s="6" t="n">
        <x:v>0</x:v>
      </x:c>
      <x:c r="F1880" s="6" t="n">
        <x:v>0</x:v>
      </x:c>
      <x:c r="G1880" s="6" t="n">
        <x:v>0</x:v>
      </x:c>
      <x:c r="H1880" s="6" t="n">
        <x:v>-9791</x:v>
      </x:c>
    </x:row>
    <x:row r="1881" ht="21" customHeight="1">
      <x:c r="A1881" s="1" t="str">
        <x:v>C0007238</x:v>
      </x:c>
      <x:c r="B1881" s="1" t="n">
        <x:v>6</x:v>
      </x:c>
      <x:c r="C1881" s="1" t="n">
        <x:v>6</x:v>
      </x:c>
      <x:c r="D1881" s="6" t="n">
        <x:v>9791</x:v>
      </x:c>
      <x:c r="E1881" s="6" t="n">
        <x:v>0</x:v>
      </x:c>
      <x:c r="F1881" s="6" t="n">
        <x:v>0</x:v>
      </x:c>
      <x:c r="G1881" s="6" t="n">
        <x:v>0</x:v>
      </x:c>
      <x:c r="H1881" s="6" t="n">
        <x:v>-9791</x:v>
      </x:c>
    </x:row>
    <x:row r="1882" ht="21" customHeight="1">
      <x:c r="A1882" s="1" t="str">
        <x:v>C0011272</x:v>
      </x:c>
      <x:c r="B1882" s="1" t="n">
        <x:v>6</x:v>
      </x:c>
      <x:c r="C1882" s="1" t="n">
        <x:v>6</x:v>
      </x:c>
      <x:c r="D1882" s="6" t="n">
        <x:v>9791</x:v>
      </x:c>
      <x:c r="E1882" s="6" t="n">
        <x:v>0</x:v>
      </x:c>
      <x:c r="F1882" s="6" t="n">
        <x:v>0</x:v>
      </x:c>
      <x:c r="G1882" s="6" t="n">
        <x:v>0</x:v>
      </x:c>
      <x:c r="H1882" s="6" t="n">
        <x:v>-9791</x:v>
      </x:c>
    </x:row>
    <x:row r="1883" ht="21" customHeight="1">
      <x:c r="A1883" s="1" t="str">
        <x:v>C0013701</x:v>
      </x:c>
      <x:c r="B1883" s="1" t="n">
        <x:v>6</x:v>
      </x:c>
      <x:c r="C1883" s="1" t="n">
        <x:v>6</x:v>
      </x:c>
      <x:c r="D1883" s="6" t="n">
        <x:v>9791</x:v>
      </x:c>
      <x:c r="E1883" s="6" t="n">
        <x:v>19582</x:v>
      </x:c>
      <x:c r="F1883" s="6" t="n">
        <x:v>0</x:v>
      </x:c>
      <x:c r="G1883" s="6" t="n">
        <x:v>19582</x:v>
      </x:c>
      <x:c r="H1883" s="6" t="n">
        <x:v>9791</x:v>
      </x:c>
    </x:row>
    <x:row r="1884" ht="21" customHeight="1">
      <x:c r="A1884" s="1" t="str">
        <x:v>C0003413</x:v>
      </x:c>
      <x:c r="B1884" s="1" t="n">
        <x:v>6</x:v>
      </x:c>
      <x:c r="C1884" s="1" t="n">
        <x:v>6</x:v>
      </x:c>
      <x:c r="D1884" s="6" t="n">
        <x:v>9791</x:v>
      </x:c>
      <x:c r="E1884" s="6" t="n">
        <x:v>0</x:v>
      </x:c>
      <x:c r="F1884" s="6" t="n">
        <x:v>0</x:v>
      </x:c>
      <x:c r="G1884" s="6" t="n">
        <x:v>0</x:v>
      </x:c>
      <x:c r="H1884" s="6" t="n">
        <x:v>-9791</x:v>
      </x:c>
    </x:row>
    <x:row r="1885" ht="21" customHeight="1">
      <x:c r="A1885" s="1" t="str">
        <x:v>C0001683</x:v>
      </x:c>
      <x:c r="B1885" s="1" t="n">
        <x:v>6</x:v>
      </x:c>
      <x:c r="C1885" s="1" t="n">
        <x:v>6</x:v>
      </x:c>
      <x:c r="D1885" s="6" t="n">
        <x:v>9791</x:v>
      </x:c>
      <x:c r="E1885" s="6" t="n">
        <x:v>0</x:v>
      </x:c>
      <x:c r="F1885" s="6" t="n">
        <x:v>0</x:v>
      </x:c>
      <x:c r="G1885" s="6" t="n">
        <x:v>0</x:v>
      </x:c>
      <x:c r="H1885" s="6" t="n">
        <x:v>-9791</x:v>
      </x:c>
    </x:row>
    <x:row r="1886" ht="21" customHeight="1">
      <x:c r="A1886" s="1" t="str">
        <x:v>C0005848</x:v>
      </x:c>
      <x:c r="B1886" s="1" t="n">
        <x:v>30</x:v>
      </x:c>
      <x:c r="C1886" s="1" t="n">
        <x:v>30</x:v>
      </x:c>
      <x:c r="D1886" s="6" t="n">
        <x:v>9733</x:v>
      </x:c>
      <x:c r="E1886" s="6" t="n">
        <x:v>19466</x:v>
      </x:c>
      <x:c r="F1886" s="6" t="n">
        <x:v>0</x:v>
      </x:c>
      <x:c r="G1886" s="6" t="n">
        <x:v>19466</x:v>
      </x:c>
      <x:c r="H1886" s="6" t="n">
        <x:v>9733</x:v>
      </x:c>
    </x:row>
    <x:row r="1887" ht="21" customHeight="1">
      <x:c r="A1887" s="1" t="str">
        <x:v>C0003746</x:v>
      </x:c>
      <x:c r="B1887" s="1" t="n">
        <x:v>30</x:v>
      </x:c>
      <x:c r="C1887" s="1" t="n">
        <x:v>30</x:v>
      </x:c>
      <x:c r="D1887" s="6" t="n">
        <x:v>9733</x:v>
      </x:c>
      <x:c r="E1887" s="6" t="n">
        <x:v>0</x:v>
      </x:c>
      <x:c r="F1887" s="6" t="n">
        <x:v>0</x:v>
      </x:c>
      <x:c r="G1887" s="6" t="n">
        <x:v>0</x:v>
      </x:c>
      <x:c r="H1887" s="6" t="n">
        <x:v>-9733</x:v>
      </x:c>
    </x:row>
    <x:row r="1888" ht="21" customHeight="1">
      <x:c r="A1888" s="1" t="str">
        <x:v>C0009976</x:v>
      </x:c>
      <x:c r="B1888" s="1" t="n">
        <x:v>30</x:v>
      </x:c>
      <x:c r="C1888" s="1" t="n">
        <x:v>30</x:v>
      </x:c>
      <x:c r="D1888" s="6" t="n">
        <x:v>9733</x:v>
      </x:c>
      <x:c r="E1888" s="6" t="n">
        <x:v>0</x:v>
      </x:c>
      <x:c r="F1888" s="6" t="n">
        <x:v>0</x:v>
      </x:c>
      <x:c r="G1888" s="6" t="n">
        <x:v>0</x:v>
      </x:c>
      <x:c r="H1888" s="6" t="n">
        <x:v>-9733</x:v>
      </x:c>
    </x:row>
    <x:row r="1889" ht="21" customHeight="1">
      <x:c r="A1889" s="1" t="str">
        <x:v>C0000557</x:v>
      </x:c>
      <x:c r="B1889" s="1" t="n">
        <x:v>30</x:v>
      </x:c>
      <x:c r="C1889" s="1" t="n">
        <x:v>30</x:v>
      </x:c>
      <x:c r="D1889" s="6" t="n">
        <x:v>9733</x:v>
      </x:c>
      <x:c r="E1889" s="6" t="n">
        <x:v>0</x:v>
      </x:c>
      <x:c r="F1889" s="6" t="n">
        <x:v>0</x:v>
      </x:c>
      <x:c r="G1889" s="6" t="n">
        <x:v>0</x:v>
      </x:c>
      <x:c r="H1889" s="6" t="n">
        <x:v>-9733</x:v>
      </x:c>
    </x:row>
    <x:row r="1890" ht="21" customHeight="1">
      <x:c r="A1890" s="1" t="str">
        <x:v>C0005188</x:v>
      </x:c>
      <x:c r="B1890" s="1" t="n">
        <x:v>30</x:v>
      </x:c>
      <x:c r="C1890" s="1" t="n">
        <x:v>30</x:v>
      </x:c>
      <x:c r="D1890" s="6" t="n">
        <x:v>9733</x:v>
      </x:c>
      <x:c r="E1890" s="6" t="n">
        <x:v>19466</x:v>
      </x:c>
      <x:c r="F1890" s="6" t="n">
        <x:v>0</x:v>
      </x:c>
      <x:c r="G1890" s="6" t="n">
        <x:v>19466</x:v>
      </x:c>
      <x:c r="H1890" s="6" t="n">
        <x:v>9733</x:v>
      </x:c>
    </x:row>
    <x:row r="1891" ht="21" customHeight="1">
      <x:c r="A1891" s="1" t="str">
        <x:v>C0002023</x:v>
      </x:c>
      <x:c r="B1891" s="1" t="n">
        <x:v>30</x:v>
      </x:c>
      <x:c r="C1891" s="1" t="n">
        <x:v>30</x:v>
      </x:c>
      <x:c r="D1891" s="6" t="n">
        <x:v>9733</x:v>
      </x:c>
      <x:c r="E1891" s="6" t="n">
        <x:v>0</x:v>
      </x:c>
      <x:c r="F1891" s="6" t="n">
        <x:v>0</x:v>
      </x:c>
      <x:c r="G1891" s="6" t="n">
        <x:v>0</x:v>
      </x:c>
      <x:c r="H1891" s="6" t="n">
        <x:v>-9733</x:v>
      </x:c>
    </x:row>
    <x:row r="1892" ht="21" customHeight="1">
      <x:c r="A1892" s="1" t="str">
        <x:v>C0011329</x:v>
      </x:c>
      <x:c r="B1892" s="1" t="n">
        <x:v>21</x:v>
      </x:c>
      <x:c r="C1892" s="1" t="n">
        <x:v>111</x:v>
      </x:c>
      <x:c r="D1892" s="6" t="n">
        <x:v>9658</x:v>
      </x:c>
      <x:c r="E1892" s="6" t="n">
        <x:v>19316</x:v>
      </x:c>
      <x:c r="F1892" s="6" t="n">
        <x:v>0</x:v>
      </x:c>
      <x:c r="G1892" s="6" t="n">
        <x:v>19316</x:v>
      </x:c>
      <x:c r="H1892" s="6" t="n">
        <x:v>9658</x:v>
      </x:c>
    </x:row>
    <x:row r="1893" ht="21" customHeight="1">
      <x:c r="A1893" s="1" t="str">
        <x:v>C0015455</x:v>
      </x:c>
      <x:c r="B1893" s="1" t="n">
        <x:v>21</x:v>
      </x:c>
      <x:c r="C1893" s="1" t="n">
        <x:v>111</x:v>
      </x:c>
      <x:c r="D1893" s="6" t="n">
        <x:v>9658</x:v>
      </x:c>
      <x:c r="E1893" s="6" t="n">
        <x:v>0</x:v>
      </x:c>
      <x:c r="F1893" s="6" t="n">
        <x:v>0</x:v>
      </x:c>
      <x:c r="G1893" s="6" t="n">
        <x:v>0</x:v>
      </x:c>
      <x:c r="H1893" s="6" t="n">
        <x:v>-9658</x:v>
      </x:c>
    </x:row>
    <x:row r="1894" ht="21" customHeight="1">
      <x:c r="A1894" s="1" t="str">
        <x:v>C0008269</x:v>
      </x:c>
      <x:c r="B1894" s="1" t="n">
        <x:v>21</x:v>
      </x:c>
      <x:c r="C1894" s="1" t="n">
        <x:v>111</x:v>
      </x:c>
      <x:c r="D1894" s="6" t="n">
        <x:v>9658</x:v>
      </x:c>
      <x:c r="E1894" s="6" t="n">
        <x:v>19316</x:v>
      </x:c>
      <x:c r="F1894" s="6" t="n">
        <x:v>0</x:v>
      </x:c>
      <x:c r="G1894" s="6" t="n">
        <x:v>19316</x:v>
      </x:c>
      <x:c r="H1894" s="6" t="n">
        <x:v>9658</x:v>
      </x:c>
    </x:row>
    <x:row r="1895" ht="21" customHeight="1">
      <x:c r="A1895" s="1" t="str">
        <x:v>C0004563</x:v>
      </x:c>
      <x:c r="B1895" s="1" t="n">
        <x:v>21</x:v>
      </x:c>
      <x:c r="C1895" s="1" t="n">
        <x:v>111</x:v>
      </x:c>
      <x:c r="D1895" s="6" t="n">
        <x:v>9658</x:v>
      </x:c>
      <x:c r="E1895" s="6" t="n">
        <x:v>0</x:v>
      </x:c>
      <x:c r="F1895" s="6" t="n">
        <x:v>0</x:v>
      </x:c>
      <x:c r="G1895" s="6" t="n">
        <x:v>0</x:v>
      </x:c>
      <x:c r="H1895" s="6" t="n">
        <x:v>-9658</x:v>
      </x:c>
    </x:row>
    <x:row r="1896" ht="21" customHeight="1">
      <x:c r="A1896" s="1" t="str">
        <x:v>C0004806</x:v>
      </x:c>
      <x:c r="B1896" s="1" t="n">
        <x:v>21</x:v>
      </x:c>
      <x:c r="C1896" s="1" t="n">
        <x:v>111</x:v>
      </x:c>
      <x:c r="D1896" s="6" t="n">
        <x:v>9658</x:v>
      </x:c>
      <x:c r="E1896" s="6" t="n">
        <x:v>19316</x:v>
      </x:c>
      <x:c r="F1896" s="6" t="n">
        <x:v>0</x:v>
      </x:c>
      <x:c r="G1896" s="6" t="n">
        <x:v>19316</x:v>
      </x:c>
      <x:c r="H1896" s="6" t="n">
        <x:v>9658</x:v>
      </x:c>
    </x:row>
    <x:row r="1897" ht="21" customHeight="1">
      <x:c r="A1897" s="1" t="str">
        <x:v>C0008059</x:v>
      </x:c>
      <x:c r="B1897" s="1" t="n">
        <x:v>21</x:v>
      </x:c>
      <x:c r="C1897" s="1" t="n">
        <x:v>111</x:v>
      </x:c>
      <x:c r="D1897" s="6" t="n">
        <x:v>9658</x:v>
      </x:c>
      <x:c r="E1897" s="6" t="n">
        <x:v>19316</x:v>
      </x:c>
      <x:c r="F1897" s="6" t="n">
        <x:v>0</x:v>
      </x:c>
      <x:c r="G1897" s="6" t="n">
        <x:v>19316</x:v>
      </x:c>
      <x:c r="H1897" s="6" t="n">
        <x:v>9658</x:v>
      </x:c>
    </x:row>
    <x:row r="1898" ht="21" customHeight="1">
      <x:c r="A1898" s="1" t="str">
        <x:v>C0008578</x:v>
      </x:c>
      <x:c r="B1898" s="1" t="n">
        <x:v>21</x:v>
      </x:c>
      <x:c r="C1898" s="1" t="n">
        <x:v>111</x:v>
      </x:c>
      <x:c r="D1898" s="6" t="n">
        <x:v>9658</x:v>
      </x:c>
      <x:c r="E1898" s="6" t="n">
        <x:v>19316</x:v>
      </x:c>
      <x:c r="F1898" s="6" t="n">
        <x:v>0</x:v>
      </x:c>
      <x:c r="G1898" s="6" t="n">
        <x:v>19316</x:v>
      </x:c>
      <x:c r="H1898" s="6" t="n">
        <x:v>9658</x:v>
      </x:c>
    </x:row>
    <x:row r="1899" ht="21" customHeight="1">
      <x:c r="A1899" s="1" t="str">
        <x:v>C0017422</x:v>
      </x:c>
      <x:c r="B1899" s="1" t="n">
        <x:v>21</x:v>
      </x:c>
      <x:c r="C1899" s="1" t="n">
        <x:v>111</x:v>
      </x:c>
      <x:c r="D1899" s="6" t="n">
        <x:v>9658</x:v>
      </x:c>
      <x:c r="E1899" s="6" t="n">
        <x:v>19316</x:v>
      </x:c>
      <x:c r="F1899" s="6" t="n">
        <x:v>0</x:v>
      </x:c>
      <x:c r="G1899" s="6" t="n">
        <x:v>19316</x:v>
      </x:c>
      <x:c r="H1899" s="6" t="n">
        <x:v>9658</x:v>
      </x:c>
    </x:row>
    <x:row r="1900" ht="21" customHeight="1">
      <x:c r="A1900" s="1" t="str">
        <x:v>C0008858</x:v>
      </x:c>
      <x:c r="B1900" s="1" t="n">
        <x:v>21</x:v>
      </x:c>
      <x:c r="C1900" s="1" t="n">
        <x:v>111</x:v>
      </x:c>
      <x:c r="D1900" s="6" t="n">
        <x:v>9658</x:v>
      </x:c>
      <x:c r="E1900" s="6" t="n">
        <x:v>19316</x:v>
      </x:c>
      <x:c r="F1900" s="6" t="n">
        <x:v>0</x:v>
      </x:c>
      <x:c r="G1900" s="6" t="n">
        <x:v>19316</x:v>
      </x:c>
      <x:c r="H1900" s="6" t="n">
        <x:v>9658</x:v>
      </x:c>
    </x:row>
    <x:row r="1901" ht="21" customHeight="1">
      <x:c r="A1901" s="1" t="str">
        <x:v>C0003023</x:v>
      </x:c>
      <x:c r="B1901" s="1" t="n">
        <x:v>6</x:v>
      </x:c>
      <x:c r="C1901" s="1" t="n">
        <x:v>66</x:v>
      </x:c>
      <x:c r="D1901" s="6" t="n">
        <x:v>0</x:v>
      </x:c>
      <x:c r="E1901" s="6" t="n">
        <x:v>9657</x:v>
      </x:c>
      <x:c r="F1901" s="6" t="n">
        <x:v>0</x:v>
      </x:c>
      <x:c r="G1901" s="6" t="n">
        <x:v>9657</x:v>
      </x:c>
      <x:c r="H1901" s="6" t="n">
        <x:v>9657</x:v>
      </x:c>
    </x:row>
    <x:row r="1902" ht="21" customHeight="1">
      <x:c r="A1902" s="1" t="str">
        <x:v>C0013317</x:v>
      </x:c>
      <x:c r="B1902" s="1" t="n">
        <x:v>6</x:v>
      </x:c>
      <x:c r="C1902" s="1" t="n">
        <x:v>66</x:v>
      </x:c>
      <x:c r="D1902" s="6" t="n">
        <x:v>9657</x:v>
      </x:c>
      <x:c r="E1902" s="6" t="n">
        <x:v>19314</x:v>
      </x:c>
      <x:c r="F1902" s="6" t="n">
        <x:v>0</x:v>
      </x:c>
      <x:c r="G1902" s="6" t="n">
        <x:v>19314</x:v>
      </x:c>
      <x:c r="H1902" s="6" t="n">
        <x:v>9657</x:v>
      </x:c>
    </x:row>
    <x:row r="1903" ht="21" customHeight="1">
      <x:c r="A1903" s="1" t="str">
        <x:v>C0013081</x:v>
      </x:c>
      <x:c r="B1903" s="1" t="n">
        <x:v>6</x:v>
      </x:c>
      <x:c r="C1903" s="1" t="n">
        <x:v>66</x:v>
      </x:c>
      <x:c r="D1903" s="6" t="n">
        <x:v>9657</x:v>
      </x:c>
      <x:c r="E1903" s="6" t="n">
        <x:v>19314</x:v>
      </x:c>
      <x:c r="F1903" s="6" t="n">
        <x:v>0</x:v>
      </x:c>
      <x:c r="G1903" s="6" t="n">
        <x:v>19314</x:v>
      </x:c>
      <x:c r="H1903" s="6" t="n">
        <x:v>9657</x:v>
      </x:c>
    </x:row>
    <x:row r="1904" ht="21" customHeight="1">
      <x:c r="A1904" s="1" t="str">
        <x:v>C0013241</x:v>
      </x:c>
      <x:c r="B1904" s="1" t="n">
        <x:v>6</x:v>
      </x:c>
      <x:c r="C1904" s="1" t="n">
        <x:v>66</x:v>
      </x:c>
      <x:c r="D1904" s="6" t="n">
        <x:v>9657</x:v>
      </x:c>
      <x:c r="E1904" s="6" t="n">
        <x:v>19314</x:v>
      </x:c>
      <x:c r="F1904" s="6" t="n">
        <x:v>0</x:v>
      </x:c>
      <x:c r="G1904" s="6" t="n">
        <x:v>19314</x:v>
      </x:c>
      <x:c r="H1904" s="6" t="n">
        <x:v>9657</x:v>
      </x:c>
    </x:row>
    <x:row r="1905" ht="21" customHeight="1">
      <x:c r="A1905" s="1" t="str">
        <x:v>C0013130</x:v>
      </x:c>
      <x:c r="B1905" s="1" t="n">
        <x:v>6</x:v>
      </x:c>
      <x:c r="C1905" s="1" t="n">
        <x:v>66</x:v>
      </x:c>
      <x:c r="D1905" s="6" t="n">
        <x:v>9657</x:v>
      </x:c>
      <x:c r="E1905" s="6" t="n">
        <x:v>19314</x:v>
      </x:c>
      <x:c r="F1905" s="6" t="n">
        <x:v>0</x:v>
      </x:c>
      <x:c r="G1905" s="6" t="n">
        <x:v>19314</x:v>
      </x:c>
      <x:c r="H1905" s="6" t="n">
        <x:v>9657</x:v>
      </x:c>
    </x:row>
    <x:row r="1906" ht="21" customHeight="1">
      <x:c r="A1906" s="1" t="str">
        <x:v>C0017214</x:v>
      </x:c>
      <x:c r="B1906" s="1" t="n">
        <x:v>6</x:v>
      </x:c>
      <x:c r="C1906" s="1" t="n">
        <x:v>66</x:v>
      </x:c>
      <x:c r="D1906" s="6" t="n">
        <x:v>9657</x:v>
      </x:c>
      <x:c r="E1906" s="6" t="n">
        <x:v>0</x:v>
      </x:c>
      <x:c r="F1906" s="6" t="n">
        <x:v>0</x:v>
      </x:c>
      <x:c r="G1906" s="6" t="n">
        <x:v>0</x:v>
      </x:c>
      <x:c r="H1906" s="6" t="n">
        <x:v>-9657</x:v>
      </x:c>
    </x:row>
    <x:row r="1907" ht="21" customHeight="1">
      <x:c r="A1907" s="1" t="str">
        <x:v>C0009707</x:v>
      </x:c>
      <x:c r="B1907" s="1" t="n">
        <x:v>6</x:v>
      </x:c>
      <x:c r="C1907" s="1" t="n">
        <x:v>66</x:v>
      </x:c>
      <x:c r="D1907" s="6" t="n">
        <x:v>9657</x:v>
      </x:c>
      <x:c r="E1907" s="6" t="n">
        <x:v>0</x:v>
      </x:c>
      <x:c r="F1907" s="6" t="n">
        <x:v>0</x:v>
      </x:c>
      <x:c r="G1907" s="6" t="n">
        <x:v>0</x:v>
      </x:c>
      <x:c r="H1907" s="6" t="n">
        <x:v>-9657</x:v>
      </x:c>
    </x:row>
    <x:row r="1908" ht="21" customHeight="1">
      <x:c r="A1908" s="1" t="str">
        <x:v>C0005913</x:v>
      </x:c>
      <x:c r="B1908" s="1" t="n">
        <x:v>6</x:v>
      </x:c>
      <x:c r="C1908" s="1" t="n">
        <x:v>66</x:v>
      </x:c>
      <x:c r="D1908" s="6" t="n">
        <x:v>9657</x:v>
      </x:c>
      <x:c r="E1908" s="6" t="n">
        <x:v>19314</x:v>
      </x:c>
      <x:c r="F1908" s="6" t="n">
        <x:v>0</x:v>
      </x:c>
      <x:c r="G1908" s="6" t="n">
        <x:v>19314</x:v>
      </x:c>
      <x:c r="H1908" s="6" t="n">
        <x:v>9657</x:v>
      </x:c>
    </x:row>
    <x:row r="1909" ht="21" customHeight="1">
      <x:c r="A1909" s="1" t="str">
        <x:v>C0003715</x:v>
      </x:c>
      <x:c r="B1909" s="1" t="n">
        <x:v>6</x:v>
      </x:c>
      <x:c r="C1909" s="1" t="n">
        <x:v>66</x:v>
      </x:c>
      <x:c r="D1909" s="6" t="n">
        <x:v>9657</x:v>
      </x:c>
      <x:c r="E1909" s="6" t="n">
        <x:v>19314</x:v>
      </x:c>
      <x:c r="F1909" s="6" t="n">
        <x:v>0</x:v>
      </x:c>
      <x:c r="G1909" s="6" t="n">
        <x:v>19314</x:v>
      </x:c>
      <x:c r="H1909" s="6" t="n">
        <x:v>9657</x:v>
      </x:c>
    </x:row>
    <x:row r="1910" ht="21" customHeight="1">
      <x:c r="A1910" s="1" t="str">
        <x:v>C0003422</x:v>
      </x:c>
      <x:c r="B1910" s="1" t="n">
        <x:v>6</x:v>
      </x:c>
      <x:c r="C1910" s="1" t="n">
        <x:v>66</x:v>
      </x:c>
      <x:c r="D1910" s="6" t="n">
        <x:v>9657</x:v>
      </x:c>
      <x:c r="E1910" s="6" t="n">
        <x:v>0</x:v>
      </x:c>
      <x:c r="F1910" s="6" t="n">
        <x:v>0</x:v>
      </x:c>
      <x:c r="G1910" s="6" t="n">
        <x:v>0</x:v>
      </x:c>
      <x:c r="H1910" s="6" t="n">
        <x:v>-9657</x:v>
      </x:c>
    </x:row>
    <x:row r="1911" ht="21" customHeight="1">
      <x:c r="A1911" s="1" t="str">
        <x:v>C0014964</x:v>
      </x:c>
      <x:c r="B1911" s="1" t="n">
        <x:v>6</x:v>
      </x:c>
      <x:c r="C1911" s="1" t="n">
        <x:v>66</x:v>
      </x:c>
      <x:c r="D1911" s="6" t="n">
        <x:v>9657</x:v>
      </x:c>
      <x:c r="E1911" s="6" t="n">
        <x:v>0</x:v>
      </x:c>
      <x:c r="F1911" s="6" t="n">
        <x:v>0</x:v>
      </x:c>
      <x:c r="G1911" s="6" t="n">
        <x:v>0</x:v>
      </x:c>
      <x:c r="H1911" s="6" t="n">
        <x:v>-9657</x:v>
      </x:c>
    </x:row>
    <x:row r="1912" ht="21" customHeight="1">
      <x:c r="A1912" s="1" t="str">
        <x:v>C0004109</x:v>
      </x:c>
      <x:c r="B1912" s="1" t="n">
        <x:v>6</x:v>
      </x:c>
      <x:c r="C1912" s="1" t="n">
        <x:v>66</x:v>
      </x:c>
      <x:c r="D1912" s="6" t="n">
        <x:v>9657</x:v>
      </x:c>
      <x:c r="E1912" s="6" t="n">
        <x:v>19314</x:v>
      </x:c>
      <x:c r="F1912" s="6" t="n">
        <x:v>0</x:v>
      </x:c>
      <x:c r="G1912" s="6" t="n">
        <x:v>19314</x:v>
      </x:c>
      <x:c r="H1912" s="6" t="n">
        <x:v>9657</x:v>
      </x:c>
    </x:row>
    <x:row r="1913" ht="21" customHeight="1">
      <x:c r="A1913" s="1" t="str">
        <x:v>C0008263</x:v>
      </x:c>
      <x:c r="B1913" s="1" t="n">
        <x:v>8</x:v>
      </x:c>
      <x:c r="C1913" s="1" t="n">
        <x:v>98</x:v>
      </x:c>
      <x:c r="D1913" s="6" t="n">
        <x:v>9625</x:v>
      </x:c>
      <x:c r="E1913" s="6" t="n">
        <x:v>19250</x:v>
      </x:c>
      <x:c r="F1913" s="6" t="n">
        <x:v>0</x:v>
      </x:c>
      <x:c r="G1913" s="6" t="n">
        <x:v>19250</x:v>
      </x:c>
      <x:c r="H1913" s="6" t="n">
        <x:v>9625</x:v>
      </x:c>
    </x:row>
    <x:row r="1914" ht="21" customHeight="1">
      <x:c r="A1914" s="1" t="str">
        <x:v>C0012136</x:v>
      </x:c>
      <x:c r="B1914" s="1" t="n">
        <x:v>8</x:v>
      </x:c>
      <x:c r="C1914" s="1" t="n">
        <x:v>98</x:v>
      </x:c>
      <x:c r="D1914" s="6" t="n">
        <x:v>9625</x:v>
      </x:c>
      <x:c r="E1914" s="6" t="n">
        <x:v>19250</x:v>
      </x:c>
      <x:c r="F1914" s="6" t="n">
        <x:v>0</x:v>
      </x:c>
      <x:c r="G1914" s="6" t="n">
        <x:v>19250</x:v>
      </x:c>
      <x:c r="H1914" s="6" t="n">
        <x:v>9625</x:v>
      </x:c>
    </x:row>
    <x:row r="1915" ht="21" customHeight="1">
      <x:c r="A1915" s="1" t="str">
        <x:v>C0004835</x:v>
      </x:c>
      <x:c r="B1915" s="1" t="n">
        <x:v>8</x:v>
      </x:c>
      <x:c r="C1915" s="1" t="n">
        <x:v>98</x:v>
      </x:c>
      <x:c r="D1915" s="6" t="n">
        <x:v>9625</x:v>
      </x:c>
      <x:c r="E1915" s="6" t="n">
        <x:v>19250</x:v>
      </x:c>
      <x:c r="F1915" s="6" t="n">
        <x:v>0</x:v>
      </x:c>
      <x:c r="G1915" s="6" t="n">
        <x:v>19250</x:v>
      </x:c>
      <x:c r="H1915" s="6" t="n">
        <x:v>9625</x:v>
      </x:c>
    </x:row>
    <x:row r="1916" ht="21" customHeight="1">
      <x:c r="A1916" s="1" t="str">
        <x:v>C0011562</x:v>
      </x:c>
      <x:c r="B1916" s="1" t="n">
        <x:v>8</x:v>
      </x:c>
      <x:c r="C1916" s="1" t="n">
        <x:v>98</x:v>
      </x:c>
      <x:c r="D1916" s="6" t="n">
        <x:v>9625</x:v>
      </x:c>
      <x:c r="E1916" s="6" t="n">
        <x:v>0</x:v>
      </x:c>
      <x:c r="F1916" s="6" t="n">
        <x:v>0</x:v>
      </x:c>
      <x:c r="G1916" s="6" t="n">
        <x:v>0</x:v>
      </x:c>
      <x:c r="H1916" s="6" t="n">
        <x:v>-9625</x:v>
      </x:c>
    </x:row>
    <x:row r="1917" ht="21" customHeight="1">
      <x:c r="A1917" s="1" t="str">
        <x:v>C0012077</x:v>
      </x:c>
      <x:c r="B1917" s="1" t="n">
        <x:v>27</x:v>
      </x:c>
      <x:c r="C1917" s="1" t="n">
        <x:v>87</x:v>
      </x:c>
      <x:c r="D1917" s="6" t="n">
        <x:v>9611</x:v>
      </x:c>
      <x:c r="E1917" s="6" t="n">
        <x:v>19222</x:v>
      </x:c>
      <x:c r="F1917" s="6" t="n">
        <x:v>0</x:v>
      </x:c>
      <x:c r="G1917" s="6" t="n">
        <x:v>19222</x:v>
      </x:c>
      <x:c r="H1917" s="6" t="n">
        <x:v>9611</x:v>
      </x:c>
    </x:row>
    <x:row r="1918" ht="21" customHeight="1">
      <x:c r="A1918" s="1" t="str">
        <x:v>C0017602</x:v>
      </x:c>
      <x:c r="B1918" s="1" t="n">
        <x:v>27</x:v>
      </x:c>
      <x:c r="C1918" s="1" t="n">
        <x:v>87</x:v>
      </x:c>
      <x:c r="D1918" s="6" t="n">
        <x:v>9611</x:v>
      </x:c>
      <x:c r="E1918" s="6" t="n">
        <x:v>0</x:v>
      </x:c>
      <x:c r="F1918" s="6" t="n">
        <x:v>0</x:v>
      </x:c>
      <x:c r="G1918" s="6" t="n">
        <x:v>0</x:v>
      </x:c>
      <x:c r="H1918" s="6" t="n">
        <x:v>-9611</x:v>
      </x:c>
    </x:row>
    <x:row r="1919" ht="21" customHeight="1">
      <x:c r="A1919" s="1" t="str">
        <x:v>C0012612</x:v>
      </x:c>
      <x:c r="B1919" s="1" t="n">
        <x:v>27</x:v>
      </x:c>
      <x:c r="C1919" s="1" t="n">
        <x:v>87</x:v>
      </x:c>
      <x:c r="D1919" s="6" t="n">
        <x:v>9611</x:v>
      </x:c>
      <x:c r="E1919" s="6" t="n">
        <x:v>0</x:v>
      </x:c>
      <x:c r="F1919" s="6" t="n">
        <x:v>0</x:v>
      </x:c>
      <x:c r="G1919" s="6" t="n">
        <x:v>0</x:v>
      </x:c>
      <x:c r="H1919" s="6" t="n">
        <x:v>-9611</x:v>
      </x:c>
    </x:row>
    <x:row r="1920" ht="21" customHeight="1">
      <x:c r="A1920" s="1" t="str">
        <x:v>C0015808</x:v>
      </x:c>
      <x:c r="B1920" s="1" t="n">
        <x:v>27</x:v>
      </x:c>
      <x:c r="C1920" s="1" t="n">
        <x:v>87</x:v>
      </x:c>
      <x:c r="D1920" s="6" t="n">
        <x:v>0</x:v>
      </x:c>
      <x:c r="E1920" s="6" t="n">
        <x:v>9611</x:v>
      </x:c>
      <x:c r="F1920" s="6" t="n">
        <x:v>0</x:v>
      </x:c>
      <x:c r="G1920" s="6" t="n">
        <x:v>9611</x:v>
      </x:c>
      <x:c r="H1920" s="6" t="n">
        <x:v>9611</x:v>
      </x:c>
    </x:row>
    <x:row r="1921" ht="21" customHeight="1">
      <x:c r="A1921" s="1" t="str">
        <x:v>C0001179</x:v>
      </x:c>
      <x:c r="B1921" s="1" t="n">
        <x:v>27</x:v>
      </x:c>
      <x:c r="C1921" s="1" t="n">
        <x:v>87</x:v>
      </x:c>
      <x:c r="D1921" s="6" t="n">
        <x:v>9611</x:v>
      </x:c>
      <x:c r="E1921" s="6" t="n">
        <x:v>19222</x:v>
      </x:c>
      <x:c r="F1921" s="6" t="n">
        <x:v>0</x:v>
      </x:c>
      <x:c r="G1921" s="6" t="n">
        <x:v>19222</x:v>
      </x:c>
      <x:c r="H1921" s="6" t="n">
        <x:v>9611</x:v>
      </x:c>
    </x:row>
    <x:row r="1922" ht="21" customHeight="1">
      <x:c r="A1922" s="1" t="str">
        <x:v>C0000918</x:v>
      </x:c>
      <x:c r="B1922" s="1" t="n">
        <x:v>27</x:v>
      </x:c>
      <x:c r="C1922" s="1" t="n">
        <x:v>87</x:v>
      </x:c>
      <x:c r="D1922" s="6" t="n">
        <x:v>9611</x:v>
      </x:c>
      <x:c r="E1922" s="6" t="n">
        <x:v>19222</x:v>
      </x:c>
      <x:c r="F1922" s="6" t="n">
        <x:v>0</x:v>
      </x:c>
      <x:c r="G1922" s="6" t="n">
        <x:v>19222</x:v>
      </x:c>
      <x:c r="H1922" s="6" t="n">
        <x:v>9611</x:v>
      </x:c>
    </x:row>
    <x:row r="1923" ht="21" customHeight="1">
      <x:c r="A1923" s="1" t="str">
        <x:v>C0017887</x:v>
      </x:c>
      <x:c r="B1923" s="1" t="n">
        <x:v>27</x:v>
      </x:c>
      <x:c r="C1923" s="1" t="n">
        <x:v>87</x:v>
      </x:c>
      <x:c r="D1923" s="6" t="n">
        <x:v>9611</x:v>
      </x:c>
      <x:c r="E1923" s="6" t="n">
        <x:v>19222</x:v>
      </x:c>
      <x:c r="F1923" s="6" t="n">
        <x:v>0</x:v>
      </x:c>
      <x:c r="G1923" s="6" t="n">
        <x:v>19222</x:v>
      </x:c>
      <x:c r="H1923" s="6" t="n">
        <x:v>9611</x:v>
      </x:c>
    </x:row>
    <x:row r="1924" ht="21" customHeight="1">
      <x:c r="A1924" s="1" t="str">
        <x:v>C0005769</x:v>
      </x:c>
      <x:c r="B1924" s="1" t="n">
        <x:v>27</x:v>
      </x:c>
      <x:c r="C1924" s="1" t="n">
        <x:v>87</x:v>
      </x:c>
      <x:c r="D1924" s="6" t="n">
        <x:v>9611</x:v>
      </x:c>
      <x:c r="E1924" s="6" t="n">
        <x:v>0</x:v>
      </x:c>
      <x:c r="F1924" s="6" t="n">
        <x:v>0</x:v>
      </x:c>
      <x:c r="G1924" s="6" t="n">
        <x:v>0</x:v>
      </x:c>
      <x:c r="H1924" s="6" t="n">
        <x:v>-9611</x:v>
      </x:c>
    </x:row>
    <x:row r="1925" ht="21" customHeight="1">
      <x:c r="A1925" s="1" t="str">
        <x:v>C0002259</x:v>
      </x:c>
      <x:c r="B1925" s="1" t="n">
        <x:v>27</x:v>
      </x:c>
      <x:c r="C1925" s="1" t="n">
        <x:v>87</x:v>
      </x:c>
      <x:c r="D1925" s="6" t="n">
        <x:v>0</x:v>
      </x:c>
      <x:c r="E1925" s="6" t="n">
        <x:v>9611</x:v>
      </x:c>
      <x:c r="F1925" s="6" t="n">
        <x:v>0</x:v>
      </x:c>
      <x:c r="G1925" s="6" t="n">
        <x:v>9611</x:v>
      </x:c>
      <x:c r="H1925" s="6" t="n">
        <x:v>9611</x:v>
      </x:c>
    </x:row>
    <x:row r="1926" ht="21" customHeight="1">
      <x:c r="A1926" s="1" t="str">
        <x:v>C0002156</x:v>
      </x:c>
      <x:c r="B1926" s="1" t="n">
        <x:v>27</x:v>
      </x:c>
      <x:c r="C1926" s="1" t="n">
        <x:v>87</x:v>
      </x:c>
      <x:c r="D1926" s="6" t="n">
        <x:v>9611</x:v>
      </x:c>
      <x:c r="E1926" s="6" t="n">
        <x:v>19222</x:v>
      </x:c>
      <x:c r="F1926" s="6" t="n">
        <x:v>0</x:v>
      </x:c>
      <x:c r="G1926" s="6" t="n">
        <x:v>19222</x:v>
      </x:c>
      <x:c r="H1926" s="6" t="n">
        <x:v>9611</x:v>
      </x:c>
    </x:row>
    <x:row r="1927" ht="21" customHeight="1">
      <x:c r="A1927" s="1" t="str">
        <x:v>C0000261</x:v>
      </x:c>
      <x:c r="B1927" s="1" t="n">
        <x:v>27</x:v>
      </x:c>
      <x:c r="C1927" s="1" t="n">
        <x:v>87</x:v>
      </x:c>
      <x:c r="D1927" s="6" t="n">
        <x:v>9611</x:v>
      </x:c>
      <x:c r="E1927" s="6" t="n">
        <x:v>0</x:v>
      </x:c>
      <x:c r="F1927" s="6" t="n">
        <x:v>0</x:v>
      </x:c>
      <x:c r="G1927" s="6" t="n">
        <x:v>0</x:v>
      </x:c>
      <x:c r="H1927" s="6" t="n">
        <x:v>-9611</x:v>
      </x:c>
    </x:row>
    <x:row r="1928" ht="21" customHeight="1">
      <x:c r="A1928" s="1" t="str">
        <x:v>C0011973</x:v>
      </x:c>
      <x:c r="B1928" s="1" t="n">
        <x:v>29</x:v>
      </x:c>
      <x:c r="C1928" s="1" t="n">
        <x:v>89</x:v>
      </x:c>
      <x:c r="D1928" s="6" t="n">
        <x:v>9580</x:v>
      </x:c>
      <x:c r="E1928" s="6" t="n">
        <x:v>19160</x:v>
      </x:c>
      <x:c r="F1928" s="6" t="n">
        <x:v>0</x:v>
      </x:c>
      <x:c r="G1928" s="6" t="n">
        <x:v>19160</x:v>
      </x:c>
      <x:c r="H1928" s="6" t="n">
        <x:v>9580</x:v>
      </x:c>
    </x:row>
    <x:row r="1929" ht="21" customHeight="1">
      <x:c r="A1929" s="1" t="str">
        <x:v>C0011291</x:v>
      </x:c>
      <x:c r="B1929" s="1" t="n">
        <x:v>29</x:v>
      </x:c>
      <x:c r="C1929" s="1" t="n">
        <x:v>89</x:v>
      </x:c>
      <x:c r="D1929" s="6" t="n">
        <x:v>9580</x:v>
      </x:c>
      <x:c r="E1929" s="6" t="n">
        <x:v>19160</x:v>
      </x:c>
      <x:c r="F1929" s="6" t="n">
        <x:v>0</x:v>
      </x:c>
      <x:c r="G1929" s="6" t="n">
        <x:v>19160</x:v>
      </x:c>
      <x:c r="H1929" s="6" t="n">
        <x:v>9580</x:v>
      </x:c>
    </x:row>
    <x:row r="1930" ht="21" customHeight="1">
      <x:c r="A1930" s="1" t="str">
        <x:v>C0014523</x:v>
      </x:c>
      <x:c r="B1930" s="1" t="n">
        <x:v>29</x:v>
      </x:c>
      <x:c r="C1930" s="1" t="n">
        <x:v>89</x:v>
      </x:c>
      <x:c r="D1930" s="6" t="n">
        <x:v>9580</x:v>
      </x:c>
      <x:c r="E1930" s="6" t="n">
        <x:v>0</x:v>
      </x:c>
      <x:c r="F1930" s="6" t="n">
        <x:v>0</x:v>
      </x:c>
      <x:c r="G1930" s="6" t="n">
        <x:v>0</x:v>
      </x:c>
      <x:c r="H1930" s="6" t="n">
        <x:v>-9580</x:v>
      </x:c>
    </x:row>
    <x:row r="1931" ht="21" customHeight="1">
      <x:c r="A1931" s="1" t="str">
        <x:v>C0002278</x:v>
      </x:c>
      <x:c r="B1931" s="1" t="n">
        <x:v>29</x:v>
      </x:c>
      <x:c r="C1931" s="1" t="n">
        <x:v>89</x:v>
      </x:c>
      <x:c r="D1931" s="6" t="n">
        <x:v>0</x:v>
      </x:c>
      <x:c r="E1931" s="6" t="n">
        <x:v>9580</x:v>
      </x:c>
      <x:c r="F1931" s="6" t="n">
        <x:v>0</x:v>
      </x:c>
      <x:c r="G1931" s="6" t="n">
        <x:v>9580</x:v>
      </x:c>
      <x:c r="H1931" s="6" t="n">
        <x:v>9580</x:v>
      </x:c>
    </x:row>
    <x:row r="1932" ht="21" customHeight="1">
      <x:c r="A1932" s="1" t="str">
        <x:v>C0007370</x:v>
      </x:c>
      <x:c r="B1932" s="1" t="n">
        <x:v>29</x:v>
      </x:c>
      <x:c r="C1932" s="1" t="n">
        <x:v>89</x:v>
      </x:c>
      <x:c r="D1932" s="6" t="n">
        <x:v>9580</x:v>
      </x:c>
      <x:c r="E1932" s="6" t="n">
        <x:v>19160</x:v>
      </x:c>
      <x:c r="F1932" s="6" t="n">
        <x:v>0</x:v>
      </x:c>
      <x:c r="G1932" s="6" t="n">
        <x:v>19160</x:v>
      </x:c>
      <x:c r="H1932" s="6" t="n">
        <x:v>9580</x:v>
      </x:c>
    </x:row>
    <x:row r="1933" ht="21" customHeight="1">
      <x:c r="A1933" s="1" t="str">
        <x:v>C0015691</x:v>
      </x:c>
      <x:c r="B1933" s="1" t="n">
        <x:v>29</x:v>
      </x:c>
      <x:c r="C1933" s="1" t="n">
        <x:v>89</x:v>
      </x:c>
      <x:c r="D1933" s="6" t="n">
        <x:v>9580</x:v>
      </x:c>
      <x:c r="E1933" s="6" t="n">
        <x:v>19160</x:v>
      </x:c>
      <x:c r="F1933" s="6" t="n">
        <x:v>0</x:v>
      </x:c>
      <x:c r="G1933" s="6" t="n">
        <x:v>19160</x:v>
      </x:c>
      <x:c r="H1933" s="6" t="n">
        <x:v>9580</x:v>
      </x:c>
    </x:row>
    <x:row r="1934" ht="21" customHeight="1">
      <x:c r="A1934" s="1" t="str">
        <x:v>C0017019</x:v>
      </x:c>
      <x:c r="B1934" s="1" t="n">
        <x:v>29</x:v>
      </x:c>
      <x:c r="C1934" s="1" t="n">
        <x:v>89</x:v>
      </x:c>
      <x:c r="D1934" s="6" t="n">
        <x:v>9580</x:v>
      </x:c>
      <x:c r="E1934" s="6" t="n">
        <x:v>0</x:v>
      </x:c>
      <x:c r="F1934" s="6" t="n">
        <x:v>0</x:v>
      </x:c>
      <x:c r="G1934" s="6" t="n">
        <x:v>0</x:v>
      </x:c>
      <x:c r="H1934" s="6" t="n">
        <x:v>-9580</x:v>
      </x:c>
    </x:row>
    <x:row r="1935" ht="21" customHeight="1">
      <x:c r="A1935" s="1" t="str">
        <x:v>C0012666</x:v>
      </x:c>
      <x:c r="B1935" s="1" t="n">
        <x:v>29</x:v>
      </x:c>
      <x:c r="C1935" s="1" t="n">
        <x:v>89</x:v>
      </x:c>
      <x:c r="D1935" s="6" t="n">
        <x:v>9580</x:v>
      </x:c>
      <x:c r="E1935" s="6" t="n">
        <x:v>0</x:v>
      </x:c>
      <x:c r="F1935" s="6" t="n">
        <x:v>0</x:v>
      </x:c>
      <x:c r="G1935" s="6" t="n">
        <x:v>0</x:v>
      </x:c>
      <x:c r="H1935" s="6" t="n">
        <x:v>-9580</x:v>
      </x:c>
    </x:row>
    <x:row r="1936" ht="21" customHeight="1">
      <x:c r="A1936" s="1" t="str">
        <x:v>C0013185</x:v>
      </x:c>
      <x:c r="B1936" s="1" t="n">
        <x:v>29</x:v>
      </x:c>
      <x:c r="C1936" s="1" t="n">
        <x:v>89</x:v>
      </x:c>
      <x:c r="D1936" s="6" t="n">
        <x:v>9580</x:v>
      </x:c>
      <x:c r="E1936" s="6" t="n">
        <x:v>19160</x:v>
      </x:c>
      <x:c r="F1936" s="6" t="n">
        <x:v>0</x:v>
      </x:c>
      <x:c r="G1936" s="6" t="n">
        <x:v>19160</x:v>
      </x:c>
      <x:c r="H1936" s="6" t="n">
        <x:v>9580</x:v>
      </x:c>
    </x:row>
    <x:row r="1937" ht="21" customHeight="1">
      <x:c r="A1937" s="1" t="str">
        <x:v>C0002599</x:v>
      </x:c>
      <x:c r="B1937" s="1" t="n">
        <x:v>29</x:v>
      </x:c>
      <x:c r="C1937" s="1" t="n">
        <x:v>89</x:v>
      </x:c>
      <x:c r="D1937" s="6" t="n">
        <x:v>9580</x:v>
      </x:c>
      <x:c r="E1937" s="6" t="n">
        <x:v>0</x:v>
      </x:c>
      <x:c r="F1937" s="6" t="n">
        <x:v>0</x:v>
      </x:c>
      <x:c r="G1937" s="6" t="n">
        <x:v>0</x:v>
      </x:c>
      <x:c r="H1937" s="6" t="n">
        <x:v>-9580</x:v>
      </x:c>
    </x:row>
    <x:row r="1938" ht="21" customHeight="1">
      <x:c r="A1938" s="1" t="str">
        <x:v>C0016225</x:v>
      </x:c>
      <x:c r="B1938" s="1" t="n">
        <x:v>28</x:v>
      </x:c>
      <x:c r="C1938" s="1" t="n">
        <x:v>58</x:v>
      </x:c>
      <x:c r="D1938" s="6" t="n">
        <x:v>9512</x:v>
      </x:c>
      <x:c r="E1938" s="6" t="n">
        <x:v>19024</x:v>
      </x:c>
      <x:c r="F1938" s="6" t="n">
        <x:v>0</x:v>
      </x:c>
      <x:c r="G1938" s="6" t="n">
        <x:v>19024</x:v>
      </x:c>
      <x:c r="H1938" s="6" t="n">
        <x:v>9512</x:v>
      </x:c>
    </x:row>
    <x:row r="1939" ht="21" customHeight="1">
      <x:c r="A1939" s="1" t="str">
        <x:v>C0005760</x:v>
      </x:c>
      <x:c r="B1939" s="1" t="n">
        <x:v>28</x:v>
      </x:c>
      <x:c r="C1939" s="1" t="n">
        <x:v>58</x:v>
      </x:c>
      <x:c r="D1939" s="6" t="n">
        <x:v>9512</x:v>
      </x:c>
      <x:c r="E1939" s="6" t="n">
        <x:v>0</x:v>
      </x:c>
      <x:c r="F1939" s="6" t="n">
        <x:v>0</x:v>
      </x:c>
      <x:c r="G1939" s="6" t="n">
        <x:v>0</x:v>
      </x:c>
      <x:c r="H1939" s="6" t="n">
        <x:v>-9512</x:v>
      </x:c>
    </x:row>
    <x:row r="1940" ht="21" customHeight="1">
      <x:c r="A1940" s="1" t="str">
        <x:v>C0001818</x:v>
      </x:c>
      <x:c r="B1940" s="1" t="n">
        <x:v>28</x:v>
      </x:c>
      <x:c r="C1940" s="1" t="n">
        <x:v>58</x:v>
      </x:c>
      <x:c r="D1940" s="6" t="n">
        <x:v>9512</x:v>
      </x:c>
      <x:c r="E1940" s="6" t="n">
        <x:v>19024</x:v>
      </x:c>
      <x:c r="F1940" s="6" t="n">
        <x:v>0</x:v>
      </x:c>
      <x:c r="G1940" s="6" t="n">
        <x:v>19024</x:v>
      </x:c>
      <x:c r="H1940" s="6" t="n">
        <x:v>9512</x:v>
      </x:c>
    </x:row>
    <x:row r="1941" ht="21" customHeight="1">
      <x:c r="A1941" s="1" t="str">
        <x:v>C0002166</x:v>
      </x:c>
      <x:c r="B1941" s="1" t="n">
        <x:v>28</x:v>
      </x:c>
      <x:c r="C1941" s="1" t="n">
        <x:v>58</x:v>
      </x:c>
      <x:c r="D1941" s="6" t="n">
        <x:v>9512</x:v>
      </x:c>
      <x:c r="E1941" s="6" t="n">
        <x:v>19024</x:v>
      </x:c>
      <x:c r="F1941" s="6" t="n">
        <x:v>0</x:v>
      </x:c>
      <x:c r="G1941" s="6" t="n">
        <x:v>19024</x:v>
      </x:c>
      <x:c r="H1941" s="6" t="n">
        <x:v>9512</x:v>
      </x:c>
    </x:row>
    <x:row r="1942" ht="21" customHeight="1">
      <x:c r="A1942" s="1" t="str">
        <x:v>C0010041</x:v>
      </x:c>
      <x:c r="B1942" s="1" t="n">
        <x:v>27</x:v>
      </x:c>
      <x:c r="C1942" s="1" t="n">
        <x:v>57</x:v>
      </x:c>
      <x:c r="D1942" s="6" t="n">
        <x:v>0</x:v>
      </x:c>
      <x:c r="E1942" s="6" t="n">
        <x:v>9352</x:v>
      </x:c>
      <x:c r="F1942" s="6" t="n">
        <x:v>0</x:v>
      </x:c>
      <x:c r="G1942" s="6" t="n">
        <x:v>9352</x:v>
      </x:c>
      <x:c r="H1942" s="6" t="n">
        <x:v>9352</x:v>
      </x:c>
    </x:row>
    <x:row r="1943" ht="21" customHeight="1">
      <x:c r="A1943" s="1" t="str">
        <x:v>C0005507</x:v>
      </x:c>
      <x:c r="B1943" s="1" t="n">
        <x:v>27</x:v>
      </x:c>
      <x:c r="C1943" s="1" t="n">
        <x:v>57</x:v>
      </x:c>
      <x:c r="D1943" s="6" t="n">
        <x:v>9352</x:v>
      </x:c>
      <x:c r="E1943" s="6" t="n">
        <x:v>0</x:v>
      </x:c>
      <x:c r="F1943" s="6" t="n">
        <x:v>0</x:v>
      </x:c>
      <x:c r="G1943" s="6" t="n">
        <x:v>0</x:v>
      </x:c>
      <x:c r="H1943" s="6" t="n">
        <x:v>-9352</x:v>
      </x:c>
    </x:row>
    <x:row r="1944" ht="21" customHeight="1">
      <x:c r="A1944" s="1" t="str">
        <x:v>C0001443</x:v>
      </x:c>
      <x:c r="B1944" s="1" t="n">
        <x:v>27</x:v>
      </x:c>
      <x:c r="C1944" s="1" t="n">
        <x:v>57</x:v>
      </x:c>
      <x:c r="D1944" s="6" t="n">
        <x:v>9352</x:v>
      </x:c>
      <x:c r="E1944" s="6" t="n">
        <x:v>18704</x:v>
      </x:c>
      <x:c r="F1944" s="6" t="n">
        <x:v>0</x:v>
      </x:c>
      <x:c r="G1944" s="6" t="n">
        <x:v>18704</x:v>
      </x:c>
      <x:c r="H1944" s="6" t="n">
        <x:v>9352</x:v>
      </x:c>
    </x:row>
    <x:row r="1945" ht="21" customHeight="1">
      <x:c r="A1945" s="1" t="str">
        <x:v>C0006527</x:v>
      </x:c>
      <x:c r="B1945" s="1" t="n">
        <x:v>27</x:v>
      </x:c>
      <x:c r="C1945" s="1" t="n">
        <x:v>57</x:v>
      </x:c>
      <x:c r="D1945" s="6" t="n">
        <x:v>9352</x:v>
      </x:c>
      <x:c r="E1945" s="6" t="n">
        <x:v>0</x:v>
      </x:c>
      <x:c r="F1945" s="6" t="n">
        <x:v>0</x:v>
      </x:c>
      <x:c r="G1945" s="6" t="n">
        <x:v>0</x:v>
      </x:c>
      <x:c r="H1945" s="6" t="n">
        <x:v>-9352</x:v>
      </x:c>
    </x:row>
    <x:row r="1946" ht="21" customHeight="1">
      <x:c r="A1946" s="1" t="str">
        <x:v>C0005988</x:v>
      </x:c>
      <x:c r="B1946" s="1" t="n">
        <x:v>27</x:v>
      </x:c>
      <x:c r="C1946" s="1" t="n">
        <x:v>57</x:v>
      </x:c>
      <x:c r="D1946" s="6" t="n">
        <x:v>9352</x:v>
      </x:c>
      <x:c r="E1946" s="6" t="n">
        <x:v>18704</x:v>
      </x:c>
      <x:c r="F1946" s="6" t="n">
        <x:v>0</x:v>
      </x:c>
      <x:c r="G1946" s="6" t="n">
        <x:v>18704</x:v>
      </x:c>
      <x:c r="H1946" s="6" t="n">
        <x:v>9352</x:v>
      </x:c>
    </x:row>
    <x:row r="1947" ht="21" customHeight="1">
      <x:c r="A1947" s="1" t="str">
        <x:v>C0004089</x:v>
      </x:c>
      <x:c r="B1947" s="1" t="n">
        <x:v>27</x:v>
      </x:c>
      <x:c r="C1947" s="1" t="n">
        <x:v>57</x:v>
      </x:c>
      <x:c r="D1947" s="6" t="n">
        <x:v>0</x:v>
      </x:c>
      <x:c r="E1947" s="6" t="n">
        <x:v>9352</x:v>
      </x:c>
      <x:c r="F1947" s="6" t="n">
        <x:v>0</x:v>
      </x:c>
      <x:c r="G1947" s="6" t="n">
        <x:v>9352</x:v>
      </x:c>
      <x:c r="H1947" s="6" t="n">
        <x:v>9352</x:v>
      </x:c>
    </x:row>
    <x:row r="1948" ht="21" customHeight="1">
      <x:c r="A1948" s="1" t="str">
        <x:v>C0016172</x:v>
      </x:c>
      <x:c r="B1948" s="1" t="n">
        <x:v>27</x:v>
      </x:c>
      <x:c r="C1948" s="1" t="n">
        <x:v>57</x:v>
      </x:c>
      <x:c r="D1948" s="6" t="n">
        <x:v>0</x:v>
      </x:c>
      <x:c r="E1948" s="6" t="n">
        <x:v>9352</x:v>
      </x:c>
      <x:c r="F1948" s="6" t="n">
        <x:v>0</x:v>
      </x:c>
      <x:c r="G1948" s="6" t="n">
        <x:v>9352</x:v>
      </x:c>
      <x:c r="H1948" s="6" t="n">
        <x:v>9352</x:v>
      </x:c>
    </x:row>
    <x:row r="1949" ht="21" customHeight="1">
      <x:c r="A1949" s="1" t="str">
        <x:v>C0006299</x:v>
      </x:c>
      <x:c r="B1949" s="1" t="n">
        <x:v>27</x:v>
      </x:c>
      <x:c r="C1949" s="1" t="n">
        <x:v>57</x:v>
      </x:c>
      <x:c r="D1949" s="6" t="n">
        <x:v>9352</x:v>
      </x:c>
      <x:c r="E1949" s="6" t="n">
        <x:v>18704</x:v>
      </x:c>
      <x:c r="F1949" s="6" t="n">
        <x:v>0</x:v>
      </x:c>
      <x:c r="G1949" s="6" t="n">
        <x:v>18704</x:v>
      </x:c>
      <x:c r="H1949" s="6" t="n">
        <x:v>9352</x:v>
      </x:c>
    </x:row>
    <x:row r="1950" ht="21" customHeight="1">
      <x:c r="A1950" s="1" t="str">
        <x:v>C0004963</x:v>
      </x:c>
      <x:c r="B1950" s="1" t="n">
        <x:v>27</x:v>
      </x:c>
      <x:c r="C1950" s="1" t="n">
        <x:v>117</x:v>
      </x:c>
      <x:c r="D1950" s="6" t="n">
        <x:v>9213</x:v>
      </x:c>
      <x:c r="E1950" s="6" t="n">
        <x:v>0</x:v>
      </x:c>
      <x:c r="F1950" s="6" t="n">
        <x:v>0</x:v>
      </x:c>
      <x:c r="G1950" s="6" t="n">
        <x:v>0</x:v>
      </x:c>
      <x:c r="H1950" s="6" t="n">
        <x:v>-9213</x:v>
      </x:c>
    </x:row>
    <x:row r="1951" ht="21" customHeight="1">
      <x:c r="A1951" s="1" t="str">
        <x:v>C0006090</x:v>
      </x:c>
      <x:c r="B1951" s="1" t="n">
        <x:v>27</x:v>
      </x:c>
      <x:c r="C1951" s="1" t="n">
        <x:v>117</x:v>
      </x:c>
      <x:c r="D1951" s="6" t="n">
        <x:v>9213</x:v>
      </x:c>
      <x:c r="E1951" s="6" t="n">
        <x:v>18426</x:v>
      </x:c>
      <x:c r="F1951" s="6" t="n">
        <x:v>0</x:v>
      </x:c>
      <x:c r="G1951" s="6" t="n">
        <x:v>18426</x:v>
      </x:c>
      <x:c r="H1951" s="6" t="n">
        <x:v>9213</x:v>
      </x:c>
    </x:row>
    <x:row r="1952" ht="21" customHeight="1">
      <x:c r="A1952" s="1" t="str">
        <x:v>C0008803</x:v>
      </x:c>
      <x:c r="B1952" s="1" t="n">
        <x:v>27</x:v>
      </x:c>
      <x:c r="C1952" s="1" t="n">
        <x:v>117</x:v>
      </x:c>
      <x:c r="D1952" s="6" t="n">
        <x:v>0</x:v>
      </x:c>
      <x:c r="E1952" s="6" t="n">
        <x:v>9213</x:v>
      </x:c>
      <x:c r="F1952" s="6" t="n">
        <x:v>0</x:v>
      </x:c>
      <x:c r="G1952" s="6" t="n">
        <x:v>9213</x:v>
      </x:c>
      <x:c r="H1952" s="6" t="n">
        <x:v>9213</x:v>
      </x:c>
    </x:row>
    <x:row r="1953" ht="21" customHeight="1">
      <x:c r="A1953" s="1" t="str">
        <x:v>C0013680</x:v>
      </x:c>
      <x:c r="B1953" s="1" t="n">
        <x:v>27</x:v>
      </x:c>
      <x:c r="C1953" s="1" t="n">
        <x:v>117</x:v>
      </x:c>
      <x:c r="D1953" s="6" t="n">
        <x:v>9213</x:v>
      </x:c>
      <x:c r="E1953" s="6" t="n">
        <x:v>0</x:v>
      </x:c>
      <x:c r="F1953" s="6" t="n">
        <x:v>0</x:v>
      </x:c>
      <x:c r="G1953" s="6" t="n">
        <x:v>0</x:v>
      </x:c>
      <x:c r="H1953" s="6" t="n">
        <x:v>-9213</x:v>
      </x:c>
    </x:row>
    <x:row r="1954" ht="21" customHeight="1">
      <x:c r="A1954" s="1" t="str">
        <x:v>C0011066</x:v>
      </x:c>
      <x:c r="B1954" s="1" t="n">
        <x:v>27</x:v>
      </x:c>
      <x:c r="C1954" s="1" t="n">
        <x:v>117</x:v>
      </x:c>
      <x:c r="D1954" s="6" t="n">
        <x:v>9213</x:v>
      </x:c>
      <x:c r="E1954" s="6" t="n">
        <x:v>18426</x:v>
      </x:c>
      <x:c r="F1954" s="6" t="n">
        <x:v>0</x:v>
      </x:c>
      <x:c r="G1954" s="6" t="n">
        <x:v>18426</x:v>
      </x:c>
      <x:c r="H1954" s="6" t="n">
        <x:v>9213</x:v>
      </x:c>
    </x:row>
    <x:row r="1955" ht="21" customHeight="1">
      <x:c r="A1955" s="1" t="str">
        <x:v>C0012581</x:v>
      </x:c>
      <x:c r="B1955" s="1" t="n">
        <x:v>27</x:v>
      </x:c>
      <x:c r="C1955" s="1" t="n">
        <x:v>117</x:v>
      </x:c>
      <x:c r="D1955" s="6" t="n">
        <x:v>0</x:v>
      </x:c>
      <x:c r="E1955" s="6" t="n">
        <x:v>9213</x:v>
      </x:c>
      <x:c r="F1955" s="6" t="n">
        <x:v>0</x:v>
      </x:c>
      <x:c r="G1955" s="6" t="n">
        <x:v>9213</x:v>
      </x:c>
      <x:c r="H1955" s="6" t="n">
        <x:v>9213</x:v>
      </x:c>
    </x:row>
    <x:row r="1956" ht="21" customHeight="1">
      <x:c r="A1956" s="1" t="str">
        <x:v>C0011418</x:v>
      </x:c>
      <x:c r="B1956" s="1" t="n">
        <x:v>27</x:v>
      </x:c>
      <x:c r="C1956" s="1" t="n">
        <x:v>87</x:v>
      </x:c>
      <x:c r="D1956" s="6" t="n">
        <x:v>9140</x:v>
      </x:c>
      <x:c r="E1956" s="6" t="n">
        <x:v>0</x:v>
      </x:c>
      <x:c r="F1956" s="6" t="n">
        <x:v>0</x:v>
      </x:c>
      <x:c r="G1956" s="6" t="n">
        <x:v>0</x:v>
      </x:c>
      <x:c r="H1956" s="6" t="n">
        <x:v>-9140</x:v>
      </x:c>
    </x:row>
    <x:row r="1957" ht="21" customHeight="1">
      <x:c r="A1957" s="1" t="str">
        <x:v>C0007955</x:v>
      </x:c>
      <x:c r="B1957" s="1" t="n">
        <x:v>27</x:v>
      </x:c>
      <x:c r="C1957" s="1" t="n">
        <x:v>87</x:v>
      </x:c>
      <x:c r="D1957" s="6" t="n">
        <x:v>9140</x:v>
      </x:c>
      <x:c r="E1957" s="6" t="n">
        <x:v>0</x:v>
      </x:c>
      <x:c r="F1957" s="6" t="n">
        <x:v>0</x:v>
      </x:c>
      <x:c r="G1957" s="6" t="n">
        <x:v>0</x:v>
      </x:c>
      <x:c r="H1957" s="6" t="n">
        <x:v>-9140</x:v>
      </x:c>
    </x:row>
    <x:row r="1958" ht="21" customHeight="1">
      <x:c r="A1958" s="1" t="str">
        <x:v>C0010902</x:v>
      </x:c>
      <x:c r="B1958" s="1" t="n">
        <x:v>27</x:v>
      </x:c>
      <x:c r="C1958" s="1" t="n">
        <x:v>87</x:v>
      </x:c>
      <x:c r="D1958" s="6" t="n">
        <x:v>9140</x:v>
      </x:c>
      <x:c r="E1958" s="6" t="n">
        <x:v>0</x:v>
      </x:c>
      <x:c r="F1958" s="6" t="n">
        <x:v>0</x:v>
      </x:c>
      <x:c r="G1958" s="6" t="n">
        <x:v>0</x:v>
      </x:c>
      <x:c r="H1958" s="6" t="n">
        <x:v>-9140</x:v>
      </x:c>
    </x:row>
    <x:row r="1959" ht="21" customHeight="1">
      <x:c r="A1959" s="1" t="str">
        <x:v>C0012574</x:v>
      </x:c>
      <x:c r="B1959" s="1" t="n">
        <x:v>9</x:v>
      </x:c>
      <x:c r="C1959" s="1" t="n">
        <x:v>39</x:v>
      </x:c>
      <x:c r="D1959" s="6" t="n">
        <x:v>9047</x:v>
      </x:c>
      <x:c r="E1959" s="6" t="n">
        <x:v>18094</x:v>
      </x:c>
      <x:c r="F1959" s="6" t="n">
        <x:v>0</x:v>
      </x:c>
      <x:c r="G1959" s="6" t="n">
        <x:v>18094</x:v>
      </x:c>
      <x:c r="H1959" s="6" t="n">
        <x:v>9047</x:v>
      </x:c>
    </x:row>
    <x:row r="1960" ht="21" customHeight="1">
      <x:c r="A1960" s="1" t="str">
        <x:v>C0013952</x:v>
      </x:c>
      <x:c r="B1960" s="1" t="n">
        <x:v>9</x:v>
      </x:c>
      <x:c r="C1960" s="1" t="n">
        <x:v>39</x:v>
      </x:c>
      <x:c r="D1960" s="6" t="n">
        <x:v>9047</x:v>
      </x:c>
      <x:c r="E1960" s="6" t="n">
        <x:v>18094</x:v>
      </x:c>
      <x:c r="F1960" s="6" t="n">
        <x:v>0</x:v>
      </x:c>
      <x:c r="G1960" s="6" t="n">
        <x:v>18094</x:v>
      </x:c>
      <x:c r="H1960" s="6" t="n">
        <x:v>9047</x:v>
      </x:c>
    </x:row>
    <x:row r="1961" ht="21" customHeight="1">
      <x:c r="A1961" s="1" t="str">
        <x:v>C0012290</x:v>
      </x:c>
      <x:c r="B1961" s="1" t="n">
        <x:v>9</x:v>
      </x:c>
      <x:c r="C1961" s="1" t="n">
        <x:v>39</x:v>
      </x:c>
      <x:c r="D1961" s="6" t="n">
        <x:v>9047</x:v>
      </x:c>
      <x:c r="E1961" s="6" t="n">
        <x:v>0</x:v>
      </x:c>
      <x:c r="F1961" s="6" t="n">
        <x:v>0</x:v>
      </x:c>
      <x:c r="G1961" s="6" t="n">
        <x:v>0</x:v>
      </x:c>
      <x:c r="H1961" s="6" t="n">
        <x:v>-9047</x:v>
      </x:c>
    </x:row>
    <x:row r="1962" ht="21" customHeight="1">
      <x:c r="A1962" s="1" t="str">
        <x:v>C0007894</x:v>
      </x:c>
      <x:c r="B1962" s="1" t="n">
        <x:v>9</x:v>
      </x:c>
      <x:c r="C1962" s="1" t="n">
        <x:v>39</x:v>
      </x:c>
      <x:c r="D1962" s="6" t="n">
        <x:v>9047</x:v>
      </x:c>
      <x:c r="E1962" s="6" t="n">
        <x:v>18094</x:v>
      </x:c>
      <x:c r="F1962" s="6" t="n">
        <x:v>0</x:v>
      </x:c>
      <x:c r="G1962" s="6" t="n">
        <x:v>18094</x:v>
      </x:c>
      <x:c r="H1962" s="6" t="n">
        <x:v>9047</x:v>
      </x:c>
    </x:row>
    <x:row r="1963" ht="21" customHeight="1">
      <x:c r="A1963" s="1" t="str">
        <x:v>C0000115</x:v>
      </x:c>
      <x:c r="B1963" s="1" t="n">
        <x:v>9</x:v>
      </x:c>
      <x:c r="C1963" s="1" t="n">
        <x:v>39</x:v>
      </x:c>
      <x:c r="D1963" s="6" t="n">
        <x:v>9047</x:v>
      </x:c>
      <x:c r="E1963" s="6" t="n">
        <x:v>18094</x:v>
      </x:c>
      <x:c r="F1963" s="6" t="n">
        <x:v>0</x:v>
      </x:c>
      <x:c r="G1963" s="6" t="n">
        <x:v>18094</x:v>
      </x:c>
      <x:c r="H1963" s="6" t="n">
        <x:v>9047</x:v>
      </x:c>
    </x:row>
    <x:row r="1964" ht="21" customHeight="1">
      <x:c r="A1964" s="1" t="str">
        <x:v>C0014075</x:v>
      </x:c>
      <x:c r="B1964" s="1" t="n">
        <x:v>6</x:v>
      </x:c>
      <x:c r="C1964" s="1" t="n">
        <x:v>6</x:v>
      </x:c>
      <x:c r="D1964" s="6" t="n">
        <x:v>8998</x:v>
      </x:c>
      <x:c r="E1964" s="6" t="n">
        <x:v>17996</x:v>
      </x:c>
      <x:c r="F1964" s="6" t="n">
        <x:v>0</x:v>
      </x:c>
      <x:c r="G1964" s="6" t="n">
        <x:v>17996</x:v>
      </x:c>
      <x:c r="H1964" s="6" t="n">
        <x:v>8998</x:v>
      </x:c>
    </x:row>
    <x:row r="1965" ht="21" customHeight="1">
      <x:c r="A1965" s="1" t="str">
        <x:v>C0007109</x:v>
      </x:c>
      <x:c r="B1965" s="1" t="n">
        <x:v>6</x:v>
      </x:c>
      <x:c r="C1965" s="1" t="n">
        <x:v>6</x:v>
      </x:c>
      <x:c r="D1965" s="6" t="n">
        <x:v>8998</x:v>
      </x:c>
      <x:c r="E1965" s="6" t="n">
        <x:v>0</x:v>
      </x:c>
      <x:c r="F1965" s="6" t="n">
        <x:v>0</x:v>
      </x:c>
      <x:c r="G1965" s="6" t="n">
        <x:v>0</x:v>
      </x:c>
      <x:c r="H1965" s="6" t="n">
        <x:v>-8998</x:v>
      </x:c>
    </x:row>
    <x:row r="1966" ht="21" customHeight="1">
      <x:c r="A1966" s="1" t="str">
        <x:v>C0013353</x:v>
      </x:c>
      <x:c r="B1966" s="1" t="n">
        <x:v>6</x:v>
      </x:c>
      <x:c r="C1966" s="1" t="n">
        <x:v>6</x:v>
      </x:c>
      <x:c r="D1966" s="6" t="n">
        <x:v>8998</x:v>
      </x:c>
      <x:c r="E1966" s="6" t="n">
        <x:v>17996</x:v>
      </x:c>
      <x:c r="F1966" s="6" t="n">
        <x:v>0</x:v>
      </x:c>
      <x:c r="G1966" s="6" t="n">
        <x:v>17996</x:v>
      </x:c>
      <x:c r="H1966" s="6" t="n">
        <x:v>8998</x:v>
      </x:c>
    </x:row>
    <x:row r="1967" ht="21" customHeight="1">
      <x:c r="A1967" s="1" t="str">
        <x:v>C0012832</x:v>
      </x:c>
      <x:c r="B1967" s="1" t="n">
        <x:v>6</x:v>
      </x:c>
      <x:c r="C1967" s="1" t="n">
        <x:v>6</x:v>
      </x:c>
      <x:c r="D1967" s="6" t="n">
        <x:v>0</x:v>
      </x:c>
      <x:c r="E1967" s="6" t="n">
        <x:v>8998</x:v>
      </x:c>
      <x:c r="F1967" s="6" t="n">
        <x:v>0</x:v>
      </x:c>
      <x:c r="G1967" s="6" t="n">
        <x:v>8998</x:v>
      </x:c>
      <x:c r="H1967" s="6" t="n">
        <x:v>8998</x:v>
      </x:c>
    </x:row>
    <x:row r="1968" ht="21" customHeight="1">
      <x:c r="A1968" s="1" t="str">
        <x:v>C0015572</x:v>
      </x:c>
      <x:c r="B1968" s="1" t="n">
        <x:v>6</x:v>
      </x:c>
      <x:c r="C1968" s="1" t="n">
        <x:v>6</x:v>
      </x:c>
      <x:c r="D1968" s="6" t="n">
        <x:v>8998</x:v>
      </x:c>
      <x:c r="E1968" s="6" t="n">
        <x:v>17996</x:v>
      </x:c>
      <x:c r="F1968" s="6" t="n">
        <x:v>0</x:v>
      </x:c>
      <x:c r="G1968" s="6" t="n">
        <x:v>17996</x:v>
      </x:c>
      <x:c r="H1968" s="6" t="n">
        <x:v>8998</x:v>
      </x:c>
    </x:row>
    <x:row r="1969" ht="21" customHeight="1">
      <x:c r="A1969" s="1" t="str">
        <x:v>C0007373</x:v>
      </x:c>
      <x:c r="B1969" s="1" t="n">
        <x:v>6</x:v>
      </x:c>
      <x:c r="C1969" s="1" t="n">
        <x:v>6</x:v>
      </x:c>
      <x:c r="D1969" s="6" t="n">
        <x:v>8998</x:v>
      </x:c>
      <x:c r="E1969" s="6" t="n">
        <x:v>0</x:v>
      </x:c>
      <x:c r="F1969" s="6" t="n">
        <x:v>0</x:v>
      </x:c>
      <x:c r="G1969" s="6" t="n">
        <x:v>0</x:v>
      </x:c>
      <x:c r="H1969" s="6" t="n">
        <x:v>-8998</x:v>
      </x:c>
    </x:row>
    <x:row r="1970" ht="21" customHeight="1">
      <x:c r="A1970" s="1" t="str">
        <x:v>C0010701</x:v>
      </x:c>
      <x:c r="B1970" s="1" t="n">
        <x:v>6</x:v>
      </x:c>
      <x:c r="C1970" s="1" t="n">
        <x:v>6</x:v>
      </x:c>
      <x:c r="D1970" s="6" t="n">
        <x:v>8998</x:v>
      </x:c>
      <x:c r="E1970" s="6" t="n">
        <x:v>0</x:v>
      </x:c>
      <x:c r="F1970" s="6" t="n">
        <x:v>0</x:v>
      </x:c>
      <x:c r="G1970" s="6" t="n">
        <x:v>0</x:v>
      </x:c>
      <x:c r="H1970" s="6" t="n">
        <x:v>-8998</x:v>
      </x:c>
    </x:row>
    <x:row r="1971" ht="21" customHeight="1">
      <x:c r="A1971" s="1" t="str">
        <x:v>C0010383</x:v>
      </x:c>
      <x:c r="B1971" s="1" t="n">
        <x:v>6</x:v>
      </x:c>
      <x:c r="C1971" s="1" t="n">
        <x:v>6</x:v>
      </x:c>
      <x:c r="D1971" s="6" t="n">
        <x:v>8998</x:v>
      </x:c>
      <x:c r="E1971" s="6" t="n">
        <x:v>0</x:v>
      </x:c>
      <x:c r="F1971" s="6" t="n">
        <x:v>0</x:v>
      </x:c>
      <x:c r="G1971" s="6" t="n">
        <x:v>0</x:v>
      </x:c>
      <x:c r="H1971" s="6" t="n">
        <x:v>-8998</x:v>
      </x:c>
    </x:row>
    <x:row r="1972" ht="21" customHeight="1">
      <x:c r="A1972" s="1" t="str">
        <x:v>C0006441</x:v>
      </x:c>
      <x:c r="B1972" s="1" t="n">
        <x:v>29</x:v>
      </x:c>
      <x:c r="C1972" s="1" t="n">
        <x:v>59</x:v>
      </x:c>
      <x:c r="D1972" s="6" t="n">
        <x:v>8939</x:v>
      </x:c>
      <x:c r="E1972" s="6" t="n">
        <x:v>0</x:v>
      </x:c>
      <x:c r="F1972" s="6" t="n">
        <x:v>0</x:v>
      </x:c>
      <x:c r="G1972" s="6" t="n">
        <x:v>0</x:v>
      </x:c>
      <x:c r="H1972" s="6" t="n">
        <x:v>-8939</x:v>
      </x:c>
    </x:row>
    <x:row r="1973" ht="21" customHeight="1">
      <x:c r="A1973" s="1" t="str">
        <x:v>C0004780</x:v>
      </x:c>
      <x:c r="B1973" s="1" t="n">
        <x:v>29</x:v>
      </x:c>
      <x:c r="C1973" s="1" t="n">
        <x:v>59</x:v>
      </x:c>
      <x:c r="D1973" s="6" t="n">
        <x:v>8939</x:v>
      </x:c>
      <x:c r="E1973" s="6" t="n">
        <x:v>0</x:v>
      </x:c>
      <x:c r="F1973" s="6" t="n">
        <x:v>0</x:v>
      </x:c>
      <x:c r="G1973" s="6" t="n">
        <x:v>0</x:v>
      </x:c>
      <x:c r="H1973" s="6" t="n">
        <x:v>-8939</x:v>
      </x:c>
    </x:row>
    <x:row r="1974" ht="21" customHeight="1">
      <x:c r="A1974" s="1" t="str">
        <x:v>C0008189</x:v>
      </x:c>
      <x:c r="B1974" s="1" t="n">
        <x:v>29</x:v>
      </x:c>
      <x:c r="C1974" s="1" t="n">
        <x:v>59</x:v>
      </x:c>
      <x:c r="D1974" s="6" t="n">
        <x:v>8939</x:v>
      </x:c>
      <x:c r="E1974" s="6" t="n">
        <x:v>0</x:v>
      </x:c>
      <x:c r="F1974" s="6" t="n">
        <x:v>0</x:v>
      </x:c>
      <x:c r="G1974" s="6" t="n">
        <x:v>0</x:v>
      </x:c>
      <x:c r="H1974" s="6" t="n">
        <x:v>-8939</x:v>
      </x:c>
    </x:row>
    <x:row r="1975" ht="21" customHeight="1">
      <x:c r="A1975" s="1" t="str">
        <x:v>C0003699</x:v>
      </x:c>
      <x:c r="B1975" s="1" t="n">
        <x:v>29</x:v>
      </x:c>
      <x:c r="C1975" s="1" t="n">
        <x:v>59</x:v>
      </x:c>
      <x:c r="D1975" s="6" t="n">
        <x:v>0</x:v>
      </x:c>
      <x:c r="E1975" s="6" t="n">
        <x:v>8939</x:v>
      </x:c>
      <x:c r="F1975" s="6" t="n">
        <x:v>0</x:v>
      </x:c>
      <x:c r="G1975" s="6" t="n">
        <x:v>8939</x:v>
      </x:c>
      <x:c r="H1975" s="6" t="n">
        <x:v>8939</x:v>
      </x:c>
    </x:row>
    <x:row r="1976" ht="21" customHeight="1">
      <x:c r="A1976" s="1" t="str">
        <x:v>C0007624</x:v>
      </x:c>
      <x:c r="B1976" s="1" t="n">
        <x:v>7</x:v>
      </x:c>
      <x:c r="C1976" s="1" t="n">
        <x:v>97</x:v>
      </x:c>
      <x:c r="D1976" s="6" t="n">
        <x:v>8647</x:v>
      </x:c>
      <x:c r="E1976" s="6" t="n">
        <x:v>0</x:v>
      </x:c>
      <x:c r="F1976" s="6" t="n">
        <x:v>0</x:v>
      </x:c>
      <x:c r="G1976" s="6" t="n">
        <x:v>0</x:v>
      </x:c>
      <x:c r="H1976" s="6" t="n">
        <x:v>-8647</x:v>
      </x:c>
    </x:row>
    <x:row r="1977" ht="21" customHeight="1">
      <x:c r="A1977" s="1" t="str">
        <x:v>C0003682</x:v>
      </x:c>
      <x:c r="B1977" s="1" t="n">
        <x:v>7</x:v>
      </x:c>
      <x:c r="C1977" s="1" t="n">
        <x:v>97</x:v>
      </x:c>
      <x:c r="D1977" s="6" t="n">
        <x:v>8647</x:v>
      </x:c>
      <x:c r="E1977" s="6" t="n">
        <x:v>17294</x:v>
      </x:c>
      <x:c r="F1977" s="6" t="n">
        <x:v>0</x:v>
      </x:c>
      <x:c r="G1977" s="6" t="n">
        <x:v>17294</x:v>
      </x:c>
      <x:c r="H1977" s="6" t="n">
        <x:v>8647</x:v>
      </x:c>
    </x:row>
    <x:row r="1978" ht="21" customHeight="1">
      <x:c r="A1978" s="1" t="str">
        <x:v>C0001377</x:v>
      </x:c>
      <x:c r="B1978" s="1" t="n">
        <x:v>7</x:v>
      </x:c>
      <x:c r="C1978" s="1" t="n">
        <x:v>97</x:v>
      </x:c>
      <x:c r="D1978" s="6" t="n">
        <x:v>0</x:v>
      </x:c>
      <x:c r="E1978" s="6" t="n">
        <x:v>8647</x:v>
      </x:c>
      <x:c r="F1978" s="6" t="n">
        <x:v>0</x:v>
      </x:c>
      <x:c r="G1978" s="6" t="n">
        <x:v>8647</x:v>
      </x:c>
      <x:c r="H1978" s="6" t="n">
        <x:v>8647</x:v>
      </x:c>
    </x:row>
    <x:row r="1979" ht="21" customHeight="1">
      <x:c r="A1979" s="1" t="str">
        <x:v>C0011207</x:v>
      </x:c>
      <x:c r="B1979" s="1" t="n">
        <x:v>7</x:v>
      </x:c>
      <x:c r="C1979" s="1" t="n">
        <x:v>97</x:v>
      </x:c>
      <x:c r="D1979" s="6" t="n">
        <x:v>0</x:v>
      </x:c>
      <x:c r="E1979" s="6" t="n">
        <x:v>8647</x:v>
      </x:c>
      <x:c r="F1979" s="6" t="n">
        <x:v>0</x:v>
      </x:c>
      <x:c r="G1979" s="6" t="n">
        <x:v>8647</x:v>
      </x:c>
      <x:c r="H1979" s="6" t="n">
        <x:v>8647</x:v>
      </x:c>
    </x:row>
    <x:row r="1980" ht="21" customHeight="1">
      <x:c r="A1980" s="1" t="str">
        <x:v>C0017226</x:v>
      </x:c>
      <x:c r="B1980" s="1" t="n">
        <x:v>7</x:v>
      </x:c>
      <x:c r="C1980" s="1" t="n">
        <x:v>97</x:v>
      </x:c>
      <x:c r="D1980" s="6" t="n">
        <x:v>8647</x:v>
      </x:c>
      <x:c r="E1980" s="6" t="n">
        <x:v>0</x:v>
      </x:c>
      <x:c r="F1980" s="6" t="n">
        <x:v>0</x:v>
      </x:c>
      <x:c r="G1980" s="6" t="n">
        <x:v>0</x:v>
      </x:c>
      <x:c r="H1980" s="6" t="n">
        <x:v>-8647</x:v>
      </x:c>
    </x:row>
    <x:row r="1981" ht="21" customHeight="1">
      <x:c r="A1981" s="1" t="str">
        <x:v>C0000817</x:v>
      </x:c>
      <x:c r="B1981" s="1" t="n">
        <x:v>7</x:v>
      </x:c>
      <x:c r="C1981" s="1" t="n">
        <x:v>97</x:v>
      </x:c>
      <x:c r="D1981" s="6" t="n">
        <x:v>8647</x:v>
      </x:c>
      <x:c r="E1981" s="6" t="n">
        <x:v>17294</x:v>
      </x:c>
      <x:c r="F1981" s="6" t="n">
        <x:v>0</x:v>
      </x:c>
      <x:c r="G1981" s="6" t="n">
        <x:v>17294</x:v>
      </x:c>
      <x:c r="H1981" s="6" t="n">
        <x:v>8647</x:v>
      </x:c>
    </x:row>
    <x:row r="1982" ht="21" customHeight="1">
      <x:c r="A1982" s="1" t="str">
        <x:v>C0002644</x:v>
      </x:c>
      <x:c r="B1982" s="1" t="n">
        <x:v>2</x:v>
      </x:c>
      <x:c r="C1982" s="1" t="n">
        <x:v>32</x:v>
      </x:c>
      <x:c r="D1982" s="6" t="n">
        <x:v>8493</x:v>
      </x:c>
      <x:c r="E1982" s="6" t="n">
        <x:v>0</x:v>
      </x:c>
      <x:c r="F1982" s="6" t="n">
        <x:v>0</x:v>
      </x:c>
      <x:c r="G1982" s="6" t="n">
        <x:v>0</x:v>
      </x:c>
      <x:c r="H1982" s="6" t="n">
        <x:v>-8493</x:v>
      </x:c>
    </x:row>
    <x:row r="1983" ht="21" customHeight="1">
      <x:c r="A1983" s="1" t="str">
        <x:v>C0006416</x:v>
      </x:c>
      <x:c r="B1983" s="1" t="n">
        <x:v>2</x:v>
      </x:c>
      <x:c r="C1983" s="1" t="n">
        <x:v>32</x:v>
      </x:c>
      <x:c r="D1983" s="6" t="n">
        <x:v>8493</x:v>
      </x:c>
      <x:c r="E1983" s="6" t="n">
        <x:v>0</x:v>
      </x:c>
      <x:c r="F1983" s="6" t="n">
        <x:v>0</x:v>
      </x:c>
      <x:c r="G1983" s="6" t="n">
        <x:v>0</x:v>
      </x:c>
      <x:c r="H1983" s="6" t="n">
        <x:v>-8493</x:v>
      </x:c>
    </x:row>
    <x:row r="1984" ht="21" customHeight="1">
      <x:c r="A1984" s="1" t="str">
        <x:v>C0000812</x:v>
      </x:c>
      <x:c r="B1984" s="1" t="n">
        <x:v>2</x:v>
      </x:c>
      <x:c r="C1984" s="1" t="n">
        <x:v>32</x:v>
      </x:c>
      <x:c r="D1984" s="6" t="n">
        <x:v>8493</x:v>
      </x:c>
      <x:c r="E1984" s="6" t="n">
        <x:v>0</x:v>
      </x:c>
      <x:c r="F1984" s="6" t="n">
        <x:v>0</x:v>
      </x:c>
      <x:c r="G1984" s="6" t="n">
        <x:v>0</x:v>
      </x:c>
      <x:c r="H1984" s="6" t="n">
        <x:v>-8493</x:v>
      </x:c>
    </x:row>
    <x:row r="1985" ht="21" customHeight="1">
      <x:c r="A1985" s="1" t="str">
        <x:v>C0012233</x:v>
      </x:c>
      <x:c r="B1985" s="1" t="n">
        <x:v>2</x:v>
      </x:c>
      <x:c r="C1985" s="1" t="n">
        <x:v>32</x:v>
      </x:c>
      <x:c r="D1985" s="6" t="n">
        <x:v>0</x:v>
      </x:c>
      <x:c r="E1985" s="6" t="n">
        <x:v>8493</x:v>
      </x:c>
      <x:c r="F1985" s="6" t="n">
        <x:v>0</x:v>
      </x:c>
      <x:c r="G1985" s="6" t="n">
        <x:v>8493</x:v>
      </x:c>
      <x:c r="H1985" s="6" t="n">
        <x:v>8493</x:v>
      </x:c>
    </x:row>
    <x:row r="1986" ht="21" customHeight="1">
      <x:c r="A1986" s="1" t="str">
        <x:v>C0008058</x:v>
      </x:c>
      <x:c r="B1986" s="1" t="n">
        <x:v>24</x:v>
      </x:c>
      <x:c r="C1986" s="1" t="n">
        <x:v>54</x:v>
      </x:c>
      <x:c r="D1986" s="6" t="n">
        <x:v>8462</x:v>
      </x:c>
      <x:c r="E1986" s="6" t="n">
        <x:v>0</x:v>
      </x:c>
      <x:c r="F1986" s="6" t="n">
        <x:v>0</x:v>
      </x:c>
      <x:c r="G1986" s="6" t="n">
        <x:v>0</x:v>
      </x:c>
      <x:c r="H1986" s="6" t="n">
        <x:v>-8462</x:v>
      </x:c>
    </x:row>
    <x:row r="1987" ht="21" customHeight="1">
      <x:c r="A1987" s="1" t="str">
        <x:v>C0000841</x:v>
      </x:c>
      <x:c r="B1987" s="1" t="n">
        <x:v>24</x:v>
      </x:c>
      <x:c r="C1987" s="1" t="n">
        <x:v>54</x:v>
      </x:c>
      <x:c r="D1987" s="6" t="n">
        <x:v>8462</x:v>
      </x:c>
      <x:c r="E1987" s="6" t="n">
        <x:v>0</x:v>
      </x:c>
      <x:c r="F1987" s="6" t="n">
        <x:v>0</x:v>
      </x:c>
      <x:c r="G1987" s="6" t="n">
        <x:v>0</x:v>
      </x:c>
      <x:c r="H1987" s="6" t="n">
        <x:v>-8462</x:v>
      </x:c>
    </x:row>
    <x:row r="1988" ht="21" customHeight="1">
      <x:c r="A1988" s="1" t="str">
        <x:v>C0003415</x:v>
      </x:c>
      <x:c r="B1988" s="1" t="n">
        <x:v>24</x:v>
      </x:c>
      <x:c r="C1988" s="1" t="n">
        <x:v>54</x:v>
      </x:c>
      <x:c r="D1988" s="6" t="n">
        <x:v>8462</x:v>
      </x:c>
      <x:c r="E1988" s="6" t="n">
        <x:v>16924</x:v>
      </x:c>
      <x:c r="F1988" s="6" t="n">
        <x:v>0</x:v>
      </x:c>
      <x:c r="G1988" s="6" t="n">
        <x:v>16924</x:v>
      </x:c>
      <x:c r="H1988" s="6" t="n">
        <x:v>8462</x:v>
      </x:c>
    </x:row>
    <x:row r="1989" ht="21" customHeight="1">
      <x:c r="A1989" s="1" t="str">
        <x:v>C0006402</x:v>
      </x:c>
      <x:c r="B1989" s="1" t="n">
        <x:v>24</x:v>
      </x:c>
      <x:c r="C1989" s="1" t="n">
        <x:v>54</x:v>
      </x:c>
      <x:c r="D1989" s="6" t="n">
        <x:v>0</x:v>
      </x:c>
      <x:c r="E1989" s="6" t="n">
        <x:v>8462</x:v>
      </x:c>
      <x:c r="F1989" s="6" t="n">
        <x:v>0</x:v>
      </x:c>
      <x:c r="G1989" s="6" t="n">
        <x:v>8462</x:v>
      </x:c>
      <x:c r="H1989" s="6" t="n">
        <x:v>8462</x:v>
      </x:c>
    </x:row>
    <x:row r="1990" ht="21" customHeight="1">
      <x:c r="A1990" s="1" t="str">
        <x:v>C0001696</x:v>
      </x:c>
      <x:c r="B1990" s="1" t="n">
        <x:v>1</x:v>
      </x:c>
      <x:c r="C1990" s="1" t="n">
        <x:v>61</x:v>
      </x:c>
      <x:c r="D1990" s="6" t="n">
        <x:v>8460</x:v>
      </x:c>
      <x:c r="E1990" s="6" t="n">
        <x:v>16920</x:v>
      </x:c>
      <x:c r="F1990" s="6" t="n">
        <x:v>0</x:v>
      </x:c>
      <x:c r="G1990" s="6" t="n">
        <x:v>16920</x:v>
      </x:c>
      <x:c r="H1990" s="6" t="n">
        <x:v>8460</x:v>
      </x:c>
    </x:row>
    <x:row r="1991" ht="21" customHeight="1">
      <x:c r="A1991" s="1" t="str">
        <x:v>C0002446</x:v>
      </x:c>
      <x:c r="B1991" s="1" t="n">
        <x:v>1</x:v>
      </x:c>
      <x:c r="C1991" s="1" t="n">
        <x:v>61</x:v>
      </x:c>
      <x:c r="D1991" s="6" t="n">
        <x:v>8460</x:v>
      </x:c>
      <x:c r="E1991" s="6" t="n">
        <x:v>16920</x:v>
      </x:c>
      <x:c r="F1991" s="6" t="n">
        <x:v>0</x:v>
      </x:c>
      <x:c r="G1991" s="6" t="n">
        <x:v>16920</x:v>
      </x:c>
      <x:c r="H1991" s="6" t="n">
        <x:v>8460</x:v>
      </x:c>
    </x:row>
    <x:row r="1992" ht="21" customHeight="1">
      <x:c r="A1992" s="1" t="str">
        <x:v>C0010894</x:v>
      </x:c>
      <x:c r="B1992" s="1" t="n">
        <x:v>1</x:v>
      </x:c>
      <x:c r="C1992" s="1" t="n">
        <x:v>61</x:v>
      </x:c>
      <x:c r="D1992" s="6" t="n">
        <x:v>8460</x:v>
      </x:c>
      <x:c r="E1992" s="6" t="n">
        <x:v>0</x:v>
      </x:c>
      <x:c r="F1992" s="6" t="n">
        <x:v>0</x:v>
      </x:c>
      <x:c r="G1992" s="6" t="n">
        <x:v>0</x:v>
      </x:c>
      <x:c r="H1992" s="6" t="n">
        <x:v>-8460</x:v>
      </x:c>
    </x:row>
    <x:row r="1993" ht="21" customHeight="1">
      <x:c r="A1993" s="1" t="str">
        <x:v>C0006594</x:v>
      </x:c>
      <x:c r="B1993" s="1" t="n">
        <x:v>1</x:v>
      </x:c>
      <x:c r="C1993" s="1" t="n">
        <x:v>61</x:v>
      </x:c>
      <x:c r="D1993" s="6" t="n">
        <x:v>8460</x:v>
      </x:c>
      <x:c r="E1993" s="6" t="n">
        <x:v>0</x:v>
      </x:c>
      <x:c r="F1993" s="6" t="n">
        <x:v>0</x:v>
      </x:c>
      <x:c r="G1993" s="6" t="n">
        <x:v>0</x:v>
      </x:c>
      <x:c r="H1993" s="6" t="n">
        <x:v>-8460</x:v>
      </x:c>
    </x:row>
    <x:row r="1994" ht="21" customHeight="1">
      <x:c r="A1994" s="1" t="str">
        <x:v>C0013282</x:v>
      </x:c>
      <x:c r="B1994" s="1" t="n">
        <x:v>1</x:v>
      </x:c>
      <x:c r="C1994" s="1" t="n">
        <x:v>61</x:v>
      </x:c>
      <x:c r="D1994" s="6" t="n">
        <x:v>8460</x:v>
      </x:c>
      <x:c r="E1994" s="6" t="n">
        <x:v>0</x:v>
      </x:c>
      <x:c r="F1994" s="6" t="n">
        <x:v>0</x:v>
      </x:c>
      <x:c r="G1994" s="6" t="n">
        <x:v>0</x:v>
      </x:c>
      <x:c r="H1994" s="6" t="n">
        <x:v>-8460</x:v>
      </x:c>
    </x:row>
    <x:row r="1995" ht="21" customHeight="1">
      <x:c r="A1995" s="1" t="str">
        <x:v>C0008678</x:v>
      </x:c>
      <x:c r="B1995" s="1" t="n">
        <x:v>1</x:v>
      </x:c>
      <x:c r="C1995" s="1" t="n">
        <x:v>61</x:v>
      </x:c>
      <x:c r="D1995" s="6" t="n">
        <x:v>0</x:v>
      </x:c>
      <x:c r="E1995" s="6" t="n">
        <x:v>8460</x:v>
      </x:c>
      <x:c r="F1995" s="6" t="n">
        <x:v>0</x:v>
      </x:c>
      <x:c r="G1995" s="6" t="n">
        <x:v>8460</x:v>
      </x:c>
      <x:c r="H1995" s="6" t="n">
        <x:v>8460</x:v>
      </x:c>
    </x:row>
    <x:row r="1996" ht="21" customHeight="1">
      <x:c r="A1996" s="1" t="str">
        <x:v>C0012662</x:v>
      </x:c>
      <x:c r="B1996" s="1" t="n">
        <x:v>1</x:v>
      </x:c>
      <x:c r="C1996" s="1" t="n">
        <x:v>61</x:v>
      </x:c>
      <x:c r="D1996" s="6" t="n">
        <x:v>8460</x:v>
      </x:c>
      <x:c r="E1996" s="6" t="n">
        <x:v>0</x:v>
      </x:c>
      <x:c r="F1996" s="6" t="n">
        <x:v>0</x:v>
      </x:c>
      <x:c r="G1996" s="6" t="n">
        <x:v>0</x:v>
      </x:c>
      <x:c r="H1996" s="6" t="n">
        <x:v>-8460</x:v>
      </x:c>
    </x:row>
    <x:row r="1997" ht="21" customHeight="1">
      <x:c r="A1997" s="1" t="str">
        <x:v>C0014888</x:v>
      </x:c>
      <x:c r="B1997" s="1" t="n">
        <x:v>1</x:v>
      </x:c>
      <x:c r="C1997" s="1" t="n">
        <x:v>61</x:v>
      </x:c>
      <x:c r="D1997" s="6" t="n">
        <x:v>0</x:v>
      </x:c>
      <x:c r="E1997" s="6" t="n">
        <x:v>8460</x:v>
      </x:c>
      <x:c r="F1997" s="6" t="n">
        <x:v>0</x:v>
      </x:c>
      <x:c r="G1997" s="6" t="n">
        <x:v>8460</x:v>
      </x:c>
      <x:c r="H1997" s="6" t="n">
        <x:v>8460</x:v>
      </x:c>
    </x:row>
    <x:row r="1998" ht="21" customHeight="1">
      <x:c r="A1998" s="1" t="str">
        <x:v>C0013571</x:v>
      </x:c>
      <x:c r="B1998" s="1" t="n">
        <x:v>12</x:v>
      </x:c>
      <x:c r="C1998" s="1" t="n">
        <x:v>42</x:v>
      </x:c>
      <x:c r="D1998" s="6" t="n">
        <x:v>8425</x:v>
      </x:c>
      <x:c r="E1998" s="6" t="n">
        <x:v>16850</x:v>
      </x:c>
      <x:c r="F1998" s="6" t="n">
        <x:v>0</x:v>
      </x:c>
      <x:c r="G1998" s="6" t="n">
        <x:v>16850</x:v>
      </x:c>
      <x:c r="H1998" s="6" t="n">
        <x:v>8425</x:v>
      </x:c>
    </x:row>
    <x:row r="1999" ht="21" customHeight="1">
      <x:c r="A1999" s="1" t="str">
        <x:v>C0015170</x:v>
      </x:c>
      <x:c r="B1999" s="1" t="n">
        <x:v>12</x:v>
      </x:c>
      <x:c r="C1999" s="1" t="n">
        <x:v>42</x:v>
      </x:c>
      <x:c r="D1999" s="6" t="n">
        <x:v>8425</x:v>
      </x:c>
      <x:c r="E1999" s="6" t="n">
        <x:v>0</x:v>
      </x:c>
      <x:c r="F1999" s="6" t="n">
        <x:v>0</x:v>
      </x:c>
      <x:c r="G1999" s="6" t="n">
        <x:v>0</x:v>
      </x:c>
      <x:c r="H1999" s="6" t="n">
        <x:v>-8425</x:v>
      </x:c>
    </x:row>
    <x:row r="2000" ht="21" customHeight="1">
      <x:c r="A2000" s="1" t="str">
        <x:v>C0006936</x:v>
      </x:c>
      <x:c r="B2000" s="1" t="n">
        <x:v>12</x:v>
      </x:c>
      <x:c r="C2000" s="1" t="n">
        <x:v>42</x:v>
      </x:c>
      <x:c r="D2000" s="6" t="n">
        <x:v>8425</x:v>
      </x:c>
      <x:c r="E2000" s="6" t="n">
        <x:v>0</x:v>
      </x:c>
      <x:c r="F2000" s="6" t="n">
        <x:v>0</x:v>
      </x:c>
      <x:c r="G2000" s="6" t="n">
        <x:v>0</x:v>
      </x:c>
      <x:c r="H2000" s="6" t="n">
        <x:v>-8425</x:v>
      </x:c>
    </x:row>
    <x:row r="2001" ht="21" customHeight="1">
      <x:c r="A2001" s="1" t="str">
        <x:v>C0000811</x:v>
      </x:c>
      <x:c r="B2001" s="1" t="n">
        <x:v>12</x:v>
      </x:c>
      <x:c r="C2001" s="1" t="n">
        <x:v>42</x:v>
      </x:c>
      <x:c r="D2001" s="6" t="n">
        <x:v>8425</x:v>
      </x:c>
      <x:c r="E2001" s="6" t="n">
        <x:v>16850</x:v>
      </x:c>
      <x:c r="F2001" s="6" t="n">
        <x:v>0</x:v>
      </x:c>
      <x:c r="G2001" s="6" t="n">
        <x:v>16850</x:v>
      </x:c>
      <x:c r="H2001" s="6" t="n">
        <x:v>8425</x:v>
      </x:c>
    </x:row>
    <x:row r="2002" ht="21" customHeight="1">
      <x:c r="A2002" s="1" t="str">
        <x:v>C0004179</x:v>
      </x:c>
      <x:c r="B2002" s="1" t="n">
        <x:v>12</x:v>
      </x:c>
      <x:c r="C2002" s="1" t="n">
        <x:v>42</x:v>
      </x:c>
      <x:c r="D2002" s="6" t="n">
        <x:v>8425</x:v>
      </x:c>
      <x:c r="E2002" s="6" t="n">
        <x:v>16850</x:v>
      </x:c>
      <x:c r="F2002" s="6" t="n">
        <x:v>0</x:v>
      </x:c>
      <x:c r="G2002" s="6" t="n">
        <x:v>16850</x:v>
      </x:c>
      <x:c r="H2002" s="6" t="n">
        <x:v>8425</x:v>
      </x:c>
    </x:row>
    <x:row r="2003" ht="21" customHeight="1">
      <x:c r="A2003" s="1" t="str">
        <x:v>C0010568</x:v>
      </x:c>
      <x:c r="B2003" s="1" t="n">
        <x:v>12</x:v>
      </x:c>
      <x:c r="C2003" s="1" t="n">
        <x:v>42</x:v>
      </x:c>
      <x:c r="D2003" s="6" t="n">
        <x:v>8425</x:v>
      </x:c>
      <x:c r="E2003" s="6" t="n">
        <x:v>0</x:v>
      </x:c>
      <x:c r="F2003" s="6" t="n">
        <x:v>0</x:v>
      </x:c>
      <x:c r="G2003" s="6" t="n">
        <x:v>0</x:v>
      </x:c>
      <x:c r="H2003" s="6" t="n">
        <x:v>-8425</x:v>
      </x:c>
    </x:row>
    <x:row r="2004" ht="21" customHeight="1">
      <x:c r="A2004" s="1" t="str">
        <x:v>C0003103</x:v>
      </x:c>
      <x:c r="B2004" s="1" t="n">
        <x:v>12</x:v>
      </x:c>
      <x:c r="C2004" s="1" t="n">
        <x:v>42</x:v>
      </x:c>
      <x:c r="D2004" s="6" t="n">
        <x:v>8425</x:v>
      </x:c>
      <x:c r="E2004" s="6" t="n">
        <x:v>0</x:v>
      </x:c>
      <x:c r="F2004" s="6" t="n">
        <x:v>0</x:v>
      </x:c>
      <x:c r="G2004" s="6" t="n">
        <x:v>0</x:v>
      </x:c>
      <x:c r="H2004" s="6" t="n">
        <x:v>-8425</x:v>
      </x:c>
    </x:row>
    <x:row r="2005" ht="21" customHeight="1">
      <x:c r="A2005" s="1" t="str">
        <x:v>C0015213</x:v>
      </x:c>
      <x:c r="B2005" s="1" t="n">
        <x:v>16</x:v>
      </x:c>
      <x:c r="C2005" s="1" t="n">
        <x:v>16</x:v>
      </x:c>
      <x:c r="D2005" s="6" t="n">
        <x:v>8412</x:v>
      </x:c>
      <x:c r="E2005" s="6" t="n">
        <x:v>16824</x:v>
      </x:c>
      <x:c r="F2005" s="6" t="n">
        <x:v>0</x:v>
      </x:c>
      <x:c r="G2005" s="6" t="n">
        <x:v>16824</x:v>
      </x:c>
      <x:c r="H2005" s="6" t="n">
        <x:v>8412</x:v>
      </x:c>
    </x:row>
    <x:row r="2006" ht="21" customHeight="1">
      <x:c r="A2006" s="1" t="str">
        <x:v>C0002141</x:v>
      </x:c>
      <x:c r="B2006" s="1" t="n">
        <x:v>16</x:v>
      </x:c>
      <x:c r="C2006" s="1" t="n">
        <x:v>16</x:v>
      </x:c>
      <x:c r="D2006" s="6" t="n">
        <x:v>8412</x:v>
      </x:c>
      <x:c r="E2006" s="6" t="n">
        <x:v>16824</x:v>
      </x:c>
      <x:c r="F2006" s="6" t="n">
        <x:v>0</x:v>
      </x:c>
      <x:c r="G2006" s="6" t="n">
        <x:v>16824</x:v>
      </x:c>
      <x:c r="H2006" s="6" t="n">
        <x:v>8412</x:v>
      </x:c>
    </x:row>
    <x:row r="2007" ht="21" customHeight="1">
      <x:c r="A2007" s="1" t="str">
        <x:v>C0009017</x:v>
      </x:c>
      <x:c r="B2007" s="1" t="n">
        <x:v>16</x:v>
      </x:c>
      <x:c r="C2007" s="1" t="n">
        <x:v>16</x:v>
      </x:c>
      <x:c r="D2007" s="6" t="n">
        <x:v>8412</x:v>
      </x:c>
      <x:c r="E2007" s="6" t="n">
        <x:v>16824</x:v>
      </x:c>
      <x:c r="F2007" s="6" t="n">
        <x:v>0</x:v>
      </x:c>
      <x:c r="G2007" s="6" t="n">
        <x:v>16824</x:v>
      </x:c>
      <x:c r="H2007" s="6" t="n">
        <x:v>8412</x:v>
      </x:c>
    </x:row>
    <x:row r="2008" ht="21" customHeight="1">
      <x:c r="A2008" s="1" t="str">
        <x:v>C0009155</x:v>
      </x:c>
      <x:c r="B2008" s="1" t="n">
        <x:v>16</x:v>
      </x:c>
      <x:c r="C2008" s="1" t="n">
        <x:v>16</x:v>
      </x:c>
      <x:c r="D2008" s="6" t="n">
        <x:v>8412</x:v>
      </x:c>
      <x:c r="E2008" s="6" t="n">
        <x:v>0</x:v>
      </x:c>
      <x:c r="F2008" s="6" t="n">
        <x:v>0</x:v>
      </x:c>
      <x:c r="G2008" s="6" t="n">
        <x:v>0</x:v>
      </x:c>
      <x:c r="H2008" s="6" t="n">
        <x:v>-8412</x:v>
      </x:c>
    </x:row>
    <x:row r="2009" ht="21" customHeight="1">
      <x:c r="A2009" s="1" t="str">
        <x:v>C0004213</x:v>
      </x:c>
      <x:c r="B2009" s="1" t="n">
        <x:v>16</x:v>
      </x:c>
      <x:c r="C2009" s="1" t="n">
        <x:v>16</x:v>
      </x:c>
      <x:c r="D2009" s="6" t="n">
        <x:v>8412</x:v>
      </x:c>
      <x:c r="E2009" s="6" t="n">
        <x:v>16824</x:v>
      </x:c>
      <x:c r="F2009" s="6" t="n">
        <x:v>0</x:v>
      </x:c>
      <x:c r="G2009" s="6" t="n">
        <x:v>16824</x:v>
      </x:c>
      <x:c r="H2009" s="6" t="n">
        <x:v>8412</x:v>
      </x:c>
    </x:row>
    <x:row r="2010" ht="21" customHeight="1">
      <x:c r="A2010" s="1" t="str">
        <x:v>C0001229</x:v>
      </x:c>
      <x:c r="B2010" s="1" t="n">
        <x:v>16</x:v>
      </x:c>
      <x:c r="C2010" s="1" t="n">
        <x:v>16</x:v>
      </x:c>
      <x:c r="D2010" s="6" t="n">
        <x:v>8412</x:v>
      </x:c>
      <x:c r="E2010" s="6" t="n">
        <x:v>0</x:v>
      </x:c>
      <x:c r="F2010" s="6" t="n">
        <x:v>0</x:v>
      </x:c>
      <x:c r="G2010" s="6" t="n">
        <x:v>0</x:v>
      </x:c>
      <x:c r="H2010" s="6" t="n">
        <x:v>-8412</x:v>
      </x:c>
    </x:row>
    <x:row r="2011" ht="21" customHeight="1">
      <x:c r="A2011" s="1" t="str">
        <x:v>C0005049</x:v>
      </x:c>
      <x:c r="B2011" s="1" t="n">
        <x:v>16</x:v>
      </x:c>
      <x:c r="C2011" s="1" t="n">
        <x:v>16</x:v>
      </x:c>
      <x:c r="D2011" s="6" t="n">
        <x:v>8412</x:v>
      </x:c>
      <x:c r="E2011" s="6" t="n">
        <x:v>16824</x:v>
      </x:c>
      <x:c r="F2011" s="6" t="n">
        <x:v>0</x:v>
      </x:c>
      <x:c r="G2011" s="6" t="n">
        <x:v>16824</x:v>
      </x:c>
      <x:c r="H2011" s="6" t="n">
        <x:v>8412</x:v>
      </x:c>
    </x:row>
    <x:row r="2012" ht="21" customHeight="1">
      <x:c r="A2012" s="1" t="str">
        <x:v>C0016691</x:v>
      </x:c>
      <x:c r="B2012" s="1" t="n">
        <x:v>16</x:v>
      </x:c>
      <x:c r="C2012" s="1" t="n">
        <x:v>16</x:v>
      </x:c>
      <x:c r="D2012" s="6" t="n">
        <x:v>8412</x:v>
      </x:c>
      <x:c r="E2012" s="6" t="n">
        <x:v>16824</x:v>
      </x:c>
      <x:c r="F2012" s="6" t="n">
        <x:v>0</x:v>
      </x:c>
      <x:c r="G2012" s="6" t="n">
        <x:v>16824</x:v>
      </x:c>
      <x:c r="H2012" s="6" t="n">
        <x:v>8412</x:v>
      </x:c>
    </x:row>
    <x:row r="2013" ht="21" customHeight="1">
      <x:c r="A2013" s="1" t="str">
        <x:v>C0010311</x:v>
      </x:c>
      <x:c r="B2013" s="1" t="n">
        <x:v>11</x:v>
      </x:c>
      <x:c r="C2013" s="1" t="n">
        <x:v>11</x:v>
      </x:c>
      <x:c r="D2013" s="6" t="n">
        <x:v>8324</x:v>
      </x:c>
      <x:c r="E2013" s="6" t="n">
        <x:v>16648</x:v>
      </x:c>
      <x:c r="F2013" s="6" t="n">
        <x:v>0</x:v>
      </x:c>
      <x:c r="G2013" s="6" t="n">
        <x:v>16648</x:v>
      </x:c>
      <x:c r="H2013" s="6" t="n">
        <x:v>8324</x:v>
      </x:c>
    </x:row>
    <x:row r="2014" ht="21" customHeight="1">
      <x:c r="A2014" s="1" t="str">
        <x:v>C0004356</x:v>
      </x:c>
      <x:c r="B2014" s="1" t="n">
        <x:v>11</x:v>
      </x:c>
      <x:c r="C2014" s="1" t="n">
        <x:v>11</x:v>
      </x:c>
      <x:c r="D2014" s="6" t="n">
        <x:v>8324</x:v>
      </x:c>
      <x:c r="E2014" s="6" t="n">
        <x:v>0</x:v>
      </x:c>
      <x:c r="F2014" s="6" t="n">
        <x:v>0</x:v>
      </x:c>
      <x:c r="G2014" s="6" t="n">
        <x:v>0</x:v>
      </x:c>
      <x:c r="H2014" s="6" t="n">
        <x:v>-8324</x:v>
      </x:c>
    </x:row>
    <x:row r="2015" ht="21" customHeight="1">
      <x:c r="A2015" s="1" t="str">
        <x:v>C0001848</x:v>
      </x:c>
      <x:c r="B2015" s="1" t="n">
        <x:v>11</x:v>
      </x:c>
      <x:c r="C2015" s="1" t="n">
        <x:v>11</x:v>
      </x:c>
      <x:c r="D2015" s="6" t="n">
        <x:v>8324</x:v>
      </x:c>
      <x:c r="E2015" s="6" t="n">
        <x:v>16648</x:v>
      </x:c>
      <x:c r="F2015" s="6" t="n">
        <x:v>0</x:v>
      </x:c>
      <x:c r="G2015" s="6" t="n">
        <x:v>16648</x:v>
      </x:c>
      <x:c r="H2015" s="6" t="n">
        <x:v>8324</x:v>
      </x:c>
    </x:row>
    <x:row r="2016" ht="21" customHeight="1">
      <x:c r="A2016" s="1" t="str">
        <x:v>C0001232</x:v>
      </x:c>
      <x:c r="B2016" s="1" t="n">
        <x:v>11</x:v>
      </x:c>
      <x:c r="C2016" s="1" t="n">
        <x:v>11</x:v>
      </x:c>
      <x:c r="D2016" s="6" t="n">
        <x:v>0</x:v>
      </x:c>
      <x:c r="E2016" s="6" t="n">
        <x:v>8324</x:v>
      </x:c>
      <x:c r="F2016" s="6" t="n">
        <x:v>0</x:v>
      </x:c>
      <x:c r="G2016" s="6" t="n">
        <x:v>8324</x:v>
      </x:c>
      <x:c r="H2016" s="6" t="n">
        <x:v>8324</x:v>
      </x:c>
    </x:row>
    <x:row r="2017" ht="21" customHeight="1">
      <x:c r="A2017" s="1" t="str">
        <x:v>C0005689</x:v>
      </x:c>
      <x:c r="B2017" s="1" t="n">
        <x:v>11</x:v>
      </x:c>
      <x:c r="C2017" s="1" t="n">
        <x:v>11</x:v>
      </x:c>
      <x:c r="D2017" s="6" t="n">
        <x:v>8324</x:v>
      </x:c>
      <x:c r="E2017" s="6" t="n">
        <x:v>16648</x:v>
      </x:c>
      <x:c r="F2017" s="6" t="n">
        <x:v>0</x:v>
      </x:c>
      <x:c r="G2017" s="6" t="n">
        <x:v>16648</x:v>
      </x:c>
      <x:c r="H2017" s="6" t="n">
        <x:v>8324</x:v>
      </x:c>
    </x:row>
    <x:row r="2018" ht="21" customHeight="1">
      <x:c r="A2018" s="1" t="str">
        <x:v>C0016355</x:v>
      </x:c>
      <x:c r="B2018" s="1" t="n">
        <x:v>11</x:v>
      </x:c>
      <x:c r="C2018" s="1" t="n">
        <x:v>11</x:v>
      </x:c>
      <x:c r="D2018" s="6" t="n">
        <x:v>8324</x:v>
      </x:c>
      <x:c r="E2018" s="6" t="n">
        <x:v>16648</x:v>
      </x:c>
      <x:c r="F2018" s="6" t="n">
        <x:v>0</x:v>
      </x:c>
      <x:c r="G2018" s="6" t="n">
        <x:v>16648</x:v>
      </x:c>
      <x:c r="H2018" s="6" t="n">
        <x:v>8324</x:v>
      </x:c>
    </x:row>
    <x:row r="2019" ht="21" customHeight="1">
      <x:c r="A2019" s="1" t="str">
        <x:v>C0016054</x:v>
      </x:c>
      <x:c r="B2019" s="1" t="n">
        <x:v>11</x:v>
      </x:c>
      <x:c r="C2019" s="1" t="n">
        <x:v>11</x:v>
      </x:c>
      <x:c r="D2019" s="6" t="n">
        <x:v>8324</x:v>
      </x:c>
      <x:c r="E2019" s="6" t="n">
        <x:v>0</x:v>
      </x:c>
      <x:c r="F2019" s="6" t="n">
        <x:v>0</x:v>
      </x:c>
      <x:c r="G2019" s="6" t="n">
        <x:v>0</x:v>
      </x:c>
      <x:c r="H2019" s="6" t="n">
        <x:v>-8324</x:v>
      </x:c>
    </x:row>
    <x:row r="2020" ht="21" customHeight="1">
      <x:c r="A2020" s="1" t="str">
        <x:v>C0011239</x:v>
      </x:c>
      <x:c r="B2020" s="1" t="n">
        <x:v>11</x:v>
      </x:c>
      <x:c r="C2020" s="1" t="n">
        <x:v>11</x:v>
      </x:c>
      <x:c r="D2020" s="6" t="n">
        <x:v>0</x:v>
      </x:c>
      <x:c r="E2020" s="6" t="n">
        <x:v>8324</x:v>
      </x:c>
      <x:c r="F2020" s="6" t="n">
        <x:v>0</x:v>
      </x:c>
      <x:c r="G2020" s="6" t="n">
        <x:v>8324</x:v>
      </x:c>
      <x:c r="H2020" s="6" t="n">
        <x:v>8324</x:v>
      </x:c>
    </x:row>
    <x:row r="2021" ht="21" customHeight="1">
      <x:c r="A2021" s="1" t="str">
        <x:v>C0012157</x:v>
      </x:c>
      <x:c r="B2021" s="1" t="n">
        <x:v>11</x:v>
      </x:c>
      <x:c r="C2021" s="1" t="n">
        <x:v>11</x:v>
      </x:c>
      <x:c r="D2021" s="6" t="n">
        <x:v>8324</x:v>
      </x:c>
      <x:c r="E2021" s="6" t="n">
        <x:v>0</x:v>
      </x:c>
      <x:c r="F2021" s="6" t="n">
        <x:v>0</x:v>
      </x:c>
      <x:c r="G2021" s="6" t="n">
        <x:v>0</x:v>
      </x:c>
      <x:c r="H2021" s="6" t="n">
        <x:v>-8324</x:v>
      </x:c>
    </x:row>
    <x:row r="2022" ht="21" customHeight="1">
      <x:c r="A2022" s="1" t="str">
        <x:v>C0011979</x:v>
      </x:c>
      <x:c r="B2022" s="1" t="n">
        <x:v>11</x:v>
      </x:c>
      <x:c r="C2022" s="1" t="n">
        <x:v>11</x:v>
      </x:c>
      <x:c r="D2022" s="6" t="n">
        <x:v>8324</x:v>
      </x:c>
      <x:c r="E2022" s="6" t="n">
        <x:v>0</x:v>
      </x:c>
      <x:c r="F2022" s="6" t="n">
        <x:v>0</x:v>
      </x:c>
      <x:c r="G2022" s="6" t="n">
        <x:v>0</x:v>
      </x:c>
      <x:c r="H2022" s="6" t="n">
        <x:v>-8324</x:v>
      </x:c>
    </x:row>
    <x:row r="2023" ht="21" customHeight="1">
      <x:c r="A2023" s="1" t="str">
        <x:v>C0016422</x:v>
      </x:c>
      <x:c r="B2023" s="1" t="n">
        <x:v>11</x:v>
      </x:c>
      <x:c r="C2023" s="1" t="n">
        <x:v>11</x:v>
      </x:c>
      <x:c r="D2023" s="6" t="n">
        <x:v>8324</x:v>
      </x:c>
      <x:c r="E2023" s="6" t="n">
        <x:v>0</x:v>
      </x:c>
      <x:c r="F2023" s="6" t="n">
        <x:v>0</x:v>
      </x:c>
      <x:c r="G2023" s="6" t="n">
        <x:v>0</x:v>
      </x:c>
      <x:c r="H2023" s="6" t="n">
        <x:v>-8324</x:v>
      </x:c>
    </x:row>
    <x:row r="2024" ht="21" customHeight="1">
      <x:c r="A2024" s="1" t="str">
        <x:v>C0013307</x:v>
      </x:c>
      <x:c r="B2024" s="1" t="n">
        <x:v>11</x:v>
      </x:c>
      <x:c r="C2024" s="1" t="n">
        <x:v>11</x:v>
      </x:c>
      <x:c r="D2024" s="6" t="n">
        <x:v>8324</x:v>
      </x:c>
      <x:c r="E2024" s="6" t="n">
        <x:v>0</x:v>
      </x:c>
      <x:c r="F2024" s="6" t="n">
        <x:v>0</x:v>
      </x:c>
      <x:c r="G2024" s="6" t="n">
        <x:v>0</x:v>
      </x:c>
      <x:c r="H2024" s="6" t="n">
        <x:v>-8324</x:v>
      </x:c>
    </x:row>
    <x:row r="2025" ht="21" customHeight="1">
      <x:c r="A2025" s="1" t="str">
        <x:v>C0011816</x:v>
      </x:c>
      <x:c r="B2025" s="1" t="n">
        <x:v>4</x:v>
      </x:c>
      <x:c r="C2025" s="1" t="n">
        <x:v>64</x:v>
      </x:c>
      <x:c r="D2025" s="6" t="n">
        <x:v>8318</x:v>
      </x:c>
      <x:c r="E2025" s="6" t="n">
        <x:v>16636</x:v>
      </x:c>
      <x:c r="F2025" s="6" t="n">
        <x:v>0</x:v>
      </x:c>
      <x:c r="G2025" s="6" t="n">
        <x:v>16636</x:v>
      </x:c>
      <x:c r="H2025" s="6" t="n">
        <x:v>8318</x:v>
      </x:c>
    </x:row>
    <x:row r="2026" ht="21" customHeight="1">
      <x:c r="A2026" s="1" t="str">
        <x:v>C0012355</x:v>
      </x:c>
      <x:c r="B2026" s="1" t="n">
        <x:v>4</x:v>
      </x:c>
      <x:c r="C2026" s="1" t="n">
        <x:v>64</x:v>
      </x:c>
      <x:c r="D2026" s="6" t="n">
        <x:v>8318</x:v>
      </x:c>
      <x:c r="E2026" s="6" t="n">
        <x:v>16636</x:v>
      </x:c>
      <x:c r="F2026" s="6" t="n">
        <x:v>0</x:v>
      </x:c>
      <x:c r="G2026" s="6" t="n">
        <x:v>16636</x:v>
      </x:c>
      <x:c r="H2026" s="6" t="n">
        <x:v>8318</x:v>
      </x:c>
    </x:row>
    <x:row r="2027" ht="21" customHeight="1">
      <x:c r="A2027" s="1" t="str">
        <x:v>C0003837</x:v>
      </x:c>
      <x:c r="B2027" s="1" t="n">
        <x:v>4</x:v>
      </x:c>
      <x:c r="C2027" s="1" t="n">
        <x:v>64</x:v>
      </x:c>
      <x:c r="D2027" s="6" t="n">
        <x:v>8318</x:v>
      </x:c>
      <x:c r="E2027" s="6" t="n">
        <x:v>16636</x:v>
      </x:c>
      <x:c r="F2027" s="6" t="n">
        <x:v>0</x:v>
      </x:c>
      <x:c r="G2027" s="6" t="n">
        <x:v>16636</x:v>
      </x:c>
      <x:c r="H2027" s="6" t="n">
        <x:v>8318</x:v>
      </x:c>
    </x:row>
    <x:row r="2028" ht="21" customHeight="1">
      <x:c r="A2028" s="1" t="str">
        <x:v>C0010673</x:v>
      </x:c>
      <x:c r="B2028" s="1" t="n">
        <x:v>4</x:v>
      </x:c>
      <x:c r="C2028" s="1" t="n">
        <x:v>64</x:v>
      </x:c>
      <x:c r="D2028" s="6" t="n">
        <x:v>8318</x:v>
      </x:c>
      <x:c r="E2028" s="6" t="n">
        <x:v>0</x:v>
      </x:c>
      <x:c r="F2028" s="6" t="n">
        <x:v>0</x:v>
      </x:c>
      <x:c r="G2028" s="6" t="n">
        <x:v>0</x:v>
      </x:c>
      <x:c r="H2028" s="6" t="n">
        <x:v>-8318</x:v>
      </x:c>
    </x:row>
    <x:row r="2029" ht="21" customHeight="1">
      <x:c r="A2029" s="1" t="str">
        <x:v>C0001585</x:v>
      </x:c>
      <x:c r="B2029" s="1" t="n">
        <x:v>4</x:v>
      </x:c>
      <x:c r="C2029" s="1" t="n">
        <x:v>64</x:v>
      </x:c>
      <x:c r="D2029" s="6" t="n">
        <x:v>8318</x:v>
      </x:c>
      <x:c r="E2029" s="6" t="n">
        <x:v>16636</x:v>
      </x:c>
      <x:c r="F2029" s="6" t="n">
        <x:v>0</x:v>
      </x:c>
      <x:c r="G2029" s="6" t="n">
        <x:v>16636</x:v>
      </x:c>
      <x:c r="H2029" s="6" t="n">
        <x:v>8318</x:v>
      </x:c>
    </x:row>
    <x:row r="2030" ht="21" customHeight="1">
      <x:c r="A2030" s="1" t="str">
        <x:v>C0011145</x:v>
      </x:c>
      <x:c r="B2030" s="1" t="n">
        <x:v>4</x:v>
      </x:c>
      <x:c r="C2030" s="1" t="n">
        <x:v>64</x:v>
      </x:c>
      <x:c r="D2030" s="6" t="n">
        <x:v>8318</x:v>
      </x:c>
      <x:c r="E2030" s="6" t="n">
        <x:v>16636</x:v>
      </x:c>
      <x:c r="F2030" s="6" t="n">
        <x:v>0</x:v>
      </x:c>
      <x:c r="G2030" s="6" t="n">
        <x:v>16636</x:v>
      </x:c>
      <x:c r="H2030" s="6" t="n">
        <x:v>8318</x:v>
      </x:c>
    </x:row>
    <x:row r="2031" ht="21" customHeight="1">
      <x:c r="A2031" s="1" t="str">
        <x:v>C0013687</x:v>
      </x:c>
      <x:c r="B2031" s="1" t="n">
        <x:v>4</x:v>
      </x:c>
      <x:c r="C2031" s="1" t="n">
        <x:v>64</x:v>
      </x:c>
      <x:c r="D2031" s="6" t="n">
        <x:v>8318</x:v>
      </x:c>
      <x:c r="E2031" s="6" t="n">
        <x:v>0</x:v>
      </x:c>
      <x:c r="F2031" s="6" t="n">
        <x:v>0</x:v>
      </x:c>
      <x:c r="G2031" s="6" t="n">
        <x:v>0</x:v>
      </x:c>
      <x:c r="H2031" s="6" t="n">
        <x:v>-8318</x:v>
      </x:c>
    </x:row>
    <x:row r="2032" ht="21" customHeight="1">
      <x:c r="A2032" s="1" t="str">
        <x:v>C0005023</x:v>
      </x:c>
      <x:c r="B2032" s="1" t="n">
        <x:v>4</x:v>
      </x:c>
      <x:c r="C2032" s="1" t="n">
        <x:v>64</x:v>
      </x:c>
      <x:c r="D2032" s="6" t="n">
        <x:v>8318</x:v>
      </x:c>
      <x:c r="E2032" s="6" t="n">
        <x:v>0</x:v>
      </x:c>
      <x:c r="F2032" s="6" t="n">
        <x:v>0</x:v>
      </x:c>
      <x:c r="G2032" s="6" t="n">
        <x:v>0</x:v>
      </x:c>
      <x:c r="H2032" s="6" t="n">
        <x:v>-8318</x:v>
      </x:c>
    </x:row>
    <x:row r="2033" ht="21" customHeight="1">
      <x:c r="A2033" s="1" t="str">
        <x:v>C0005077</x:v>
      </x:c>
      <x:c r="B2033" s="1" t="n">
        <x:v>4</x:v>
      </x:c>
      <x:c r="C2033" s="1" t="n">
        <x:v>64</x:v>
      </x:c>
      <x:c r="D2033" s="6" t="n">
        <x:v>8318</x:v>
      </x:c>
      <x:c r="E2033" s="6" t="n">
        <x:v>16636</x:v>
      </x:c>
      <x:c r="F2033" s="6" t="n">
        <x:v>0</x:v>
      </x:c>
      <x:c r="G2033" s="6" t="n">
        <x:v>16636</x:v>
      </x:c>
      <x:c r="H2033" s="6" t="n">
        <x:v>8318</x:v>
      </x:c>
    </x:row>
    <x:row r="2034" ht="21" customHeight="1">
      <x:c r="A2034" s="1" t="str">
        <x:v>C0014137</x:v>
      </x:c>
      <x:c r="B2034" s="1" t="n">
        <x:v>3</x:v>
      </x:c>
      <x:c r="C2034" s="1" t="n">
        <x:v>3</x:v>
      </x:c>
      <x:c r="D2034" s="6" t="n">
        <x:v>8304</x:v>
      </x:c>
      <x:c r="E2034" s="6" t="n">
        <x:v>16608</x:v>
      </x:c>
      <x:c r="F2034" s="6" t="n">
        <x:v>0</x:v>
      </x:c>
      <x:c r="G2034" s="6" t="n">
        <x:v>16608</x:v>
      </x:c>
      <x:c r="H2034" s="6" t="n">
        <x:v>8304</x:v>
      </x:c>
    </x:row>
    <x:row r="2035" ht="21" customHeight="1">
      <x:c r="A2035" s="1" t="str">
        <x:v>C0007322</x:v>
      </x:c>
      <x:c r="B2035" s="1" t="n">
        <x:v>3</x:v>
      </x:c>
      <x:c r="C2035" s="1" t="n">
        <x:v>3</x:v>
      </x:c>
      <x:c r="D2035" s="6" t="n">
        <x:v>8304</x:v>
      </x:c>
      <x:c r="E2035" s="6" t="n">
        <x:v>0</x:v>
      </x:c>
      <x:c r="F2035" s="6" t="n">
        <x:v>0</x:v>
      </x:c>
      <x:c r="G2035" s="6" t="n">
        <x:v>0</x:v>
      </x:c>
      <x:c r="H2035" s="6" t="n">
        <x:v>-8304</x:v>
      </x:c>
    </x:row>
    <x:row r="2036" ht="21" customHeight="1">
      <x:c r="A2036" s="1" t="str">
        <x:v>C0016871</x:v>
      </x:c>
      <x:c r="B2036" s="1" t="n">
        <x:v>3</x:v>
      </x:c>
      <x:c r="C2036" s="1" t="n">
        <x:v>3</x:v>
      </x:c>
      <x:c r="D2036" s="6" t="n">
        <x:v>8304</x:v>
      </x:c>
      <x:c r="E2036" s="6" t="n">
        <x:v>0</x:v>
      </x:c>
      <x:c r="F2036" s="6" t="n">
        <x:v>0</x:v>
      </x:c>
      <x:c r="G2036" s="6" t="n">
        <x:v>0</x:v>
      </x:c>
      <x:c r="H2036" s="6" t="n">
        <x:v>-8304</x:v>
      </x:c>
    </x:row>
    <x:row r="2037" ht="21" customHeight="1">
      <x:c r="A2037" s="1" t="str">
        <x:v>C0008783</x:v>
      </x:c>
      <x:c r="B2037" s="1" t="n">
        <x:v>3</x:v>
      </x:c>
      <x:c r="C2037" s="1" t="n">
        <x:v>3</x:v>
      </x:c>
      <x:c r="D2037" s="6" t="n">
        <x:v>0</x:v>
      </x:c>
      <x:c r="E2037" s="6" t="n">
        <x:v>8304</x:v>
      </x:c>
      <x:c r="F2037" s="6" t="n">
        <x:v>0</x:v>
      </x:c>
      <x:c r="G2037" s="6" t="n">
        <x:v>8304</x:v>
      </x:c>
      <x:c r="H2037" s="6" t="n">
        <x:v>8304</x:v>
      </x:c>
    </x:row>
    <x:row r="2038" ht="21" customHeight="1">
      <x:c r="A2038" s="1" t="str">
        <x:v>C0011522</x:v>
      </x:c>
      <x:c r="B2038" s="1" t="n">
        <x:v>3</x:v>
      </x:c>
      <x:c r="C2038" s="1" t="n">
        <x:v>3</x:v>
      </x:c>
      <x:c r="D2038" s="6" t="n">
        <x:v>8304</x:v>
      </x:c>
      <x:c r="E2038" s="6" t="n">
        <x:v>0</x:v>
      </x:c>
      <x:c r="F2038" s="6" t="n">
        <x:v>0</x:v>
      </x:c>
      <x:c r="G2038" s="6" t="n">
        <x:v>0</x:v>
      </x:c>
      <x:c r="H2038" s="6" t="n">
        <x:v>-8304</x:v>
      </x:c>
    </x:row>
    <x:row r="2039" ht="21" customHeight="1">
      <x:c r="A2039" s="1" t="str">
        <x:v>C0009839</x:v>
      </x:c>
      <x:c r="B2039" s="1" t="n">
        <x:v>3</x:v>
      </x:c>
      <x:c r="C2039" s="1" t="n">
        <x:v>3</x:v>
      </x:c>
      <x:c r="D2039" s="6" t="n">
        <x:v>8304</x:v>
      </x:c>
      <x:c r="E2039" s="6" t="n">
        <x:v>0</x:v>
      </x:c>
      <x:c r="F2039" s="6" t="n">
        <x:v>0</x:v>
      </x:c>
      <x:c r="G2039" s="6" t="n">
        <x:v>0</x:v>
      </x:c>
      <x:c r="H2039" s="6" t="n">
        <x:v>-8304</x:v>
      </x:c>
    </x:row>
    <x:row r="2040" ht="21" customHeight="1">
      <x:c r="A2040" s="1" t="str">
        <x:v>C0016992</x:v>
      </x:c>
      <x:c r="B2040" s="1" t="n">
        <x:v>10</x:v>
      </x:c>
      <x:c r="C2040" s="1" t="n">
        <x:v>100</x:v>
      </x:c>
      <x:c r="D2040" s="6" t="n">
        <x:v>0</x:v>
      </x:c>
      <x:c r="E2040" s="6" t="n">
        <x:v>8200</x:v>
      </x:c>
      <x:c r="F2040" s="6" t="n">
        <x:v>0</x:v>
      </x:c>
      <x:c r="G2040" s="6" t="n">
        <x:v>8200</x:v>
      </x:c>
      <x:c r="H2040" s="6" t="n">
        <x:v>8200</x:v>
      </x:c>
    </x:row>
    <x:row r="2041" ht="21" customHeight="1">
      <x:c r="A2041" s="1" t="str">
        <x:v>C0016305</x:v>
      </x:c>
      <x:c r="B2041" s="1" t="n">
        <x:v>10</x:v>
      </x:c>
      <x:c r="C2041" s="1" t="n">
        <x:v>100</x:v>
      </x:c>
      <x:c r="D2041" s="6" t="n">
        <x:v>8200</x:v>
      </x:c>
      <x:c r="E2041" s="6" t="n">
        <x:v>16400</x:v>
      </x:c>
      <x:c r="F2041" s="6" t="n">
        <x:v>0</x:v>
      </x:c>
      <x:c r="G2041" s="6" t="n">
        <x:v>16400</x:v>
      </x:c>
      <x:c r="H2041" s="6" t="n">
        <x:v>8200</x:v>
      </x:c>
    </x:row>
    <x:row r="2042" ht="21" customHeight="1">
      <x:c r="A2042" s="1" t="str">
        <x:v>C0004322</x:v>
      </x:c>
      <x:c r="B2042" s="1" t="n">
        <x:v>10</x:v>
      </x:c>
      <x:c r="C2042" s="1" t="n">
        <x:v>100</x:v>
      </x:c>
      <x:c r="D2042" s="6" t="n">
        <x:v>0</x:v>
      </x:c>
      <x:c r="E2042" s="6" t="n">
        <x:v>8200</x:v>
      </x:c>
      <x:c r="F2042" s="6" t="n">
        <x:v>0</x:v>
      </x:c>
      <x:c r="G2042" s="6" t="n">
        <x:v>8200</x:v>
      </x:c>
      <x:c r="H2042" s="6" t="n">
        <x:v>8200</x:v>
      </x:c>
    </x:row>
    <x:row r="2043" ht="21" customHeight="1">
      <x:c r="A2043" s="1" t="str">
        <x:v>C0006176</x:v>
      </x:c>
      <x:c r="B2043" s="1" t="n">
        <x:v>10</x:v>
      </x:c>
      <x:c r="C2043" s="1" t="n">
        <x:v>100</x:v>
      </x:c>
      <x:c r="D2043" s="6" t="n">
        <x:v>8200</x:v>
      </x:c>
      <x:c r="E2043" s="6" t="n">
        <x:v>0</x:v>
      </x:c>
      <x:c r="F2043" s="6" t="n">
        <x:v>0</x:v>
      </x:c>
      <x:c r="G2043" s="6" t="n">
        <x:v>0</x:v>
      </x:c>
      <x:c r="H2043" s="6" t="n">
        <x:v>-8200</x:v>
      </x:c>
    </x:row>
    <x:row r="2044" ht="21" customHeight="1">
      <x:c r="A2044" s="1" t="str">
        <x:v>C0000299</x:v>
      </x:c>
      <x:c r="B2044" s="1" t="n">
        <x:v>10</x:v>
      </x:c>
      <x:c r="C2044" s="1" t="n">
        <x:v>100</x:v>
      </x:c>
      <x:c r="D2044" s="6" t="n">
        <x:v>8200</x:v>
      </x:c>
      <x:c r="E2044" s="6" t="n">
        <x:v>0</x:v>
      </x:c>
      <x:c r="F2044" s="6" t="n">
        <x:v>0</x:v>
      </x:c>
      <x:c r="G2044" s="6" t="n">
        <x:v>0</x:v>
      </x:c>
      <x:c r="H2044" s="6" t="n">
        <x:v>-8200</x:v>
      </x:c>
    </x:row>
    <x:row r="2045" ht="21" customHeight="1">
      <x:c r="A2045" s="1" t="str">
        <x:v>C0015579</x:v>
      </x:c>
      <x:c r="B2045" s="1" t="n">
        <x:v>10</x:v>
      </x:c>
      <x:c r="C2045" s="1" t="n">
        <x:v>100</x:v>
      </x:c>
      <x:c r="D2045" s="6" t="n">
        <x:v>8200</x:v>
      </x:c>
      <x:c r="E2045" s="6" t="n">
        <x:v>0</x:v>
      </x:c>
      <x:c r="F2045" s="6" t="n">
        <x:v>0</x:v>
      </x:c>
      <x:c r="G2045" s="6" t="n">
        <x:v>0</x:v>
      </x:c>
      <x:c r="H2045" s="6" t="n">
        <x:v>-8200</x:v>
      </x:c>
    </x:row>
    <x:row r="2046" ht="21" customHeight="1">
      <x:c r="A2046" s="1" t="str">
        <x:v>C0016768</x:v>
      </x:c>
      <x:c r="B2046" s="1" t="n">
        <x:v>23</x:v>
      </x:c>
      <x:c r="C2046" s="1" t="n">
        <x:v>83</x:v>
      </x:c>
      <x:c r="D2046" s="6" t="n">
        <x:v>8108</x:v>
      </x:c>
      <x:c r="E2046" s="6" t="n">
        <x:v>16216</x:v>
      </x:c>
      <x:c r="F2046" s="6" t="n">
        <x:v>0</x:v>
      </x:c>
      <x:c r="G2046" s="6" t="n">
        <x:v>16216</x:v>
      </x:c>
      <x:c r="H2046" s="6" t="n">
        <x:v>8108</x:v>
      </x:c>
    </x:row>
    <x:row r="2047" ht="21" customHeight="1">
      <x:c r="A2047" s="1" t="str">
        <x:v>C0012914</x:v>
      </x:c>
      <x:c r="B2047" s="1" t="n">
        <x:v>23</x:v>
      </x:c>
      <x:c r="C2047" s="1" t="n">
        <x:v>83</x:v>
      </x:c>
      <x:c r="D2047" s="6" t="n">
        <x:v>8108</x:v>
      </x:c>
      <x:c r="E2047" s="6" t="n">
        <x:v>0</x:v>
      </x:c>
      <x:c r="F2047" s="6" t="n">
        <x:v>0</x:v>
      </x:c>
      <x:c r="G2047" s="6" t="n">
        <x:v>0</x:v>
      </x:c>
      <x:c r="H2047" s="6" t="n">
        <x:v>-8108</x:v>
      </x:c>
    </x:row>
    <x:row r="2048" ht="21" customHeight="1">
      <x:c r="A2048" s="1" t="str">
        <x:v>C0013945</x:v>
      </x:c>
      <x:c r="B2048" s="1" t="n">
        <x:v>23</x:v>
      </x:c>
      <x:c r="C2048" s="1" t="n">
        <x:v>83</x:v>
      </x:c>
      <x:c r="D2048" s="6" t="n">
        <x:v>8108</x:v>
      </x:c>
      <x:c r="E2048" s="6" t="n">
        <x:v>16216</x:v>
      </x:c>
      <x:c r="F2048" s="6" t="n">
        <x:v>0</x:v>
      </x:c>
      <x:c r="G2048" s="6" t="n">
        <x:v>16216</x:v>
      </x:c>
      <x:c r="H2048" s="6" t="n">
        <x:v>8108</x:v>
      </x:c>
    </x:row>
    <x:row r="2049" ht="21" customHeight="1">
      <x:c r="A2049" s="1" t="str">
        <x:v>C0014830</x:v>
      </x:c>
      <x:c r="B2049" s="1" t="n">
        <x:v>23</x:v>
      </x:c>
      <x:c r="C2049" s="1" t="n">
        <x:v>83</x:v>
      </x:c>
      <x:c r="D2049" s="6" t="n">
        <x:v>8108</x:v>
      </x:c>
      <x:c r="E2049" s="6" t="n">
        <x:v>16216</x:v>
      </x:c>
      <x:c r="F2049" s="6" t="n">
        <x:v>0</x:v>
      </x:c>
      <x:c r="G2049" s="6" t="n">
        <x:v>16216</x:v>
      </x:c>
      <x:c r="H2049" s="6" t="n">
        <x:v>8108</x:v>
      </x:c>
    </x:row>
    <x:row r="2050" ht="21" customHeight="1">
      <x:c r="A2050" s="1" t="str">
        <x:v>C0010491</x:v>
      </x:c>
      <x:c r="B2050" s="1" t="n">
        <x:v>23</x:v>
      </x:c>
      <x:c r="C2050" s="1" t="n">
        <x:v>83</x:v>
      </x:c>
      <x:c r="D2050" s="6" t="n">
        <x:v>8108</x:v>
      </x:c>
      <x:c r="E2050" s="6" t="n">
        <x:v>16216</x:v>
      </x:c>
      <x:c r="F2050" s="6" t="n">
        <x:v>0</x:v>
      </x:c>
      <x:c r="G2050" s="6" t="n">
        <x:v>16216</x:v>
      </x:c>
      <x:c r="H2050" s="6" t="n">
        <x:v>8108</x:v>
      </x:c>
    </x:row>
    <x:row r="2051" ht="21" customHeight="1">
      <x:c r="A2051" s="1" t="str">
        <x:v>C0000576</x:v>
      </x:c>
      <x:c r="B2051" s="1" t="n">
        <x:v>23</x:v>
      </x:c>
      <x:c r="C2051" s="1" t="n">
        <x:v>83</x:v>
      </x:c>
      <x:c r="D2051" s="6" t="n">
        <x:v>8108</x:v>
      </x:c>
      <x:c r="E2051" s="6" t="n">
        <x:v>16216</x:v>
      </x:c>
      <x:c r="F2051" s="6" t="n">
        <x:v>0</x:v>
      </x:c>
      <x:c r="G2051" s="6" t="n">
        <x:v>16216</x:v>
      </x:c>
      <x:c r="H2051" s="6" t="n">
        <x:v>8108</x:v>
      </x:c>
    </x:row>
    <x:row r="2052" ht="21" customHeight="1">
      <x:c r="A2052" s="1" t="str">
        <x:v>C0008335</x:v>
      </x:c>
      <x:c r="B2052" s="1" t="n">
        <x:v>23</x:v>
      </x:c>
      <x:c r="C2052" s="1" t="n">
        <x:v>83</x:v>
      </x:c>
      <x:c r="D2052" s="6" t="n">
        <x:v>8108</x:v>
      </x:c>
      <x:c r="E2052" s="6" t="n">
        <x:v>16216</x:v>
      </x:c>
      <x:c r="F2052" s="6" t="n">
        <x:v>0</x:v>
      </x:c>
      <x:c r="G2052" s="6" t="n">
        <x:v>16216</x:v>
      </x:c>
      <x:c r="H2052" s="6" t="n">
        <x:v>8108</x:v>
      </x:c>
    </x:row>
    <x:row r="2053" ht="21" customHeight="1">
      <x:c r="A2053" s="1" t="str">
        <x:v>C0007080</x:v>
      </x:c>
      <x:c r="B2053" s="1" t="n">
        <x:v>4</x:v>
      </x:c>
      <x:c r="C2053" s="1" t="n">
        <x:v>4</x:v>
      </x:c>
      <x:c r="D2053" s="6" t="n">
        <x:v>8085</x:v>
      </x:c>
      <x:c r="E2053" s="6" t="n">
        <x:v>16170</x:v>
      </x:c>
      <x:c r="F2053" s="6" t="n">
        <x:v>0</x:v>
      </x:c>
      <x:c r="G2053" s="6" t="n">
        <x:v>16170</x:v>
      </x:c>
      <x:c r="H2053" s="6" t="n">
        <x:v>8085</x:v>
      </x:c>
    </x:row>
    <x:row r="2054" ht="21" customHeight="1">
      <x:c r="A2054" s="1" t="str">
        <x:v>C0010124</x:v>
      </x:c>
      <x:c r="B2054" s="1" t="n">
        <x:v>4</x:v>
      </x:c>
      <x:c r="C2054" s="1" t="n">
        <x:v>4</x:v>
      </x:c>
      <x:c r="D2054" s="6" t="n">
        <x:v>8085</x:v>
      </x:c>
      <x:c r="E2054" s="6" t="n">
        <x:v>16170</x:v>
      </x:c>
      <x:c r="F2054" s="6" t="n">
        <x:v>0</x:v>
      </x:c>
      <x:c r="G2054" s="6" t="n">
        <x:v>16170</x:v>
      </x:c>
      <x:c r="H2054" s="6" t="n">
        <x:v>8085</x:v>
      </x:c>
    </x:row>
    <x:row r="2055" ht="21" customHeight="1">
      <x:c r="A2055" s="1" t="str">
        <x:v>C0003482</x:v>
      </x:c>
      <x:c r="B2055" s="1" t="n">
        <x:v>4</x:v>
      </x:c>
      <x:c r="C2055" s="1" t="n">
        <x:v>4</x:v>
      </x:c>
      <x:c r="D2055" s="6" t="n">
        <x:v>8085</x:v>
      </x:c>
      <x:c r="E2055" s="6" t="n">
        <x:v>16170</x:v>
      </x:c>
      <x:c r="F2055" s="6" t="n">
        <x:v>0</x:v>
      </x:c>
      <x:c r="G2055" s="6" t="n">
        <x:v>16170</x:v>
      </x:c>
      <x:c r="H2055" s="6" t="n">
        <x:v>8085</x:v>
      </x:c>
    </x:row>
    <x:row r="2056" ht="21" customHeight="1">
      <x:c r="A2056" s="1" t="str">
        <x:v>C0008380</x:v>
      </x:c>
      <x:c r="B2056" s="1" t="n">
        <x:v>4</x:v>
      </x:c>
      <x:c r="C2056" s="1" t="n">
        <x:v>4</x:v>
      </x:c>
      <x:c r="D2056" s="6" t="n">
        <x:v>8085</x:v>
      </x:c>
      <x:c r="E2056" s="6" t="n">
        <x:v>0</x:v>
      </x:c>
      <x:c r="F2056" s="6" t="n">
        <x:v>0</x:v>
      </x:c>
      <x:c r="G2056" s="6" t="n">
        <x:v>0</x:v>
      </x:c>
      <x:c r="H2056" s="6" t="n">
        <x:v>-8085</x:v>
      </x:c>
    </x:row>
    <x:row r="2057" ht="21" customHeight="1">
      <x:c r="A2057" s="1" t="str">
        <x:v>C0012774</x:v>
      </x:c>
      <x:c r="B2057" s="1" t="n">
        <x:v>4</x:v>
      </x:c>
      <x:c r="C2057" s="1" t="n">
        <x:v>4</x:v>
      </x:c>
      <x:c r="D2057" s="6" t="n">
        <x:v>8085</x:v>
      </x:c>
      <x:c r="E2057" s="6" t="n">
        <x:v>0</x:v>
      </x:c>
      <x:c r="F2057" s="6" t="n">
        <x:v>0</x:v>
      </x:c>
      <x:c r="G2057" s="6" t="n">
        <x:v>0</x:v>
      </x:c>
      <x:c r="H2057" s="6" t="n">
        <x:v>-8085</x:v>
      </x:c>
    </x:row>
    <x:row r="2058" ht="21" customHeight="1">
      <x:c r="A2058" s="1" t="str">
        <x:v>C0014845</x:v>
      </x:c>
      <x:c r="B2058" s="1" t="n">
        <x:v>1</x:v>
      </x:c>
      <x:c r="C2058" s="1" t="n">
        <x:v>91</x:v>
      </x:c>
      <x:c r="D2058" s="6" t="n">
        <x:v>8071</x:v>
      </x:c>
      <x:c r="E2058" s="6" t="n">
        <x:v>0</x:v>
      </x:c>
      <x:c r="F2058" s="6" t="n">
        <x:v>0</x:v>
      </x:c>
      <x:c r="G2058" s="6" t="n">
        <x:v>0</x:v>
      </x:c>
      <x:c r="H2058" s="6" t="n">
        <x:v>-8071</x:v>
      </x:c>
    </x:row>
    <x:row r="2059" ht="21" customHeight="1">
      <x:c r="A2059" s="1" t="str">
        <x:v>C0001905</x:v>
      </x:c>
      <x:c r="B2059" s="1" t="n">
        <x:v>1</x:v>
      </x:c>
      <x:c r="C2059" s="1" t="n">
        <x:v>91</x:v>
      </x:c>
      <x:c r="D2059" s="6" t="n">
        <x:v>8071</x:v>
      </x:c>
      <x:c r="E2059" s="6" t="n">
        <x:v>0</x:v>
      </x:c>
      <x:c r="F2059" s="6" t="n">
        <x:v>0</x:v>
      </x:c>
      <x:c r="G2059" s="6" t="n">
        <x:v>0</x:v>
      </x:c>
      <x:c r="H2059" s="6" t="n">
        <x:v>-8071</x:v>
      </x:c>
    </x:row>
    <x:row r="2060" ht="21" customHeight="1">
      <x:c r="A2060" s="1" t="str">
        <x:v>C0006227</x:v>
      </x:c>
      <x:c r="B2060" s="1" t="n">
        <x:v>1</x:v>
      </x:c>
      <x:c r="C2060" s="1" t="n">
        <x:v>91</x:v>
      </x:c>
      <x:c r="D2060" s="6" t="n">
        <x:v>8071</x:v>
      </x:c>
      <x:c r="E2060" s="6" t="n">
        <x:v>0</x:v>
      </x:c>
      <x:c r="F2060" s="6" t="n">
        <x:v>0</x:v>
      </x:c>
      <x:c r="G2060" s="6" t="n">
        <x:v>0</x:v>
      </x:c>
      <x:c r="H2060" s="6" t="n">
        <x:v>-8071</x:v>
      </x:c>
    </x:row>
    <x:row r="2061" ht="21" customHeight="1">
      <x:c r="A2061" s="1" t="str">
        <x:v>C0006409</x:v>
      </x:c>
      <x:c r="B2061" s="1" t="n">
        <x:v>1</x:v>
      </x:c>
      <x:c r="C2061" s="1" t="n">
        <x:v>91</x:v>
      </x:c>
      <x:c r="D2061" s="6" t="n">
        <x:v>8071</x:v>
      </x:c>
      <x:c r="E2061" s="6" t="n">
        <x:v>16142</x:v>
      </x:c>
      <x:c r="F2061" s="6" t="n">
        <x:v>0</x:v>
      </x:c>
      <x:c r="G2061" s="6" t="n">
        <x:v>16142</x:v>
      </x:c>
      <x:c r="H2061" s="6" t="n">
        <x:v>8071</x:v>
      </x:c>
    </x:row>
    <x:row r="2062" ht="21" customHeight="1">
      <x:c r="A2062" s="1" t="str">
        <x:v>C0010961</x:v>
      </x:c>
      <x:c r="B2062" s="1" t="n">
        <x:v>29</x:v>
      </x:c>
      <x:c r="C2062" s="1" t="n">
        <x:v>119</x:v>
      </x:c>
      <x:c r="D2062" s="6" t="n">
        <x:v>8063</x:v>
      </x:c>
      <x:c r="E2062" s="6" t="n">
        <x:v>0</x:v>
      </x:c>
      <x:c r="F2062" s="6" t="n">
        <x:v>0</x:v>
      </x:c>
      <x:c r="G2062" s="6" t="n">
        <x:v>0</x:v>
      </x:c>
      <x:c r="H2062" s="6" t="n">
        <x:v>-8063</x:v>
      </x:c>
    </x:row>
    <x:row r="2063" ht="21" customHeight="1">
      <x:c r="A2063" s="1" t="str">
        <x:v>C0016842</x:v>
      </x:c>
      <x:c r="B2063" s="1" t="n">
        <x:v>29</x:v>
      </x:c>
      <x:c r="C2063" s="1" t="n">
        <x:v>119</x:v>
      </x:c>
      <x:c r="D2063" s="6" t="n">
        <x:v>8063</x:v>
      </x:c>
      <x:c r="E2063" s="6" t="n">
        <x:v>16126</x:v>
      </x:c>
      <x:c r="F2063" s="6" t="n">
        <x:v>0</x:v>
      </x:c>
      <x:c r="G2063" s="6" t="n">
        <x:v>16126</x:v>
      </x:c>
      <x:c r="H2063" s="6" t="n">
        <x:v>8063</x:v>
      </x:c>
    </x:row>
    <x:row r="2064" ht="21" customHeight="1">
      <x:c r="A2064" s="1" t="str">
        <x:v>C0017815</x:v>
      </x:c>
      <x:c r="B2064" s="1" t="n">
        <x:v>29</x:v>
      </x:c>
      <x:c r="C2064" s="1" t="n">
        <x:v>119</x:v>
      </x:c>
      <x:c r="D2064" s="6" t="n">
        <x:v>8063</x:v>
      </x:c>
      <x:c r="E2064" s="6" t="n">
        <x:v>16126</x:v>
      </x:c>
      <x:c r="F2064" s="6" t="n">
        <x:v>0</x:v>
      </x:c>
      <x:c r="G2064" s="6" t="n">
        <x:v>16126</x:v>
      </x:c>
      <x:c r="H2064" s="6" t="n">
        <x:v>8063</x:v>
      </x:c>
    </x:row>
    <x:row r="2065" ht="21" customHeight="1">
      <x:c r="A2065" s="1" t="str">
        <x:v>C0011550</x:v>
      </x:c>
      <x:c r="B2065" s="1" t="n">
        <x:v>29</x:v>
      </x:c>
      <x:c r="C2065" s="1" t="n">
        <x:v>119</x:v>
      </x:c>
      <x:c r="D2065" s="6" t="n">
        <x:v>8063</x:v>
      </x:c>
      <x:c r="E2065" s="6" t="n">
        <x:v>0</x:v>
      </x:c>
      <x:c r="F2065" s="6" t="n">
        <x:v>0</x:v>
      </x:c>
      <x:c r="G2065" s="6" t="n">
        <x:v>0</x:v>
      </x:c>
      <x:c r="H2065" s="6" t="n">
        <x:v>-8063</x:v>
      </x:c>
    </x:row>
    <x:row r="2066" ht="21" customHeight="1">
      <x:c r="A2066" s="1" t="str">
        <x:v>C0002099</x:v>
      </x:c>
      <x:c r="B2066" s="1" t="n">
        <x:v>29</x:v>
      </x:c>
      <x:c r="C2066" s="1" t="n">
        <x:v>119</x:v>
      </x:c>
      <x:c r="D2066" s="6" t="n">
        <x:v>8063</x:v>
      </x:c>
      <x:c r="E2066" s="6" t="n">
        <x:v>16126</x:v>
      </x:c>
      <x:c r="F2066" s="6" t="n">
        <x:v>0</x:v>
      </x:c>
      <x:c r="G2066" s="6" t="n">
        <x:v>16126</x:v>
      </x:c>
      <x:c r="H2066" s="6" t="n">
        <x:v>8063</x:v>
      </x:c>
    </x:row>
    <x:row r="2067" ht="21" customHeight="1">
      <x:c r="A2067" s="1" t="str">
        <x:v>C0002068</x:v>
      </x:c>
      <x:c r="B2067" s="1" t="n">
        <x:v>29</x:v>
      </x:c>
      <x:c r="C2067" s="1" t="n">
        <x:v>119</x:v>
      </x:c>
      <x:c r="D2067" s="6" t="n">
        <x:v>8063</x:v>
      </x:c>
      <x:c r="E2067" s="6" t="n">
        <x:v>16126</x:v>
      </x:c>
      <x:c r="F2067" s="6" t="n">
        <x:v>0</x:v>
      </x:c>
      <x:c r="G2067" s="6" t="n">
        <x:v>16126</x:v>
      </x:c>
      <x:c r="H2067" s="6" t="n">
        <x:v>8063</x:v>
      </x:c>
    </x:row>
    <x:row r="2068" ht="21" customHeight="1">
      <x:c r="A2068" s="1" t="str">
        <x:v>C0002443</x:v>
      </x:c>
      <x:c r="B2068" s="1" t="n">
        <x:v>29</x:v>
      </x:c>
      <x:c r="C2068" s="1" t="n">
        <x:v>119</x:v>
      </x:c>
      <x:c r="D2068" s="6" t="n">
        <x:v>8063</x:v>
      </x:c>
      <x:c r="E2068" s="6" t="n">
        <x:v>16126</x:v>
      </x:c>
      <x:c r="F2068" s="6" t="n">
        <x:v>0</x:v>
      </x:c>
      <x:c r="G2068" s="6" t="n">
        <x:v>16126</x:v>
      </x:c>
      <x:c r="H2068" s="6" t="n">
        <x:v>8063</x:v>
      </x:c>
    </x:row>
    <x:row r="2069" ht="21" customHeight="1">
      <x:c r="A2069" s="1" t="str">
        <x:v>C0017756</x:v>
      </x:c>
      <x:c r="B2069" s="1" t="n">
        <x:v>11</x:v>
      </x:c>
      <x:c r="C2069" s="1" t="n">
        <x:v>11</x:v>
      </x:c>
      <x:c r="D2069" s="6" t="n">
        <x:v>8046</x:v>
      </x:c>
      <x:c r="E2069" s="6" t="n">
        <x:v>0</x:v>
      </x:c>
      <x:c r="F2069" s="6" t="n">
        <x:v>0</x:v>
      </x:c>
      <x:c r="G2069" s="6" t="n">
        <x:v>0</x:v>
      </x:c>
      <x:c r="H2069" s="6" t="n">
        <x:v>-8046</x:v>
      </x:c>
    </x:row>
    <x:row r="2070" ht="21" customHeight="1">
      <x:c r="A2070" s="1" t="str">
        <x:v>C0011815</x:v>
      </x:c>
      <x:c r="B2070" s="1" t="n">
        <x:v>11</x:v>
      </x:c>
      <x:c r="C2070" s="1" t="n">
        <x:v>11</x:v>
      </x:c>
      <x:c r="D2070" s="6" t="n">
        <x:v>8046</x:v>
      </x:c>
      <x:c r="E2070" s="6" t="n">
        <x:v>16092</x:v>
      </x:c>
      <x:c r="F2070" s="6" t="n">
        <x:v>0</x:v>
      </x:c>
      <x:c r="G2070" s="6" t="n">
        <x:v>16092</x:v>
      </x:c>
      <x:c r="H2070" s="6" t="n">
        <x:v>8046</x:v>
      </x:c>
    </x:row>
    <x:row r="2071" ht="21" customHeight="1">
      <x:c r="A2071" s="1" t="str">
        <x:v>C0009880</x:v>
      </x:c>
      <x:c r="B2071" s="1" t="n">
        <x:v>11</x:v>
      </x:c>
      <x:c r="C2071" s="1" t="n">
        <x:v>11</x:v>
      </x:c>
      <x:c r="D2071" s="6" t="n">
        <x:v>8046</x:v>
      </x:c>
      <x:c r="E2071" s="6" t="n">
        <x:v>16092</x:v>
      </x:c>
      <x:c r="F2071" s="6" t="n">
        <x:v>0</x:v>
      </x:c>
      <x:c r="G2071" s="6" t="n">
        <x:v>16092</x:v>
      </x:c>
      <x:c r="H2071" s="6" t="n">
        <x:v>8046</x:v>
      </x:c>
    </x:row>
    <x:row r="2072" ht="21" customHeight="1">
      <x:c r="A2072" s="1" t="str">
        <x:v>C0001185</x:v>
      </x:c>
      <x:c r="B2072" s="1" t="n">
        <x:v>11</x:v>
      </x:c>
      <x:c r="C2072" s="1" t="n">
        <x:v>11</x:v>
      </x:c>
      <x:c r="D2072" s="6" t="n">
        <x:v>8046</x:v>
      </x:c>
      <x:c r="E2072" s="6" t="n">
        <x:v>16092</x:v>
      </x:c>
      <x:c r="F2072" s="6" t="n">
        <x:v>0</x:v>
      </x:c>
      <x:c r="G2072" s="6" t="n">
        <x:v>16092</x:v>
      </x:c>
      <x:c r="H2072" s="6" t="n">
        <x:v>8046</x:v>
      </x:c>
    </x:row>
    <x:row r="2073" ht="21" customHeight="1">
      <x:c r="A2073" s="1" t="str">
        <x:v>C0002302</x:v>
      </x:c>
      <x:c r="B2073" s="1" t="n">
        <x:v>11</x:v>
      </x:c>
      <x:c r="C2073" s="1" t="n">
        <x:v>11</x:v>
      </x:c>
      <x:c r="D2073" s="6" t="n">
        <x:v>0</x:v>
      </x:c>
      <x:c r="E2073" s="6" t="n">
        <x:v>8046</x:v>
      </x:c>
      <x:c r="F2073" s="6" t="n">
        <x:v>0</x:v>
      </x:c>
      <x:c r="G2073" s="6" t="n">
        <x:v>8046</x:v>
      </x:c>
      <x:c r="H2073" s="6" t="n">
        <x:v>8046</x:v>
      </x:c>
    </x:row>
    <x:row r="2074" ht="21" customHeight="1">
      <x:c r="A2074" s="1" t="str">
        <x:v>C0004477</x:v>
      </x:c>
      <x:c r="B2074" s="1" t="n">
        <x:v>11</x:v>
      </x:c>
      <x:c r="C2074" s="1" t="n">
        <x:v>11</x:v>
      </x:c>
      <x:c r="D2074" s="6" t="n">
        <x:v>8046</x:v>
      </x:c>
      <x:c r="E2074" s="6" t="n">
        <x:v>16092</x:v>
      </x:c>
      <x:c r="F2074" s="6" t="n">
        <x:v>0</x:v>
      </x:c>
      <x:c r="G2074" s="6" t="n">
        <x:v>16092</x:v>
      </x:c>
      <x:c r="H2074" s="6" t="n">
        <x:v>8046</x:v>
      </x:c>
    </x:row>
    <x:row r="2075" ht="21" customHeight="1">
      <x:c r="A2075" s="1" t="str">
        <x:v>C0002772</x:v>
      </x:c>
      <x:c r="B2075" s="1" t="n">
        <x:v>1</x:v>
      </x:c>
      <x:c r="C2075" s="1" t="n">
        <x:v>31</x:v>
      </x:c>
      <x:c r="D2075" s="6" t="n">
        <x:v>7923</x:v>
      </x:c>
      <x:c r="E2075" s="6" t="n">
        <x:v>15846</x:v>
      </x:c>
      <x:c r="F2075" s="6" t="n">
        <x:v>0</x:v>
      </x:c>
      <x:c r="G2075" s="6" t="n">
        <x:v>15846</x:v>
      </x:c>
      <x:c r="H2075" s="6" t="n">
        <x:v>7923</x:v>
      </x:c>
    </x:row>
    <x:row r="2076" ht="21" customHeight="1">
      <x:c r="A2076" s="1" t="str">
        <x:v>C0013846</x:v>
      </x:c>
      <x:c r="B2076" s="1" t="n">
        <x:v>1</x:v>
      </x:c>
      <x:c r="C2076" s="1" t="n">
        <x:v>31</x:v>
      </x:c>
      <x:c r="D2076" s="6" t="n">
        <x:v>7923</x:v>
      </x:c>
      <x:c r="E2076" s="6" t="n">
        <x:v>15846</x:v>
      </x:c>
      <x:c r="F2076" s="6" t="n">
        <x:v>0</x:v>
      </x:c>
      <x:c r="G2076" s="6" t="n">
        <x:v>15846</x:v>
      </x:c>
      <x:c r="H2076" s="6" t="n">
        <x:v>7923</x:v>
      </x:c>
    </x:row>
    <x:row r="2077" ht="21" customHeight="1">
      <x:c r="A2077" s="1" t="str">
        <x:v>C0016808</x:v>
      </x:c>
      <x:c r="B2077" s="1" t="n">
        <x:v>1</x:v>
      </x:c>
      <x:c r="C2077" s="1" t="n">
        <x:v>31</x:v>
      </x:c>
      <x:c r="D2077" s="6" t="n">
        <x:v>7923</x:v>
      </x:c>
      <x:c r="E2077" s="6" t="n">
        <x:v>15846</x:v>
      </x:c>
      <x:c r="F2077" s="6" t="n">
        <x:v>0</x:v>
      </x:c>
      <x:c r="G2077" s="6" t="n">
        <x:v>15846</x:v>
      </x:c>
      <x:c r="H2077" s="6" t="n">
        <x:v>7923</x:v>
      </x:c>
    </x:row>
    <x:row r="2078" ht="21" customHeight="1">
      <x:c r="A2078" s="1" t="str">
        <x:v>C0001711</x:v>
      </x:c>
      <x:c r="B2078" s="1" t="n">
        <x:v>1</x:v>
      </x:c>
      <x:c r="C2078" s="1" t="n">
        <x:v>31</x:v>
      </x:c>
      <x:c r="D2078" s="6" t="n">
        <x:v>7923</x:v>
      </x:c>
      <x:c r="E2078" s="6" t="n">
        <x:v>15846</x:v>
      </x:c>
      <x:c r="F2078" s="6" t="n">
        <x:v>0</x:v>
      </x:c>
      <x:c r="G2078" s="6" t="n">
        <x:v>15846</x:v>
      </x:c>
      <x:c r="H2078" s="6" t="n">
        <x:v>7923</x:v>
      </x:c>
    </x:row>
    <x:row r="2079" ht="21" customHeight="1">
      <x:c r="A2079" s="1" t="str">
        <x:v>C0003437</x:v>
      </x:c>
      <x:c r="B2079" s="1" t="n">
        <x:v>1</x:v>
      </x:c>
      <x:c r="C2079" s="1" t="n">
        <x:v>31</x:v>
      </x:c>
      <x:c r="D2079" s="6" t="n">
        <x:v>7923</x:v>
      </x:c>
      <x:c r="E2079" s="6" t="n">
        <x:v>15846</x:v>
      </x:c>
      <x:c r="F2079" s="6" t="n">
        <x:v>0</x:v>
      </x:c>
      <x:c r="G2079" s="6" t="n">
        <x:v>15846</x:v>
      </x:c>
      <x:c r="H2079" s="6" t="n">
        <x:v>7923</x:v>
      </x:c>
    </x:row>
    <x:row r="2080" ht="21" customHeight="1">
      <x:c r="A2080" s="1" t="str">
        <x:v>C0004155</x:v>
      </x:c>
      <x:c r="B2080" s="1" t="n">
        <x:v>1</x:v>
      </x:c>
      <x:c r="C2080" s="1" t="n">
        <x:v>31</x:v>
      </x:c>
      <x:c r="D2080" s="6" t="n">
        <x:v>7923</x:v>
      </x:c>
      <x:c r="E2080" s="6" t="n">
        <x:v>15846</x:v>
      </x:c>
      <x:c r="F2080" s="6" t="n">
        <x:v>0</x:v>
      </x:c>
      <x:c r="G2080" s="6" t="n">
        <x:v>15846</x:v>
      </x:c>
      <x:c r="H2080" s="6" t="n">
        <x:v>7923</x:v>
      </x:c>
    </x:row>
    <x:row r="2081" ht="21" customHeight="1">
      <x:c r="A2081" s="1" t="str">
        <x:v>C0004265</x:v>
      </x:c>
      <x:c r="B2081" s="1" t="n">
        <x:v>1</x:v>
      </x:c>
      <x:c r="C2081" s="1" t="n">
        <x:v>31</x:v>
      </x:c>
      <x:c r="D2081" s="6" t="n">
        <x:v>7923</x:v>
      </x:c>
      <x:c r="E2081" s="6" t="n">
        <x:v>0</x:v>
      </x:c>
      <x:c r="F2081" s="6" t="n">
        <x:v>0</x:v>
      </x:c>
      <x:c r="G2081" s="6" t="n">
        <x:v>0</x:v>
      </x:c>
      <x:c r="H2081" s="6" t="n">
        <x:v>-7923</x:v>
      </x:c>
    </x:row>
    <x:row r="2082" ht="21" customHeight="1">
      <x:c r="A2082" s="1" t="str">
        <x:v>C0016946</x:v>
      </x:c>
      <x:c r="B2082" s="1" t="n">
        <x:v>1</x:v>
      </x:c>
      <x:c r="C2082" s="1" t="n">
        <x:v>31</x:v>
      </x:c>
      <x:c r="D2082" s="6" t="n">
        <x:v>7923</x:v>
      </x:c>
      <x:c r="E2082" s="6" t="n">
        <x:v>15846</x:v>
      </x:c>
      <x:c r="F2082" s="6" t="n">
        <x:v>0</x:v>
      </x:c>
      <x:c r="G2082" s="6" t="n">
        <x:v>15846</x:v>
      </x:c>
      <x:c r="H2082" s="6" t="n">
        <x:v>7923</x:v>
      </x:c>
    </x:row>
    <x:row r="2083" ht="21" customHeight="1">
      <x:c r="A2083" s="1" t="str">
        <x:v>C0006667</x:v>
      </x:c>
      <x:c r="B2083" s="1" t="n">
        <x:v>1</x:v>
      </x:c>
      <x:c r="C2083" s="1" t="n">
        <x:v>31</x:v>
      </x:c>
      <x:c r="D2083" s="6" t="n">
        <x:v>7923</x:v>
      </x:c>
      <x:c r="E2083" s="6" t="n">
        <x:v>0</x:v>
      </x:c>
      <x:c r="F2083" s="6" t="n">
        <x:v>0</x:v>
      </x:c>
      <x:c r="G2083" s="6" t="n">
        <x:v>0</x:v>
      </x:c>
      <x:c r="H2083" s="6" t="n">
        <x:v>-7923</x:v>
      </x:c>
    </x:row>
    <x:row r="2084" ht="21" customHeight="1">
      <x:c r="A2084" s="1" t="str">
        <x:v>C0013663</x:v>
      </x:c>
      <x:c r="B2084" s="1" t="n">
        <x:v>1</x:v>
      </x:c>
      <x:c r="C2084" s="1" t="n">
        <x:v>31</x:v>
      </x:c>
      <x:c r="D2084" s="6" t="n">
        <x:v>7923</x:v>
      </x:c>
      <x:c r="E2084" s="6" t="n">
        <x:v>15846</x:v>
      </x:c>
      <x:c r="F2084" s="6" t="n">
        <x:v>0</x:v>
      </x:c>
      <x:c r="G2084" s="6" t="n">
        <x:v>15846</x:v>
      </x:c>
      <x:c r="H2084" s="6" t="n">
        <x:v>7923</x:v>
      </x:c>
    </x:row>
    <x:row r="2085" ht="21" customHeight="1">
      <x:c r="A2085" s="1" t="str">
        <x:v>C0014522</x:v>
      </x:c>
      <x:c r="B2085" s="1" t="n">
        <x:v>24</x:v>
      </x:c>
      <x:c r="C2085" s="1" t="n">
        <x:v>24</x:v>
      </x:c>
      <x:c r="D2085" s="6" t="n">
        <x:v>7878</x:v>
      </x:c>
      <x:c r="E2085" s="6" t="n">
        <x:v>0</x:v>
      </x:c>
      <x:c r="F2085" s="6" t="n">
        <x:v>0</x:v>
      </x:c>
      <x:c r="G2085" s="6" t="n">
        <x:v>0</x:v>
      </x:c>
      <x:c r="H2085" s="6" t="n">
        <x:v>-7878</x:v>
      </x:c>
    </x:row>
    <x:row r="2086" ht="21" customHeight="1">
      <x:c r="A2086" s="1" t="str">
        <x:v>C0009095</x:v>
      </x:c>
      <x:c r="B2086" s="1" t="n">
        <x:v>24</x:v>
      </x:c>
      <x:c r="C2086" s="1" t="n">
        <x:v>24</x:v>
      </x:c>
      <x:c r="D2086" s="6" t="n">
        <x:v>7878</x:v>
      </x:c>
      <x:c r="E2086" s="6" t="n">
        <x:v>0</x:v>
      </x:c>
      <x:c r="F2086" s="6" t="n">
        <x:v>0</x:v>
      </x:c>
      <x:c r="G2086" s="6" t="n">
        <x:v>0</x:v>
      </x:c>
      <x:c r="H2086" s="6" t="n">
        <x:v>-7878</x:v>
      </x:c>
    </x:row>
    <x:row r="2087" ht="21" customHeight="1">
      <x:c r="A2087" s="1" t="str">
        <x:v>C0002898</x:v>
      </x:c>
      <x:c r="B2087" s="1" t="n">
        <x:v>24</x:v>
      </x:c>
      <x:c r="C2087" s="1" t="n">
        <x:v>24</x:v>
      </x:c>
      <x:c r="D2087" s="6" t="n">
        <x:v>7878</x:v>
      </x:c>
      <x:c r="E2087" s="6" t="n">
        <x:v>0</x:v>
      </x:c>
      <x:c r="F2087" s="6" t="n">
        <x:v>0</x:v>
      </x:c>
      <x:c r="G2087" s="6" t="n">
        <x:v>0</x:v>
      </x:c>
      <x:c r="H2087" s="6" t="n">
        <x:v>-7878</x:v>
      </x:c>
    </x:row>
    <x:row r="2088" ht="21" customHeight="1">
      <x:c r="A2088" s="1" t="str">
        <x:v>C0002285</x:v>
      </x:c>
      <x:c r="B2088" s="1" t="n">
        <x:v>24</x:v>
      </x:c>
      <x:c r="C2088" s="1" t="n">
        <x:v>24</x:v>
      </x:c>
      <x:c r="D2088" s="6" t="n">
        <x:v>7878</x:v>
      </x:c>
      <x:c r="E2088" s="6" t="n">
        <x:v>15756</x:v>
      </x:c>
      <x:c r="F2088" s="6" t="n">
        <x:v>0</x:v>
      </x:c>
      <x:c r="G2088" s="6" t="n">
        <x:v>15756</x:v>
      </x:c>
      <x:c r="H2088" s="6" t="n">
        <x:v>7878</x:v>
      </x:c>
    </x:row>
    <x:row r="2089" ht="21" customHeight="1">
      <x:c r="A2089" s="1" t="str">
        <x:v>C0001360</x:v>
      </x:c>
      <x:c r="B2089" s="1" t="n">
        <x:v>24</x:v>
      </x:c>
      <x:c r="C2089" s="1" t="n">
        <x:v>24</x:v>
      </x:c>
      <x:c r="D2089" s="6" t="n">
        <x:v>7878</x:v>
      </x:c>
      <x:c r="E2089" s="6" t="n">
        <x:v>0</x:v>
      </x:c>
      <x:c r="F2089" s="6" t="n">
        <x:v>0</x:v>
      </x:c>
      <x:c r="G2089" s="6" t="n">
        <x:v>0</x:v>
      </x:c>
      <x:c r="H2089" s="6" t="n">
        <x:v>-7878</x:v>
      </x:c>
    </x:row>
    <x:row r="2090" ht="21" customHeight="1">
      <x:c r="A2090" s="1" t="str">
        <x:v>C0011473</x:v>
      </x:c>
      <x:c r="B2090" s="1" t="n">
        <x:v>24</x:v>
      </x:c>
      <x:c r="C2090" s="1" t="n">
        <x:v>24</x:v>
      </x:c>
      <x:c r="D2090" s="6" t="n">
        <x:v>7878</x:v>
      </x:c>
      <x:c r="E2090" s="6" t="n">
        <x:v>0</x:v>
      </x:c>
      <x:c r="F2090" s="6" t="n">
        <x:v>0</x:v>
      </x:c>
      <x:c r="G2090" s="6" t="n">
        <x:v>0</x:v>
      </x:c>
      <x:c r="H2090" s="6" t="n">
        <x:v>-7878</x:v>
      </x:c>
    </x:row>
    <x:row r="2091" ht="21" customHeight="1">
      <x:c r="A2091" s="1" t="str">
        <x:v>C0005538</x:v>
      </x:c>
      <x:c r="B2091" s="1" t="n">
        <x:v>24</x:v>
      </x:c>
      <x:c r="C2091" s="1" t="n">
        <x:v>24</x:v>
      </x:c>
      <x:c r="D2091" s="6" t="n">
        <x:v>7878</x:v>
      </x:c>
      <x:c r="E2091" s="6" t="n">
        <x:v>0</x:v>
      </x:c>
      <x:c r="F2091" s="6" t="n">
        <x:v>0</x:v>
      </x:c>
      <x:c r="G2091" s="6" t="n">
        <x:v>0</x:v>
      </x:c>
      <x:c r="H2091" s="6" t="n">
        <x:v>-7878</x:v>
      </x:c>
    </x:row>
    <x:row r="2092" ht="21" customHeight="1">
      <x:c r="A2092" s="1" t="str">
        <x:v>C0000072</x:v>
      </x:c>
      <x:c r="B2092" s="1" t="n">
        <x:v>24</x:v>
      </x:c>
      <x:c r="C2092" s="1" t="n">
        <x:v>24</x:v>
      </x:c>
      <x:c r="D2092" s="6" t="n">
        <x:v>7878</x:v>
      </x:c>
      <x:c r="E2092" s="6" t="n">
        <x:v>0</x:v>
      </x:c>
      <x:c r="F2092" s="6" t="n">
        <x:v>0</x:v>
      </x:c>
      <x:c r="G2092" s="6" t="n">
        <x:v>0</x:v>
      </x:c>
      <x:c r="H2092" s="6" t="n">
        <x:v>-7878</x:v>
      </x:c>
    </x:row>
    <x:row r="2093" ht="21" customHeight="1">
      <x:c r="A2093" s="1" t="str">
        <x:v>C0012202</x:v>
      </x:c>
      <x:c r="B2093" s="1" t="n">
        <x:v>25</x:v>
      </x:c>
      <x:c r="C2093" s="1" t="n">
        <x:v>85</x:v>
      </x:c>
      <x:c r="D2093" s="6" t="n">
        <x:v>7793</x:v>
      </x:c>
      <x:c r="E2093" s="6" t="n">
        <x:v>15586</x:v>
      </x:c>
      <x:c r="F2093" s="6" t="n">
        <x:v>0</x:v>
      </x:c>
      <x:c r="G2093" s="6" t="n">
        <x:v>15586</x:v>
      </x:c>
      <x:c r="H2093" s="6" t="n">
        <x:v>7793</x:v>
      </x:c>
    </x:row>
    <x:row r="2094" ht="21" customHeight="1">
      <x:c r="A2094" s="1" t="str">
        <x:v>C0016405</x:v>
      </x:c>
      <x:c r="B2094" s="1" t="n">
        <x:v>25</x:v>
      </x:c>
      <x:c r="C2094" s="1" t="n">
        <x:v>85</x:v>
      </x:c>
      <x:c r="D2094" s="6" t="n">
        <x:v>0</x:v>
      </x:c>
      <x:c r="E2094" s="6" t="n">
        <x:v>7793</x:v>
      </x:c>
      <x:c r="F2094" s="6" t="n">
        <x:v>0</x:v>
      </x:c>
      <x:c r="G2094" s="6" t="n">
        <x:v>7793</x:v>
      </x:c>
      <x:c r="H2094" s="6" t="n">
        <x:v>7793</x:v>
      </x:c>
    </x:row>
    <x:row r="2095" ht="21" customHeight="1">
      <x:c r="A2095" s="1" t="str">
        <x:v>C0001140</x:v>
      </x:c>
      <x:c r="B2095" s="1" t="n">
        <x:v>25</x:v>
      </x:c>
      <x:c r="C2095" s="1" t="n">
        <x:v>85</x:v>
      </x:c>
      <x:c r="D2095" s="6" t="n">
        <x:v>7793</x:v>
      </x:c>
      <x:c r="E2095" s="6" t="n">
        <x:v>15586</x:v>
      </x:c>
      <x:c r="F2095" s="6" t="n">
        <x:v>0</x:v>
      </x:c>
      <x:c r="G2095" s="6" t="n">
        <x:v>15586</x:v>
      </x:c>
      <x:c r="H2095" s="6" t="n">
        <x:v>7793</x:v>
      </x:c>
    </x:row>
    <x:row r="2096" ht="21" customHeight="1">
      <x:c r="A2096" s="1" t="str">
        <x:v>C0004392</x:v>
      </x:c>
      <x:c r="B2096" s="1" t="n">
        <x:v>25</x:v>
      </x:c>
      <x:c r="C2096" s="1" t="n">
        <x:v>85</x:v>
      </x:c>
      <x:c r="D2096" s="6" t="n">
        <x:v>7793</x:v>
      </x:c>
      <x:c r="E2096" s="6" t="n">
        <x:v>0</x:v>
      </x:c>
      <x:c r="F2096" s="6" t="n">
        <x:v>0</x:v>
      </x:c>
      <x:c r="G2096" s="6" t="n">
        <x:v>0</x:v>
      </x:c>
      <x:c r="H2096" s="6" t="n">
        <x:v>-7793</x:v>
      </x:c>
    </x:row>
    <x:row r="2097" ht="21" customHeight="1">
      <x:c r="A2097" s="1" t="str">
        <x:v>C0008835</x:v>
      </x:c>
      <x:c r="B2097" s="1" t="n">
        <x:v>13</x:v>
      </x:c>
      <x:c r="C2097" s="1" t="n">
        <x:v>43</x:v>
      </x:c>
      <x:c r="D2097" s="6" t="n">
        <x:v>7782</x:v>
      </x:c>
      <x:c r="E2097" s="6" t="n">
        <x:v>0</x:v>
      </x:c>
      <x:c r="F2097" s="6" t="n">
        <x:v>0</x:v>
      </x:c>
      <x:c r="G2097" s="6" t="n">
        <x:v>0</x:v>
      </x:c>
      <x:c r="H2097" s="6" t="n">
        <x:v>-7782</x:v>
      </x:c>
    </x:row>
    <x:row r="2098" ht="21" customHeight="1">
      <x:c r="A2098" s="1" t="str">
        <x:v>C0002670</x:v>
      </x:c>
      <x:c r="B2098" s="1" t="n">
        <x:v>13</x:v>
      </x:c>
      <x:c r="C2098" s="1" t="n">
        <x:v>43</x:v>
      </x:c>
      <x:c r="D2098" s="6" t="n">
        <x:v>7782</x:v>
      </x:c>
      <x:c r="E2098" s="6" t="n">
        <x:v>0</x:v>
      </x:c>
      <x:c r="F2098" s="6" t="n">
        <x:v>0</x:v>
      </x:c>
      <x:c r="G2098" s="6" t="n">
        <x:v>0</x:v>
      </x:c>
      <x:c r="H2098" s="6" t="n">
        <x:v>-7782</x:v>
      </x:c>
    </x:row>
    <x:row r="2099" ht="21" customHeight="1">
      <x:c r="A2099" s="1" t="str">
        <x:v>C0002587</x:v>
      </x:c>
      <x:c r="B2099" s="1" t="n">
        <x:v>13</x:v>
      </x:c>
      <x:c r="C2099" s="1" t="n">
        <x:v>43</x:v>
      </x:c>
      <x:c r="D2099" s="6" t="n">
        <x:v>7782</x:v>
      </x:c>
      <x:c r="E2099" s="6" t="n">
        <x:v>0</x:v>
      </x:c>
      <x:c r="F2099" s="6" t="n">
        <x:v>0</x:v>
      </x:c>
      <x:c r="G2099" s="6" t="n">
        <x:v>0</x:v>
      </x:c>
      <x:c r="H2099" s="6" t="n">
        <x:v>-7782</x:v>
      </x:c>
    </x:row>
    <x:row r="2100" ht="21" customHeight="1">
      <x:c r="A2100" s="1" t="str">
        <x:v>C0003737</x:v>
      </x:c>
      <x:c r="B2100" s="1" t="n">
        <x:v>13</x:v>
      </x:c>
      <x:c r="C2100" s="1" t="n">
        <x:v>43</x:v>
      </x:c>
      <x:c r="D2100" s="6" t="n">
        <x:v>7782</x:v>
      </x:c>
      <x:c r="E2100" s="6" t="n">
        <x:v>15564</x:v>
      </x:c>
      <x:c r="F2100" s="6" t="n">
        <x:v>0</x:v>
      </x:c>
      <x:c r="G2100" s="6" t="n">
        <x:v>15564</x:v>
      </x:c>
      <x:c r="H2100" s="6" t="n">
        <x:v>7782</x:v>
      </x:c>
    </x:row>
    <x:row r="2101" ht="21" customHeight="1">
      <x:c r="A2101" s="1" t="str">
        <x:v>C0003888</x:v>
      </x:c>
      <x:c r="B2101" s="1" t="n">
        <x:v>13</x:v>
      </x:c>
      <x:c r="C2101" s="1" t="n">
        <x:v>43</x:v>
      </x:c>
      <x:c r="D2101" s="6" t="n">
        <x:v>7782</x:v>
      </x:c>
      <x:c r="E2101" s="6" t="n">
        <x:v>15564</x:v>
      </x:c>
      <x:c r="F2101" s="6" t="n">
        <x:v>0</x:v>
      </x:c>
      <x:c r="G2101" s="6" t="n">
        <x:v>15564</x:v>
      </x:c>
      <x:c r="H2101" s="6" t="n">
        <x:v>7782</x:v>
      </x:c>
    </x:row>
    <x:row r="2102" ht="21" customHeight="1">
      <x:c r="A2102" s="1" t="str">
        <x:v>C0003361</x:v>
      </x:c>
      <x:c r="B2102" s="1" t="n">
        <x:v>13</x:v>
      </x:c>
      <x:c r="C2102" s="1" t="n">
        <x:v>43</x:v>
      </x:c>
      <x:c r="D2102" s="6" t="n">
        <x:v>0</x:v>
      </x:c>
      <x:c r="E2102" s="6" t="n">
        <x:v>7782</x:v>
      </x:c>
      <x:c r="F2102" s="6" t="n">
        <x:v>0</x:v>
      </x:c>
      <x:c r="G2102" s="6" t="n">
        <x:v>7782</x:v>
      </x:c>
      <x:c r="H2102" s="6" t="n">
        <x:v>7782</x:v>
      </x:c>
    </x:row>
    <x:row r="2103" ht="21" customHeight="1">
      <x:c r="A2103" s="1" t="str">
        <x:v>C0011460</x:v>
      </x:c>
      <x:c r="B2103" s="1" t="n">
        <x:v>18</x:v>
      </x:c>
      <x:c r="C2103" s="1" t="n">
        <x:v>108</x:v>
      </x:c>
      <x:c r="D2103" s="6" t="n">
        <x:v>7756</x:v>
      </x:c>
      <x:c r="E2103" s="6" t="n">
        <x:v>0</x:v>
      </x:c>
      <x:c r="F2103" s="6" t="n">
        <x:v>0</x:v>
      </x:c>
      <x:c r="G2103" s="6" t="n">
        <x:v>0</x:v>
      </x:c>
      <x:c r="H2103" s="6" t="n">
        <x:v>-7756</x:v>
      </x:c>
    </x:row>
    <x:row r="2104" ht="21" customHeight="1">
      <x:c r="A2104" s="1" t="str">
        <x:v>C0016669</x:v>
      </x:c>
      <x:c r="B2104" s="1" t="n">
        <x:v>19</x:v>
      </x:c>
      <x:c r="C2104" s="1" t="n">
        <x:v>49</x:v>
      </x:c>
      <x:c r="D2104" s="6" t="n">
        <x:v>7730</x:v>
      </x:c>
      <x:c r="E2104" s="6" t="n">
        <x:v>15460</x:v>
      </x:c>
      <x:c r="F2104" s="6" t="n">
        <x:v>0</x:v>
      </x:c>
      <x:c r="G2104" s="6" t="n">
        <x:v>15460</x:v>
      </x:c>
      <x:c r="H2104" s="6" t="n">
        <x:v>7730</x:v>
      </x:c>
    </x:row>
    <x:row r="2105" ht="21" customHeight="1">
      <x:c r="A2105" s="1" t="str">
        <x:v>C0007714</x:v>
      </x:c>
      <x:c r="B2105" s="1" t="n">
        <x:v>19</x:v>
      </x:c>
      <x:c r="C2105" s="1" t="n">
        <x:v>49</x:v>
      </x:c>
      <x:c r="D2105" s="6" t="n">
        <x:v>0</x:v>
      </x:c>
      <x:c r="E2105" s="6" t="n">
        <x:v>7730</x:v>
      </x:c>
      <x:c r="F2105" s="6" t="n">
        <x:v>0</x:v>
      </x:c>
      <x:c r="G2105" s="6" t="n">
        <x:v>7730</x:v>
      </x:c>
      <x:c r="H2105" s="6" t="n">
        <x:v>7730</x:v>
      </x:c>
    </x:row>
    <x:row r="2106" ht="21" customHeight="1">
      <x:c r="A2106" s="1" t="str">
        <x:v>C0015964</x:v>
      </x:c>
      <x:c r="B2106" s="1" t="n">
        <x:v>19</x:v>
      </x:c>
      <x:c r="C2106" s="1" t="n">
        <x:v>49</x:v>
      </x:c>
      <x:c r="D2106" s="6" t="n">
        <x:v>7730</x:v>
      </x:c>
      <x:c r="E2106" s="6" t="n">
        <x:v>0</x:v>
      </x:c>
      <x:c r="F2106" s="6" t="n">
        <x:v>0</x:v>
      </x:c>
      <x:c r="G2106" s="6" t="n">
        <x:v>0</x:v>
      </x:c>
      <x:c r="H2106" s="6" t="n">
        <x:v>-7730</x:v>
      </x:c>
    </x:row>
    <x:row r="2107" ht="21" customHeight="1">
      <x:c r="A2107" s="1" t="str">
        <x:v>C0000460</x:v>
      </x:c>
      <x:c r="B2107" s="1" t="n">
        <x:v>19</x:v>
      </x:c>
      <x:c r="C2107" s="1" t="n">
        <x:v>49</x:v>
      </x:c>
      <x:c r="D2107" s="6" t="n">
        <x:v>7730</x:v>
      </x:c>
      <x:c r="E2107" s="6" t="n">
        <x:v>15460</x:v>
      </x:c>
      <x:c r="F2107" s="6" t="n">
        <x:v>0</x:v>
      </x:c>
      <x:c r="G2107" s="6" t="n">
        <x:v>15460</x:v>
      </x:c>
      <x:c r="H2107" s="6" t="n">
        <x:v>7730</x:v>
      </x:c>
    </x:row>
    <x:row r="2108" ht="21" customHeight="1">
      <x:c r="A2108" s="1" t="str">
        <x:v>C0015329</x:v>
      </x:c>
      <x:c r="B2108" s="1" t="n">
        <x:v>19</x:v>
      </x:c>
      <x:c r="C2108" s="1" t="n">
        <x:v>49</x:v>
      </x:c>
      <x:c r="D2108" s="6" t="n">
        <x:v>7730</x:v>
      </x:c>
      <x:c r="E2108" s="6" t="n">
        <x:v>0</x:v>
      </x:c>
      <x:c r="F2108" s="6" t="n">
        <x:v>0</x:v>
      </x:c>
      <x:c r="G2108" s="6" t="n">
        <x:v>0</x:v>
      </x:c>
      <x:c r="H2108" s="6" t="n">
        <x:v>-7730</x:v>
      </x:c>
    </x:row>
    <x:row r="2109" ht="21" customHeight="1">
      <x:c r="A2109" s="1" t="str">
        <x:v>C0009751</x:v>
      </x:c>
      <x:c r="B2109" s="1" t="n">
        <x:v>19</x:v>
      </x:c>
      <x:c r="C2109" s="1" t="n">
        <x:v>49</x:v>
      </x:c>
      <x:c r="D2109" s="6" t="n">
        <x:v>7730</x:v>
      </x:c>
      <x:c r="E2109" s="6" t="n">
        <x:v>15460</x:v>
      </x:c>
      <x:c r="F2109" s="6" t="n">
        <x:v>0</x:v>
      </x:c>
      <x:c r="G2109" s="6" t="n">
        <x:v>15460</x:v>
      </x:c>
      <x:c r="H2109" s="6" t="n">
        <x:v>7730</x:v>
      </x:c>
    </x:row>
    <x:row r="2110" ht="21" customHeight="1">
      <x:c r="A2110" s="1" t="str">
        <x:v>C0005865</x:v>
      </x:c>
      <x:c r="B2110" s="1" t="n">
        <x:v>19</x:v>
      </x:c>
      <x:c r="C2110" s="1" t="n">
        <x:v>49</x:v>
      </x:c>
      <x:c r="D2110" s="6" t="n">
        <x:v>7730</x:v>
      </x:c>
      <x:c r="E2110" s="6" t="n">
        <x:v>0</x:v>
      </x:c>
      <x:c r="F2110" s="6" t="n">
        <x:v>0</x:v>
      </x:c>
      <x:c r="G2110" s="6" t="n">
        <x:v>0</x:v>
      </x:c>
      <x:c r="H2110" s="6" t="n">
        <x:v>-7730</x:v>
      </x:c>
    </x:row>
    <x:row r="2111" ht="21" customHeight="1">
      <x:c r="A2111" s="1" t="str">
        <x:v>C0014998</x:v>
      </x:c>
      <x:c r="B2111" s="1" t="n">
        <x:v>19</x:v>
      </x:c>
      <x:c r="C2111" s="1" t="n">
        <x:v>49</x:v>
      </x:c>
      <x:c r="D2111" s="6" t="n">
        <x:v>7730</x:v>
      </x:c>
      <x:c r="E2111" s="6" t="n">
        <x:v>15460</x:v>
      </x:c>
      <x:c r="F2111" s="6" t="n">
        <x:v>0</x:v>
      </x:c>
      <x:c r="G2111" s="6" t="n">
        <x:v>15460</x:v>
      </x:c>
      <x:c r="H2111" s="6" t="n">
        <x:v>7730</x:v>
      </x:c>
    </x:row>
    <x:row r="2112" ht="21" customHeight="1">
      <x:c r="A2112" s="1" t="str">
        <x:v>C0012330</x:v>
      </x:c>
      <x:c r="B2112" s="1" t="n">
        <x:v>17</x:v>
      </x:c>
      <x:c r="C2112" s="1" t="n">
        <x:v>107</x:v>
      </x:c>
      <x:c r="D2112" s="6" t="n">
        <x:v>7708</x:v>
      </x:c>
      <x:c r="E2112" s="6" t="n">
        <x:v>0</x:v>
      </x:c>
      <x:c r="F2112" s="6" t="n">
        <x:v>0</x:v>
      </x:c>
      <x:c r="G2112" s="6" t="n">
        <x:v>0</x:v>
      </x:c>
      <x:c r="H2112" s="6" t="n">
        <x:v>-7708</x:v>
      </x:c>
    </x:row>
    <x:row r="2113" ht="21" customHeight="1">
      <x:c r="A2113" s="1" t="str">
        <x:v>C0016346</x:v>
      </x:c>
      <x:c r="B2113" s="1" t="n">
        <x:v>17</x:v>
      </x:c>
      <x:c r="C2113" s="1" t="n">
        <x:v>107</x:v>
      </x:c>
      <x:c r="D2113" s="6" t="n">
        <x:v>7708</x:v>
      </x:c>
      <x:c r="E2113" s="6" t="n">
        <x:v>15416</x:v>
      </x:c>
      <x:c r="F2113" s="6" t="n">
        <x:v>0</x:v>
      </x:c>
      <x:c r="G2113" s="6" t="n">
        <x:v>15416</x:v>
      </x:c>
      <x:c r="H2113" s="6" t="n">
        <x:v>7708</x:v>
      </x:c>
    </x:row>
    <x:row r="2114" ht="21" customHeight="1">
      <x:c r="A2114" s="1" t="str">
        <x:v>C0008125</x:v>
      </x:c>
      <x:c r="B2114" s="1" t="n">
        <x:v>17</x:v>
      </x:c>
      <x:c r="C2114" s="1" t="n">
        <x:v>107</x:v>
      </x:c>
      <x:c r="D2114" s="6" t="n">
        <x:v>7708</x:v>
      </x:c>
      <x:c r="E2114" s="6" t="n">
        <x:v>15416</x:v>
      </x:c>
      <x:c r="F2114" s="6" t="n">
        <x:v>0</x:v>
      </x:c>
      <x:c r="G2114" s="6" t="n">
        <x:v>15416</x:v>
      </x:c>
      <x:c r="H2114" s="6" t="n">
        <x:v>7708</x:v>
      </x:c>
    </x:row>
    <x:row r="2115" ht="21" customHeight="1">
      <x:c r="A2115" s="1" t="str">
        <x:v>C0004344</x:v>
      </x:c>
      <x:c r="B2115" s="1" t="n">
        <x:v>17</x:v>
      </x:c>
      <x:c r="C2115" s="1" t="n">
        <x:v>107</x:v>
      </x:c>
      <x:c r="D2115" s="6" t="n">
        <x:v>7708</x:v>
      </x:c>
      <x:c r="E2115" s="6" t="n">
        <x:v>0</x:v>
      </x:c>
      <x:c r="F2115" s="6" t="n">
        <x:v>0</x:v>
      </x:c>
      <x:c r="G2115" s="6" t="n">
        <x:v>0</x:v>
      </x:c>
      <x:c r="H2115" s="6" t="n">
        <x:v>-7708</x:v>
      </x:c>
    </x:row>
    <x:row r="2116" ht="21" customHeight="1">
      <x:c r="A2116" s="1" t="str">
        <x:v>C0012411</x:v>
      </x:c>
      <x:c r="B2116" s="1" t="n">
        <x:v>28</x:v>
      </x:c>
      <x:c r="C2116" s="1" t="n">
        <x:v>118</x:v>
      </x:c>
      <x:c r="D2116" s="6" t="n">
        <x:v>7580</x:v>
      </x:c>
      <x:c r="E2116" s="6" t="n">
        <x:v>15160</x:v>
      </x:c>
      <x:c r="F2116" s="6" t="n">
        <x:v>0</x:v>
      </x:c>
      <x:c r="G2116" s="6" t="n">
        <x:v>15160</x:v>
      </x:c>
      <x:c r="H2116" s="6" t="n">
        <x:v>7580</x:v>
      </x:c>
    </x:row>
    <x:row r="2117" ht="21" customHeight="1">
      <x:c r="A2117" s="1" t="str">
        <x:v>C0004739</x:v>
      </x:c>
      <x:c r="B2117" s="1" t="n">
        <x:v>28</x:v>
      </x:c>
      <x:c r="C2117" s="1" t="n">
        <x:v>118</x:v>
      </x:c>
      <x:c r="D2117" s="6" t="n">
        <x:v>7580</x:v>
      </x:c>
      <x:c r="E2117" s="6" t="n">
        <x:v>15160</x:v>
      </x:c>
      <x:c r="F2117" s="6" t="n">
        <x:v>0</x:v>
      </x:c>
      <x:c r="G2117" s="6" t="n">
        <x:v>15160</x:v>
      </x:c>
      <x:c r="H2117" s="6" t="n">
        <x:v>7580</x:v>
      </x:c>
    </x:row>
    <x:row r="2118" ht="21" customHeight="1">
      <x:c r="A2118" s="1" t="str">
        <x:v>C0017581</x:v>
      </x:c>
      <x:c r="B2118" s="1" t="n">
        <x:v>28</x:v>
      </x:c>
      <x:c r="C2118" s="1" t="n">
        <x:v>118</x:v>
      </x:c>
      <x:c r="D2118" s="6" t="n">
        <x:v>7580</x:v>
      </x:c>
      <x:c r="E2118" s="6" t="n">
        <x:v>15160</x:v>
      </x:c>
      <x:c r="F2118" s="6" t="n">
        <x:v>0</x:v>
      </x:c>
      <x:c r="G2118" s="6" t="n">
        <x:v>15160</x:v>
      </x:c>
      <x:c r="H2118" s="6" t="n">
        <x:v>7580</x:v>
      </x:c>
    </x:row>
    <x:row r="2119" ht="21" customHeight="1">
      <x:c r="A2119" s="1" t="str">
        <x:v>C0009746</x:v>
      </x:c>
      <x:c r="B2119" s="1" t="n">
        <x:v>28</x:v>
      </x:c>
      <x:c r="C2119" s="1" t="n">
        <x:v>118</x:v>
      </x:c>
      <x:c r="D2119" s="6" t="n">
        <x:v>7580</x:v>
      </x:c>
      <x:c r="E2119" s="6" t="n">
        <x:v>15160</x:v>
      </x:c>
      <x:c r="F2119" s="6" t="n">
        <x:v>0</x:v>
      </x:c>
      <x:c r="G2119" s="6" t="n">
        <x:v>15160</x:v>
      </x:c>
      <x:c r="H2119" s="6" t="n">
        <x:v>7580</x:v>
      </x:c>
    </x:row>
    <x:row r="2120" ht="21" customHeight="1">
      <x:c r="A2120" s="1" t="str">
        <x:v>C0006803</x:v>
      </x:c>
      <x:c r="B2120" s="1" t="n">
        <x:v>28</x:v>
      </x:c>
      <x:c r="C2120" s="1" t="n">
        <x:v>118</x:v>
      </x:c>
      <x:c r="D2120" s="6" t="n">
        <x:v>7580</x:v>
      </x:c>
      <x:c r="E2120" s="6" t="n">
        <x:v>15160</x:v>
      </x:c>
      <x:c r="F2120" s="6" t="n">
        <x:v>0</x:v>
      </x:c>
      <x:c r="G2120" s="6" t="n">
        <x:v>15160</x:v>
      </x:c>
      <x:c r="H2120" s="6" t="n">
        <x:v>7580</x:v>
      </x:c>
    </x:row>
    <x:row r="2121" ht="21" customHeight="1">
      <x:c r="A2121" s="1" t="str">
        <x:v>C0008625</x:v>
      </x:c>
      <x:c r="B2121" s="1" t="n">
        <x:v>28</x:v>
      </x:c>
      <x:c r="C2121" s="1" t="n">
        <x:v>118</x:v>
      </x:c>
      <x:c r="D2121" s="6" t="n">
        <x:v>7580</x:v>
      </x:c>
      <x:c r="E2121" s="6" t="n">
        <x:v>15160</x:v>
      </x:c>
      <x:c r="F2121" s="6" t="n">
        <x:v>0</x:v>
      </x:c>
      <x:c r="G2121" s="6" t="n">
        <x:v>15160</x:v>
      </x:c>
      <x:c r="H2121" s="6" t="n">
        <x:v>7580</x:v>
      </x:c>
    </x:row>
    <x:row r="2122" ht="21" customHeight="1">
      <x:c r="A2122" s="1" t="str">
        <x:v>C0008197</x:v>
      </x:c>
      <x:c r="B2122" s="1" t="n">
        <x:v>28</x:v>
      </x:c>
      <x:c r="C2122" s="1" t="n">
        <x:v>118</x:v>
      </x:c>
      <x:c r="D2122" s="6" t="n">
        <x:v>7580</x:v>
      </x:c>
      <x:c r="E2122" s="6" t="n">
        <x:v>15160</x:v>
      </x:c>
      <x:c r="F2122" s="6" t="n">
        <x:v>0</x:v>
      </x:c>
      <x:c r="G2122" s="6" t="n">
        <x:v>15160</x:v>
      </x:c>
      <x:c r="H2122" s="6" t="n">
        <x:v>7580</x:v>
      </x:c>
    </x:row>
    <x:row r="2123" ht="21" customHeight="1">
      <x:c r="A2123" s="1" t="str">
        <x:v>C0011963</x:v>
      </x:c>
      <x:c r="B2123" s="1" t="n">
        <x:v>28</x:v>
      </x:c>
      <x:c r="C2123" s="1" t="n">
        <x:v>118</x:v>
      </x:c>
      <x:c r="D2123" s="6" t="n">
        <x:v>7580</x:v>
      </x:c>
      <x:c r="E2123" s="6" t="n">
        <x:v>0</x:v>
      </x:c>
      <x:c r="F2123" s="6" t="n">
        <x:v>0</x:v>
      </x:c>
      <x:c r="G2123" s="6" t="n">
        <x:v>0</x:v>
      </x:c>
      <x:c r="H2123" s="6" t="n">
        <x:v>-7580</x:v>
      </x:c>
    </x:row>
    <x:row r="2124" ht="21" customHeight="1">
      <x:c r="A2124" s="1" t="str">
        <x:v>C0004104</x:v>
      </x:c>
      <x:c r="B2124" s="1" t="n">
        <x:v>28</x:v>
      </x:c>
      <x:c r="C2124" s="1" t="n">
        <x:v>118</x:v>
      </x:c>
      <x:c r="D2124" s="6" t="n">
        <x:v>7580</x:v>
      </x:c>
      <x:c r="E2124" s="6" t="n">
        <x:v>0</x:v>
      </x:c>
      <x:c r="F2124" s="6" t="n">
        <x:v>0</x:v>
      </x:c>
      <x:c r="G2124" s="6" t="n">
        <x:v>0</x:v>
      </x:c>
      <x:c r="H2124" s="6" t="n">
        <x:v>-7580</x:v>
      </x:c>
    </x:row>
    <x:row r="2125" ht="21" customHeight="1">
      <x:c r="A2125" s="1" t="str">
        <x:v>C0014724</x:v>
      </x:c>
      <x:c r="B2125" s="1" t="n">
        <x:v>28</x:v>
      </x:c>
      <x:c r="C2125" s="1" t="n">
        <x:v>118</x:v>
      </x:c>
      <x:c r="D2125" s="6" t="n">
        <x:v>7580</x:v>
      </x:c>
      <x:c r="E2125" s="6" t="n">
        <x:v>0</x:v>
      </x:c>
      <x:c r="F2125" s="6" t="n">
        <x:v>0</x:v>
      </x:c>
      <x:c r="G2125" s="6" t="n">
        <x:v>0</x:v>
      </x:c>
      <x:c r="H2125" s="6" t="n">
        <x:v>-7580</x:v>
      </x:c>
    </x:row>
    <x:row r="2126" ht="21" customHeight="1">
      <x:c r="A2126" s="1" t="str">
        <x:v>C0001590</x:v>
      </x:c>
      <x:c r="B2126" s="1" t="n">
        <x:v>28</x:v>
      </x:c>
      <x:c r="C2126" s="1" t="n">
        <x:v>118</x:v>
      </x:c>
      <x:c r="D2126" s="6" t="n">
        <x:v>7580</x:v>
      </x:c>
      <x:c r="E2126" s="6" t="n">
        <x:v>0</x:v>
      </x:c>
      <x:c r="F2126" s="6" t="n">
        <x:v>0</x:v>
      </x:c>
      <x:c r="G2126" s="6" t="n">
        <x:v>0</x:v>
      </x:c>
      <x:c r="H2126" s="6" t="n">
        <x:v>-7580</x:v>
      </x:c>
    </x:row>
    <x:row r="2127" ht="21" customHeight="1">
      <x:c r="A2127" s="1" t="str">
        <x:v>C0010079</x:v>
      </x:c>
      <x:c r="B2127" s="1" t="n">
        <x:v>28</x:v>
      </x:c>
      <x:c r="C2127" s="1" t="n">
        <x:v>118</x:v>
      </x:c>
      <x:c r="D2127" s="6" t="n">
        <x:v>7580</x:v>
      </x:c>
      <x:c r="E2127" s="6" t="n">
        <x:v>15160</x:v>
      </x:c>
      <x:c r="F2127" s="6" t="n">
        <x:v>0</x:v>
      </x:c>
      <x:c r="G2127" s="6" t="n">
        <x:v>15160</x:v>
      </x:c>
      <x:c r="H2127" s="6" t="n">
        <x:v>7580</x:v>
      </x:c>
    </x:row>
    <x:row r="2128" ht="21" customHeight="1">
      <x:c r="A2128" s="1" t="str">
        <x:v>C0003883</x:v>
      </x:c>
      <x:c r="B2128" s="1" t="n">
        <x:v>5</x:v>
      </x:c>
      <x:c r="C2128" s="1" t="n">
        <x:v>95</x:v>
      </x:c>
      <x:c r="D2128" s="6" t="n">
        <x:v>0</x:v>
      </x:c>
      <x:c r="E2128" s="6" t="n">
        <x:v>7520</x:v>
      </x:c>
      <x:c r="F2128" s="6" t="n">
        <x:v>0</x:v>
      </x:c>
      <x:c r="G2128" s="6" t="n">
        <x:v>7520</x:v>
      </x:c>
      <x:c r="H2128" s="6" t="n">
        <x:v>7520</x:v>
      </x:c>
    </x:row>
    <x:row r="2129" ht="21" customHeight="1">
      <x:c r="A2129" s="1" t="str">
        <x:v>C0012011</x:v>
      </x:c>
      <x:c r="B2129" s="1" t="n">
        <x:v>5</x:v>
      </x:c>
      <x:c r="C2129" s="1" t="n">
        <x:v>95</x:v>
      </x:c>
      <x:c r="D2129" s="6" t="n">
        <x:v>7520</x:v>
      </x:c>
      <x:c r="E2129" s="6" t="n">
        <x:v>15040</x:v>
      </x:c>
      <x:c r="F2129" s="6" t="n">
        <x:v>0</x:v>
      </x:c>
      <x:c r="G2129" s="6" t="n">
        <x:v>15040</x:v>
      </x:c>
      <x:c r="H2129" s="6" t="n">
        <x:v>7520</x:v>
      </x:c>
    </x:row>
    <x:row r="2130" ht="21" customHeight="1">
      <x:c r="A2130" s="1" t="str">
        <x:v>C0003537</x:v>
      </x:c>
      <x:c r="B2130" s="1" t="n">
        <x:v>5</x:v>
      </x:c>
      <x:c r="C2130" s="1" t="n">
        <x:v>95</x:v>
      </x:c>
      <x:c r="D2130" s="6" t="n">
        <x:v>7520</x:v>
      </x:c>
      <x:c r="E2130" s="6" t="n">
        <x:v>15040</x:v>
      </x:c>
      <x:c r="F2130" s="6" t="n">
        <x:v>0</x:v>
      </x:c>
      <x:c r="G2130" s="6" t="n">
        <x:v>15040</x:v>
      </x:c>
      <x:c r="H2130" s="6" t="n">
        <x:v>7520</x:v>
      </x:c>
    </x:row>
    <x:row r="2131" ht="21" customHeight="1">
      <x:c r="A2131" s="1" t="str">
        <x:v>C0017039</x:v>
      </x:c>
      <x:c r="B2131" s="1" t="n">
        <x:v>5</x:v>
      </x:c>
      <x:c r="C2131" s="1" t="n">
        <x:v>95</x:v>
      </x:c>
      <x:c r="D2131" s="6" t="n">
        <x:v>7520</x:v>
      </x:c>
      <x:c r="E2131" s="6" t="n">
        <x:v>0</x:v>
      </x:c>
      <x:c r="F2131" s="6" t="n">
        <x:v>0</x:v>
      </x:c>
      <x:c r="G2131" s="6" t="n">
        <x:v>0</x:v>
      </x:c>
      <x:c r="H2131" s="6" t="n">
        <x:v>-7520</x:v>
      </x:c>
    </x:row>
    <x:row r="2132" ht="21" customHeight="1">
      <x:c r="A2132" s="1" t="str">
        <x:v>C0016448</x:v>
      </x:c>
      <x:c r="B2132" s="1" t="n">
        <x:v>5</x:v>
      </x:c>
      <x:c r="C2132" s="1" t="n">
        <x:v>95</x:v>
      </x:c>
      <x:c r="D2132" s="6" t="n">
        <x:v>7520</x:v>
      </x:c>
      <x:c r="E2132" s="6" t="n">
        <x:v>15040</x:v>
      </x:c>
      <x:c r="F2132" s="6" t="n">
        <x:v>0</x:v>
      </x:c>
      <x:c r="G2132" s="6" t="n">
        <x:v>15040</x:v>
      </x:c>
      <x:c r="H2132" s="6" t="n">
        <x:v>7520</x:v>
      </x:c>
    </x:row>
    <x:row r="2133" ht="21" customHeight="1">
      <x:c r="A2133" s="1" t="str">
        <x:v>C0007871</x:v>
      </x:c>
      <x:c r="B2133" s="1" t="n">
        <x:v>5</x:v>
      </x:c>
      <x:c r="C2133" s="1" t="n">
        <x:v>95</x:v>
      </x:c>
      <x:c r="D2133" s="6" t="n">
        <x:v>7520</x:v>
      </x:c>
      <x:c r="E2133" s="6" t="n">
        <x:v>0</x:v>
      </x:c>
      <x:c r="F2133" s="6" t="n">
        <x:v>0</x:v>
      </x:c>
      <x:c r="G2133" s="6" t="n">
        <x:v>0</x:v>
      </x:c>
      <x:c r="H2133" s="6" t="n">
        <x:v>-7520</x:v>
      </x:c>
    </x:row>
    <x:row r="2134" ht="21" customHeight="1">
      <x:c r="A2134" s="1" t="str">
        <x:v>C0010714</x:v>
      </x:c>
      <x:c r="B2134" s="1" t="n">
        <x:v>5</x:v>
      </x:c>
      <x:c r="C2134" s="1" t="n">
        <x:v>95</x:v>
      </x:c>
      <x:c r="D2134" s="6" t="n">
        <x:v>7520</x:v>
      </x:c>
      <x:c r="E2134" s="6" t="n">
        <x:v>15040</x:v>
      </x:c>
      <x:c r="F2134" s="6" t="n">
        <x:v>0</x:v>
      </x:c>
      <x:c r="G2134" s="6" t="n">
        <x:v>15040</x:v>
      </x:c>
      <x:c r="H2134" s="6" t="n">
        <x:v>7520</x:v>
      </x:c>
    </x:row>
    <x:row r="2135" ht="21" customHeight="1">
      <x:c r="A2135" s="1" t="str">
        <x:v>C0008186</x:v>
      </x:c>
      <x:c r="B2135" s="1" t="n">
        <x:v>5</x:v>
      </x:c>
      <x:c r="C2135" s="1" t="n">
        <x:v>95</x:v>
      </x:c>
      <x:c r="D2135" s="6" t="n">
        <x:v>7520</x:v>
      </x:c>
      <x:c r="E2135" s="6" t="n">
        <x:v>0</x:v>
      </x:c>
      <x:c r="F2135" s="6" t="n">
        <x:v>0</x:v>
      </x:c>
      <x:c r="G2135" s="6" t="n">
        <x:v>0</x:v>
      </x:c>
      <x:c r="H2135" s="6" t="n">
        <x:v>-7520</x:v>
      </x:c>
    </x:row>
    <x:row r="2136" ht="21" customHeight="1">
      <x:c r="A2136" s="1" t="str">
        <x:v>C0011694</x:v>
      </x:c>
      <x:c r="B2136" s="1" t="n">
        <x:v>24</x:v>
      </x:c>
      <x:c r="C2136" s="1" t="n">
        <x:v>114</x:v>
      </x:c>
      <x:c r="D2136" s="6" t="n">
        <x:v>7513</x:v>
      </x:c>
      <x:c r="E2136" s="6" t="n">
        <x:v>15026</x:v>
      </x:c>
      <x:c r="F2136" s="6" t="n">
        <x:v>0</x:v>
      </x:c>
      <x:c r="G2136" s="6" t="n">
        <x:v>15026</x:v>
      </x:c>
      <x:c r="H2136" s="6" t="n">
        <x:v>7513</x:v>
      </x:c>
    </x:row>
    <x:row r="2137" ht="21" customHeight="1">
      <x:c r="A2137" s="1" t="str">
        <x:v>C0008667</x:v>
      </x:c>
      <x:c r="B2137" s="1" t="n">
        <x:v>24</x:v>
      </x:c>
      <x:c r="C2137" s="1" t="n">
        <x:v>114</x:v>
      </x:c>
      <x:c r="D2137" s="6" t="n">
        <x:v>7513</x:v>
      </x:c>
      <x:c r="E2137" s="6" t="n">
        <x:v>15026</x:v>
      </x:c>
      <x:c r="F2137" s="6" t="n">
        <x:v>0</x:v>
      </x:c>
      <x:c r="G2137" s="6" t="n">
        <x:v>15026</x:v>
      </x:c>
      <x:c r="H2137" s="6" t="n">
        <x:v>7513</x:v>
      </x:c>
    </x:row>
    <x:row r="2138" ht="21" customHeight="1">
      <x:c r="A2138" s="1" t="str">
        <x:v>C0001148</x:v>
      </x:c>
      <x:c r="B2138" s="1" t="n">
        <x:v>24</x:v>
      </x:c>
      <x:c r="C2138" s="1" t="n">
        <x:v>114</x:v>
      </x:c>
      <x:c r="D2138" s="6" t="n">
        <x:v>7513</x:v>
      </x:c>
      <x:c r="E2138" s="6" t="n">
        <x:v>0</x:v>
      </x:c>
      <x:c r="F2138" s="6" t="n">
        <x:v>0</x:v>
      </x:c>
      <x:c r="G2138" s="6" t="n">
        <x:v>0</x:v>
      </x:c>
      <x:c r="H2138" s="6" t="n">
        <x:v>-7513</x:v>
      </x:c>
    </x:row>
    <x:row r="2139" ht="21" customHeight="1">
      <x:c r="A2139" s="1" t="str">
        <x:v>C0015464</x:v>
      </x:c>
      <x:c r="B2139" s="1" t="n">
        <x:v>24</x:v>
      </x:c>
      <x:c r="C2139" s="1" t="n">
        <x:v>114</x:v>
      </x:c>
      <x:c r="D2139" s="6" t="n">
        <x:v>7513</x:v>
      </x:c>
      <x:c r="E2139" s="6" t="n">
        <x:v>0</x:v>
      </x:c>
      <x:c r="F2139" s="6" t="n">
        <x:v>0</x:v>
      </x:c>
      <x:c r="G2139" s="6" t="n">
        <x:v>0</x:v>
      </x:c>
      <x:c r="H2139" s="6" t="n">
        <x:v>-7513</x:v>
      </x:c>
    </x:row>
    <x:row r="2140" ht="21" customHeight="1">
      <x:c r="A2140" s="1" t="str">
        <x:v>C0016604</x:v>
      </x:c>
      <x:c r="B2140" s="1" t="n">
        <x:v>24</x:v>
      </x:c>
      <x:c r="C2140" s="1" t="n">
        <x:v>114</x:v>
      </x:c>
      <x:c r="D2140" s="6" t="n">
        <x:v>7513</x:v>
      </x:c>
      <x:c r="E2140" s="6" t="n">
        <x:v>15026</x:v>
      </x:c>
      <x:c r="F2140" s="6" t="n">
        <x:v>0</x:v>
      </x:c>
      <x:c r="G2140" s="6" t="n">
        <x:v>15026</x:v>
      </x:c>
      <x:c r="H2140" s="6" t="n">
        <x:v>7513</x:v>
      </x:c>
    </x:row>
    <x:row r="2141" ht="21" customHeight="1">
      <x:c r="A2141" s="1" t="str">
        <x:v>C0014167</x:v>
      </x:c>
      <x:c r="B2141" s="1" t="n">
        <x:v>24</x:v>
      </x:c>
      <x:c r="C2141" s="1" t="n">
        <x:v>114</x:v>
      </x:c>
      <x:c r="D2141" s="6" t="n">
        <x:v>7513</x:v>
      </x:c>
      <x:c r="E2141" s="6" t="n">
        <x:v>0</x:v>
      </x:c>
      <x:c r="F2141" s="6" t="n">
        <x:v>0</x:v>
      </x:c>
      <x:c r="G2141" s="6" t="n">
        <x:v>0</x:v>
      </x:c>
      <x:c r="H2141" s="6" t="n">
        <x:v>-7513</x:v>
      </x:c>
    </x:row>
    <x:row r="2142" ht="21" customHeight="1">
      <x:c r="A2142" s="1" t="str">
        <x:v>C0003280</x:v>
      </x:c>
      <x:c r="B2142" s="1" t="n">
        <x:v>24</x:v>
      </x:c>
      <x:c r="C2142" s="1" t="n">
        <x:v>114</x:v>
      </x:c>
      <x:c r="D2142" s="6" t="n">
        <x:v>7513</x:v>
      </x:c>
      <x:c r="E2142" s="6" t="n">
        <x:v>15026</x:v>
      </x:c>
      <x:c r="F2142" s="6" t="n">
        <x:v>0</x:v>
      </x:c>
      <x:c r="G2142" s="6" t="n">
        <x:v>15026</x:v>
      </x:c>
      <x:c r="H2142" s="6" t="n">
        <x:v>7513</x:v>
      </x:c>
    </x:row>
    <x:row r="2143" ht="21" customHeight="1">
      <x:c r="A2143" s="1" t="str">
        <x:v>C0002355</x:v>
      </x:c>
      <x:c r="B2143" s="1" t="n">
        <x:v>22</x:v>
      </x:c>
      <x:c r="C2143" s="1" t="n">
        <x:v>52</x:v>
      </x:c>
      <x:c r="D2143" s="6" t="n">
        <x:v>7498</x:v>
      </x:c>
      <x:c r="E2143" s="6" t="n">
        <x:v>14996</x:v>
      </x:c>
      <x:c r="F2143" s="6" t="n">
        <x:v>0</x:v>
      </x:c>
      <x:c r="G2143" s="6" t="n">
        <x:v>14996</x:v>
      </x:c>
      <x:c r="H2143" s="6" t="n">
        <x:v>7498</x:v>
      </x:c>
    </x:row>
    <x:row r="2144" ht="21" customHeight="1">
      <x:c r="A2144" s="1" t="str">
        <x:v>C0006222</x:v>
      </x:c>
      <x:c r="B2144" s="1" t="n">
        <x:v>22</x:v>
      </x:c>
      <x:c r="C2144" s="1" t="n">
        <x:v>52</x:v>
      </x:c>
      <x:c r="D2144" s="6" t="n">
        <x:v>7498</x:v>
      </x:c>
      <x:c r="E2144" s="6" t="n">
        <x:v>14996</x:v>
      </x:c>
      <x:c r="F2144" s="6" t="n">
        <x:v>0</x:v>
      </x:c>
      <x:c r="G2144" s="6" t="n">
        <x:v>14996</x:v>
      </x:c>
      <x:c r="H2144" s="6" t="n">
        <x:v>7498</x:v>
      </x:c>
    </x:row>
    <x:row r="2145" ht="21" customHeight="1">
      <x:c r="A2145" s="1" t="str">
        <x:v>C0015897</x:v>
      </x:c>
      <x:c r="B2145" s="1" t="n">
        <x:v>22</x:v>
      </x:c>
      <x:c r="C2145" s="1" t="n">
        <x:v>52</x:v>
      </x:c>
      <x:c r="D2145" s="6" t="n">
        <x:v>0</x:v>
      </x:c>
      <x:c r="E2145" s="6" t="n">
        <x:v>7498</x:v>
      </x:c>
      <x:c r="F2145" s="6" t="n">
        <x:v>0</x:v>
      </x:c>
      <x:c r="G2145" s="6" t="n">
        <x:v>7498</x:v>
      </x:c>
      <x:c r="H2145" s="6" t="n">
        <x:v>7498</x:v>
      </x:c>
    </x:row>
    <x:row r="2146" ht="21" customHeight="1">
      <x:c r="A2146" s="1" t="str">
        <x:v>C0001328</x:v>
      </x:c>
      <x:c r="B2146" s="1" t="n">
        <x:v>22</x:v>
      </x:c>
      <x:c r="C2146" s="1" t="n">
        <x:v>52</x:v>
      </x:c>
      <x:c r="D2146" s="6" t="n">
        <x:v>7498</x:v>
      </x:c>
      <x:c r="E2146" s="6" t="n">
        <x:v>0</x:v>
      </x:c>
      <x:c r="F2146" s="6" t="n">
        <x:v>0</x:v>
      </x:c>
      <x:c r="G2146" s="6" t="n">
        <x:v>0</x:v>
      </x:c>
      <x:c r="H2146" s="6" t="n">
        <x:v>-7498</x:v>
      </x:c>
    </x:row>
    <x:row r="2147" ht="21" customHeight="1">
      <x:c r="A2147" s="1" t="str">
        <x:v>C0013875</x:v>
      </x:c>
      <x:c r="B2147" s="1" t="n">
        <x:v>22</x:v>
      </x:c>
      <x:c r="C2147" s="1" t="n">
        <x:v>52</x:v>
      </x:c>
      <x:c r="D2147" s="6" t="n">
        <x:v>7498</x:v>
      </x:c>
      <x:c r="E2147" s="6" t="n">
        <x:v>0</x:v>
      </x:c>
      <x:c r="F2147" s="6" t="n">
        <x:v>0</x:v>
      </x:c>
      <x:c r="G2147" s="6" t="n">
        <x:v>0</x:v>
      </x:c>
      <x:c r="H2147" s="6" t="n">
        <x:v>-7498</x:v>
      </x:c>
    </x:row>
    <x:row r="2148" ht="21" customHeight="1">
      <x:c r="A2148" s="1" t="str">
        <x:v>C0002648</x:v>
      </x:c>
      <x:c r="B2148" s="1" t="n">
        <x:v>22</x:v>
      </x:c>
      <x:c r="C2148" s="1" t="n">
        <x:v>52</x:v>
      </x:c>
      <x:c r="D2148" s="6" t="n">
        <x:v>7498</x:v>
      </x:c>
      <x:c r="E2148" s="6" t="n">
        <x:v>14996</x:v>
      </x:c>
      <x:c r="F2148" s="6" t="n">
        <x:v>0</x:v>
      </x:c>
      <x:c r="G2148" s="6" t="n">
        <x:v>14996</x:v>
      </x:c>
      <x:c r="H2148" s="6" t="n">
        <x:v>7498</x:v>
      </x:c>
    </x:row>
    <x:row r="2149" ht="21" customHeight="1">
      <x:c r="A2149" s="1" t="str">
        <x:v>C0015518</x:v>
      </x:c>
      <x:c r="B2149" s="1" t="n">
        <x:v>22</x:v>
      </x:c>
      <x:c r="C2149" s="1" t="n">
        <x:v>52</x:v>
      </x:c>
      <x:c r="D2149" s="6" t="n">
        <x:v>7498</x:v>
      </x:c>
      <x:c r="E2149" s="6" t="n">
        <x:v>14996</x:v>
      </x:c>
      <x:c r="F2149" s="6" t="n">
        <x:v>0</x:v>
      </x:c>
      <x:c r="G2149" s="6" t="n">
        <x:v>14996</x:v>
      </x:c>
      <x:c r="H2149" s="6" t="n">
        <x:v>7498</x:v>
      </x:c>
    </x:row>
    <x:row r="2150" ht="21" customHeight="1">
      <x:c r="A2150" s="1" t="str">
        <x:v>C0015701</x:v>
      </x:c>
      <x:c r="B2150" s="1" t="n">
        <x:v>5</x:v>
      </x:c>
      <x:c r="C2150" s="1" t="n">
        <x:v>95</x:v>
      </x:c>
      <x:c r="D2150" s="6" t="n">
        <x:v>7483</x:v>
      </x:c>
      <x:c r="E2150" s="6" t="n">
        <x:v>0</x:v>
      </x:c>
      <x:c r="F2150" s="6" t="n">
        <x:v>0</x:v>
      </x:c>
      <x:c r="G2150" s="6" t="n">
        <x:v>0</x:v>
      </x:c>
      <x:c r="H2150" s="6" t="n">
        <x:v>-7483</x:v>
      </x:c>
    </x:row>
    <x:row r="2151" ht="21" customHeight="1">
      <x:c r="A2151" s="1" t="str">
        <x:v>C0014371</x:v>
      </x:c>
      <x:c r="B2151" s="1" t="n">
        <x:v>5</x:v>
      </x:c>
      <x:c r="C2151" s="1" t="n">
        <x:v>95</x:v>
      </x:c>
      <x:c r="D2151" s="6" t="n">
        <x:v>7483</x:v>
      </x:c>
      <x:c r="E2151" s="6" t="n">
        <x:v>14966</x:v>
      </x:c>
      <x:c r="F2151" s="6" t="n">
        <x:v>0</x:v>
      </x:c>
      <x:c r="G2151" s="6" t="n">
        <x:v>14966</x:v>
      </x:c>
      <x:c r="H2151" s="6" t="n">
        <x:v>7483</x:v>
      </x:c>
    </x:row>
    <x:row r="2152" ht="21" customHeight="1">
      <x:c r="A2152" s="1" t="str">
        <x:v>C0009606</x:v>
      </x:c>
      <x:c r="B2152" s="1" t="n">
        <x:v>5</x:v>
      </x:c>
      <x:c r="C2152" s="1" t="n">
        <x:v>95</x:v>
      </x:c>
      <x:c r="D2152" s="6" t="n">
        <x:v>7483</x:v>
      </x:c>
      <x:c r="E2152" s="6" t="n">
        <x:v>0</x:v>
      </x:c>
      <x:c r="F2152" s="6" t="n">
        <x:v>0</x:v>
      </x:c>
      <x:c r="G2152" s="6" t="n">
        <x:v>0</x:v>
      </x:c>
      <x:c r="H2152" s="6" t="n">
        <x:v>-7483</x:v>
      </x:c>
    </x:row>
    <x:row r="2153" ht="21" customHeight="1">
      <x:c r="A2153" s="1" t="str">
        <x:v>C0016126</x:v>
      </x:c>
      <x:c r="B2153" s="1" t="n">
        <x:v>5</x:v>
      </x:c>
      <x:c r="C2153" s="1" t="n">
        <x:v>95</x:v>
      </x:c>
      <x:c r="D2153" s="6" t="n">
        <x:v>7483</x:v>
      </x:c>
      <x:c r="E2153" s="6" t="n">
        <x:v>14966</x:v>
      </x:c>
      <x:c r="F2153" s="6" t="n">
        <x:v>0</x:v>
      </x:c>
      <x:c r="G2153" s="6" t="n">
        <x:v>14966</x:v>
      </x:c>
      <x:c r="H2153" s="6" t="n">
        <x:v>7483</x:v>
      </x:c>
    </x:row>
    <x:row r="2154" ht="21" customHeight="1">
      <x:c r="A2154" s="1" t="str">
        <x:v>C0004225</x:v>
      </x:c>
      <x:c r="B2154" s="1" t="n">
        <x:v>23</x:v>
      </x:c>
      <x:c r="C2154" s="1" t="n">
        <x:v>23</x:v>
      </x:c>
      <x:c r="D2154" s="6" t="n">
        <x:v>7455</x:v>
      </x:c>
      <x:c r="E2154" s="6" t="n">
        <x:v>0</x:v>
      </x:c>
      <x:c r="F2154" s="6" t="n">
        <x:v>0</x:v>
      </x:c>
      <x:c r="G2154" s="6" t="n">
        <x:v>0</x:v>
      </x:c>
      <x:c r="H2154" s="6" t="n">
        <x:v>-7455</x:v>
      </x:c>
    </x:row>
    <x:row r="2155" ht="21" customHeight="1">
      <x:c r="A2155" s="1" t="str">
        <x:v>C0004854</x:v>
      </x:c>
      <x:c r="B2155" s="1" t="n">
        <x:v>23</x:v>
      </x:c>
      <x:c r="C2155" s="1" t="n">
        <x:v>23</x:v>
      </x:c>
      <x:c r="D2155" s="6" t="n">
        <x:v>7455</x:v>
      </x:c>
      <x:c r="E2155" s="6" t="n">
        <x:v>0</x:v>
      </x:c>
      <x:c r="F2155" s="6" t="n">
        <x:v>0</x:v>
      </x:c>
      <x:c r="G2155" s="6" t="n">
        <x:v>0</x:v>
      </x:c>
      <x:c r="H2155" s="6" t="n">
        <x:v>-7455</x:v>
      </x:c>
    </x:row>
    <x:row r="2156" ht="21" customHeight="1">
      <x:c r="A2156" s="1" t="str">
        <x:v>C0000994</x:v>
      </x:c>
      <x:c r="B2156" s="1" t="n">
        <x:v>23</x:v>
      </x:c>
      <x:c r="C2156" s="1" t="n">
        <x:v>23</x:v>
      </x:c>
      <x:c r="D2156" s="6" t="n">
        <x:v>7455</x:v>
      </x:c>
      <x:c r="E2156" s="6" t="n">
        <x:v>14910</x:v>
      </x:c>
      <x:c r="F2156" s="6" t="n">
        <x:v>0</x:v>
      </x:c>
      <x:c r="G2156" s="6" t="n">
        <x:v>14910</x:v>
      </x:c>
      <x:c r="H2156" s="6" t="n">
        <x:v>7455</x:v>
      </x:c>
    </x:row>
    <x:row r="2157" ht="21" customHeight="1">
      <x:c r="A2157" s="1" t="str">
        <x:v>C0001714</x:v>
      </x:c>
      <x:c r="B2157" s="1" t="n">
        <x:v>23</x:v>
      </x:c>
      <x:c r="C2157" s="1" t="n">
        <x:v>23</x:v>
      </x:c>
      <x:c r="D2157" s="6" t="n">
        <x:v>7455</x:v>
      </x:c>
      <x:c r="E2157" s="6" t="n">
        <x:v>0</x:v>
      </x:c>
      <x:c r="F2157" s="6" t="n">
        <x:v>0</x:v>
      </x:c>
      <x:c r="G2157" s="6" t="n">
        <x:v>0</x:v>
      </x:c>
      <x:c r="H2157" s="6" t="n">
        <x:v>-7455</x:v>
      </x:c>
    </x:row>
    <x:row r="2158" ht="21" customHeight="1">
      <x:c r="A2158" s="1" t="str">
        <x:v>C0015017</x:v>
      </x:c>
      <x:c r="B2158" s="1" t="n">
        <x:v>23</x:v>
      </x:c>
      <x:c r="C2158" s="1" t="n">
        <x:v>23</x:v>
      </x:c>
      <x:c r="D2158" s="6" t="n">
        <x:v>7455</x:v>
      </x:c>
      <x:c r="E2158" s="6" t="n">
        <x:v>0</x:v>
      </x:c>
      <x:c r="F2158" s="6" t="n">
        <x:v>0</x:v>
      </x:c>
      <x:c r="G2158" s="6" t="n">
        <x:v>0</x:v>
      </x:c>
      <x:c r="H2158" s="6" t="n">
        <x:v>-7455</x:v>
      </x:c>
    </x:row>
    <x:row r="2159" ht="21" customHeight="1">
      <x:c r="A2159" s="1" t="str">
        <x:v>C0004769</x:v>
      </x:c>
      <x:c r="B2159" s="1" t="n">
        <x:v>23</x:v>
      </x:c>
      <x:c r="C2159" s="1" t="n">
        <x:v>23</x:v>
      </x:c>
      <x:c r="D2159" s="6" t="n">
        <x:v>7455</x:v>
      </x:c>
      <x:c r="E2159" s="6" t="n">
        <x:v>0</x:v>
      </x:c>
      <x:c r="F2159" s="6" t="n">
        <x:v>0</x:v>
      </x:c>
      <x:c r="G2159" s="6" t="n">
        <x:v>0</x:v>
      </x:c>
      <x:c r="H2159" s="6" t="n">
        <x:v>-7455</x:v>
      </x:c>
    </x:row>
    <x:row r="2160" ht="21" customHeight="1">
      <x:c r="A2160" s="1" t="str">
        <x:v>C0012901</x:v>
      </x:c>
      <x:c r="B2160" s="1" t="n">
        <x:v>23</x:v>
      </x:c>
      <x:c r="C2160" s="1" t="n">
        <x:v>23</x:v>
      </x:c>
      <x:c r="D2160" s="6" t="n">
        <x:v>7455</x:v>
      </x:c>
      <x:c r="E2160" s="6" t="n">
        <x:v>14910</x:v>
      </x:c>
      <x:c r="F2160" s="6" t="n">
        <x:v>0</x:v>
      </x:c>
      <x:c r="G2160" s="6" t="n">
        <x:v>14910</x:v>
      </x:c>
      <x:c r="H2160" s="6" t="n">
        <x:v>7455</x:v>
      </x:c>
    </x:row>
    <x:row r="2161" ht="21" customHeight="1">
      <x:c r="A2161" s="1" t="str">
        <x:v>C0017871</x:v>
      </x:c>
      <x:c r="B2161" s="1" t="n">
        <x:v>23</x:v>
      </x:c>
      <x:c r="C2161" s="1" t="n">
        <x:v>23</x:v>
      </x:c>
      <x:c r="D2161" s="6" t="n">
        <x:v>7455</x:v>
      </x:c>
      <x:c r="E2161" s="6" t="n">
        <x:v>0</x:v>
      </x:c>
      <x:c r="F2161" s="6" t="n">
        <x:v>0</x:v>
      </x:c>
      <x:c r="G2161" s="6" t="n">
        <x:v>0</x:v>
      </x:c>
      <x:c r="H2161" s="6" t="n">
        <x:v>-7455</x:v>
      </x:c>
    </x:row>
    <x:row r="2162" ht="21" customHeight="1">
      <x:c r="A2162" s="1" t="str">
        <x:v>C0006257</x:v>
      </x:c>
      <x:c r="B2162" s="1" t="n">
        <x:v>23</x:v>
      </x:c>
      <x:c r="C2162" s="1" t="n">
        <x:v>23</x:v>
      </x:c>
      <x:c r="D2162" s="6" t="n">
        <x:v>7455</x:v>
      </x:c>
      <x:c r="E2162" s="6" t="n">
        <x:v>14910</x:v>
      </x:c>
      <x:c r="F2162" s="6" t="n">
        <x:v>0</x:v>
      </x:c>
      <x:c r="G2162" s="6" t="n">
        <x:v>14910</x:v>
      </x:c>
      <x:c r="H2162" s="6" t="n">
        <x:v>7455</x:v>
      </x:c>
    </x:row>
    <x:row r="2163" ht="21" customHeight="1">
      <x:c r="A2163" s="1" t="str">
        <x:v>C0015543</x:v>
      </x:c>
      <x:c r="B2163" s="1" t="n">
        <x:v>23</x:v>
      </x:c>
      <x:c r="C2163" s="1" t="n">
        <x:v>23</x:v>
      </x:c>
      <x:c r="D2163" s="6" t="n">
        <x:v>7455</x:v>
      </x:c>
      <x:c r="E2163" s="6" t="n">
        <x:v>0</x:v>
      </x:c>
      <x:c r="F2163" s="6" t="n">
        <x:v>0</x:v>
      </x:c>
      <x:c r="G2163" s="6" t="n">
        <x:v>0</x:v>
      </x:c>
      <x:c r="H2163" s="6" t="n">
        <x:v>-7455</x:v>
      </x:c>
    </x:row>
    <x:row r="2164" ht="21" customHeight="1">
      <x:c r="A2164" s="1" t="str">
        <x:v>C0012759</x:v>
      </x:c>
      <x:c r="B2164" s="1" t="n">
        <x:v>23</x:v>
      </x:c>
      <x:c r="C2164" s="1" t="n">
        <x:v>23</x:v>
      </x:c>
      <x:c r="D2164" s="6" t="n">
        <x:v>7455</x:v>
      </x:c>
      <x:c r="E2164" s="6" t="n">
        <x:v>0</x:v>
      </x:c>
      <x:c r="F2164" s="6" t="n">
        <x:v>0</x:v>
      </x:c>
      <x:c r="G2164" s="6" t="n">
        <x:v>0</x:v>
      </x:c>
      <x:c r="H2164" s="6" t="n">
        <x:v>-7455</x:v>
      </x:c>
    </x:row>
    <x:row r="2165" ht="21" customHeight="1">
      <x:c r="A2165" s="1" t="str">
        <x:v>C0013150</x:v>
      </x:c>
      <x:c r="B2165" s="1" t="n">
        <x:v>19</x:v>
      </x:c>
      <x:c r="C2165" s="1" t="n">
        <x:v>79</x:v>
      </x:c>
      <x:c r="D2165" s="6" t="n">
        <x:v>7386</x:v>
      </x:c>
      <x:c r="E2165" s="6" t="n">
        <x:v>14772</x:v>
      </x:c>
      <x:c r="F2165" s="6" t="n">
        <x:v>0</x:v>
      </x:c>
      <x:c r="G2165" s="6" t="n">
        <x:v>14772</x:v>
      </x:c>
      <x:c r="H2165" s="6" t="n">
        <x:v>7386</x:v>
      </x:c>
    </x:row>
    <x:row r="2166" ht="21" customHeight="1">
      <x:c r="A2166" s="1" t="str">
        <x:v>C0000237</x:v>
      </x:c>
      <x:c r="B2166" s="1" t="n">
        <x:v>19</x:v>
      </x:c>
      <x:c r="C2166" s="1" t="n">
        <x:v>79</x:v>
      </x:c>
      <x:c r="D2166" s="6" t="n">
        <x:v>7386</x:v>
      </x:c>
      <x:c r="E2166" s="6" t="n">
        <x:v>0</x:v>
      </x:c>
      <x:c r="F2166" s="6" t="n">
        <x:v>0</x:v>
      </x:c>
      <x:c r="G2166" s="6" t="n">
        <x:v>0</x:v>
      </x:c>
      <x:c r="H2166" s="6" t="n">
        <x:v>-7386</x:v>
      </x:c>
    </x:row>
    <x:row r="2167" ht="21" customHeight="1">
      <x:c r="A2167" s="1" t="str">
        <x:v>C0000939</x:v>
      </x:c>
      <x:c r="B2167" s="1" t="n">
        <x:v>19</x:v>
      </x:c>
      <x:c r="C2167" s="1" t="n">
        <x:v>79</x:v>
      </x:c>
      <x:c r="D2167" s="6" t="n">
        <x:v>7386</x:v>
      </x:c>
      <x:c r="E2167" s="6" t="n">
        <x:v>14772</x:v>
      </x:c>
      <x:c r="F2167" s="6" t="n">
        <x:v>0</x:v>
      </x:c>
      <x:c r="G2167" s="6" t="n">
        <x:v>14772</x:v>
      </x:c>
      <x:c r="H2167" s="6" t="n">
        <x:v>7386</x:v>
      </x:c>
    </x:row>
    <x:row r="2168" ht="21" customHeight="1">
      <x:c r="A2168" s="1" t="str">
        <x:v>C0014723</x:v>
      </x:c>
      <x:c r="B2168" s="1" t="n">
        <x:v>19</x:v>
      </x:c>
      <x:c r="C2168" s="1" t="n">
        <x:v>19</x:v>
      </x:c>
      <x:c r="D2168" s="6" t="n">
        <x:v>7377</x:v>
      </x:c>
      <x:c r="E2168" s="6" t="n">
        <x:v>0</x:v>
      </x:c>
      <x:c r="F2168" s="6" t="n">
        <x:v>0</x:v>
      </x:c>
      <x:c r="G2168" s="6" t="n">
        <x:v>0</x:v>
      </x:c>
      <x:c r="H2168" s="6" t="n">
        <x:v>-7377</x:v>
      </x:c>
    </x:row>
    <x:row r="2169" ht="21" customHeight="1">
      <x:c r="A2169" s="1" t="str">
        <x:v>C0003086</x:v>
      </x:c>
      <x:c r="B2169" s="1" t="n">
        <x:v>19</x:v>
      </x:c>
      <x:c r="C2169" s="1" t="n">
        <x:v>19</x:v>
      </x:c>
      <x:c r="D2169" s="6" t="n">
        <x:v>0</x:v>
      </x:c>
      <x:c r="E2169" s="6" t="n">
        <x:v>7377</x:v>
      </x:c>
      <x:c r="F2169" s="6" t="n">
        <x:v>0</x:v>
      </x:c>
      <x:c r="G2169" s="6" t="n">
        <x:v>7377</x:v>
      </x:c>
      <x:c r="H2169" s="6" t="n">
        <x:v>7377</x:v>
      </x:c>
    </x:row>
    <x:row r="2170" ht="21" customHeight="1">
      <x:c r="A2170" s="1" t="str">
        <x:v>C0010423</x:v>
      </x:c>
      <x:c r="B2170" s="1" t="n">
        <x:v>19</x:v>
      </x:c>
      <x:c r="C2170" s="1" t="n">
        <x:v>19</x:v>
      </x:c>
      <x:c r="D2170" s="6" t="n">
        <x:v>7377</x:v>
      </x:c>
      <x:c r="E2170" s="6" t="n">
        <x:v>0</x:v>
      </x:c>
      <x:c r="F2170" s="6" t="n">
        <x:v>0</x:v>
      </x:c>
      <x:c r="G2170" s="6" t="n">
        <x:v>0</x:v>
      </x:c>
      <x:c r="H2170" s="6" t="n">
        <x:v>-7377</x:v>
      </x:c>
    </x:row>
    <x:row r="2171" ht="21" customHeight="1">
      <x:c r="A2171" s="1" t="str">
        <x:v>C0009134</x:v>
      </x:c>
      <x:c r="B2171" s="1" t="n">
        <x:v>13</x:v>
      </x:c>
      <x:c r="C2171" s="1" t="n">
        <x:v>43</x:v>
      </x:c>
      <x:c r="D2171" s="6" t="n">
        <x:v>7342</x:v>
      </x:c>
      <x:c r="E2171" s="6" t="n">
        <x:v>0</x:v>
      </x:c>
      <x:c r="F2171" s="6" t="n">
        <x:v>0</x:v>
      </x:c>
      <x:c r="G2171" s="6" t="n">
        <x:v>0</x:v>
      </x:c>
      <x:c r="H2171" s="6" t="n">
        <x:v>-7342</x:v>
      </x:c>
    </x:row>
    <x:row r="2172" ht="21" customHeight="1">
      <x:c r="A2172" s="1" t="str">
        <x:v>C0002762</x:v>
      </x:c>
      <x:c r="B2172" s="1" t="n">
        <x:v>13</x:v>
      </x:c>
      <x:c r="C2172" s="1" t="n">
        <x:v>43</x:v>
      </x:c>
      <x:c r="D2172" s="6" t="n">
        <x:v>7342</x:v>
      </x:c>
      <x:c r="E2172" s="6" t="n">
        <x:v>0</x:v>
      </x:c>
      <x:c r="F2172" s="6" t="n">
        <x:v>0</x:v>
      </x:c>
      <x:c r="G2172" s="6" t="n">
        <x:v>0</x:v>
      </x:c>
      <x:c r="H2172" s="6" t="n">
        <x:v>-7342</x:v>
      </x:c>
    </x:row>
    <x:row r="2173" ht="21" customHeight="1">
      <x:c r="A2173" s="1" t="str">
        <x:v>C0004754</x:v>
      </x:c>
      <x:c r="B2173" s="1" t="n">
        <x:v>13</x:v>
      </x:c>
      <x:c r="C2173" s="1" t="n">
        <x:v>43</x:v>
      </x:c>
      <x:c r="D2173" s="6" t="n">
        <x:v>7342</x:v>
      </x:c>
      <x:c r="E2173" s="6" t="n">
        <x:v>14684</x:v>
      </x:c>
      <x:c r="F2173" s="6" t="n">
        <x:v>0</x:v>
      </x:c>
      <x:c r="G2173" s="6" t="n">
        <x:v>14684</x:v>
      </x:c>
      <x:c r="H2173" s="6" t="n">
        <x:v>7342</x:v>
      </x:c>
    </x:row>
    <x:row r="2174" ht="21" customHeight="1">
      <x:c r="A2174" s="1" t="str">
        <x:v>C0003766</x:v>
      </x:c>
      <x:c r="B2174" s="1" t="n">
        <x:v>13</x:v>
      </x:c>
      <x:c r="C2174" s="1" t="n">
        <x:v>43</x:v>
      </x:c>
      <x:c r="D2174" s="6" t="n">
        <x:v>7342</x:v>
      </x:c>
      <x:c r="E2174" s="6" t="n">
        <x:v>0</x:v>
      </x:c>
      <x:c r="F2174" s="6" t="n">
        <x:v>0</x:v>
      </x:c>
      <x:c r="G2174" s="6" t="n">
        <x:v>0</x:v>
      </x:c>
      <x:c r="H2174" s="6" t="n">
        <x:v>-7342</x:v>
      </x:c>
    </x:row>
    <x:row r="2175" ht="21" customHeight="1">
      <x:c r="A2175" s="1" t="str">
        <x:v>C0017385</x:v>
      </x:c>
      <x:c r="B2175" s="1" t="n">
        <x:v>30</x:v>
      </x:c>
      <x:c r="C2175" s="1" t="n">
        <x:v>60</x:v>
      </x:c>
      <x:c r="D2175" s="6" t="n">
        <x:v>7317</x:v>
      </x:c>
      <x:c r="E2175" s="6" t="n">
        <x:v>0</x:v>
      </x:c>
      <x:c r="F2175" s="6" t="n">
        <x:v>0</x:v>
      </x:c>
      <x:c r="G2175" s="6" t="n">
        <x:v>0</x:v>
      </x:c>
      <x:c r="H2175" s="6" t="n">
        <x:v>-7317</x:v>
      </x:c>
    </x:row>
    <x:row r="2176" ht="21" customHeight="1">
      <x:c r="A2176" s="1" t="str">
        <x:v>C0002980</x:v>
      </x:c>
      <x:c r="B2176" s="1" t="n">
        <x:v>30</x:v>
      </x:c>
      <x:c r="C2176" s="1" t="n">
        <x:v>60</x:v>
      </x:c>
      <x:c r="D2176" s="6" t="n">
        <x:v>7317</x:v>
      </x:c>
      <x:c r="E2176" s="6" t="n">
        <x:v>0</x:v>
      </x:c>
      <x:c r="F2176" s="6" t="n">
        <x:v>0</x:v>
      </x:c>
      <x:c r="G2176" s="6" t="n">
        <x:v>0</x:v>
      </x:c>
      <x:c r="H2176" s="6" t="n">
        <x:v>-7317</x:v>
      </x:c>
    </x:row>
    <x:row r="2177" ht="21" customHeight="1">
      <x:c r="A2177" s="1" t="str">
        <x:v>C0004293</x:v>
      </x:c>
      <x:c r="B2177" s="1" t="n">
        <x:v>30</x:v>
      </x:c>
      <x:c r="C2177" s="1" t="n">
        <x:v>60</x:v>
      </x:c>
      <x:c r="D2177" s="6" t="n">
        <x:v>7317</x:v>
      </x:c>
      <x:c r="E2177" s="6" t="n">
        <x:v>0</x:v>
      </x:c>
      <x:c r="F2177" s="6" t="n">
        <x:v>0</x:v>
      </x:c>
      <x:c r="G2177" s="6" t="n">
        <x:v>0</x:v>
      </x:c>
      <x:c r="H2177" s="6" t="n">
        <x:v>-7317</x:v>
      </x:c>
    </x:row>
    <x:row r="2178" ht="21" customHeight="1">
      <x:c r="A2178" s="1" t="str">
        <x:v>C0006767</x:v>
      </x:c>
      <x:c r="B2178" s="1" t="n">
        <x:v>30</x:v>
      </x:c>
      <x:c r="C2178" s="1" t="n">
        <x:v>60</x:v>
      </x:c>
      <x:c r="D2178" s="6" t="n">
        <x:v>7317</x:v>
      </x:c>
      <x:c r="E2178" s="6" t="n">
        <x:v>0</x:v>
      </x:c>
      <x:c r="F2178" s="6" t="n">
        <x:v>0</x:v>
      </x:c>
      <x:c r="G2178" s="6" t="n">
        <x:v>0</x:v>
      </x:c>
      <x:c r="H2178" s="6" t="n">
        <x:v>-7317</x:v>
      </x:c>
    </x:row>
    <x:row r="2179" ht="21" customHeight="1">
      <x:c r="A2179" s="1" t="str">
        <x:v>C0016059</x:v>
      </x:c>
      <x:c r="B2179" s="1" t="n">
        <x:v>30</x:v>
      </x:c>
      <x:c r="C2179" s="1" t="n">
        <x:v>60</x:v>
      </x:c>
      <x:c r="D2179" s="6" t="n">
        <x:v>7317</x:v>
      </x:c>
      <x:c r="E2179" s="6" t="n">
        <x:v>0</x:v>
      </x:c>
      <x:c r="F2179" s="6" t="n">
        <x:v>0</x:v>
      </x:c>
      <x:c r="G2179" s="6" t="n">
        <x:v>0</x:v>
      </x:c>
      <x:c r="H2179" s="6" t="n">
        <x:v>-7317</x:v>
      </x:c>
    </x:row>
    <x:row r="2180" ht="21" customHeight="1">
      <x:c r="A2180" s="1" t="str">
        <x:v>C0001436</x:v>
      </x:c>
      <x:c r="B2180" s="1" t="n">
        <x:v>30</x:v>
      </x:c>
      <x:c r="C2180" s="1" t="n">
        <x:v>60</x:v>
      </x:c>
      <x:c r="D2180" s="6" t="n">
        <x:v>7317</x:v>
      </x:c>
      <x:c r="E2180" s="6" t="n">
        <x:v>14634</x:v>
      </x:c>
      <x:c r="F2180" s="6" t="n">
        <x:v>0</x:v>
      </x:c>
      <x:c r="G2180" s="6" t="n">
        <x:v>14634</x:v>
      </x:c>
      <x:c r="H2180" s="6" t="n">
        <x:v>7317</x:v>
      </x:c>
    </x:row>
    <x:row r="2181" ht="21" customHeight="1">
      <x:c r="A2181" s="1" t="str">
        <x:v>C0012197</x:v>
      </x:c>
      <x:c r="B2181" s="1" t="n">
        <x:v>18</x:v>
      </x:c>
      <x:c r="C2181" s="1" t="n">
        <x:v>78</x:v>
      </x:c>
      <x:c r="D2181" s="6" t="n">
        <x:v>7291</x:v>
      </x:c>
      <x:c r="E2181" s="6" t="n">
        <x:v>14582</x:v>
      </x:c>
      <x:c r="F2181" s="6" t="n">
        <x:v>0</x:v>
      </x:c>
      <x:c r="G2181" s="6" t="n">
        <x:v>14582</x:v>
      </x:c>
      <x:c r="H2181" s="6" t="n">
        <x:v>7291</x:v>
      </x:c>
    </x:row>
    <x:row r="2182" ht="21" customHeight="1">
      <x:c r="A2182" s="1" t="str">
        <x:v>C0012787</x:v>
      </x:c>
      <x:c r="B2182" s="1" t="n">
        <x:v>18</x:v>
      </x:c>
      <x:c r="C2182" s="1" t="n">
        <x:v>78</x:v>
      </x:c>
      <x:c r="D2182" s="6" t="n">
        <x:v>7291</x:v>
      </x:c>
      <x:c r="E2182" s="6" t="n">
        <x:v>0</x:v>
      </x:c>
      <x:c r="F2182" s="6" t="n">
        <x:v>0</x:v>
      </x:c>
      <x:c r="G2182" s="6" t="n">
        <x:v>0</x:v>
      </x:c>
      <x:c r="H2182" s="6" t="n">
        <x:v>-7291</x:v>
      </x:c>
    </x:row>
    <x:row r="2183" ht="21" customHeight="1">
      <x:c r="A2183" s="1" t="str">
        <x:v>C0006464</x:v>
      </x:c>
      <x:c r="B2183" s="1" t="n">
        <x:v>18</x:v>
      </x:c>
      <x:c r="C2183" s="1" t="n">
        <x:v>78</x:v>
      </x:c>
      <x:c r="D2183" s="6" t="n">
        <x:v>7291</x:v>
      </x:c>
      <x:c r="E2183" s="6" t="n">
        <x:v>14582</x:v>
      </x:c>
      <x:c r="F2183" s="6" t="n">
        <x:v>0</x:v>
      </x:c>
      <x:c r="G2183" s="6" t="n">
        <x:v>14582</x:v>
      </x:c>
      <x:c r="H2183" s="6" t="n">
        <x:v>7291</x:v>
      </x:c>
    </x:row>
    <x:row r="2184" ht="21" customHeight="1">
      <x:c r="A2184" s="1" t="str">
        <x:v>C0004536</x:v>
      </x:c>
      <x:c r="B2184" s="1" t="n">
        <x:v>18</x:v>
      </x:c>
      <x:c r="C2184" s="1" t="n">
        <x:v>78</x:v>
      </x:c>
      <x:c r="D2184" s="6" t="n">
        <x:v>7291</x:v>
      </x:c>
      <x:c r="E2184" s="6" t="n">
        <x:v>14582</x:v>
      </x:c>
      <x:c r="F2184" s="6" t="n">
        <x:v>0</x:v>
      </x:c>
      <x:c r="G2184" s="6" t="n">
        <x:v>14582</x:v>
      </x:c>
      <x:c r="H2184" s="6" t="n">
        <x:v>7291</x:v>
      </x:c>
    </x:row>
    <x:row r="2185" ht="21" customHeight="1">
      <x:c r="A2185" s="1" t="str">
        <x:v>C0016843</x:v>
      </x:c>
      <x:c r="B2185" s="1" t="n">
        <x:v>23</x:v>
      </x:c>
      <x:c r="C2185" s="1" t="n">
        <x:v>53</x:v>
      </x:c>
      <x:c r="D2185" s="6" t="n">
        <x:v>6999</x:v>
      </x:c>
      <x:c r="E2185" s="6" t="n">
        <x:v>13998</x:v>
      </x:c>
      <x:c r="F2185" s="6" t="n">
        <x:v>0</x:v>
      </x:c>
      <x:c r="G2185" s="6" t="n">
        <x:v>13998</x:v>
      </x:c>
      <x:c r="H2185" s="6" t="n">
        <x:v>6999</x:v>
      </x:c>
    </x:row>
    <x:row r="2186" ht="21" customHeight="1">
      <x:c r="A2186" s="1" t="str">
        <x:v>C0005153</x:v>
      </x:c>
      <x:c r="B2186" s="1" t="n">
        <x:v>23</x:v>
      </x:c>
      <x:c r="C2186" s="1" t="n">
        <x:v>53</x:v>
      </x:c>
      <x:c r="D2186" s="6" t="n">
        <x:v>6999</x:v>
      </x:c>
      <x:c r="E2186" s="6" t="n">
        <x:v>13998</x:v>
      </x:c>
      <x:c r="F2186" s="6" t="n">
        <x:v>0</x:v>
      </x:c>
      <x:c r="G2186" s="6" t="n">
        <x:v>13998</x:v>
      </x:c>
      <x:c r="H2186" s="6" t="n">
        <x:v>6999</x:v>
      </x:c>
    </x:row>
    <x:row r="2187" ht="21" customHeight="1">
      <x:c r="A2187" s="1" t="str">
        <x:v>C0009618</x:v>
      </x:c>
      <x:c r="B2187" s="1" t="n">
        <x:v>23</x:v>
      </x:c>
      <x:c r="C2187" s="1" t="n">
        <x:v>53</x:v>
      </x:c>
      <x:c r="D2187" s="6" t="n">
        <x:v>6999</x:v>
      </x:c>
      <x:c r="E2187" s="6" t="n">
        <x:v>13998</x:v>
      </x:c>
      <x:c r="F2187" s="6" t="n">
        <x:v>0</x:v>
      </x:c>
      <x:c r="G2187" s="6" t="n">
        <x:v>13998</x:v>
      </x:c>
      <x:c r="H2187" s="6" t="n">
        <x:v>6999</x:v>
      </x:c>
    </x:row>
    <x:row r="2188" ht="21" customHeight="1">
      <x:c r="A2188" s="1" t="str">
        <x:v>C0008374</x:v>
      </x:c>
      <x:c r="B2188" s="1" t="n">
        <x:v>23</x:v>
      </x:c>
      <x:c r="C2188" s="1" t="n">
        <x:v>53</x:v>
      </x:c>
      <x:c r="D2188" s="6" t="n">
        <x:v>6999</x:v>
      </x:c>
      <x:c r="E2188" s="6" t="n">
        <x:v>0</x:v>
      </x:c>
      <x:c r="F2188" s="6" t="n">
        <x:v>0</x:v>
      </x:c>
      <x:c r="G2188" s="6" t="n">
        <x:v>0</x:v>
      </x:c>
      <x:c r="H2188" s="6" t="n">
        <x:v>-6999</x:v>
      </x:c>
    </x:row>
    <x:row r="2189" ht="21" customHeight="1">
      <x:c r="A2189" s="1" t="str">
        <x:v>C0011735</x:v>
      </x:c>
      <x:c r="B2189" s="1" t="n">
        <x:v>23</x:v>
      </x:c>
      <x:c r="C2189" s="1" t="n">
        <x:v>53</x:v>
      </x:c>
      <x:c r="D2189" s="6" t="n">
        <x:v>6999</x:v>
      </x:c>
      <x:c r="E2189" s="6" t="n">
        <x:v>0</x:v>
      </x:c>
      <x:c r="F2189" s="6" t="n">
        <x:v>0</x:v>
      </x:c>
      <x:c r="G2189" s="6" t="n">
        <x:v>0</x:v>
      </x:c>
      <x:c r="H2189" s="6" t="n">
        <x:v>-6999</x:v>
      </x:c>
    </x:row>
    <x:row r="2190" ht="21" customHeight="1">
      <x:c r="A2190" s="1" t="str">
        <x:v>C0007465</x:v>
      </x:c>
      <x:c r="B2190" s="1" t="n">
        <x:v>10</x:v>
      </x:c>
      <x:c r="C2190" s="1" t="n">
        <x:v>100</x:v>
      </x:c>
      <x:c r="D2190" s="6" t="n">
        <x:v>6881</x:v>
      </x:c>
      <x:c r="E2190" s="6" t="n">
        <x:v>13762</x:v>
      </x:c>
      <x:c r="F2190" s="6" t="n">
        <x:v>0</x:v>
      </x:c>
      <x:c r="G2190" s="6" t="n">
        <x:v>13762</x:v>
      </x:c>
      <x:c r="H2190" s="6" t="n">
        <x:v>6881</x:v>
      </x:c>
    </x:row>
    <x:row r="2191" ht="21" customHeight="1">
      <x:c r="A2191" s="1" t="str">
        <x:v>C0015286</x:v>
      </x:c>
      <x:c r="B2191" s="1" t="n">
        <x:v>10</x:v>
      </x:c>
      <x:c r="C2191" s="1" t="n">
        <x:v>100</x:v>
      </x:c>
      <x:c r="D2191" s="6" t="n">
        <x:v>6881</x:v>
      </x:c>
      <x:c r="E2191" s="6" t="n">
        <x:v>13762</x:v>
      </x:c>
      <x:c r="F2191" s="6" t="n">
        <x:v>0</x:v>
      </x:c>
      <x:c r="G2191" s="6" t="n">
        <x:v>13762</x:v>
      </x:c>
      <x:c r="H2191" s="6" t="n">
        <x:v>6881</x:v>
      </x:c>
    </x:row>
    <x:row r="2192" ht="21" customHeight="1">
      <x:c r="A2192" s="1" t="str">
        <x:v>C0001748</x:v>
      </x:c>
      <x:c r="B2192" s="1" t="n">
        <x:v>17</x:v>
      </x:c>
      <x:c r="C2192" s="1" t="n">
        <x:v>107</x:v>
      </x:c>
      <x:c r="D2192" s="6" t="n">
        <x:v>0</x:v>
      </x:c>
      <x:c r="E2192" s="6" t="n">
        <x:v>6796</x:v>
      </x:c>
      <x:c r="F2192" s="6" t="n">
        <x:v>0</x:v>
      </x:c>
      <x:c r="G2192" s="6" t="n">
        <x:v>6796</x:v>
      </x:c>
      <x:c r="H2192" s="6" t="n">
        <x:v>6796</x:v>
      </x:c>
    </x:row>
    <x:row r="2193" ht="21" customHeight="1">
      <x:c r="A2193" s="1" t="str">
        <x:v>C0017960</x:v>
      </x:c>
      <x:c r="B2193" s="1" t="n">
        <x:v>17</x:v>
      </x:c>
      <x:c r="C2193" s="1" t="n">
        <x:v>107</x:v>
      </x:c>
      <x:c r="D2193" s="6" t="n">
        <x:v>6796</x:v>
      </x:c>
      <x:c r="E2193" s="6" t="n">
        <x:v>13592</x:v>
      </x:c>
      <x:c r="F2193" s="6" t="n">
        <x:v>0</x:v>
      </x:c>
      <x:c r="G2193" s="6" t="n">
        <x:v>13592</x:v>
      </x:c>
      <x:c r="H2193" s="6" t="n">
        <x:v>6796</x:v>
      </x:c>
    </x:row>
    <x:row r="2194" ht="21" customHeight="1">
      <x:c r="A2194" s="1" t="str">
        <x:v>C0014567</x:v>
      </x:c>
      <x:c r="B2194" s="1" t="n">
        <x:v>17</x:v>
      </x:c>
      <x:c r="C2194" s="1" t="n">
        <x:v>107</x:v>
      </x:c>
      <x:c r="D2194" s="6" t="n">
        <x:v>6796</x:v>
      </x:c>
      <x:c r="E2194" s="6" t="n">
        <x:v>13592</x:v>
      </x:c>
      <x:c r="F2194" s="6" t="n">
        <x:v>0</x:v>
      </x:c>
      <x:c r="G2194" s="6" t="n">
        <x:v>13592</x:v>
      </x:c>
      <x:c r="H2194" s="6" t="n">
        <x:v>6796</x:v>
      </x:c>
    </x:row>
    <x:row r="2195" ht="21" customHeight="1">
      <x:c r="A2195" s="1" t="str">
        <x:v>C0015955</x:v>
      </x:c>
      <x:c r="B2195" s="1" t="n">
        <x:v>6</x:v>
      </x:c>
      <x:c r="C2195" s="1" t="n">
        <x:v>66</x:v>
      </x:c>
      <x:c r="D2195" s="6" t="n">
        <x:v>6682</x:v>
      </x:c>
      <x:c r="E2195" s="6" t="n">
        <x:v>0</x:v>
      </x:c>
      <x:c r="F2195" s="6" t="n">
        <x:v>0</x:v>
      </x:c>
      <x:c r="G2195" s="6" t="n">
        <x:v>0</x:v>
      </x:c>
      <x:c r="H2195" s="6" t="n">
        <x:v>-6682</x:v>
      </x:c>
    </x:row>
    <x:row r="2196" ht="21" customHeight="1">
      <x:c r="A2196" s="1" t="str">
        <x:v>C0015724</x:v>
      </x:c>
      <x:c r="B2196" s="1" t="n">
        <x:v>6</x:v>
      </x:c>
      <x:c r="C2196" s="1" t="n">
        <x:v>66</x:v>
      </x:c>
      <x:c r="D2196" s="6" t="n">
        <x:v>6682</x:v>
      </x:c>
      <x:c r="E2196" s="6" t="n">
        <x:v>0</x:v>
      </x:c>
      <x:c r="F2196" s="6" t="n">
        <x:v>0</x:v>
      </x:c>
      <x:c r="G2196" s="6" t="n">
        <x:v>0</x:v>
      </x:c>
      <x:c r="H2196" s="6" t="n">
        <x:v>-6682</x:v>
      </x:c>
    </x:row>
    <x:row r="2197" ht="21" customHeight="1">
      <x:c r="A2197" s="1" t="str">
        <x:v>C0016062</x:v>
      </x:c>
      <x:c r="B2197" s="1" t="n">
        <x:v>6</x:v>
      </x:c>
      <x:c r="C2197" s="1" t="n">
        <x:v>66</x:v>
      </x:c>
      <x:c r="D2197" s="6" t="n">
        <x:v>6682</x:v>
      </x:c>
      <x:c r="E2197" s="6" t="n">
        <x:v>13364</x:v>
      </x:c>
      <x:c r="F2197" s="6" t="n">
        <x:v>0</x:v>
      </x:c>
      <x:c r="G2197" s="6" t="n">
        <x:v>13364</x:v>
      </x:c>
      <x:c r="H2197" s="6" t="n">
        <x:v>6682</x:v>
      </x:c>
    </x:row>
    <x:row r="2198" ht="21" customHeight="1">
      <x:c r="A2198" s="1" t="str">
        <x:v>C0015985</x:v>
      </x:c>
      <x:c r="B2198" s="1" t="n">
        <x:v>6</x:v>
      </x:c>
      <x:c r="C2198" s="1" t="n">
        <x:v>66</x:v>
      </x:c>
      <x:c r="D2198" s="6" t="n">
        <x:v>6682</x:v>
      </x:c>
      <x:c r="E2198" s="6" t="n">
        <x:v>13364</x:v>
      </x:c>
      <x:c r="F2198" s="6" t="n">
        <x:v>0</x:v>
      </x:c>
      <x:c r="G2198" s="6" t="n">
        <x:v>13364</x:v>
      </x:c>
      <x:c r="H2198" s="6" t="n">
        <x:v>6682</x:v>
      </x:c>
    </x:row>
    <x:row r="2199" ht="21" customHeight="1">
      <x:c r="A2199" s="1" t="str">
        <x:v>C0014418</x:v>
      </x:c>
      <x:c r="B2199" s="1" t="n">
        <x:v>6</x:v>
      </x:c>
      <x:c r="C2199" s="1" t="n">
        <x:v>66</x:v>
      </x:c>
      <x:c r="D2199" s="6" t="n">
        <x:v>6682</x:v>
      </x:c>
      <x:c r="E2199" s="6" t="n">
        <x:v>13364</x:v>
      </x:c>
      <x:c r="F2199" s="6" t="n">
        <x:v>0</x:v>
      </x:c>
      <x:c r="G2199" s="6" t="n">
        <x:v>13364</x:v>
      </x:c>
      <x:c r="H2199" s="6" t="n">
        <x:v>6682</x:v>
      </x:c>
    </x:row>
    <x:row r="2200" ht="21" customHeight="1">
      <x:c r="A2200" s="1" t="str">
        <x:v>C0002143</x:v>
      </x:c>
      <x:c r="B2200" s="1" t="n">
        <x:v>6</x:v>
      </x:c>
      <x:c r="C2200" s="1" t="n">
        <x:v>66</x:v>
      </x:c>
      <x:c r="D2200" s="6" t="n">
        <x:v>6682</x:v>
      </x:c>
      <x:c r="E2200" s="6" t="n">
        <x:v>0</x:v>
      </x:c>
      <x:c r="F2200" s="6" t="n">
        <x:v>0</x:v>
      </x:c>
      <x:c r="G2200" s="6" t="n">
        <x:v>0</x:v>
      </x:c>
      <x:c r="H2200" s="6" t="n">
        <x:v>-6682</x:v>
      </x:c>
    </x:row>
    <x:row r="2201" ht="21" customHeight="1">
      <x:c r="A2201" s="1" t="str">
        <x:v>C0005969</x:v>
      </x:c>
      <x:c r="B2201" s="1" t="n">
        <x:v>6</x:v>
      </x:c>
      <x:c r="C2201" s="1" t="n">
        <x:v>66</x:v>
      </x:c>
      <x:c r="D2201" s="6" t="n">
        <x:v>6682</x:v>
      </x:c>
      <x:c r="E2201" s="6" t="n">
        <x:v>13364</x:v>
      </x:c>
      <x:c r="F2201" s="6" t="n">
        <x:v>0</x:v>
      </x:c>
      <x:c r="G2201" s="6" t="n">
        <x:v>13364</x:v>
      </x:c>
      <x:c r="H2201" s="6" t="n">
        <x:v>6682</x:v>
      </x:c>
    </x:row>
    <x:row r="2202" ht="21" customHeight="1">
      <x:c r="A2202" s="1" t="str">
        <x:v>C0004641</x:v>
      </x:c>
      <x:c r="B2202" s="1" t="n">
        <x:v>4</x:v>
      </x:c>
      <x:c r="C2202" s="1" t="n">
        <x:v>94</x:v>
      </x:c>
      <x:c r="D2202" s="6" t="n">
        <x:v>6562</x:v>
      </x:c>
      <x:c r="E2202" s="6" t="n">
        <x:v>13124</x:v>
      </x:c>
      <x:c r="F2202" s="6" t="n">
        <x:v>0</x:v>
      </x:c>
      <x:c r="G2202" s="6" t="n">
        <x:v>13124</x:v>
      </x:c>
      <x:c r="H2202" s="6" t="n">
        <x:v>6562</x:v>
      </x:c>
    </x:row>
    <x:row r="2203" ht="21" customHeight="1">
      <x:c r="A2203" s="1" t="str">
        <x:v>C0002186</x:v>
      </x:c>
      <x:c r="B2203" s="1" t="n">
        <x:v>4</x:v>
      </x:c>
      <x:c r="C2203" s="1" t="n">
        <x:v>94</x:v>
      </x:c>
      <x:c r="D2203" s="6" t="n">
        <x:v>6562</x:v>
      </x:c>
      <x:c r="E2203" s="6" t="n">
        <x:v>0</x:v>
      </x:c>
      <x:c r="F2203" s="6" t="n">
        <x:v>0</x:v>
      </x:c>
      <x:c r="G2203" s="6" t="n">
        <x:v>0</x:v>
      </x:c>
      <x:c r="H2203" s="6" t="n">
        <x:v>-6562</x:v>
      </x:c>
    </x:row>
    <x:row r="2204" ht="21" customHeight="1">
      <x:c r="A2204" s="1" t="str">
        <x:v>C0015686</x:v>
      </x:c>
      <x:c r="B2204" s="1" t="n">
        <x:v>4</x:v>
      </x:c>
      <x:c r="C2204" s="1" t="n">
        <x:v>94</x:v>
      </x:c>
      <x:c r="D2204" s="6" t="n">
        <x:v>6562</x:v>
      </x:c>
      <x:c r="E2204" s="6" t="n">
        <x:v>13124</x:v>
      </x:c>
      <x:c r="F2204" s="6" t="n">
        <x:v>0</x:v>
      </x:c>
      <x:c r="G2204" s="6" t="n">
        <x:v>13124</x:v>
      </x:c>
      <x:c r="H2204" s="6" t="n">
        <x:v>6562</x:v>
      </x:c>
    </x:row>
    <x:row r="2205" ht="21" customHeight="1">
      <x:c r="A2205" s="1" t="str">
        <x:v>C0016731</x:v>
      </x:c>
      <x:c r="B2205" s="1" t="n">
        <x:v>4</x:v>
      </x:c>
      <x:c r="C2205" s="1" t="n">
        <x:v>94</x:v>
      </x:c>
      <x:c r="D2205" s="6" t="n">
        <x:v>6562</x:v>
      </x:c>
      <x:c r="E2205" s="6" t="n">
        <x:v>0</x:v>
      </x:c>
      <x:c r="F2205" s="6" t="n">
        <x:v>0</x:v>
      </x:c>
      <x:c r="G2205" s="6" t="n">
        <x:v>0</x:v>
      </x:c>
      <x:c r="H2205" s="6" t="n">
        <x:v>-6562</x:v>
      </x:c>
    </x:row>
    <x:row r="2206" ht="21" customHeight="1">
      <x:c r="A2206" s="1" t="str">
        <x:v>C0011826</x:v>
      </x:c>
      <x:c r="B2206" s="1" t="n">
        <x:v>4</x:v>
      </x:c>
      <x:c r="C2206" s="1" t="n">
        <x:v>94</x:v>
      </x:c>
      <x:c r="D2206" s="6" t="n">
        <x:v>6562</x:v>
      </x:c>
      <x:c r="E2206" s="6" t="n">
        <x:v>13124</x:v>
      </x:c>
      <x:c r="F2206" s="6" t="n">
        <x:v>0</x:v>
      </x:c>
      <x:c r="G2206" s="6" t="n">
        <x:v>13124</x:v>
      </x:c>
      <x:c r="H2206" s="6" t="n">
        <x:v>6562</x:v>
      </x:c>
    </x:row>
    <x:row r="2207" ht="21" customHeight="1">
      <x:c r="A2207" s="1" t="str">
        <x:v>C0008992</x:v>
      </x:c>
      <x:c r="B2207" s="1" t="n">
        <x:v>4</x:v>
      </x:c>
      <x:c r="C2207" s="1" t="n">
        <x:v>94</x:v>
      </x:c>
      <x:c r="D2207" s="6" t="n">
        <x:v>6562</x:v>
      </x:c>
      <x:c r="E2207" s="6" t="n">
        <x:v>0</x:v>
      </x:c>
      <x:c r="F2207" s="6" t="n">
        <x:v>0</x:v>
      </x:c>
      <x:c r="G2207" s="6" t="n">
        <x:v>0</x:v>
      </x:c>
      <x:c r="H2207" s="6" t="n">
        <x:v>-6562</x:v>
      </x:c>
    </x:row>
    <x:row r="2208" ht="21" customHeight="1">
      <x:c r="A2208" s="1" t="str">
        <x:v>C0014393</x:v>
      </x:c>
      <x:c r="B2208" s="1" t="n">
        <x:v>4</x:v>
      </x:c>
      <x:c r="C2208" s="1" t="n">
        <x:v>94</x:v>
      </x:c>
      <x:c r="D2208" s="6" t="n">
        <x:v>6562</x:v>
      </x:c>
      <x:c r="E2208" s="6" t="n">
        <x:v>13124</x:v>
      </x:c>
      <x:c r="F2208" s="6" t="n">
        <x:v>0</x:v>
      </x:c>
      <x:c r="G2208" s="6" t="n">
        <x:v>13124</x:v>
      </x:c>
      <x:c r="H2208" s="6" t="n">
        <x:v>6562</x:v>
      </x:c>
    </x:row>
    <x:row r="2209" ht="21" customHeight="1">
      <x:c r="A2209" s="1" t="str">
        <x:v>C0000280</x:v>
      </x:c>
      <x:c r="B2209" s="1" t="n">
        <x:v>4</x:v>
      </x:c>
      <x:c r="C2209" s="1" t="n">
        <x:v>94</x:v>
      </x:c>
      <x:c r="D2209" s="6" t="n">
        <x:v>6562</x:v>
      </x:c>
      <x:c r="E2209" s="6" t="n">
        <x:v>0</x:v>
      </x:c>
      <x:c r="F2209" s="6" t="n">
        <x:v>0</x:v>
      </x:c>
      <x:c r="G2209" s="6" t="n">
        <x:v>0</x:v>
      </x:c>
      <x:c r="H2209" s="6" t="n">
        <x:v>-6562</x:v>
      </x:c>
    </x:row>
    <x:row r="2210" ht="21" customHeight="1">
      <x:c r="A2210" s="1" t="str">
        <x:v>C0011456</x:v>
      </x:c>
      <x:c r="B2210" s="1" t="n">
        <x:v>1</x:v>
      </x:c>
      <x:c r="C2210" s="1" t="n">
        <x:v>61</x:v>
      </x:c>
      <x:c r="D2210" s="6" t="n">
        <x:v>6552</x:v>
      </x:c>
      <x:c r="E2210" s="6" t="n">
        <x:v>13104</x:v>
      </x:c>
      <x:c r="F2210" s="6" t="n">
        <x:v>0</x:v>
      </x:c>
      <x:c r="G2210" s="6" t="n">
        <x:v>13104</x:v>
      </x:c>
      <x:c r="H2210" s="6" t="n">
        <x:v>6552</x:v>
      </x:c>
    </x:row>
    <x:row r="2211" ht="21" customHeight="1">
      <x:c r="A2211" s="1" t="str">
        <x:v>C0000917</x:v>
      </x:c>
      <x:c r="B2211" s="1" t="n">
        <x:v>1</x:v>
      </x:c>
      <x:c r="C2211" s="1" t="n">
        <x:v>61</x:v>
      </x:c>
      <x:c r="D2211" s="6" t="n">
        <x:v>6552</x:v>
      </x:c>
      <x:c r="E2211" s="6" t="n">
        <x:v>0</x:v>
      </x:c>
      <x:c r="F2211" s="6" t="n">
        <x:v>0</x:v>
      </x:c>
      <x:c r="G2211" s="6" t="n">
        <x:v>0</x:v>
      </x:c>
      <x:c r="H2211" s="6" t="n">
        <x:v>-6552</x:v>
      </x:c>
    </x:row>
    <x:row r="2212" ht="21" customHeight="1">
      <x:c r="A2212" s="1" t="str">
        <x:v>C0017729</x:v>
      </x:c>
      <x:c r="B2212" s="1" t="n">
        <x:v>1</x:v>
      </x:c>
      <x:c r="C2212" s="1" t="n">
        <x:v>61</x:v>
      </x:c>
      <x:c r="D2212" s="6" t="n">
        <x:v>6552</x:v>
      </x:c>
      <x:c r="E2212" s="6" t="n">
        <x:v>0</x:v>
      </x:c>
      <x:c r="F2212" s="6" t="n">
        <x:v>0</x:v>
      </x:c>
      <x:c r="G2212" s="6" t="n">
        <x:v>0</x:v>
      </x:c>
      <x:c r="H2212" s="6" t="n">
        <x:v>-6552</x:v>
      </x:c>
    </x:row>
    <x:row r="2213" ht="21" customHeight="1">
      <x:c r="A2213" s="1" t="str">
        <x:v>C0015231</x:v>
      </x:c>
      <x:c r="B2213" s="1" t="n">
        <x:v>1</x:v>
      </x:c>
      <x:c r="C2213" s="1" t="n">
        <x:v>61</x:v>
      </x:c>
      <x:c r="D2213" s="6" t="n">
        <x:v>6552</x:v>
      </x:c>
      <x:c r="E2213" s="6" t="n">
        <x:v>13104</x:v>
      </x:c>
      <x:c r="F2213" s="6" t="n">
        <x:v>0</x:v>
      </x:c>
      <x:c r="G2213" s="6" t="n">
        <x:v>13104</x:v>
      </x:c>
      <x:c r="H2213" s="6" t="n">
        <x:v>6552</x:v>
      </x:c>
    </x:row>
    <x:row r="2214" ht="21" customHeight="1">
      <x:c r="A2214" s="1" t="str">
        <x:v>C0002247</x:v>
      </x:c>
      <x:c r="B2214" s="1" t="n">
        <x:v>1</x:v>
      </x:c>
      <x:c r="C2214" s="1" t="n">
        <x:v>61</x:v>
      </x:c>
      <x:c r="D2214" s="6" t="n">
        <x:v>0</x:v>
      </x:c>
      <x:c r="E2214" s="6" t="n">
        <x:v>6552</x:v>
      </x:c>
      <x:c r="F2214" s="6" t="n">
        <x:v>0</x:v>
      </x:c>
      <x:c r="G2214" s="6" t="n">
        <x:v>6552</x:v>
      </x:c>
      <x:c r="H2214" s="6" t="n">
        <x:v>6552</x:v>
      </x:c>
    </x:row>
    <x:row r="2215" ht="21" customHeight="1">
      <x:c r="A2215" s="1" t="str">
        <x:v>C0017933</x:v>
      </x:c>
      <x:c r="B2215" s="1" t="n">
        <x:v>1</x:v>
      </x:c>
      <x:c r="C2215" s="1" t="n">
        <x:v>61</x:v>
      </x:c>
      <x:c r="D2215" s="6" t="n">
        <x:v>6552</x:v>
      </x:c>
      <x:c r="E2215" s="6" t="n">
        <x:v>13104</x:v>
      </x:c>
      <x:c r="F2215" s="6" t="n">
        <x:v>0</x:v>
      </x:c>
      <x:c r="G2215" s="6" t="n">
        <x:v>13104</x:v>
      </x:c>
      <x:c r="H2215" s="6" t="n">
        <x:v>6552</x:v>
      </x:c>
    </x:row>
    <x:row r="2216" ht="21" customHeight="1">
      <x:c r="A2216" s="1" t="str">
        <x:v>C0002026</x:v>
      </x:c>
      <x:c r="B2216" s="1" t="n">
        <x:v>1</x:v>
      </x:c>
      <x:c r="C2216" s="1" t="n">
        <x:v>61</x:v>
      </x:c>
      <x:c r="D2216" s="6" t="n">
        <x:v>6552</x:v>
      </x:c>
      <x:c r="E2216" s="6" t="n">
        <x:v>13104</x:v>
      </x:c>
      <x:c r="F2216" s="6" t="n">
        <x:v>0</x:v>
      </x:c>
      <x:c r="G2216" s="6" t="n">
        <x:v>13104</x:v>
      </x:c>
      <x:c r="H2216" s="6" t="n">
        <x:v>6552</x:v>
      </x:c>
    </x:row>
    <x:row r="2217" ht="21" customHeight="1">
      <x:c r="A2217" s="1" t="str">
        <x:v>C0012391</x:v>
      </x:c>
      <x:c r="B2217" s="1" t="n">
        <x:v>1</x:v>
      </x:c>
      <x:c r="C2217" s="1" t="n">
        <x:v>61</x:v>
      </x:c>
      <x:c r="D2217" s="6" t="n">
        <x:v>0</x:v>
      </x:c>
      <x:c r="E2217" s="6" t="n">
        <x:v>6552</x:v>
      </x:c>
      <x:c r="F2217" s="6" t="n">
        <x:v>0</x:v>
      </x:c>
      <x:c r="G2217" s="6" t="n">
        <x:v>6552</x:v>
      </x:c>
      <x:c r="H2217" s="6" t="n">
        <x:v>6552</x:v>
      </x:c>
    </x:row>
    <x:row r="2218" ht="21" customHeight="1">
      <x:c r="A2218" s="1" t="str">
        <x:v>C0013316</x:v>
      </x:c>
      <x:c r="B2218" s="1" t="n">
        <x:v>1</x:v>
      </x:c>
      <x:c r="C2218" s="1" t="n">
        <x:v>61</x:v>
      </x:c>
      <x:c r="D2218" s="6" t="n">
        <x:v>0</x:v>
      </x:c>
      <x:c r="E2218" s="6" t="n">
        <x:v>6552</x:v>
      </x:c>
      <x:c r="F2218" s="6" t="n">
        <x:v>0</x:v>
      </x:c>
      <x:c r="G2218" s="6" t="n">
        <x:v>6552</x:v>
      </x:c>
      <x:c r="H2218" s="6" t="n">
        <x:v>6552</x:v>
      </x:c>
    </x:row>
    <x:row r="2219" ht="21" customHeight="1">
      <x:c r="A2219" s="1" t="str">
        <x:v>C0008592</x:v>
      </x:c>
      <x:c r="B2219" s="1" t="n">
        <x:v>1</x:v>
      </x:c>
      <x:c r="C2219" s="1" t="n">
        <x:v>61</x:v>
      </x:c>
      <x:c r="D2219" s="6" t="n">
        <x:v>0</x:v>
      </x:c>
      <x:c r="E2219" s="6" t="n">
        <x:v>6552</x:v>
      </x:c>
      <x:c r="F2219" s="6" t="n">
        <x:v>0</x:v>
      </x:c>
      <x:c r="G2219" s="6" t="n">
        <x:v>6552</x:v>
      </x:c>
      <x:c r="H2219" s="6" t="n">
        <x:v>6552</x:v>
      </x:c>
    </x:row>
    <x:row r="2220" ht="21" customHeight="1">
      <x:c r="A2220" s="1" t="str">
        <x:v>C0004141</x:v>
      </x:c>
      <x:c r="B2220" s="1" t="n">
        <x:v>14</x:v>
      </x:c>
      <x:c r="C2220" s="1" t="n">
        <x:v>74</x:v>
      </x:c>
      <x:c r="D2220" s="6" t="n">
        <x:v>6480</x:v>
      </x:c>
      <x:c r="E2220" s="6" t="n">
        <x:v>12960</x:v>
      </x:c>
      <x:c r="F2220" s="6" t="n">
        <x:v>0</x:v>
      </x:c>
      <x:c r="G2220" s="6" t="n">
        <x:v>12960</x:v>
      </x:c>
      <x:c r="H2220" s="6" t="n">
        <x:v>6480</x:v>
      </x:c>
    </x:row>
    <x:row r="2221" ht="21" customHeight="1">
      <x:c r="A2221" s="1" t="str">
        <x:v>C0009325</x:v>
      </x:c>
      <x:c r="B2221" s="1" t="n">
        <x:v>14</x:v>
      </x:c>
      <x:c r="C2221" s="1" t="n">
        <x:v>74</x:v>
      </x:c>
      <x:c r="D2221" s="6" t="n">
        <x:v>6480</x:v>
      </x:c>
      <x:c r="E2221" s="6" t="n">
        <x:v>0</x:v>
      </x:c>
      <x:c r="F2221" s="6" t="n">
        <x:v>0</x:v>
      </x:c>
      <x:c r="G2221" s="6" t="n">
        <x:v>0</x:v>
      </x:c>
      <x:c r="H2221" s="6" t="n">
        <x:v>-6480</x:v>
      </x:c>
    </x:row>
    <x:row r="2222" ht="21" customHeight="1">
      <x:c r="A2222" s="1" t="str">
        <x:v>C0002240</x:v>
      </x:c>
      <x:c r="B2222" s="1" t="n">
        <x:v>14</x:v>
      </x:c>
      <x:c r="C2222" s="1" t="n">
        <x:v>74</x:v>
      </x:c>
      <x:c r="D2222" s="6" t="n">
        <x:v>6480</x:v>
      </x:c>
      <x:c r="E2222" s="6" t="n">
        <x:v>0</x:v>
      </x:c>
      <x:c r="F2222" s="6" t="n">
        <x:v>0</x:v>
      </x:c>
      <x:c r="G2222" s="6" t="n">
        <x:v>0</x:v>
      </x:c>
      <x:c r="H2222" s="6" t="n">
        <x:v>-6480</x:v>
      </x:c>
    </x:row>
    <x:row r="2223" ht="21" customHeight="1">
      <x:c r="A2223" s="1" t="str">
        <x:v>C0016988</x:v>
      </x:c>
      <x:c r="B2223" s="1" t="n">
        <x:v>14</x:v>
      </x:c>
      <x:c r="C2223" s="1" t="n">
        <x:v>74</x:v>
      </x:c>
      <x:c r="D2223" s="6" t="n">
        <x:v>6480</x:v>
      </x:c>
      <x:c r="E2223" s="6" t="n">
        <x:v>12960</x:v>
      </x:c>
      <x:c r="F2223" s="6" t="n">
        <x:v>0</x:v>
      </x:c>
      <x:c r="G2223" s="6" t="n">
        <x:v>12960</x:v>
      </x:c>
      <x:c r="H2223" s="6" t="n">
        <x:v>6480</x:v>
      </x:c>
    </x:row>
    <x:row r="2224" ht="21" customHeight="1">
      <x:c r="A2224" s="1" t="str">
        <x:v>C0005981</x:v>
      </x:c>
      <x:c r="B2224" s="1" t="n">
        <x:v>14</x:v>
      </x:c>
      <x:c r="C2224" s="1" t="n">
        <x:v>74</x:v>
      </x:c>
      <x:c r="D2224" s="6" t="n">
        <x:v>6480</x:v>
      </x:c>
      <x:c r="E2224" s="6" t="n">
        <x:v>0</x:v>
      </x:c>
      <x:c r="F2224" s="6" t="n">
        <x:v>0</x:v>
      </x:c>
      <x:c r="G2224" s="6" t="n">
        <x:v>0</x:v>
      </x:c>
      <x:c r="H2224" s="6" t="n">
        <x:v>-6480</x:v>
      </x:c>
    </x:row>
    <x:row r="2225" ht="21" customHeight="1">
      <x:c r="A2225" s="1" t="str">
        <x:v>C0012733</x:v>
      </x:c>
      <x:c r="B2225" s="1" t="n">
        <x:v>14</x:v>
      </x:c>
      <x:c r="C2225" s="1" t="n">
        <x:v>74</x:v>
      </x:c>
      <x:c r="D2225" s="6" t="n">
        <x:v>6480</x:v>
      </x:c>
      <x:c r="E2225" s="6" t="n">
        <x:v>0</x:v>
      </x:c>
      <x:c r="F2225" s="6" t="n">
        <x:v>0</x:v>
      </x:c>
      <x:c r="G2225" s="6" t="n">
        <x:v>0</x:v>
      </x:c>
      <x:c r="H2225" s="6" t="n">
        <x:v>-6480</x:v>
      </x:c>
    </x:row>
    <x:row r="2226" ht="21" customHeight="1">
      <x:c r="A2226" s="1" t="str">
        <x:v>C0010140</x:v>
      </x:c>
      <x:c r="B2226" s="1" t="n">
        <x:v>17</x:v>
      </x:c>
      <x:c r="C2226" s="1" t="n">
        <x:v>17</x:v>
      </x:c>
      <x:c r="D2226" s="6" t="n">
        <x:v>6299</x:v>
      </x:c>
      <x:c r="E2226" s="6" t="n">
        <x:v>12598</x:v>
      </x:c>
      <x:c r="F2226" s="6" t="n">
        <x:v>0</x:v>
      </x:c>
      <x:c r="G2226" s="6" t="n">
        <x:v>12598</x:v>
      </x:c>
      <x:c r="H2226" s="6" t="n">
        <x:v>6299</x:v>
      </x:c>
    </x:row>
    <x:row r="2227" ht="21" customHeight="1">
      <x:c r="A2227" s="1" t="str">
        <x:v>C0016026</x:v>
      </x:c>
      <x:c r="B2227" s="1" t="n">
        <x:v>17</x:v>
      </x:c>
      <x:c r="C2227" s="1" t="n">
        <x:v>17</x:v>
      </x:c>
      <x:c r="D2227" s="6" t="n">
        <x:v>6299</x:v>
      </x:c>
      <x:c r="E2227" s="6" t="n">
        <x:v>0</x:v>
      </x:c>
      <x:c r="F2227" s="6" t="n">
        <x:v>0</x:v>
      </x:c>
      <x:c r="G2227" s="6" t="n">
        <x:v>0</x:v>
      </x:c>
      <x:c r="H2227" s="6" t="n">
        <x:v>-6299</x:v>
      </x:c>
    </x:row>
    <x:row r="2228" ht="21" customHeight="1">
      <x:c r="A2228" s="1" t="str">
        <x:v>C0003078</x:v>
      </x:c>
      <x:c r="B2228" s="1" t="n">
        <x:v>17</x:v>
      </x:c>
      <x:c r="C2228" s="1" t="n">
        <x:v>17</x:v>
      </x:c>
      <x:c r="D2228" s="6" t="n">
        <x:v>6299</x:v>
      </x:c>
      <x:c r="E2228" s="6" t="n">
        <x:v>0</x:v>
      </x:c>
      <x:c r="F2228" s="6" t="n">
        <x:v>0</x:v>
      </x:c>
      <x:c r="G2228" s="6" t="n">
        <x:v>0</x:v>
      </x:c>
      <x:c r="H2228" s="6" t="n">
        <x:v>-6299</x:v>
      </x:c>
    </x:row>
    <x:row r="2229" ht="21" customHeight="1">
      <x:c r="A2229" s="1" t="str">
        <x:v>C0010283</x:v>
      </x:c>
      <x:c r="B2229" s="1" t="n">
        <x:v>17</x:v>
      </x:c>
      <x:c r="C2229" s="1" t="n">
        <x:v>17</x:v>
      </x:c>
      <x:c r="D2229" s="6" t="n">
        <x:v>6299</x:v>
      </x:c>
      <x:c r="E2229" s="6" t="n">
        <x:v>12598</x:v>
      </x:c>
      <x:c r="F2229" s="6" t="n">
        <x:v>0</x:v>
      </x:c>
      <x:c r="G2229" s="6" t="n">
        <x:v>12598</x:v>
      </x:c>
      <x:c r="H2229" s="6" t="n">
        <x:v>6299</x:v>
      </x:c>
    </x:row>
    <x:row r="2230" ht="21" customHeight="1">
      <x:c r="A2230" s="1" t="str">
        <x:v>C0000049</x:v>
      </x:c>
      <x:c r="B2230" s="1" t="n">
        <x:v>17</x:v>
      </x:c>
      <x:c r="C2230" s="1" t="n">
        <x:v>17</x:v>
      </x:c>
      <x:c r="D2230" s="6" t="n">
        <x:v>6299</x:v>
      </x:c>
      <x:c r="E2230" s="6" t="n">
        <x:v>12598</x:v>
      </x:c>
      <x:c r="F2230" s="6" t="n">
        <x:v>0</x:v>
      </x:c>
      <x:c r="G2230" s="6" t="n">
        <x:v>12598</x:v>
      </x:c>
      <x:c r="H2230" s="6" t="n">
        <x:v>6299</x:v>
      </x:c>
    </x:row>
    <x:row r="2231" ht="21" customHeight="1">
      <x:c r="A2231" s="1" t="str">
        <x:v>C0007554</x:v>
      </x:c>
      <x:c r="B2231" s="1" t="n">
        <x:v>17</x:v>
      </x:c>
      <x:c r="C2231" s="1" t="n">
        <x:v>17</x:v>
      </x:c>
      <x:c r="D2231" s="6" t="n">
        <x:v>6299</x:v>
      </x:c>
      <x:c r="E2231" s="6" t="n">
        <x:v>12598</x:v>
      </x:c>
      <x:c r="F2231" s="6" t="n">
        <x:v>0</x:v>
      </x:c>
      <x:c r="G2231" s="6" t="n">
        <x:v>12598</x:v>
      </x:c>
      <x:c r="H2231" s="6" t="n">
        <x:v>6299</x:v>
      </x:c>
    </x:row>
    <x:row r="2232" ht="21" customHeight="1">
      <x:c r="A2232" s="1" t="str">
        <x:v>C0015918</x:v>
      </x:c>
      <x:c r="B2232" s="1" t="n">
        <x:v>17</x:v>
      </x:c>
      <x:c r="C2232" s="1" t="n">
        <x:v>17</x:v>
      </x:c>
      <x:c r="D2232" s="6" t="n">
        <x:v>6299</x:v>
      </x:c>
      <x:c r="E2232" s="6" t="n">
        <x:v>12598</x:v>
      </x:c>
      <x:c r="F2232" s="6" t="n">
        <x:v>0</x:v>
      </x:c>
      <x:c r="G2232" s="6" t="n">
        <x:v>12598</x:v>
      </x:c>
      <x:c r="H2232" s="6" t="n">
        <x:v>6299</x:v>
      </x:c>
    </x:row>
    <x:row r="2233" ht="21" customHeight="1">
      <x:c r="A2233" s="1" t="str">
        <x:v>C0002478</x:v>
      </x:c>
      <x:c r="B2233" s="1" t="n">
        <x:v>7</x:v>
      </x:c>
      <x:c r="C2233" s="1" t="n">
        <x:v>37</x:v>
      </x:c>
      <x:c r="D2233" s="6" t="n">
        <x:v>6222</x:v>
      </x:c>
      <x:c r="E2233" s="6" t="n">
        <x:v>12444</x:v>
      </x:c>
      <x:c r="F2233" s="6" t="n">
        <x:v>0</x:v>
      </x:c>
      <x:c r="G2233" s="6" t="n">
        <x:v>12444</x:v>
      </x:c>
      <x:c r="H2233" s="6" t="n">
        <x:v>6222</x:v>
      </x:c>
    </x:row>
    <x:row r="2234" ht="21" customHeight="1">
      <x:c r="A2234" s="1" t="str">
        <x:v>C0008279</x:v>
      </x:c>
      <x:c r="B2234" s="1" t="n">
        <x:v>7</x:v>
      </x:c>
      <x:c r="C2234" s="1" t="n">
        <x:v>37</x:v>
      </x:c>
      <x:c r="D2234" s="6" t="n">
        <x:v>6222</x:v>
      </x:c>
      <x:c r="E2234" s="6" t="n">
        <x:v>0</x:v>
      </x:c>
      <x:c r="F2234" s="6" t="n">
        <x:v>0</x:v>
      </x:c>
      <x:c r="G2234" s="6" t="n">
        <x:v>0</x:v>
      </x:c>
      <x:c r="H2234" s="6" t="n">
        <x:v>-6222</x:v>
      </x:c>
    </x:row>
    <x:row r="2235" ht="21" customHeight="1">
      <x:c r="A2235" s="1" t="str">
        <x:v>C0004397</x:v>
      </x:c>
      <x:c r="B2235" s="1" t="n">
        <x:v>7</x:v>
      </x:c>
      <x:c r="C2235" s="1" t="n">
        <x:v>37</x:v>
      </x:c>
      <x:c r="D2235" s="6" t="n">
        <x:v>6222</x:v>
      </x:c>
      <x:c r="E2235" s="6" t="n">
        <x:v>12444</x:v>
      </x:c>
      <x:c r="F2235" s="6" t="n">
        <x:v>0</x:v>
      </x:c>
      <x:c r="G2235" s="6" t="n">
        <x:v>12444</x:v>
      </x:c>
      <x:c r="H2235" s="6" t="n">
        <x:v>6222</x:v>
      </x:c>
    </x:row>
    <x:row r="2236" ht="21" customHeight="1">
      <x:c r="A2236" s="1" t="str">
        <x:v>C0009954</x:v>
      </x:c>
      <x:c r="B2236" s="1" t="n">
        <x:v>7</x:v>
      </x:c>
      <x:c r="C2236" s="1" t="n">
        <x:v>37</x:v>
      </x:c>
      <x:c r="D2236" s="6" t="n">
        <x:v>6222</x:v>
      </x:c>
      <x:c r="E2236" s="6" t="n">
        <x:v>0</x:v>
      </x:c>
      <x:c r="F2236" s="6" t="n">
        <x:v>0</x:v>
      </x:c>
      <x:c r="G2236" s="6" t="n">
        <x:v>0</x:v>
      </x:c>
      <x:c r="H2236" s="6" t="n">
        <x:v>-6222</x:v>
      </x:c>
    </x:row>
    <x:row r="2237" ht="21" customHeight="1">
      <x:c r="A2237" s="1" t="str">
        <x:v>C0007352</x:v>
      </x:c>
      <x:c r="B2237" s="1" t="n">
        <x:v>7</x:v>
      </x:c>
      <x:c r="C2237" s="1" t="n">
        <x:v>37</x:v>
      </x:c>
      <x:c r="D2237" s="6" t="n">
        <x:v>6222</x:v>
      </x:c>
      <x:c r="E2237" s="6" t="n">
        <x:v>0</x:v>
      </x:c>
      <x:c r="F2237" s="6" t="n">
        <x:v>0</x:v>
      </x:c>
      <x:c r="G2237" s="6" t="n">
        <x:v>0</x:v>
      </x:c>
      <x:c r="H2237" s="6" t="n">
        <x:v>-6222</x:v>
      </x:c>
    </x:row>
    <x:row r="2238" ht="21" customHeight="1">
      <x:c r="A2238" s="1" t="str">
        <x:v>C0014246</x:v>
      </x:c>
      <x:c r="B2238" s="1" t="n">
        <x:v>23</x:v>
      </x:c>
      <x:c r="C2238" s="1" t="n">
        <x:v>83</x:v>
      </x:c>
      <x:c r="D2238" s="6" t="n">
        <x:v>0</x:v>
      </x:c>
      <x:c r="E2238" s="6" t="n">
        <x:v>6212</x:v>
      </x:c>
      <x:c r="F2238" s="6" t="n">
        <x:v>0</x:v>
      </x:c>
      <x:c r="G2238" s="6" t="n">
        <x:v>6212</x:v>
      </x:c>
      <x:c r="H2238" s="6" t="n">
        <x:v>6212</x:v>
      </x:c>
    </x:row>
    <x:row r="2239" ht="21" customHeight="1">
      <x:c r="A2239" s="1" t="str">
        <x:v>C0013533</x:v>
      </x:c>
      <x:c r="B2239" s="1" t="n">
        <x:v>23</x:v>
      </x:c>
      <x:c r="C2239" s="1" t="n">
        <x:v>83</x:v>
      </x:c>
      <x:c r="D2239" s="6" t="n">
        <x:v>6212</x:v>
      </x:c>
      <x:c r="E2239" s="6" t="n">
        <x:v>12424</x:v>
      </x:c>
      <x:c r="F2239" s="6" t="n">
        <x:v>0</x:v>
      </x:c>
      <x:c r="G2239" s="6" t="n">
        <x:v>12424</x:v>
      </x:c>
      <x:c r="H2239" s="6" t="n">
        <x:v>6212</x:v>
      </x:c>
    </x:row>
    <x:row r="2240" ht="21" customHeight="1">
      <x:c r="A2240" s="1" t="str">
        <x:v>C0003207</x:v>
      </x:c>
      <x:c r="B2240" s="1" t="n">
        <x:v>23</x:v>
      </x:c>
      <x:c r="C2240" s="1" t="n">
        <x:v>83</x:v>
      </x:c>
      <x:c r="D2240" s="6" t="n">
        <x:v>6212</x:v>
      </x:c>
      <x:c r="E2240" s="6" t="n">
        <x:v>0</x:v>
      </x:c>
      <x:c r="F2240" s="6" t="n">
        <x:v>0</x:v>
      </x:c>
      <x:c r="G2240" s="6" t="n">
        <x:v>0</x:v>
      </x:c>
      <x:c r="H2240" s="6" t="n">
        <x:v>-6212</x:v>
      </x:c>
    </x:row>
    <x:row r="2241" ht="21" customHeight="1">
      <x:c r="A2241" s="1" t="str">
        <x:v>C0005051</x:v>
      </x:c>
      <x:c r="B2241" s="1" t="n">
        <x:v>23</x:v>
      </x:c>
      <x:c r="C2241" s="1" t="n">
        <x:v>83</x:v>
      </x:c>
      <x:c r="D2241" s="6" t="n">
        <x:v>6212</x:v>
      </x:c>
      <x:c r="E2241" s="6" t="n">
        <x:v>0</x:v>
      </x:c>
      <x:c r="F2241" s="6" t="n">
        <x:v>0</x:v>
      </x:c>
      <x:c r="G2241" s="6" t="n">
        <x:v>0</x:v>
      </x:c>
      <x:c r="H2241" s="6" t="n">
        <x:v>-6212</x:v>
      </x:c>
    </x:row>
    <x:row r="2242" ht="21" customHeight="1">
      <x:c r="A2242" s="1" t="str">
        <x:v>C0008007</x:v>
      </x:c>
      <x:c r="B2242" s="1" t="n">
        <x:v>23</x:v>
      </x:c>
      <x:c r="C2242" s="1" t="n">
        <x:v>83</x:v>
      </x:c>
      <x:c r="D2242" s="6" t="n">
        <x:v>6212</x:v>
      </x:c>
      <x:c r="E2242" s="6" t="n">
        <x:v>12424</x:v>
      </x:c>
      <x:c r="F2242" s="6" t="n">
        <x:v>0</x:v>
      </x:c>
      <x:c r="G2242" s="6" t="n">
        <x:v>12424</x:v>
      </x:c>
      <x:c r="H2242" s="6" t="n">
        <x:v>6212</x:v>
      </x:c>
    </x:row>
    <x:row r="2243" ht="21" customHeight="1">
      <x:c r="A2243" s="1" t="str">
        <x:v>C0005271</x:v>
      </x:c>
      <x:c r="B2243" s="1" t="n">
        <x:v>23</x:v>
      </x:c>
      <x:c r="C2243" s="1" t="n">
        <x:v>83</x:v>
      </x:c>
      <x:c r="D2243" s="6" t="n">
        <x:v>6212</x:v>
      </x:c>
      <x:c r="E2243" s="6" t="n">
        <x:v>12424</x:v>
      </x:c>
      <x:c r="F2243" s="6" t="n">
        <x:v>0</x:v>
      </x:c>
      <x:c r="G2243" s="6" t="n">
        <x:v>12424</x:v>
      </x:c>
      <x:c r="H2243" s="6" t="n">
        <x:v>6212</x:v>
      </x:c>
    </x:row>
    <x:row r="2244" ht="21" customHeight="1">
      <x:c r="A2244" s="1" t="str">
        <x:v>C0009904</x:v>
      </x:c>
      <x:c r="B2244" s="1" t="n">
        <x:v>23</x:v>
      </x:c>
      <x:c r="C2244" s="1" t="n">
        <x:v>83</x:v>
      </x:c>
      <x:c r="D2244" s="6" t="n">
        <x:v>0</x:v>
      </x:c>
      <x:c r="E2244" s="6" t="n">
        <x:v>6212</x:v>
      </x:c>
      <x:c r="F2244" s="6" t="n">
        <x:v>0</x:v>
      </x:c>
      <x:c r="G2244" s="6" t="n">
        <x:v>6212</x:v>
      </x:c>
      <x:c r="H2244" s="6" t="n">
        <x:v>6212</x:v>
      </x:c>
    </x:row>
    <x:row r="2245" ht="21" customHeight="1">
      <x:c r="A2245" s="1" t="str">
        <x:v>C0002333</x:v>
      </x:c>
      <x:c r="B2245" s="1" t="n">
        <x:v>23</x:v>
      </x:c>
      <x:c r="C2245" s="1" t="n">
        <x:v>83</x:v>
      </x:c>
      <x:c r="D2245" s="6" t="n">
        <x:v>6212</x:v>
      </x:c>
      <x:c r="E2245" s="6" t="n">
        <x:v>12424</x:v>
      </x:c>
      <x:c r="F2245" s="6" t="n">
        <x:v>0</x:v>
      </x:c>
      <x:c r="G2245" s="6" t="n">
        <x:v>12424</x:v>
      </x:c>
      <x:c r="H2245" s="6" t="n">
        <x:v>6212</x:v>
      </x:c>
    </x:row>
    <x:row r="2246" ht="21" customHeight="1">
      <x:c r="A2246" s="1" t="str">
        <x:v>C0006616</x:v>
      </x:c>
      <x:c r="B2246" s="1" t="n">
        <x:v>23</x:v>
      </x:c>
      <x:c r="C2246" s="1" t="n">
        <x:v>83</x:v>
      </x:c>
      <x:c r="D2246" s="6" t="n">
        <x:v>6212</x:v>
      </x:c>
      <x:c r="E2246" s="6" t="n">
        <x:v>0</x:v>
      </x:c>
      <x:c r="F2246" s="6" t="n">
        <x:v>0</x:v>
      </x:c>
      <x:c r="G2246" s="6" t="n">
        <x:v>0</x:v>
      </x:c>
      <x:c r="H2246" s="6" t="n">
        <x:v>-6212</x:v>
      </x:c>
    </x:row>
    <x:row r="2247" ht="21" customHeight="1">
      <x:c r="A2247" s="1" t="str">
        <x:v>C0012556</x:v>
      </x:c>
      <x:c r="B2247" s="1" t="n">
        <x:v>23</x:v>
      </x:c>
      <x:c r="C2247" s="1" t="n">
        <x:v>83</x:v>
      </x:c>
      <x:c r="D2247" s="6" t="n">
        <x:v>6212</x:v>
      </x:c>
      <x:c r="E2247" s="6" t="n">
        <x:v>12424</x:v>
      </x:c>
      <x:c r="F2247" s="6" t="n">
        <x:v>0</x:v>
      </x:c>
      <x:c r="G2247" s="6" t="n">
        <x:v>12424</x:v>
      </x:c>
      <x:c r="H2247" s="6" t="n">
        <x:v>6212</x:v>
      </x:c>
    </x:row>
    <x:row r="2248" ht="21" customHeight="1">
      <x:c r="A2248" s="1" t="str">
        <x:v>C0011653</x:v>
      </x:c>
      <x:c r="B2248" s="1" t="n">
        <x:v>5</x:v>
      </x:c>
      <x:c r="C2248" s="1" t="n">
        <x:v>95</x:v>
      </x:c>
      <x:c r="D2248" s="6" t="n">
        <x:v>6204</x:v>
      </x:c>
      <x:c r="E2248" s="6" t="n">
        <x:v>12408</x:v>
      </x:c>
      <x:c r="F2248" s="6" t="n">
        <x:v>0</x:v>
      </x:c>
      <x:c r="G2248" s="6" t="n">
        <x:v>12408</x:v>
      </x:c>
      <x:c r="H2248" s="6" t="n">
        <x:v>6204</x:v>
      </x:c>
    </x:row>
    <x:row r="2249" ht="21" customHeight="1">
      <x:c r="A2249" s="1" t="str">
        <x:v>C0001129</x:v>
      </x:c>
      <x:c r="B2249" s="1" t="n">
        <x:v>5</x:v>
      </x:c>
      <x:c r="C2249" s="1" t="n">
        <x:v>95</x:v>
      </x:c>
      <x:c r="D2249" s="6" t="n">
        <x:v>6204</x:v>
      </x:c>
      <x:c r="E2249" s="6" t="n">
        <x:v>12408</x:v>
      </x:c>
      <x:c r="F2249" s="6" t="n">
        <x:v>0</x:v>
      </x:c>
      <x:c r="G2249" s="6" t="n">
        <x:v>12408</x:v>
      </x:c>
      <x:c r="H2249" s="6" t="n">
        <x:v>6204</x:v>
      </x:c>
    </x:row>
    <x:row r="2250" ht="21" customHeight="1">
      <x:c r="A2250" s="1" t="str">
        <x:v>C0006183</x:v>
      </x:c>
      <x:c r="B2250" s="1" t="n">
        <x:v>5</x:v>
      </x:c>
      <x:c r="C2250" s="1" t="n">
        <x:v>95</x:v>
      </x:c>
      <x:c r="D2250" s="6" t="n">
        <x:v>6204</x:v>
      </x:c>
      <x:c r="E2250" s="6" t="n">
        <x:v>12408</x:v>
      </x:c>
      <x:c r="F2250" s="6" t="n">
        <x:v>0</x:v>
      </x:c>
      <x:c r="G2250" s="6" t="n">
        <x:v>12408</x:v>
      </x:c>
      <x:c r="H2250" s="6" t="n">
        <x:v>6204</x:v>
      </x:c>
    </x:row>
    <x:row r="2251" ht="21" customHeight="1">
      <x:c r="A2251" s="1" t="str">
        <x:v>C0001045</x:v>
      </x:c>
      <x:c r="B2251" s="1" t="n">
        <x:v>5</x:v>
      </x:c>
      <x:c r="C2251" s="1" t="n">
        <x:v>95</x:v>
      </x:c>
      <x:c r="D2251" s="6" t="n">
        <x:v>6204</x:v>
      </x:c>
      <x:c r="E2251" s="6" t="n">
        <x:v>12408</x:v>
      </x:c>
      <x:c r="F2251" s="6" t="n">
        <x:v>0</x:v>
      </x:c>
      <x:c r="G2251" s="6" t="n">
        <x:v>12408</x:v>
      </x:c>
      <x:c r="H2251" s="6" t="n">
        <x:v>6204</x:v>
      </x:c>
    </x:row>
    <x:row r="2252" ht="21" customHeight="1">
      <x:c r="A2252" s="1" t="str">
        <x:v>C0006670</x:v>
      </x:c>
      <x:c r="B2252" s="1" t="n">
        <x:v>5</x:v>
      </x:c>
      <x:c r="C2252" s="1" t="n">
        <x:v>95</x:v>
      </x:c>
      <x:c r="D2252" s="6" t="n">
        <x:v>6204</x:v>
      </x:c>
      <x:c r="E2252" s="6" t="n">
        <x:v>12408</x:v>
      </x:c>
      <x:c r="F2252" s="6" t="n">
        <x:v>0</x:v>
      </x:c>
      <x:c r="G2252" s="6" t="n">
        <x:v>12408</x:v>
      </x:c>
      <x:c r="H2252" s="6" t="n">
        <x:v>6204</x:v>
      </x:c>
    </x:row>
    <x:row r="2253" ht="21" customHeight="1">
      <x:c r="A2253" s="1" t="str">
        <x:v>C0009504</x:v>
      </x:c>
      <x:c r="B2253" s="1" t="n">
        <x:v>5</x:v>
      </x:c>
      <x:c r="C2253" s="1" t="n">
        <x:v>95</x:v>
      </x:c>
      <x:c r="D2253" s="6" t="n">
        <x:v>6204</x:v>
      </x:c>
      <x:c r="E2253" s="6" t="n">
        <x:v>0</x:v>
      </x:c>
      <x:c r="F2253" s="6" t="n">
        <x:v>0</x:v>
      </x:c>
      <x:c r="G2253" s="6" t="n">
        <x:v>0</x:v>
      </x:c>
      <x:c r="H2253" s="6" t="n">
        <x:v>-6204</x:v>
      </x:c>
    </x:row>
    <x:row r="2254" ht="21" customHeight="1">
      <x:c r="A2254" s="1" t="str">
        <x:v>C0001450</x:v>
      </x:c>
      <x:c r="B2254" s="1" t="n">
        <x:v>5</x:v>
      </x:c>
      <x:c r="C2254" s="1" t="n">
        <x:v>95</x:v>
      </x:c>
      <x:c r="D2254" s="6" t="n">
        <x:v>6204</x:v>
      </x:c>
      <x:c r="E2254" s="6" t="n">
        <x:v>12408</x:v>
      </x:c>
      <x:c r="F2254" s="6" t="n">
        <x:v>0</x:v>
      </x:c>
      <x:c r="G2254" s="6" t="n">
        <x:v>12408</x:v>
      </x:c>
      <x:c r="H2254" s="6" t="n">
        <x:v>6204</x:v>
      </x:c>
    </x:row>
    <x:row r="2255" ht="21" customHeight="1">
      <x:c r="A2255" s="1" t="str">
        <x:v>C0011274</x:v>
      </x:c>
      <x:c r="B2255" s="1" t="n">
        <x:v>5</x:v>
      </x:c>
      <x:c r="C2255" s="1" t="n">
        <x:v>95</x:v>
      </x:c>
      <x:c r="D2255" s="6" t="n">
        <x:v>6204</x:v>
      </x:c>
      <x:c r="E2255" s="6" t="n">
        <x:v>12408</x:v>
      </x:c>
      <x:c r="F2255" s="6" t="n">
        <x:v>0</x:v>
      </x:c>
      <x:c r="G2255" s="6" t="n">
        <x:v>12408</x:v>
      </x:c>
      <x:c r="H2255" s="6" t="n">
        <x:v>6204</x:v>
      </x:c>
    </x:row>
    <x:row r="2256" ht="21" customHeight="1">
      <x:c r="A2256" s="1" t="str">
        <x:v>C0017738</x:v>
      </x:c>
      <x:c r="B2256" s="1" t="n">
        <x:v>5</x:v>
      </x:c>
      <x:c r="C2256" s="1" t="n">
        <x:v>95</x:v>
      </x:c>
      <x:c r="D2256" s="6" t="n">
        <x:v>6204</x:v>
      </x:c>
      <x:c r="E2256" s="6" t="n">
        <x:v>0</x:v>
      </x:c>
      <x:c r="F2256" s="6" t="n">
        <x:v>0</x:v>
      </x:c>
      <x:c r="G2256" s="6" t="n">
        <x:v>0</x:v>
      </x:c>
      <x:c r="H2256" s="6" t="n">
        <x:v>-6204</x:v>
      </x:c>
    </x:row>
    <x:row r="2257" ht="21" customHeight="1">
      <x:c r="A2257" s="1" t="str">
        <x:v>C0010373</x:v>
      </x:c>
      <x:c r="B2257" s="1" t="n">
        <x:v>5</x:v>
      </x:c>
      <x:c r="C2257" s="1" t="n">
        <x:v>95</x:v>
      </x:c>
      <x:c r="D2257" s="6" t="n">
        <x:v>6204</x:v>
      </x:c>
      <x:c r="E2257" s="6" t="n">
        <x:v>12408</x:v>
      </x:c>
      <x:c r="F2257" s="6" t="n">
        <x:v>0</x:v>
      </x:c>
      <x:c r="G2257" s="6" t="n">
        <x:v>12408</x:v>
      </x:c>
      <x:c r="H2257" s="6" t="n">
        <x:v>6204</x:v>
      </x:c>
    </x:row>
    <x:row r="2258" ht="21" customHeight="1">
      <x:c r="A2258" s="1" t="str">
        <x:v>C0003228</x:v>
      </x:c>
      <x:c r="B2258" s="1" t="n">
        <x:v>5</x:v>
      </x:c>
      <x:c r="C2258" s="1" t="n">
        <x:v>95</x:v>
      </x:c>
      <x:c r="D2258" s="6" t="n">
        <x:v>6204</x:v>
      </x:c>
      <x:c r="E2258" s="6" t="n">
        <x:v>0</x:v>
      </x:c>
      <x:c r="F2258" s="6" t="n">
        <x:v>0</x:v>
      </x:c>
      <x:c r="G2258" s="6" t="n">
        <x:v>0</x:v>
      </x:c>
      <x:c r="H2258" s="6" t="n">
        <x:v>-6204</x:v>
      </x:c>
    </x:row>
    <x:row r="2259" ht="21" customHeight="1">
      <x:c r="A2259" s="1" t="str">
        <x:v>C0017584</x:v>
      </x:c>
      <x:c r="B2259" s="1" t="n">
        <x:v>27</x:v>
      </x:c>
      <x:c r="C2259" s="1" t="n">
        <x:v>117</x:v>
      </x:c>
      <x:c r="D2259" s="6" t="n">
        <x:v>6142</x:v>
      </x:c>
      <x:c r="E2259" s="6" t="n">
        <x:v>12284</x:v>
      </x:c>
      <x:c r="F2259" s="6" t="n">
        <x:v>0</x:v>
      </x:c>
      <x:c r="G2259" s="6" t="n">
        <x:v>12284</x:v>
      </x:c>
      <x:c r="H2259" s="6" t="n">
        <x:v>6142</x:v>
      </x:c>
    </x:row>
    <x:row r="2260" ht="21" customHeight="1">
      <x:c r="A2260" s="1" t="str">
        <x:v>C0012235</x:v>
      </x:c>
      <x:c r="B2260" s="1" t="n">
        <x:v>27</x:v>
      </x:c>
      <x:c r="C2260" s="1" t="n">
        <x:v>117</x:v>
      </x:c>
      <x:c r="D2260" s="6" t="n">
        <x:v>6142</x:v>
      </x:c>
      <x:c r="E2260" s="6" t="n">
        <x:v>0</x:v>
      </x:c>
      <x:c r="F2260" s="6" t="n">
        <x:v>0</x:v>
      </x:c>
      <x:c r="G2260" s="6" t="n">
        <x:v>0</x:v>
      </x:c>
      <x:c r="H2260" s="6" t="n">
        <x:v>-6142</x:v>
      </x:c>
    </x:row>
    <x:row r="2261" ht="21" customHeight="1">
      <x:c r="A2261" s="1" t="str">
        <x:v>C0000349</x:v>
      </x:c>
      <x:c r="B2261" s="1" t="n">
        <x:v>27</x:v>
      </x:c>
      <x:c r="C2261" s="1" t="n">
        <x:v>117</x:v>
      </x:c>
      <x:c r="D2261" s="6" t="n">
        <x:v>6142</x:v>
      </x:c>
      <x:c r="E2261" s="6" t="n">
        <x:v>0</x:v>
      </x:c>
      <x:c r="F2261" s="6" t="n">
        <x:v>0</x:v>
      </x:c>
      <x:c r="G2261" s="6" t="n">
        <x:v>0</x:v>
      </x:c>
      <x:c r="H2261" s="6" t="n">
        <x:v>-6142</x:v>
      </x:c>
    </x:row>
    <x:row r="2262" ht="21" customHeight="1">
      <x:c r="A2262" s="1" t="str">
        <x:v>C0015366</x:v>
      </x:c>
      <x:c r="B2262" s="1" t="n">
        <x:v>27</x:v>
      </x:c>
      <x:c r="C2262" s="1" t="n">
        <x:v>117</x:v>
      </x:c>
      <x:c r="D2262" s="6" t="n">
        <x:v>6142</x:v>
      </x:c>
      <x:c r="E2262" s="6" t="n">
        <x:v>0</x:v>
      </x:c>
      <x:c r="F2262" s="6" t="n">
        <x:v>0</x:v>
      </x:c>
      <x:c r="G2262" s="6" t="n">
        <x:v>0</x:v>
      </x:c>
      <x:c r="H2262" s="6" t="n">
        <x:v>-6142</x:v>
      </x:c>
    </x:row>
    <x:row r="2263" ht="21" customHeight="1">
      <x:c r="A2263" s="1" t="str">
        <x:v>C0012995</x:v>
      </x:c>
      <x:c r="B2263" s="1" t="n">
        <x:v>27</x:v>
      </x:c>
      <x:c r="C2263" s="1" t="n">
        <x:v>117</x:v>
      </x:c>
      <x:c r="D2263" s="6" t="n">
        <x:v>6142</x:v>
      </x:c>
      <x:c r="E2263" s="6" t="n">
        <x:v>12284</x:v>
      </x:c>
      <x:c r="F2263" s="6" t="n">
        <x:v>0</x:v>
      </x:c>
      <x:c r="G2263" s="6" t="n">
        <x:v>12284</x:v>
      </x:c>
      <x:c r="H2263" s="6" t="n">
        <x:v>6142</x:v>
      </x:c>
    </x:row>
    <x:row r="2264" ht="21" customHeight="1">
      <x:c r="A2264" s="1" t="str">
        <x:v>C0012974</x:v>
      </x:c>
      <x:c r="B2264" s="1" t="n">
        <x:v>27</x:v>
      </x:c>
      <x:c r="C2264" s="1" t="n">
        <x:v>117</x:v>
      </x:c>
      <x:c r="D2264" s="6" t="n">
        <x:v>6142</x:v>
      </x:c>
      <x:c r="E2264" s="6" t="n">
        <x:v>12284</x:v>
      </x:c>
      <x:c r="F2264" s="6" t="n">
        <x:v>0</x:v>
      </x:c>
      <x:c r="G2264" s="6" t="n">
        <x:v>12284</x:v>
      </x:c>
      <x:c r="H2264" s="6" t="n">
        <x:v>6142</x:v>
      </x:c>
    </x:row>
    <x:row r="2265" ht="21" customHeight="1">
      <x:c r="A2265" s="1" t="str">
        <x:v>C0005329</x:v>
      </x:c>
      <x:c r="B2265" s="1" t="n">
        <x:v>27</x:v>
      </x:c>
      <x:c r="C2265" s="1" t="n">
        <x:v>117</x:v>
      </x:c>
      <x:c r="D2265" s="6" t="n">
        <x:v>6142</x:v>
      </x:c>
      <x:c r="E2265" s="6" t="n">
        <x:v>12284</x:v>
      </x:c>
      <x:c r="F2265" s="6" t="n">
        <x:v>0</x:v>
      </x:c>
      <x:c r="G2265" s="6" t="n">
        <x:v>12284</x:v>
      </x:c>
      <x:c r="H2265" s="6" t="n">
        <x:v>6142</x:v>
      </x:c>
    </x:row>
    <x:row r="2266" ht="21" customHeight="1">
      <x:c r="A2266" s="1" t="str">
        <x:v>C0004903</x:v>
      </x:c>
      <x:c r="B2266" s="1" t="n">
        <x:v>15</x:v>
      </x:c>
      <x:c r="C2266" s="1" t="n">
        <x:v>75</x:v>
      </x:c>
      <x:c r="D2266" s="6" t="n">
        <x:v>5974</x:v>
      </x:c>
      <x:c r="E2266" s="6" t="n">
        <x:v>0</x:v>
      </x:c>
      <x:c r="F2266" s="6" t="n">
        <x:v>0</x:v>
      </x:c>
      <x:c r="G2266" s="6" t="n">
        <x:v>0</x:v>
      </x:c>
      <x:c r="H2266" s="6" t="n">
        <x:v>-5974</x:v>
      </x:c>
    </x:row>
    <x:row r="2267" ht="21" customHeight="1">
      <x:c r="A2267" s="1" t="str">
        <x:v>C0011023</x:v>
      </x:c>
      <x:c r="B2267" s="1" t="n">
        <x:v>15</x:v>
      </x:c>
      <x:c r="C2267" s="1" t="n">
        <x:v>75</x:v>
      </x:c>
      <x:c r="D2267" s="6" t="n">
        <x:v>5974</x:v>
      </x:c>
      <x:c r="E2267" s="6" t="n">
        <x:v>11948</x:v>
      </x:c>
      <x:c r="F2267" s="6" t="n">
        <x:v>0</x:v>
      </x:c>
      <x:c r="G2267" s="6" t="n">
        <x:v>11948</x:v>
      </x:c>
      <x:c r="H2267" s="6" t="n">
        <x:v>5974</x:v>
      </x:c>
    </x:row>
    <x:row r="2268" ht="21" customHeight="1">
      <x:c r="A2268" s="1" t="str">
        <x:v>C0008602</x:v>
      </x:c>
      <x:c r="B2268" s="1" t="n">
        <x:v>15</x:v>
      </x:c>
      <x:c r="C2268" s="1" t="n">
        <x:v>75</x:v>
      </x:c>
      <x:c r="D2268" s="6" t="n">
        <x:v>5974</x:v>
      </x:c>
      <x:c r="E2268" s="6" t="n">
        <x:v>0</x:v>
      </x:c>
      <x:c r="F2268" s="6" t="n">
        <x:v>0</x:v>
      </x:c>
      <x:c r="G2268" s="6" t="n">
        <x:v>0</x:v>
      </x:c>
      <x:c r="H2268" s="6" t="n">
        <x:v>-5974</x:v>
      </x:c>
    </x:row>
    <x:row r="2269" ht="21" customHeight="1">
      <x:c r="A2269" s="1" t="str">
        <x:v>C0004062</x:v>
      </x:c>
      <x:c r="B2269" s="1" t="n">
        <x:v>15</x:v>
      </x:c>
      <x:c r="C2269" s="1" t="n">
        <x:v>75</x:v>
      </x:c>
      <x:c r="D2269" s="6" t="n">
        <x:v>5974</x:v>
      </x:c>
      <x:c r="E2269" s="6" t="n">
        <x:v>11948</x:v>
      </x:c>
      <x:c r="F2269" s="6" t="n">
        <x:v>0</x:v>
      </x:c>
      <x:c r="G2269" s="6" t="n">
        <x:v>11948</x:v>
      </x:c>
      <x:c r="H2269" s="6" t="n">
        <x:v>5974</x:v>
      </x:c>
    </x:row>
    <x:row r="2270" ht="21" customHeight="1">
      <x:c r="A2270" s="1" t="str">
        <x:v>C0016868</x:v>
      </x:c>
      <x:c r="B2270" s="1" t="n">
        <x:v>15</x:v>
      </x:c>
      <x:c r="C2270" s="1" t="n">
        <x:v>75</x:v>
      </x:c>
      <x:c r="D2270" s="6" t="n">
        <x:v>5974</x:v>
      </x:c>
      <x:c r="E2270" s="6" t="n">
        <x:v>11948</x:v>
      </x:c>
      <x:c r="F2270" s="6" t="n">
        <x:v>0</x:v>
      </x:c>
      <x:c r="G2270" s="6" t="n">
        <x:v>11948</x:v>
      </x:c>
      <x:c r="H2270" s="6" t="n">
        <x:v>5974</x:v>
      </x:c>
    </x:row>
    <x:row r="2271" ht="21" customHeight="1">
      <x:c r="A2271" s="1" t="str">
        <x:v>C0016146</x:v>
      </x:c>
      <x:c r="B2271" s="1" t="n">
        <x:v>15</x:v>
      </x:c>
      <x:c r="C2271" s="1" t="n">
        <x:v>75</x:v>
      </x:c>
      <x:c r="D2271" s="6" t="n">
        <x:v>5974</x:v>
      </x:c>
      <x:c r="E2271" s="6" t="n">
        <x:v>11948</x:v>
      </x:c>
      <x:c r="F2271" s="6" t="n">
        <x:v>0</x:v>
      </x:c>
      <x:c r="G2271" s="6" t="n">
        <x:v>11948</x:v>
      </x:c>
      <x:c r="H2271" s="6" t="n">
        <x:v>5974</x:v>
      </x:c>
    </x:row>
    <x:row r="2272" ht="21" customHeight="1">
      <x:c r="A2272" s="1" t="str">
        <x:v>C0008260</x:v>
      </x:c>
      <x:c r="B2272" s="1" t="n">
        <x:v>15</x:v>
      </x:c>
      <x:c r="C2272" s="1" t="n">
        <x:v>75</x:v>
      </x:c>
      <x:c r="D2272" s="6" t="n">
        <x:v>5974</x:v>
      </x:c>
      <x:c r="E2272" s="6" t="n">
        <x:v>0</x:v>
      </x:c>
      <x:c r="F2272" s="6" t="n">
        <x:v>0</x:v>
      </x:c>
      <x:c r="G2272" s="6" t="n">
        <x:v>0</x:v>
      </x:c>
      <x:c r="H2272" s="6" t="n">
        <x:v>-5974</x:v>
      </x:c>
    </x:row>
    <x:row r="2273" ht="21" customHeight="1">
      <x:c r="A2273" s="1" t="str">
        <x:v>C0011457</x:v>
      </x:c>
      <x:c r="B2273" s="1" t="n">
        <x:v>15</x:v>
      </x:c>
      <x:c r="C2273" s="1" t="n">
        <x:v>75</x:v>
      </x:c>
      <x:c r="D2273" s="6" t="n">
        <x:v>5974</x:v>
      </x:c>
      <x:c r="E2273" s="6" t="n">
        <x:v>0</x:v>
      </x:c>
      <x:c r="F2273" s="6" t="n">
        <x:v>0</x:v>
      </x:c>
      <x:c r="G2273" s="6" t="n">
        <x:v>0</x:v>
      </x:c>
      <x:c r="H2273" s="6" t="n">
        <x:v>-5974</x:v>
      </x:c>
    </x:row>
    <x:row r="2274" ht="21" customHeight="1">
      <x:c r="A2274" s="1" t="str">
        <x:v>C0002195</x:v>
      </x:c>
      <x:c r="B2274" s="1" t="n">
        <x:v>15</x:v>
      </x:c>
      <x:c r="C2274" s="1" t="n">
        <x:v>75</x:v>
      </x:c>
      <x:c r="D2274" s="6" t="n">
        <x:v>5974</x:v>
      </x:c>
      <x:c r="E2274" s="6" t="n">
        <x:v>11948</x:v>
      </x:c>
      <x:c r="F2274" s="6" t="n">
        <x:v>0</x:v>
      </x:c>
      <x:c r="G2274" s="6" t="n">
        <x:v>11948</x:v>
      </x:c>
      <x:c r="H2274" s="6" t="n">
        <x:v>5974</x:v>
      </x:c>
    </x:row>
    <x:row r="2275" ht="21" customHeight="1">
      <x:c r="A2275" s="1" t="str">
        <x:v>C0014402</x:v>
      </x:c>
      <x:c r="B2275" s="1" t="n">
        <x:v>21</x:v>
      </x:c>
      <x:c r="C2275" s="1" t="n">
        <x:v>21</x:v>
      </x:c>
      <x:c r="D2275" s="6" t="n">
        <x:v>5898</x:v>
      </x:c>
      <x:c r="E2275" s="6" t="n">
        <x:v>11796</x:v>
      </x:c>
      <x:c r="F2275" s="6" t="n">
        <x:v>0</x:v>
      </x:c>
      <x:c r="G2275" s="6" t="n">
        <x:v>11796</x:v>
      </x:c>
      <x:c r="H2275" s="6" t="n">
        <x:v>5898</x:v>
      </x:c>
    </x:row>
    <x:row r="2276" ht="21" customHeight="1">
      <x:c r="A2276" s="1" t="str">
        <x:v>C0015042</x:v>
      </x:c>
      <x:c r="B2276" s="1" t="n">
        <x:v>21</x:v>
      </x:c>
      <x:c r="C2276" s="1" t="n">
        <x:v>21</x:v>
      </x:c>
      <x:c r="D2276" s="6" t="n">
        <x:v>5898</x:v>
      </x:c>
      <x:c r="E2276" s="6" t="n">
        <x:v>0</x:v>
      </x:c>
      <x:c r="F2276" s="6" t="n">
        <x:v>0</x:v>
      </x:c>
      <x:c r="G2276" s="6" t="n">
        <x:v>0</x:v>
      </x:c>
      <x:c r="H2276" s="6" t="n">
        <x:v>-5898</x:v>
      </x:c>
    </x:row>
    <x:row r="2277" ht="21" customHeight="1">
      <x:c r="A2277" s="1" t="str">
        <x:v>C0000062</x:v>
      </x:c>
      <x:c r="B2277" s="1" t="n">
        <x:v>21</x:v>
      </x:c>
      <x:c r="C2277" s="1" t="n">
        <x:v>21</x:v>
      </x:c>
      <x:c r="D2277" s="6" t="n">
        <x:v>5898</x:v>
      </x:c>
      <x:c r="E2277" s="6" t="n">
        <x:v>11796</x:v>
      </x:c>
      <x:c r="F2277" s="6" t="n">
        <x:v>0</x:v>
      </x:c>
      <x:c r="G2277" s="6" t="n">
        <x:v>11796</x:v>
      </x:c>
      <x:c r="H2277" s="6" t="n">
        <x:v>5898</x:v>
      </x:c>
    </x:row>
    <x:row r="2278" ht="21" customHeight="1">
      <x:c r="A2278" s="1" t="str">
        <x:v>C0001369</x:v>
      </x:c>
      <x:c r="B2278" s="1" t="n">
        <x:v>21</x:v>
      </x:c>
      <x:c r="C2278" s="1" t="n">
        <x:v>21</x:v>
      </x:c>
      <x:c r="D2278" s="6" t="n">
        <x:v>5898</x:v>
      </x:c>
      <x:c r="E2278" s="6" t="n">
        <x:v>0</x:v>
      </x:c>
      <x:c r="F2278" s="6" t="n">
        <x:v>0</x:v>
      </x:c>
      <x:c r="G2278" s="6" t="n">
        <x:v>0</x:v>
      </x:c>
      <x:c r="H2278" s="6" t="n">
        <x:v>-5898</x:v>
      </x:c>
    </x:row>
    <x:row r="2279" ht="21" customHeight="1">
      <x:c r="A2279" s="1" t="str">
        <x:v>C0000830</x:v>
      </x:c>
      <x:c r="B2279" s="1" t="n">
        <x:v>15</x:v>
      </x:c>
      <x:c r="C2279" s="1" t="n">
        <x:v>15</x:v>
      </x:c>
      <x:c r="D2279" s="6" t="n">
        <x:v>5832</x:v>
      </x:c>
      <x:c r="E2279" s="6" t="n">
        <x:v>11664</x:v>
      </x:c>
      <x:c r="F2279" s="6" t="n">
        <x:v>0</x:v>
      </x:c>
      <x:c r="G2279" s="6" t="n">
        <x:v>11664</x:v>
      </x:c>
      <x:c r="H2279" s="6" t="n">
        <x:v>5832</x:v>
      </x:c>
    </x:row>
    <x:row r="2280" ht="21" customHeight="1">
      <x:c r="A2280" s="1" t="str">
        <x:v>C0007348</x:v>
      </x:c>
      <x:c r="B2280" s="1" t="n">
        <x:v>15</x:v>
      </x:c>
      <x:c r="C2280" s="1" t="n">
        <x:v>15</x:v>
      </x:c>
      <x:c r="D2280" s="6" t="n">
        <x:v>5832</x:v>
      </x:c>
      <x:c r="E2280" s="6" t="n">
        <x:v>0</x:v>
      </x:c>
      <x:c r="F2280" s="6" t="n">
        <x:v>0</x:v>
      </x:c>
      <x:c r="G2280" s="6" t="n">
        <x:v>0</x:v>
      </x:c>
      <x:c r="H2280" s="6" t="n">
        <x:v>-5832</x:v>
      </x:c>
    </x:row>
    <x:row r="2281" ht="21" customHeight="1">
      <x:c r="A2281" s="1" t="str">
        <x:v>C0002875</x:v>
      </x:c>
      <x:c r="B2281" s="1" t="n">
        <x:v>26</x:v>
      </x:c>
      <x:c r="C2281" s="1" t="n">
        <x:v>86</x:v>
      </x:c>
      <x:c r="D2281" s="6" t="n">
        <x:v>5821</x:v>
      </x:c>
      <x:c r="E2281" s="6" t="n">
        <x:v>11642</x:v>
      </x:c>
      <x:c r="F2281" s="6" t="n">
        <x:v>0</x:v>
      </x:c>
      <x:c r="G2281" s="6" t="n">
        <x:v>11642</x:v>
      </x:c>
      <x:c r="H2281" s="6" t="n">
        <x:v>5821</x:v>
      </x:c>
    </x:row>
    <x:row r="2282" ht="21" customHeight="1">
      <x:c r="A2282" s="1" t="str">
        <x:v>C0009007</x:v>
      </x:c>
      <x:c r="B2282" s="1" t="n">
        <x:v>26</x:v>
      </x:c>
      <x:c r="C2282" s="1" t="n">
        <x:v>86</x:v>
      </x:c>
      <x:c r="D2282" s="6" t="n">
        <x:v>5821</x:v>
      </x:c>
      <x:c r="E2282" s="6" t="n">
        <x:v>0</x:v>
      </x:c>
      <x:c r="F2282" s="6" t="n">
        <x:v>0</x:v>
      </x:c>
      <x:c r="G2282" s="6" t="n">
        <x:v>0</x:v>
      </x:c>
      <x:c r="H2282" s="6" t="n">
        <x:v>-5821</x:v>
      </x:c>
    </x:row>
    <x:row r="2283" ht="21" customHeight="1">
      <x:c r="A2283" s="1" t="str">
        <x:v>C0007773</x:v>
      </x:c>
      <x:c r="B2283" s="1" t="n">
        <x:v>26</x:v>
      </x:c>
      <x:c r="C2283" s="1" t="n">
        <x:v>86</x:v>
      </x:c>
      <x:c r="D2283" s="6" t="n">
        <x:v>5821</x:v>
      </x:c>
      <x:c r="E2283" s="6" t="n">
        <x:v>0</x:v>
      </x:c>
      <x:c r="F2283" s="6" t="n">
        <x:v>0</x:v>
      </x:c>
      <x:c r="G2283" s="6" t="n">
        <x:v>0</x:v>
      </x:c>
      <x:c r="H2283" s="6" t="n">
        <x:v>-5821</x:v>
      </x:c>
    </x:row>
    <x:row r="2284" ht="21" customHeight="1">
      <x:c r="A2284" s="1" t="str">
        <x:v>C0007041</x:v>
      </x:c>
      <x:c r="B2284" s="1" t="n">
        <x:v>26</x:v>
      </x:c>
      <x:c r="C2284" s="1" t="n">
        <x:v>86</x:v>
      </x:c>
      <x:c r="D2284" s="6" t="n">
        <x:v>0</x:v>
      </x:c>
      <x:c r="E2284" s="6" t="n">
        <x:v>5821</x:v>
      </x:c>
      <x:c r="F2284" s="6" t="n">
        <x:v>0</x:v>
      </x:c>
      <x:c r="G2284" s="6" t="n">
        <x:v>5821</x:v>
      </x:c>
      <x:c r="H2284" s="6" t="n">
        <x:v>5821</x:v>
      </x:c>
    </x:row>
    <x:row r="2285" ht="21" customHeight="1">
      <x:c r="A2285" s="1" t="str">
        <x:v>C0004352</x:v>
      </x:c>
      <x:c r="B2285" s="1" t="n">
        <x:v>26</x:v>
      </x:c>
      <x:c r="C2285" s="1" t="n">
        <x:v>86</x:v>
      </x:c>
      <x:c r="D2285" s="6" t="n">
        <x:v>5821</x:v>
      </x:c>
      <x:c r="E2285" s="6" t="n">
        <x:v>11642</x:v>
      </x:c>
      <x:c r="F2285" s="6" t="n">
        <x:v>0</x:v>
      </x:c>
      <x:c r="G2285" s="6" t="n">
        <x:v>11642</x:v>
      </x:c>
      <x:c r="H2285" s="6" t="n">
        <x:v>5821</x:v>
      </x:c>
    </x:row>
    <x:row r="2286" ht="21" customHeight="1">
      <x:c r="A2286" s="1" t="str">
        <x:v>C0002532</x:v>
      </x:c>
      <x:c r="B2286" s="1" t="n">
        <x:v>26</x:v>
      </x:c>
      <x:c r="C2286" s="1" t="n">
        <x:v>86</x:v>
      </x:c>
      <x:c r="D2286" s="6" t="n">
        <x:v>5821</x:v>
      </x:c>
      <x:c r="E2286" s="6" t="n">
        <x:v>11642</x:v>
      </x:c>
      <x:c r="F2286" s="6" t="n">
        <x:v>0</x:v>
      </x:c>
      <x:c r="G2286" s="6" t="n">
        <x:v>11642</x:v>
      </x:c>
      <x:c r="H2286" s="6" t="n">
        <x:v>5821</x:v>
      </x:c>
    </x:row>
    <x:row r="2287" ht="21" customHeight="1">
      <x:c r="A2287" s="1" t="str">
        <x:v>C0012271</x:v>
      </x:c>
      <x:c r="B2287" s="1" t="n">
        <x:v>9</x:v>
      </x:c>
      <x:c r="C2287" s="1" t="n">
        <x:v>99</x:v>
      </x:c>
      <x:c r="D2287" s="6" t="n">
        <x:v>0</x:v>
      </x:c>
      <x:c r="E2287" s="6" t="n">
        <x:v>5703</x:v>
      </x:c>
      <x:c r="F2287" s="6" t="n">
        <x:v>0</x:v>
      </x:c>
      <x:c r="G2287" s="6" t="n">
        <x:v>5703</x:v>
      </x:c>
      <x:c r="H2287" s="6" t="n">
        <x:v>5703</x:v>
      </x:c>
    </x:row>
    <x:row r="2288" ht="21" customHeight="1">
      <x:c r="A2288" s="1" t="str">
        <x:v>C0012797</x:v>
      </x:c>
      <x:c r="B2288" s="1" t="n">
        <x:v>9</x:v>
      </x:c>
      <x:c r="C2288" s="1" t="n">
        <x:v>99</x:v>
      </x:c>
      <x:c r="D2288" s="6" t="n">
        <x:v>5703</x:v>
      </x:c>
      <x:c r="E2288" s="6" t="n">
        <x:v>11406</x:v>
      </x:c>
      <x:c r="F2288" s="6" t="n">
        <x:v>0</x:v>
      </x:c>
      <x:c r="G2288" s="6" t="n">
        <x:v>11406</x:v>
      </x:c>
      <x:c r="H2288" s="6" t="n">
        <x:v>5703</x:v>
      </x:c>
    </x:row>
    <x:row r="2289" ht="21" customHeight="1">
      <x:c r="A2289" s="1" t="str">
        <x:v>C0009985</x:v>
      </x:c>
      <x:c r="B2289" s="1" t="n">
        <x:v>9</x:v>
      </x:c>
      <x:c r="C2289" s="1" t="n">
        <x:v>99</x:v>
      </x:c>
      <x:c r="D2289" s="6" t="n">
        <x:v>5703</x:v>
      </x:c>
      <x:c r="E2289" s="6" t="n">
        <x:v>0</x:v>
      </x:c>
      <x:c r="F2289" s="6" t="n">
        <x:v>0</x:v>
      </x:c>
      <x:c r="G2289" s="6" t="n">
        <x:v>0</x:v>
      </x:c>
      <x:c r="H2289" s="6" t="n">
        <x:v>-5703</x:v>
      </x:c>
    </x:row>
    <x:row r="2290" ht="21" customHeight="1">
      <x:c r="A2290" s="1" t="str">
        <x:v>C0012048</x:v>
      </x:c>
      <x:c r="B2290" s="1" t="n">
        <x:v>9</x:v>
      </x:c>
      <x:c r="C2290" s="1" t="n">
        <x:v>39</x:v>
      </x:c>
      <x:c r="D2290" s="6" t="n">
        <x:v>5702</x:v>
      </x:c>
      <x:c r="E2290" s="6" t="n">
        <x:v>11404</x:v>
      </x:c>
      <x:c r="F2290" s="6" t="n">
        <x:v>0</x:v>
      </x:c>
      <x:c r="G2290" s="6" t="n">
        <x:v>11404</x:v>
      </x:c>
      <x:c r="H2290" s="6" t="n">
        <x:v>5702</x:v>
      </x:c>
    </x:row>
    <x:row r="2291" ht="21" customHeight="1">
      <x:c r="A2291" s="1" t="str">
        <x:v>C0008369</x:v>
      </x:c>
      <x:c r="B2291" s="1" t="n">
        <x:v>9</x:v>
      </x:c>
      <x:c r="C2291" s="1" t="n">
        <x:v>39</x:v>
      </x:c>
      <x:c r="D2291" s="6" t="n">
        <x:v>0</x:v>
      </x:c>
      <x:c r="E2291" s="6" t="n">
        <x:v>5702</x:v>
      </x:c>
      <x:c r="F2291" s="6" t="n">
        <x:v>0</x:v>
      </x:c>
      <x:c r="G2291" s="6" t="n">
        <x:v>5702</x:v>
      </x:c>
      <x:c r="H2291" s="6" t="n">
        <x:v>5702</x:v>
      </x:c>
    </x:row>
    <x:row r="2292" ht="21" customHeight="1">
      <x:c r="A2292" s="1" t="str">
        <x:v>C0009831</x:v>
      </x:c>
      <x:c r="B2292" s="1" t="n">
        <x:v>9</x:v>
      </x:c>
      <x:c r="C2292" s="1" t="n">
        <x:v>39</x:v>
      </x:c>
      <x:c r="D2292" s="6" t="n">
        <x:v>5702</x:v>
      </x:c>
      <x:c r="E2292" s="6" t="n">
        <x:v>11404</x:v>
      </x:c>
      <x:c r="F2292" s="6" t="n">
        <x:v>0</x:v>
      </x:c>
      <x:c r="G2292" s="6" t="n">
        <x:v>11404</x:v>
      </x:c>
      <x:c r="H2292" s="6" t="n">
        <x:v>5702</x:v>
      </x:c>
    </x:row>
    <x:row r="2293" ht="21" customHeight="1">
      <x:c r="A2293" s="1" t="str">
        <x:v>C0016285</x:v>
      </x:c>
      <x:c r="B2293" s="1" t="n">
        <x:v>9</x:v>
      </x:c>
      <x:c r="C2293" s="1" t="n">
        <x:v>39</x:v>
      </x:c>
      <x:c r="D2293" s="6" t="n">
        <x:v>5702</x:v>
      </x:c>
      <x:c r="E2293" s="6" t="n">
        <x:v>0</x:v>
      </x:c>
      <x:c r="F2293" s="6" t="n">
        <x:v>0</x:v>
      </x:c>
      <x:c r="G2293" s="6" t="n">
        <x:v>0</x:v>
      </x:c>
      <x:c r="H2293" s="6" t="n">
        <x:v>-5702</x:v>
      </x:c>
    </x:row>
    <x:row r="2294" ht="21" customHeight="1">
      <x:c r="A2294" s="1" t="str">
        <x:v>C0007460</x:v>
      </x:c>
      <x:c r="B2294" s="1" t="n">
        <x:v>10</x:v>
      </x:c>
      <x:c r="C2294" s="1" t="n">
        <x:v>70</x:v>
      </x:c>
      <x:c r="D2294" s="6" t="n">
        <x:v>5496</x:v>
      </x:c>
      <x:c r="E2294" s="6" t="n">
        <x:v>10992</x:v>
      </x:c>
      <x:c r="F2294" s="6" t="n">
        <x:v>0</x:v>
      </x:c>
      <x:c r="G2294" s="6" t="n">
        <x:v>10992</x:v>
      </x:c>
      <x:c r="H2294" s="6" t="n">
        <x:v>5496</x:v>
      </x:c>
    </x:row>
    <x:row r="2295" ht="21" customHeight="1">
      <x:c r="A2295" s="1" t="str">
        <x:v>C0007190</x:v>
      </x:c>
      <x:c r="B2295" s="1" t="n">
        <x:v>10</x:v>
      </x:c>
      <x:c r="C2295" s="1" t="n">
        <x:v>70</x:v>
      </x:c>
      <x:c r="D2295" s="6" t="n">
        <x:v>0</x:v>
      </x:c>
      <x:c r="E2295" s="6" t="n">
        <x:v>5496</x:v>
      </x:c>
      <x:c r="F2295" s="6" t="n">
        <x:v>0</x:v>
      </x:c>
      <x:c r="G2295" s="6" t="n">
        <x:v>5496</x:v>
      </x:c>
      <x:c r="H2295" s="6" t="n">
        <x:v>5496</x:v>
      </x:c>
    </x:row>
    <x:row r="2296" ht="21" customHeight="1">
      <x:c r="A2296" s="1" t="str">
        <x:v>C0017806</x:v>
      </x:c>
      <x:c r="B2296" s="1" t="n">
        <x:v>10</x:v>
      </x:c>
      <x:c r="C2296" s="1" t="n">
        <x:v>70</x:v>
      </x:c>
      <x:c r="D2296" s="6" t="n">
        <x:v>5496</x:v>
      </x:c>
      <x:c r="E2296" s="6" t="n">
        <x:v>10992</x:v>
      </x:c>
      <x:c r="F2296" s="6" t="n">
        <x:v>0</x:v>
      </x:c>
      <x:c r="G2296" s="6" t="n">
        <x:v>10992</x:v>
      </x:c>
      <x:c r="H2296" s="6" t="n">
        <x:v>5496</x:v>
      </x:c>
    </x:row>
    <x:row r="2297" ht="21" customHeight="1">
      <x:c r="A2297" s="1" t="str">
        <x:v>C0011269</x:v>
      </x:c>
      <x:c r="B2297" s="1" t="n">
        <x:v>10</x:v>
      </x:c>
      <x:c r="C2297" s="1" t="n">
        <x:v>70</x:v>
      </x:c>
      <x:c r="D2297" s="6" t="n">
        <x:v>5496</x:v>
      </x:c>
      <x:c r="E2297" s="6" t="n">
        <x:v>10992</x:v>
      </x:c>
      <x:c r="F2297" s="6" t="n">
        <x:v>0</x:v>
      </x:c>
      <x:c r="G2297" s="6" t="n">
        <x:v>10992</x:v>
      </x:c>
      <x:c r="H2297" s="6" t="n">
        <x:v>5496</x:v>
      </x:c>
    </x:row>
    <x:row r="2298" ht="21" customHeight="1">
      <x:c r="A2298" s="1" t="str">
        <x:v>C0008874</x:v>
      </x:c>
      <x:c r="B2298" s="1" t="n">
        <x:v>10</x:v>
      </x:c>
      <x:c r="C2298" s="1" t="n">
        <x:v>70</x:v>
      </x:c>
      <x:c r="D2298" s="6" t="n">
        <x:v>5496</x:v>
      </x:c>
      <x:c r="E2298" s="6" t="n">
        <x:v>0</x:v>
      </x:c>
      <x:c r="F2298" s="6" t="n">
        <x:v>0</x:v>
      </x:c>
      <x:c r="G2298" s="6" t="n">
        <x:v>0</x:v>
      </x:c>
      <x:c r="H2298" s="6" t="n">
        <x:v>-5496</x:v>
      </x:c>
    </x:row>
    <x:row r="2299" ht="21" customHeight="1">
      <x:c r="A2299" s="1" t="str">
        <x:v>C0011889</x:v>
      </x:c>
      <x:c r="B2299" s="1" t="n">
        <x:v>10</x:v>
      </x:c>
      <x:c r="C2299" s="1" t="n">
        <x:v>70</x:v>
      </x:c>
      <x:c r="D2299" s="6" t="n">
        <x:v>5496</x:v>
      </x:c>
      <x:c r="E2299" s="6" t="n">
        <x:v>10992</x:v>
      </x:c>
      <x:c r="F2299" s="6" t="n">
        <x:v>0</x:v>
      </x:c>
      <x:c r="G2299" s="6" t="n">
        <x:v>10992</x:v>
      </x:c>
      <x:c r="H2299" s="6" t="n">
        <x:v>5496</x:v>
      </x:c>
    </x:row>
    <x:row r="2300" ht="21" customHeight="1">
      <x:c r="A2300" s="1" t="str">
        <x:v>C0002203</x:v>
      </x:c>
      <x:c r="B2300" s="1" t="n">
        <x:v>10</x:v>
      </x:c>
      <x:c r="C2300" s="1" t="n">
        <x:v>70</x:v>
      </x:c>
      <x:c r="D2300" s="6" t="n">
        <x:v>5496</x:v>
      </x:c>
      <x:c r="E2300" s="6" t="n">
        <x:v>0</x:v>
      </x:c>
      <x:c r="F2300" s="6" t="n">
        <x:v>0</x:v>
      </x:c>
      <x:c r="G2300" s="6" t="n">
        <x:v>0</x:v>
      </x:c>
      <x:c r="H2300" s="6" t="n">
        <x:v>-5496</x:v>
      </x:c>
    </x:row>
    <x:row r="2301" ht="21" customHeight="1">
      <x:c r="A2301" s="1" t="str">
        <x:v>C0013463</x:v>
      </x:c>
      <x:c r="B2301" s="1" t="n">
        <x:v>16</x:v>
      </x:c>
      <x:c r="C2301" s="1" t="n">
        <x:v>16</x:v>
      </x:c>
      <x:c r="D2301" s="6" t="n">
        <x:v>5456</x:v>
      </x:c>
      <x:c r="E2301" s="6" t="n">
        <x:v>10912</x:v>
      </x:c>
      <x:c r="F2301" s="6" t="n">
        <x:v>0</x:v>
      </x:c>
      <x:c r="G2301" s="6" t="n">
        <x:v>10912</x:v>
      </x:c>
      <x:c r="H2301" s="6" t="n">
        <x:v>5456</x:v>
      </x:c>
    </x:row>
    <x:row r="2302" ht="21" customHeight="1">
      <x:c r="A2302" s="1" t="str">
        <x:v>C0001847</x:v>
      </x:c>
      <x:c r="B2302" s="1" t="n">
        <x:v>16</x:v>
      </x:c>
      <x:c r="C2302" s="1" t="n">
        <x:v>16</x:v>
      </x:c>
      <x:c r="D2302" s="6" t="n">
        <x:v>5456</x:v>
      </x:c>
      <x:c r="E2302" s="6" t="n">
        <x:v>10912</x:v>
      </x:c>
      <x:c r="F2302" s="6" t="n">
        <x:v>0</x:v>
      </x:c>
      <x:c r="G2302" s="6" t="n">
        <x:v>10912</x:v>
      </x:c>
      <x:c r="H2302" s="6" t="n">
        <x:v>5456</x:v>
      </x:c>
    </x:row>
    <x:row r="2303" ht="21" customHeight="1">
      <x:c r="A2303" s="1" t="str">
        <x:v>C0010507</x:v>
      </x:c>
      <x:c r="B2303" s="1" t="n">
        <x:v>16</x:v>
      </x:c>
      <x:c r="C2303" s="1" t="n">
        <x:v>16</x:v>
      </x:c>
      <x:c r="D2303" s="6" t="n">
        <x:v>5456</x:v>
      </x:c>
      <x:c r="E2303" s="6" t="n">
        <x:v>10912</x:v>
      </x:c>
      <x:c r="F2303" s="6" t="n">
        <x:v>0</x:v>
      </x:c>
      <x:c r="G2303" s="6" t="n">
        <x:v>10912</x:v>
      </x:c>
      <x:c r="H2303" s="6" t="n">
        <x:v>5456</x:v>
      </x:c>
    </x:row>
    <x:row r="2304" ht="21" customHeight="1">
      <x:c r="A2304" s="1" t="str">
        <x:v>C0010366</x:v>
      </x:c>
      <x:c r="B2304" s="1" t="n">
        <x:v>16</x:v>
      </x:c>
      <x:c r="C2304" s="1" t="n">
        <x:v>16</x:v>
      </x:c>
      <x:c r="D2304" s="6" t="n">
        <x:v>5456</x:v>
      </x:c>
      <x:c r="E2304" s="6" t="n">
        <x:v>10912</x:v>
      </x:c>
      <x:c r="F2304" s="6" t="n">
        <x:v>0</x:v>
      </x:c>
      <x:c r="G2304" s="6" t="n">
        <x:v>10912</x:v>
      </x:c>
      <x:c r="H2304" s="6" t="n">
        <x:v>5456</x:v>
      </x:c>
    </x:row>
    <x:row r="2305" ht="21" customHeight="1">
      <x:c r="A2305" s="1" t="str">
        <x:v>C0000405</x:v>
      </x:c>
      <x:c r="B2305" s="1" t="n">
        <x:v>16</x:v>
      </x:c>
      <x:c r="C2305" s="1" t="n">
        <x:v>16</x:v>
      </x:c>
      <x:c r="D2305" s="6" t="n">
        <x:v>5456</x:v>
      </x:c>
      <x:c r="E2305" s="6" t="n">
        <x:v>10912</x:v>
      </x:c>
      <x:c r="F2305" s="6" t="n">
        <x:v>0</x:v>
      </x:c>
      <x:c r="G2305" s="6" t="n">
        <x:v>10912</x:v>
      </x:c>
      <x:c r="H2305" s="6" t="n">
        <x:v>5456</x:v>
      </x:c>
    </x:row>
    <x:row r="2306" ht="21" customHeight="1">
      <x:c r="A2306" s="1" t="str">
        <x:v>C0004899</x:v>
      </x:c>
      <x:c r="B2306" s="1" t="n">
        <x:v>16</x:v>
      </x:c>
      <x:c r="C2306" s="1" t="n">
        <x:v>16</x:v>
      </x:c>
      <x:c r="D2306" s="6" t="n">
        <x:v>5456</x:v>
      </x:c>
      <x:c r="E2306" s="6" t="n">
        <x:v>10912</x:v>
      </x:c>
      <x:c r="F2306" s="6" t="n">
        <x:v>0</x:v>
      </x:c>
      <x:c r="G2306" s="6" t="n">
        <x:v>10912</x:v>
      </x:c>
      <x:c r="H2306" s="6" t="n">
        <x:v>5456</x:v>
      </x:c>
    </x:row>
    <x:row r="2307" ht="21" customHeight="1">
      <x:c r="A2307" s="1" t="str">
        <x:v>C0005632</x:v>
      </x:c>
      <x:c r="B2307" s="1" t="n">
        <x:v>10</x:v>
      </x:c>
      <x:c r="C2307" s="1" t="n">
        <x:v>10</x:v>
      </x:c>
      <x:c r="D2307" s="6" t="n">
        <x:v>5454</x:v>
      </x:c>
      <x:c r="E2307" s="6" t="n">
        <x:v>0</x:v>
      </x:c>
      <x:c r="F2307" s="6" t="n">
        <x:v>0</x:v>
      </x:c>
      <x:c r="G2307" s="6" t="n">
        <x:v>0</x:v>
      </x:c>
      <x:c r="H2307" s="6" t="n">
        <x:v>-5454</x:v>
      </x:c>
    </x:row>
    <x:row r="2308" ht="21" customHeight="1">
      <x:c r="A2308" s="1" t="str">
        <x:v>C0000955</x:v>
      </x:c>
      <x:c r="B2308" s="1" t="n">
        <x:v>10</x:v>
      </x:c>
      <x:c r="C2308" s="1" t="n">
        <x:v>10</x:v>
      </x:c>
      <x:c r="D2308" s="6" t="n">
        <x:v>5454</x:v>
      </x:c>
      <x:c r="E2308" s="6" t="n">
        <x:v>0</x:v>
      </x:c>
      <x:c r="F2308" s="6" t="n">
        <x:v>0</x:v>
      </x:c>
      <x:c r="G2308" s="6" t="n">
        <x:v>0</x:v>
      </x:c>
      <x:c r="H2308" s="6" t="n">
        <x:v>-5454</x:v>
      </x:c>
    </x:row>
    <x:row r="2309" ht="21" customHeight="1">
      <x:c r="A2309" s="1" t="str">
        <x:v>C0008491</x:v>
      </x:c>
      <x:c r="B2309" s="1" t="n">
        <x:v>10</x:v>
      </x:c>
      <x:c r="C2309" s="1" t="n">
        <x:v>10</x:v>
      </x:c>
      <x:c r="D2309" s="6" t="n">
        <x:v>0</x:v>
      </x:c>
      <x:c r="E2309" s="6" t="n">
        <x:v>5454</x:v>
      </x:c>
      <x:c r="F2309" s="6" t="n">
        <x:v>0</x:v>
      </x:c>
      <x:c r="G2309" s="6" t="n">
        <x:v>5454</x:v>
      </x:c>
      <x:c r="H2309" s="6" t="n">
        <x:v>5454</x:v>
      </x:c>
    </x:row>
    <x:row r="2310" ht="21" customHeight="1">
      <x:c r="A2310" s="1" t="str">
        <x:v>C0016273</x:v>
      </x:c>
      <x:c r="B2310" s="1" t="n">
        <x:v>10</x:v>
      </x:c>
      <x:c r="C2310" s="1" t="n">
        <x:v>10</x:v>
      </x:c>
      <x:c r="D2310" s="6" t="n">
        <x:v>5454</x:v>
      </x:c>
      <x:c r="E2310" s="6" t="n">
        <x:v>0</x:v>
      </x:c>
      <x:c r="F2310" s="6" t="n">
        <x:v>0</x:v>
      </x:c>
      <x:c r="G2310" s="6" t="n">
        <x:v>0</x:v>
      </x:c>
      <x:c r="H2310" s="6" t="n">
        <x:v>-5454</x:v>
      </x:c>
    </x:row>
    <x:row r="2311" ht="21" customHeight="1">
      <x:c r="A2311" s="1" t="str">
        <x:v>C0003911</x:v>
      </x:c>
      <x:c r="B2311" s="1" t="n">
        <x:v>10</x:v>
      </x:c>
      <x:c r="C2311" s="1" t="n">
        <x:v>10</x:v>
      </x:c>
      <x:c r="D2311" s="6" t="n">
        <x:v>0</x:v>
      </x:c>
      <x:c r="E2311" s="6" t="n">
        <x:v>5454</x:v>
      </x:c>
      <x:c r="F2311" s="6" t="n">
        <x:v>0</x:v>
      </x:c>
      <x:c r="G2311" s="6" t="n">
        <x:v>5454</x:v>
      </x:c>
      <x:c r="H2311" s="6" t="n">
        <x:v>5454</x:v>
      </x:c>
    </x:row>
    <x:row r="2312" ht="21" customHeight="1">
      <x:c r="A2312" s="1" t="str">
        <x:v>C0011346</x:v>
      </x:c>
      <x:c r="B2312" s="1" t="n">
        <x:v>22</x:v>
      </x:c>
      <x:c r="C2312" s="1" t="n">
        <x:v>22</x:v>
      </x:c>
      <x:c r="D2312" s="6" t="n">
        <x:v>5442</x:v>
      </x:c>
      <x:c r="E2312" s="6" t="n">
        <x:v>0</x:v>
      </x:c>
      <x:c r="F2312" s="6" t="n">
        <x:v>0</x:v>
      </x:c>
      <x:c r="G2312" s="6" t="n">
        <x:v>0</x:v>
      </x:c>
      <x:c r="H2312" s="6" t="n">
        <x:v>-5442</x:v>
      </x:c>
    </x:row>
    <x:row r="2313" ht="21" customHeight="1">
      <x:c r="A2313" s="1" t="str">
        <x:v>C0006500</x:v>
      </x:c>
      <x:c r="B2313" s="1" t="n">
        <x:v>22</x:v>
      </x:c>
      <x:c r="C2313" s="1" t="n">
        <x:v>22</x:v>
      </x:c>
      <x:c r="D2313" s="6" t="n">
        <x:v>5442</x:v>
      </x:c>
      <x:c r="E2313" s="6" t="n">
        <x:v>0</x:v>
      </x:c>
      <x:c r="F2313" s="6" t="n">
        <x:v>0</x:v>
      </x:c>
      <x:c r="G2313" s="6" t="n">
        <x:v>0</x:v>
      </x:c>
      <x:c r="H2313" s="6" t="n">
        <x:v>-5442</x:v>
      </x:c>
    </x:row>
    <x:row r="2314" ht="21" customHeight="1">
      <x:c r="A2314" s="1" t="str">
        <x:v>C0006970</x:v>
      </x:c>
      <x:c r="B2314" s="1" t="n">
        <x:v>25</x:v>
      </x:c>
      <x:c r="C2314" s="1" t="n">
        <x:v>25</x:v>
      </x:c>
      <x:c r="D2314" s="6" t="n">
        <x:v>5359</x:v>
      </x:c>
      <x:c r="E2314" s="6" t="n">
        <x:v>0</x:v>
      </x:c>
      <x:c r="F2314" s="6" t="n">
        <x:v>0</x:v>
      </x:c>
      <x:c r="G2314" s="6" t="n">
        <x:v>0</x:v>
      </x:c>
      <x:c r="H2314" s="6" t="n">
        <x:v>-5359</x:v>
      </x:c>
    </x:row>
    <x:row r="2315" ht="21" customHeight="1">
      <x:c r="A2315" s="1" t="str">
        <x:v>C0007508</x:v>
      </x:c>
      <x:c r="B2315" s="1" t="n">
        <x:v>25</x:v>
      </x:c>
      <x:c r="C2315" s="1" t="n">
        <x:v>25</x:v>
      </x:c>
      <x:c r="D2315" s="6" t="n">
        <x:v>5359</x:v>
      </x:c>
      <x:c r="E2315" s="6" t="n">
        <x:v>10718</x:v>
      </x:c>
      <x:c r="F2315" s="6" t="n">
        <x:v>0</x:v>
      </x:c>
      <x:c r="G2315" s="6" t="n">
        <x:v>10718</x:v>
      </x:c>
      <x:c r="H2315" s="6" t="n">
        <x:v>5359</x:v>
      </x:c>
    </x:row>
    <x:row r="2316" ht="21" customHeight="1">
      <x:c r="A2316" s="1" t="str">
        <x:v>C0001608</x:v>
      </x:c>
      <x:c r="B2316" s="1" t="n">
        <x:v>25</x:v>
      </x:c>
      <x:c r="C2316" s="1" t="n">
        <x:v>25</x:v>
      </x:c>
      <x:c r="D2316" s="6" t="n">
        <x:v>5359</x:v>
      </x:c>
      <x:c r="E2316" s="6" t="n">
        <x:v>10718</x:v>
      </x:c>
      <x:c r="F2316" s="6" t="n">
        <x:v>0</x:v>
      </x:c>
      <x:c r="G2316" s="6" t="n">
        <x:v>10718</x:v>
      </x:c>
      <x:c r="H2316" s="6" t="n">
        <x:v>5359</x:v>
      </x:c>
    </x:row>
    <x:row r="2317" ht="21" customHeight="1">
      <x:c r="A2317" s="1" t="str">
        <x:v>C0007602</x:v>
      </x:c>
      <x:c r="B2317" s="1" t="n">
        <x:v>25</x:v>
      </x:c>
      <x:c r="C2317" s="1" t="n">
        <x:v>25</x:v>
      </x:c>
      <x:c r="D2317" s="6" t="n">
        <x:v>5359</x:v>
      </x:c>
      <x:c r="E2317" s="6" t="n">
        <x:v>10718</x:v>
      </x:c>
      <x:c r="F2317" s="6" t="n">
        <x:v>0</x:v>
      </x:c>
      <x:c r="G2317" s="6" t="n">
        <x:v>10718</x:v>
      </x:c>
      <x:c r="H2317" s="6" t="n">
        <x:v>5359</x:v>
      </x:c>
    </x:row>
    <x:row r="2318" ht="21" customHeight="1">
      <x:c r="A2318" s="1" t="str">
        <x:v>C0001824</x:v>
      </x:c>
      <x:c r="B2318" s="1" t="n">
        <x:v>25</x:v>
      </x:c>
      <x:c r="C2318" s="1" t="n">
        <x:v>25</x:v>
      </x:c>
      <x:c r="D2318" s="6" t="n">
        <x:v>5359</x:v>
      </x:c>
      <x:c r="E2318" s="6" t="n">
        <x:v>10718</x:v>
      </x:c>
      <x:c r="F2318" s="6" t="n">
        <x:v>0</x:v>
      </x:c>
      <x:c r="G2318" s="6" t="n">
        <x:v>10718</x:v>
      </x:c>
      <x:c r="H2318" s="6" t="n">
        <x:v>5359</x:v>
      </x:c>
    </x:row>
    <x:row r="2319" ht="21" customHeight="1">
      <x:c r="A2319" s="1" t="str">
        <x:v>C0007102</x:v>
      </x:c>
      <x:c r="B2319" s="1" t="n">
        <x:v>25</x:v>
      </x:c>
      <x:c r="C2319" s="1" t="n">
        <x:v>25</x:v>
      </x:c>
      <x:c r="D2319" s="6" t="n">
        <x:v>5359</x:v>
      </x:c>
      <x:c r="E2319" s="6" t="n">
        <x:v>10718</x:v>
      </x:c>
      <x:c r="F2319" s="6" t="n">
        <x:v>0</x:v>
      </x:c>
      <x:c r="G2319" s="6" t="n">
        <x:v>10718</x:v>
      </x:c>
      <x:c r="H2319" s="6" t="n">
        <x:v>5359</x:v>
      </x:c>
    </x:row>
    <x:row r="2320" ht="21" customHeight="1">
      <x:c r="A2320" s="1" t="str">
        <x:v>C0014720</x:v>
      </x:c>
      <x:c r="B2320" s="1" t="n">
        <x:v>25</x:v>
      </x:c>
      <x:c r="C2320" s="1" t="n">
        <x:v>25</x:v>
      </x:c>
      <x:c r="D2320" s="6" t="n">
        <x:v>5359</x:v>
      </x:c>
      <x:c r="E2320" s="6" t="n">
        <x:v>0</x:v>
      </x:c>
      <x:c r="F2320" s="6" t="n">
        <x:v>0</x:v>
      </x:c>
      <x:c r="G2320" s="6" t="n">
        <x:v>0</x:v>
      </x:c>
      <x:c r="H2320" s="6" t="n">
        <x:v>-5359</x:v>
      </x:c>
    </x:row>
    <x:row r="2321" ht="21" customHeight="1">
      <x:c r="A2321" s="1" t="str">
        <x:v>C0006663</x:v>
      </x:c>
      <x:c r="B2321" s="1" t="n">
        <x:v>25</x:v>
      </x:c>
      <x:c r="C2321" s="1" t="n">
        <x:v>25</x:v>
      </x:c>
      <x:c r="D2321" s="6" t="n">
        <x:v>0</x:v>
      </x:c>
      <x:c r="E2321" s="6" t="n">
        <x:v>5359</x:v>
      </x:c>
      <x:c r="F2321" s="6" t="n">
        <x:v>0</x:v>
      </x:c>
      <x:c r="G2321" s="6" t="n">
        <x:v>5359</x:v>
      </x:c>
      <x:c r="H2321" s="6" t="n">
        <x:v>5359</x:v>
      </x:c>
    </x:row>
    <x:row r="2322" ht="21" customHeight="1">
      <x:c r="A2322" s="1" t="str">
        <x:v>C0012018</x:v>
      </x:c>
      <x:c r="B2322" s="1" t="n">
        <x:v>25</x:v>
      </x:c>
      <x:c r="C2322" s="1" t="n">
        <x:v>25</x:v>
      </x:c>
      <x:c r="D2322" s="6" t="n">
        <x:v>5359</x:v>
      </x:c>
      <x:c r="E2322" s="6" t="n">
        <x:v>10718</x:v>
      </x:c>
      <x:c r="F2322" s="6" t="n">
        <x:v>0</x:v>
      </x:c>
      <x:c r="G2322" s="6" t="n">
        <x:v>10718</x:v>
      </x:c>
      <x:c r="H2322" s="6" t="n">
        <x:v>5359</x:v>
      </x:c>
    </x:row>
    <x:row r="2323" ht="21" customHeight="1">
      <x:c r="A2323" s="1" t="str">
        <x:v>C0008297</x:v>
      </x:c>
      <x:c r="B2323" s="1" t="n">
        <x:v>25</x:v>
      </x:c>
      <x:c r="C2323" s="1" t="n">
        <x:v>25</x:v>
      </x:c>
      <x:c r="D2323" s="6" t="n">
        <x:v>5359</x:v>
      </x:c>
      <x:c r="E2323" s="6" t="n">
        <x:v>0</x:v>
      </x:c>
      <x:c r="F2323" s="6" t="n">
        <x:v>0</x:v>
      </x:c>
      <x:c r="G2323" s="6" t="n">
        <x:v>0</x:v>
      </x:c>
      <x:c r="H2323" s="6" t="n">
        <x:v>-5359</x:v>
      </x:c>
    </x:row>
    <x:row r="2324" ht="21" customHeight="1">
      <x:c r="A2324" s="1" t="str">
        <x:v>C0010547</x:v>
      </x:c>
      <x:c r="B2324" s="1" t="n">
        <x:v>25</x:v>
      </x:c>
      <x:c r="C2324" s="1" t="n">
        <x:v>25</x:v>
      </x:c>
      <x:c r="D2324" s="6" t="n">
        <x:v>5359</x:v>
      </x:c>
      <x:c r="E2324" s="6" t="n">
        <x:v>10718</x:v>
      </x:c>
      <x:c r="F2324" s="6" t="n">
        <x:v>0</x:v>
      </x:c>
      <x:c r="G2324" s="6" t="n">
        <x:v>10718</x:v>
      </x:c>
      <x:c r="H2324" s="6" t="n">
        <x:v>5359</x:v>
      </x:c>
    </x:row>
    <x:row r="2325" ht="21" customHeight="1">
      <x:c r="A2325" s="1" t="str">
        <x:v>C0001167</x:v>
      </x:c>
      <x:c r="B2325" s="1" t="n">
        <x:v>14</x:v>
      </x:c>
      <x:c r="C2325" s="1" t="n">
        <x:v>104</x:v>
      </x:c>
      <x:c r="D2325" s="6" t="n">
        <x:v>5203</x:v>
      </x:c>
      <x:c r="E2325" s="6" t="n">
        <x:v>0</x:v>
      </x:c>
      <x:c r="F2325" s="6" t="n">
        <x:v>0</x:v>
      </x:c>
      <x:c r="G2325" s="6" t="n">
        <x:v>0</x:v>
      </x:c>
      <x:c r="H2325" s="6" t="n">
        <x:v>-5203</x:v>
      </x:c>
    </x:row>
    <x:row r="2326" ht="21" customHeight="1">
      <x:c r="A2326" s="1" t="str">
        <x:v>C0009468</x:v>
      </x:c>
      <x:c r="B2326" s="1" t="n">
        <x:v>14</x:v>
      </x:c>
      <x:c r="C2326" s="1" t="n">
        <x:v>104</x:v>
      </x:c>
      <x:c r="D2326" s="6" t="n">
        <x:v>5203</x:v>
      </x:c>
      <x:c r="E2326" s="6" t="n">
        <x:v>0</x:v>
      </x:c>
      <x:c r="F2326" s="6" t="n">
        <x:v>0</x:v>
      </x:c>
      <x:c r="G2326" s="6" t="n">
        <x:v>0</x:v>
      </x:c>
      <x:c r="H2326" s="6" t="n">
        <x:v>-5203</x:v>
      </x:c>
    </x:row>
    <x:row r="2327" ht="21" customHeight="1">
      <x:c r="A2327" s="1" t="str">
        <x:v>C0008906</x:v>
      </x:c>
      <x:c r="B2327" s="1" t="n">
        <x:v>14</x:v>
      </x:c>
      <x:c r="C2327" s="1" t="n">
        <x:v>104</x:v>
      </x:c>
      <x:c r="D2327" s="6" t="n">
        <x:v>5203</x:v>
      </x:c>
      <x:c r="E2327" s="6" t="n">
        <x:v>10406</x:v>
      </x:c>
      <x:c r="F2327" s="6" t="n">
        <x:v>0</x:v>
      </x:c>
      <x:c r="G2327" s="6" t="n">
        <x:v>10406</x:v>
      </x:c>
      <x:c r="H2327" s="6" t="n">
        <x:v>5203</x:v>
      </x:c>
    </x:row>
    <x:row r="2328" ht="21" customHeight="1">
      <x:c r="A2328" s="1" t="str">
        <x:v>C0015210</x:v>
      </x:c>
      <x:c r="B2328" s="1" t="n">
        <x:v>14</x:v>
      </x:c>
      <x:c r="C2328" s="1" t="n">
        <x:v>104</x:v>
      </x:c>
      <x:c r="D2328" s="6" t="n">
        <x:v>5203</x:v>
      </x:c>
      <x:c r="E2328" s="6" t="n">
        <x:v>0</x:v>
      </x:c>
      <x:c r="F2328" s="6" t="n">
        <x:v>0</x:v>
      </x:c>
      <x:c r="G2328" s="6" t="n">
        <x:v>0</x:v>
      </x:c>
      <x:c r="H2328" s="6" t="n">
        <x:v>-5203</x:v>
      </x:c>
    </x:row>
    <x:row r="2329" ht="21" customHeight="1">
      <x:c r="A2329" s="1" t="str">
        <x:v>C0008811</x:v>
      </x:c>
      <x:c r="B2329" s="1" t="n">
        <x:v>14</x:v>
      </x:c>
      <x:c r="C2329" s="1" t="n">
        <x:v>104</x:v>
      </x:c>
      <x:c r="D2329" s="6" t="n">
        <x:v>5203</x:v>
      </x:c>
      <x:c r="E2329" s="6" t="n">
        <x:v>0</x:v>
      </x:c>
      <x:c r="F2329" s="6" t="n">
        <x:v>0</x:v>
      </x:c>
      <x:c r="G2329" s="6" t="n">
        <x:v>0</x:v>
      </x:c>
      <x:c r="H2329" s="6" t="n">
        <x:v>-5203</x:v>
      </x:c>
    </x:row>
    <x:row r="2330" ht="21" customHeight="1">
      <x:c r="A2330" s="1" t="str">
        <x:v>C0003608</x:v>
      </x:c>
      <x:c r="B2330" s="1" t="n">
        <x:v>14</x:v>
      </x:c>
      <x:c r="C2330" s="1" t="n">
        <x:v>104</x:v>
      </x:c>
      <x:c r="D2330" s="6" t="n">
        <x:v>5203</x:v>
      </x:c>
      <x:c r="E2330" s="6" t="n">
        <x:v>0</x:v>
      </x:c>
      <x:c r="F2330" s="6" t="n">
        <x:v>0</x:v>
      </x:c>
      <x:c r="G2330" s="6" t="n">
        <x:v>0</x:v>
      </x:c>
      <x:c r="H2330" s="6" t="n">
        <x:v>-5203</x:v>
      </x:c>
    </x:row>
    <x:row r="2331" ht="21" customHeight="1">
      <x:c r="A2331" s="1" t="str">
        <x:v>C0014851</x:v>
      </x:c>
      <x:c r="B2331" s="1" t="n">
        <x:v>10</x:v>
      </x:c>
      <x:c r="C2331" s="1" t="n">
        <x:v>70</x:v>
      </x:c>
      <x:c r="D2331" s="6" t="n">
        <x:v>0</x:v>
      </x:c>
      <x:c r="E2331" s="6" t="n">
        <x:v>5146</x:v>
      </x:c>
      <x:c r="F2331" s="6" t="n">
        <x:v>0</x:v>
      </x:c>
      <x:c r="G2331" s="6" t="n">
        <x:v>5146</x:v>
      </x:c>
      <x:c r="H2331" s="6" t="n">
        <x:v>5146</x:v>
      </x:c>
    </x:row>
    <x:row r="2332" ht="21" customHeight="1">
      <x:c r="A2332" s="1" t="str">
        <x:v>C0008571</x:v>
      </x:c>
      <x:c r="B2332" s="1" t="n">
        <x:v>10</x:v>
      </x:c>
      <x:c r="C2332" s="1" t="n">
        <x:v>70</x:v>
      </x:c>
      <x:c r="D2332" s="6" t="n">
        <x:v>5146</x:v>
      </x:c>
      <x:c r="E2332" s="6" t="n">
        <x:v>10292</x:v>
      </x:c>
      <x:c r="F2332" s="6" t="n">
        <x:v>0</x:v>
      </x:c>
      <x:c r="G2332" s="6" t="n">
        <x:v>10292</x:v>
      </x:c>
      <x:c r="H2332" s="6" t="n">
        <x:v>5146</x:v>
      </x:c>
    </x:row>
    <x:row r="2333" ht="21" customHeight="1">
      <x:c r="A2333" s="1" t="str">
        <x:v>C0011864</x:v>
      </x:c>
      <x:c r="B2333" s="1" t="n">
        <x:v>10</x:v>
      </x:c>
      <x:c r="C2333" s="1" t="n">
        <x:v>70</x:v>
      </x:c>
      <x:c r="D2333" s="6" t="n">
        <x:v>5146</x:v>
      </x:c>
      <x:c r="E2333" s="6" t="n">
        <x:v>0</x:v>
      </x:c>
      <x:c r="F2333" s="6" t="n">
        <x:v>0</x:v>
      </x:c>
      <x:c r="G2333" s="6" t="n">
        <x:v>0</x:v>
      </x:c>
      <x:c r="H2333" s="6" t="n">
        <x:v>-5146</x:v>
      </x:c>
    </x:row>
    <x:row r="2334" ht="21" customHeight="1">
      <x:c r="A2334" s="1" t="str">
        <x:v>C0011983</x:v>
      </x:c>
      <x:c r="B2334" s="1" t="n">
        <x:v>10</x:v>
      </x:c>
      <x:c r="C2334" s="1" t="n">
        <x:v>70</x:v>
      </x:c>
      <x:c r="D2334" s="6" t="n">
        <x:v>5146</x:v>
      </x:c>
      <x:c r="E2334" s="6" t="n">
        <x:v>10292</x:v>
      </x:c>
      <x:c r="F2334" s="6" t="n">
        <x:v>0</x:v>
      </x:c>
      <x:c r="G2334" s="6" t="n">
        <x:v>10292</x:v>
      </x:c>
      <x:c r="H2334" s="6" t="n">
        <x:v>5146</x:v>
      </x:c>
    </x:row>
    <x:row r="2335" ht="21" customHeight="1">
      <x:c r="A2335" s="1" t="str">
        <x:v>C0013812</x:v>
      </x:c>
      <x:c r="B2335" s="1" t="n">
        <x:v>10</x:v>
      </x:c>
      <x:c r="C2335" s="1" t="n">
        <x:v>70</x:v>
      </x:c>
      <x:c r="D2335" s="6" t="n">
        <x:v>5146</x:v>
      </x:c>
      <x:c r="E2335" s="6" t="n">
        <x:v>0</x:v>
      </x:c>
      <x:c r="F2335" s="6" t="n">
        <x:v>0</x:v>
      </x:c>
      <x:c r="G2335" s="6" t="n">
        <x:v>0</x:v>
      </x:c>
      <x:c r="H2335" s="6" t="n">
        <x:v>-5146</x:v>
      </x:c>
    </x:row>
    <x:row r="2336" ht="21" customHeight="1">
      <x:c r="A2336" s="1" t="str">
        <x:v>C0001049</x:v>
      </x:c>
      <x:c r="B2336" s="1" t="n">
        <x:v>10</x:v>
      </x:c>
      <x:c r="C2336" s="1" t="n">
        <x:v>70</x:v>
      </x:c>
      <x:c r="D2336" s="6" t="n">
        <x:v>5146</x:v>
      </x:c>
      <x:c r="E2336" s="6" t="n">
        <x:v>10292</x:v>
      </x:c>
      <x:c r="F2336" s="6" t="n">
        <x:v>0</x:v>
      </x:c>
      <x:c r="G2336" s="6" t="n">
        <x:v>10292</x:v>
      </x:c>
      <x:c r="H2336" s="6" t="n">
        <x:v>5146</x:v>
      </x:c>
    </x:row>
    <x:row r="2337" ht="21" customHeight="1">
      <x:c r="A2337" s="1" t="str">
        <x:v>C0001698</x:v>
      </x:c>
      <x:c r="B2337" s="1" t="n">
        <x:v>10</x:v>
      </x:c>
      <x:c r="C2337" s="1" t="n">
        <x:v>70</x:v>
      </x:c>
      <x:c r="D2337" s="6" t="n">
        <x:v>5146</x:v>
      </x:c>
      <x:c r="E2337" s="6" t="n">
        <x:v>0</x:v>
      </x:c>
      <x:c r="F2337" s="6" t="n">
        <x:v>0</x:v>
      </x:c>
      <x:c r="G2337" s="6" t="n">
        <x:v>0</x:v>
      </x:c>
      <x:c r="H2337" s="6" t="n">
        <x:v>-5146</x:v>
      </x:c>
    </x:row>
    <x:row r="2338" ht="21" customHeight="1">
      <x:c r="A2338" s="1" t="str">
        <x:v>C0006327</x:v>
      </x:c>
      <x:c r="B2338" s="1" t="n">
        <x:v>20</x:v>
      </x:c>
      <x:c r="C2338" s="1" t="n">
        <x:v>50</x:v>
      </x:c>
      <x:c r="D2338" s="6" t="n">
        <x:v>5109</x:v>
      </x:c>
      <x:c r="E2338" s="6" t="n">
        <x:v>10218</x:v>
      </x:c>
      <x:c r="F2338" s="6" t="n">
        <x:v>0</x:v>
      </x:c>
      <x:c r="G2338" s="6" t="n">
        <x:v>10218</x:v>
      </x:c>
      <x:c r="H2338" s="6" t="n">
        <x:v>5109</x:v>
      </x:c>
    </x:row>
    <x:row r="2339" ht="21" customHeight="1">
      <x:c r="A2339" s="1" t="str">
        <x:v>C0013908</x:v>
      </x:c>
      <x:c r="B2339" s="1" t="n">
        <x:v>20</x:v>
      </x:c>
      <x:c r="C2339" s="1" t="n">
        <x:v>50</x:v>
      </x:c>
      <x:c r="D2339" s="6" t="n">
        <x:v>5109</x:v>
      </x:c>
      <x:c r="E2339" s="6" t="n">
        <x:v>0</x:v>
      </x:c>
      <x:c r="F2339" s="6" t="n">
        <x:v>0</x:v>
      </x:c>
      <x:c r="G2339" s="6" t="n">
        <x:v>0</x:v>
      </x:c>
      <x:c r="H2339" s="6" t="n">
        <x:v>-5109</x:v>
      </x:c>
    </x:row>
    <x:row r="2340" ht="21" customHeight="1">
      <x:c r="A2340" s="1" t="str">
        <x:v>C0002467</x:v>
      </x:c>
      <x:c r="B2340" s="1" t="n">
        <x:v>20</x:v>
      </x:c>
      <x:c r="C2340" s="1" t="n">
        <x:v>50</x:v>
      </x:c>
      <x:c r="D2340" s="6" t="n">
        <x:v>0</x:v>
      </x:c>
      <x:c r="E2340" s="6" t="n">
        <x:v>5109</x:v>
      </x:c>
      <x:c r="F2340" s="6" t="n">
        <x:v>0</x:v>
      </x:c>
      <x:c r="G2340" s="6" t="n">
        <x:v>5109</x:v>
      </x:c>
      <x:c r="H2340" s="6" t="n">
        <x:v>5109</x:v>
      </x:c>
    </x:row>
    <x:row r="2341" ht="21" customHeight="1">
      <x:c r="A2341" s="1" t="str">
        <x:v>C0015627</x:v>
      </x:c>
      <x:c r="B2341" s="1" t="n">
        <x:v>20</x:v>
      </x:c>
      <x:c r="C2341" s="1" t="n">
        <x:v>50</x:v>
      </x:c>
      <x:c r="D2341" s="6" t="n">
        <x:v>5109</x:v>
      </x:c>
      <x:c r="E2341" s="6" t="n">
        <x:v>10218</x:v>
      </x:c>
      <x:c r="F2341" s="6" t="n">
        <x:v>0</x:v>
      </x:c>
      <x:c r="G2341" s="6" t="n">
        <x:v>10218</x:v>
      </x:c>
      <x:c r="H2341" s="6" t="n">
        <x:v>5109</x:v>
      </x:c>
    </x:row>
    <x:row r="2342" ht="21" customHeight="1">
      <x:c r="A2342" s="1" t="str">
        <x:v>C0014456</x:v>
      </x:c>
      <x:c r="B2342" s="1" t="n">
        <x:v>20</x:v>
      </x:c>
      <x:c r="C2342" s="1" t="n">
        <x:v>50</x:v>
      </x:c>
      <x:c r="D2342" s="6" t="n">
        <x:v>5109</x:v>
      </x:c>
      <x:c r="E2342" s="6" t="n">
        <x:v>10218</x:v>
      </x:c>
      <x:c r="F2342" s="6" t="n">
        <x:v>0</x:v>
      </x:c>
      <x:c r="G2342" s="6" t="n">
        <x:v>10218</x:v>
      </x:c>
      <x:c r="H2342" s="6" t="n">
        <x:v>5109</x:v>
      </x:c>
    </x:row>
    <x:row r="2343" ht="21" customHeight="1">
      <x:c r="A2343" s="1" t="str">
        <x:v>C0007981</x:v>
      </x:c>
      <x:c r="B2343" s="1" t="n">
        <x:v>23</x:v>
      </x:c>
      <x:c r="C2343" s="1" t="n">
        <x:v>23</x:v>
      </x:c>
      <x:c r="D2343" s="6" t="n">
        <x:v>5106</x:v>
      </x:c>
      <x:c r="E2343" s="6" t="n">
        <x:v>10212</x:v>
      </x:c>
      <x:c r="F2343" s="6" t="n">
        <x:v>0</x:v>
      </x:c>
      <x:c r="G2343" s="6" t="n">
        <x:v>10212</x:v>
      </x:c>
      <x:c r="H2343" s="6" t="n">
        <x:v>5106</x:v>
      </x:c>
    </x:row>
    <x:row r="2344" ht="21" customHeight="1">
      <x:c r="A2344" s="1" t="str">
        <x:v>C0010853</x:v>
      </x:c>
      <x:c r="B2344" s="1" t="n">
        <x:v>23</x:v>
      </x:c>
      <x:c r="C2344" s="1" t="n">
        <x:v>23</x:v>
      </x:c>
      <x:c r="D2344" s="6" t="n">
        <x:v>5106</x:v>
      </x:c>
      <x:c r="E2344" s="6" t="n">
        <x:v>0</x:v>
      </x:c>
      <x:c r="F2344" s="6" t="n">
        <x:v>0</x:v>
      </x:c>
      <x:c r="G2344" s="6" t="n">
        <x:v>0</x:v>
      </x:c>
      <x:c r="H2344" s="6" t="n">
        <x:v>-5106</x:v>
      </x:c>
    </x:row>
    <x:row r="2345" ht="21" customHeight="1">
      <x:c r="A2345" s="1" t="str">
        <x:v>C0005743</x:v>
      </x:c>
      <x:c r="B2345" s="1" t="n">
        <x:v>23</x:v>
      </x:c>
      <x:c r="C2345" s="1" t="n">
        <x:v>23</x:v>
      </x:c>
      <x:c r="D2345" s="6" t="n">
        <x:v>0</x:v>
      </x:c>
      <x:c r="E2345" s="6" t="n">
        <x:v>5106</x:v>
      </x:c>
      <x:c r="F2345" s="6" t="n">
        <x:v>0</x:v>
      </x:c>
      <x:c r="G2345" s="6" t="n">
        <x:v>5106</x:v>
      </x:c>
      <x:c r="H2345" s="6" t="n">
        <x:v>5106</x:v>
      </x:c>
    </x:row>
    <x:row r="2346" ht="21" customHeight="1">
      <x:c r="A2346" s="1" t="str">
        <x:v>C0005197</x:v>
      </x:c>
      <x:c r="B2346" s="1" t="n">
        <x:v>23</x:v>
      </x:c>
      <x:c r="C2346" s="1" t="n">
        <x:v>53</x:v>
      </x:c>
      <x:c r="D2346" s="6" t="n">
        <x:v>5087</x:v>
      </x:c>
      <x:c r="E2346" s="6" t="n">
        <x:v>10174</x:v>
      </x:c>
      <x:c r="F2346" s="6" t="n">
        <x:v>0</x:v>
      </x:c>
      <x:c r="G2346" s="6" t="n">
        <x:v>10174</x:v>
      </x:c>
      <x:c r="H2346" s="6" t="n">
        <x:v>5087</x:v>
      </x:c>
    </x:row>
    <x:row r="2347" ht="21" customHeight="1">
      <x:c r="A2347" s="1" t="str">
        <x:v>C0014449</x:v>
      </x:c>
      <x:c r="B2347" s="1" t="n">
        <x:v>23</x:v>
      </x:c>
      <x:c r="C2347" s="1" t="n">
        <x:v>53</x:v>
      </x:c>
      <x:c r="D2347" s="6" t="n">
        <x:v>5087</x:v>
      </x:c>
      <x:c r="E2347" s="6" t="n">
        <x:v>0</x:v>
      </x:c>
      <x:c r="F2347" s="6" t="n">
        <x:v>0</x:v>
      </x:c>
      <x:c r="G2347" s="6" t="n">
        <x:v>0</x:v>
      </x:c>
      <x:c r="H2347" s="6" t="n">
        <x:v>-5087</x:v>
      </x:c>
    </x:row>
    <x:row r="2348" ht="21" customHeight="1">
      <x:c r="A2348" s="1" t="str">
        <x:v>C0001676</x:v>
      </x:c>
      <x:c r="B2348" s="1" t="n">
        <x:v>23</x:v>
      </x:c>
      <x:c r="C2348" s="1" t="n">
        <x:v>53</x:v>
      </x:c>
      <x:c r="D2348" s="6" t="n">
        <x:v>5087</x:v>
      </x:c>
      <x:c r="E2348" s="6" t="n">
        <x:v>0</x:v>
      </x:c>
      <x:c r="F2348" s="6" t="n">
        <x:v>0</x:v>
      </x:c>
      <x:c r="G2348" s="6" t="n">
        <x:v>0</x:v>
      </x:c>
      <x:c r="H2348" s="6" t="n">
        <x:v>-5087</x:v>
      </x:c>
    </x:row>
    <x:row r="2349" ht="21" customHeight="1">
      <x:c r="A2349" s="1" t="str">
        <x:v>C0013448</x:v>
      </x:c>
      <x:c r="B2349" s="1" t="n">
        <x:v>23</x:v>
      </x:c>
      <x:c r="C2349" s="1" t="n">
        <x:v>53</x:v>
      </x:c>
      <x:c r="D2349" s="6" t="n">
        <x:v>5087</x:v>
      </x:c>
      <x:c r="E2349" s="6" t="n">
        <x:v>10174</x:v>
      </x:c>
      <x:c r="F2349" s="6" t="n">
        <x:v>0</x:v>
      </x:c>
      <x:c r="G2349" s="6" t="n">
        <x:v>10174</x:v>
      </x:c>
      <x:c r="H2349" s="6" t="n">
        <x:v>5087</x:v>
      </x:c>
    </x:row>
    <x:row r="2350" ht="21" customHeight="1">
      <x:c r="A2350" s="1" t="str">
        <x:v>C0011227</x:v>
      </x:c>
      <x:c r="B2350" s="1" t="n">
        <x:v>23</x:v>
      </x:c>
      <x:c r="C2350" s="1" t="n">
        <x:v>53</x:v>
      </x:c>
      <x:c r="D2350" s="6" t="n">
        <x:v>5087</x:v>
      </x:c>
      <x:c r="E2350" s="6" t="n">
        <x:v>0</x:v>
      </x:c>
      <x:c r="F2350" s="6" t="n">
        <x:v>0</x:v>
      </x:c>
      <x:c r="G2350" s="6" t="n">
        <x:v>0</x:v>
      </x:c>
      <x:c r="H2350" s="6" t="n">
        <x:v>-5087</x:v>
      </x:c>
    </x:row>
    <x:row r="2351" ht="21" customHeight="1">
      <x:c r="A2351" s="1" t="str">
        <x:v>C0013861</x:v>
      </x:c>
      <x:c r="B2351" s="1" t="n">
        <x:v>23</x:v>
      </x:c>
      <x:c r="C2351" s="1" t="n">
        <x:v>53</x:v>
      </x:c>
      <x:c r="D2351" s="6" t="n">
        <x:v>5087</x:v>
      </x:c>
      <x:c r="E2351" s="6" t="n">
        <x:v>0</x:v>
      </x:c>
      <x:c r="F2351" s="6" t="n">
        <x:v>0</x:v>
      </x:c>
      <x:c r="G2351" s="6" t="n">
        <x:v>0</x:v>
      </x:c>
      <x:c r="H2351" s="6" t="n">
        <x:v>-5087</x:v>
      </x:c>
    </x:row>
    <x:row r="2352" ht="21" customHeight="1">
      <x:c r="A2352" s="1" t="str">
        <x:v>C0017293</x:v>
      </x:c>
      <x:c r="B2352" s="1" t="n">
        <x:v>28</x:v>
      </x:c>
      <x:c r="C2352" s="1" t="n">
        <x:v>118</x:v>
      </x:c>
      <x:c r="D2352" s="6" t="n">
        <x:v>5046</x:v>
      </x:c>
      <x:c r="E2352" s="6" t="n">
        <x:v>10092</x:v>
      </x:c>
      <x:c r="F2352" s="6" t="n">
        <x:v>0</x:v>
      </x:c>
      <x:c r="G2352" s="6" t="n">
        <x:v>10092</x:v>
      </x:c>
      <x:c r="H2352" s="6" t="n">
        <x:v>5046</x:v>
      </x:c>
    </x:row>
    <x:row r="2353" ht="21" customHeight="1">
      <x:c r="A2353" s="1" t="str">
        <x:v>C0011792</x:v>
      </x:c>
      <x:c r="B2353" s="1" t="n">
        <x:v>28</x:v>
      </x:c>
      <x:c r="C2353" s="1" t="n">
        <x:v>118</x:v>
      </x:c>
      <x:c r="D2353" s="6" t="n">
        <x:v>5046</x:v>
      </x:c>
      <x:c r="E2353" s="6" t="n">
        <x:v>0</x:v>
      </x:c>
      <x:c r="F2353" s="6" t="n">
        <x:v>0</x:v>
      </x:c>
      <x:c r="G2353" s="6" t="n">
        <x:v>0</x:v>
      </x:c>
      <x:c r="H2353" s="6" t="n">
        <x:v>-5046</x:v>
      </x:c>
    </x:row>
    <x:row r="2354" ht="21" customHeight="1">
      <x:c r="A2354" s="1" t="str">
        <x:v>C0000352</x:v>
      </x:c>
      <x:c r="B2354" s="1" t="n">
        <x:v>28</x:v>
      </x:c>
      <x:c r="C2354" s="1" t="n">
        <x:v>118</x:v>
      </x:c>
      <x:c r="D2354" s="6" t="n">
        <x:v>5046</x:v>
      </x:c>
      <x:c r="E2354" s="6" t="n">
        <x:v>10092</x:v>
      </x:c>
      <x:c r="F2354" s="6" t="n">
        <x:v>0</x:v>
      </x:c>
      <x:c r="G2354" s="6" t="n">
        <x:v>10092</x:v>
      </x:c>
      <x:c r="H2354" s="6" t="n">
        <x:v>5046</x:v>
      </x:c>
    </x:row>
    <x:row r="2355" ht="21" customHeight="1">
      <x:c r="A2355" s="1" t="str">
        <x:v>C0015131</x:v>
      </x:c>
      <x:c r="B2355" s="1" t="n">
        <x:v>28</x:v>
      </x:c>
      <x:c r="C2355" s="1" t="n">
        <x:v>118</x:v>
      </x:c>
      <x:c r="D2355" s="6" t="n">
        <x:v>5046</x:v>
      </x:c>
      <x:c r="E2355" s="6" t="n">
        <x:v>10092</x:v>
      </x:c>
      <x:c r="F2355" s="6" t="n">
        <x:v>0</x:v>
      </x:c>
      <x:c r="G2355" s="6" t="n">
        <x:v>10092</x:v>
      </x:c>
      <x:c r="H2355" s="6" t="n">
        <x:v>5046</x:v>
      </x:c>
    </x:row>
    <x:row r="2356" ht="21" customHeight="1">
      <x:c r="A2356" s="1" t="str">
        <x:v>C0002019</x:v>
      </x:c>
      <x:c r="B2356" s="1" t="n">
        <x:v>5</x:v>
      </x:c>
      <x:c r="C2356" s="1" t="n">
        <x:v>35</x:v>
      </x:c>
      <x:c r="D2356" s="6" t="n">
        <x:v>22828</x:v>
      </x:c>
      <x:c r="E2356" s="6" t="n">
        <x:v>24328</x:v>
      </x:c>
      <x:c r="F2356" s="6" t="n">
        <x:v>0</x:v>
      </x:c>
      <x:c r="G2356" s="6" t="n">
        <x:v>24328</x:v>
      </x:c>
      <x:c r="H2356" s="6" t="n">
        <x:v>1500</x:v>
      </x:c>
    </x:row>
    <x:row r="2357" ht="21" customHeight="1">
      <x:c r="A2357" s="1" t="str">
        <x:v>C0008320</x:v>
      </x:c>
      <x:c r="B2357" s="1" t="n">
        <x:v>14</x:v>
      </x:c>
      <x:c r="C2357" s="1" t="n">
        <x:v>74</x:v>
      </x:c>
      <x:c r="D2357" s="6" t="n">
        <x:v>16109</x:v>
      </x:c>
      <x:c r="E2357" s="6" t="n">
        <x:v>17609</x:v>
      </x:c>
      <x:c r="F2357" s="6" t="n">
        <x:v>0</x:v>
      </x:c>
      <x:c r="G2357" s="6" t="n">
        <x:v>17609</x:v>
      </x:c>
      <x:c r="H2357" s="6" t="n">
        <x:v>1500</x:v>
      </x:c>
    </x:row>
    <x:row r="2358" ht="21" customHeight="1">
      <x:c r="A2358" s="1" t="str">
        <x:v>C0008303</x:v>
      </x:c>
      <x:c r="B2358" s="1" t="n">
        <x:v>12</x:v>
      </x:c>
      <x:c r="C2358" s="1" t="n">
        <x:v>42</x:v>
      </x:c>
      <x:c r="D2358" s="6" t="n">
        <x:v>8425</x:v>
      </x:c>
      <x:c r="E2358" s="6" t="n">
        <x:v>9925</x:v>
      </x:c>
      <x:c r="F2358" s="6" t="n">
        <x:v>0</x:v>
      </x:c>
      <x:c r="G2358" s="6" t="n">
        <x:v>9925</x:v>
      </x:c>
      <x:c r="H2358" s="6" t="n">
        <x:v>1500</x:v>
      </x:c>
    </x:row>
    <x:row r="2359" ht="21" customHeight="1">
      <x:c r="A2359" s="1" t="str">
        <x:v>C0010198</x:v>
      </x:c>
      <x:c r="B2359" s="1" t="n">
        <x:v>19</x:v>
      </x:c>
      <x:c r="C2359" s="1" t="n">
        <x:v>79</x:v>
      </x:c>
      <x:c r="D2359" s="6" t="n">
        <x:v>7386</x:v>
      </x:c>
      <x:c r="E2359" s="6" t="n">
        <x:v>8886</x:v>
      </x:c>
      <x:c r="F2359" s="6" t="n">
        <x:v>0</x:v>
      </x:c>
      <x:c r="G2359" s="6" t="n">
        <x:v>8886</x:v>
      </x:c>
      <x:c r="H2359" s="6" t="n">
        <x:v>1500</x:v>
      </x:c>
    </x:row>
    <x:row r="2360" ht="21" customHeight="1">
      <x:c r="A2360" s="1" t="str">
        <x:v>C0002757</x:v>
      </x:c>
      <x:c r="B2360" s="1" t="n">
        <x:v>19</x:v>
      </x:c>
      <x:c r="C2360" s="1" t="n">
        <x:v>79</x:v>
      </x:c>
      <x:c r="D2360" s="6" t="n">
        <x:v>21854</x:v>
      </x:c>
      <x:c r="E2360" s="6" t="n">
        <x:v>23354</x:v>
      </x:c>
      <x:c r="F2360" s="6" t="n">
        <x:v>0</x:v>
      </x:c>
      <x:c r="G2360" s="6" t="n">
        <x:v>23354</x:v>
      </x:c>
      <x:c r="H2360" s="6" t="n">
        <x:v>1500</x:v>
      </x:c>
    </x:row>
    <x:row r="2361" ht="21" customHeight="1">
      <x:c r="A2361" s="1" t="str">
        <x:v>C0008300</x:v>
      </x:c>
      <x:c r="B2361" s="1" t="n">
        <x:v>13</x:v>
      </x:c>
      <x:c r="C2361" s="1" t="n">
        <x:v>13</x:v>
      </x:c>
      <x:c r="D2361" s="6" t="n">
        <x:v>10445</x:v>
      </x:c>
      <x:c r="E2361" s="6" t="n">
        <x:v>11945</x:v>
      </x:c>
      <x:c r="F2361" s="6" t="n">
        <x:v>0</x:v>
      </x:c>
      <x:c r="G2361" s="6" t="n">
        <x:v>11945</x:v>
      </x:c>
      <x:c r="H2361" s="6" t="n">
        <x:v>1500</x:v>
      </x:c>
    </x:row>
    <x:row r="2362" ht="21" customHeight="1">
      <x:c r="A2362" s="1" t="str">
        <x:v>C0002039</x:v>
      </x:c>
      <x:c r="B2362" s="1" t="n">
        <x:v>22</x:v>
      </x:c>
      <x:c r="C2362" s="1" t="n">
        <x:v>82</x:v>
      </x:c>
      <x:c r="D2362" s="6" t="n">
        <x:v>19847</x:v>
      </x:c>
      <x:c r="E2362" s="6" t="n">
        <x:v>21347</x:v>
      </x:c>
      <x:c r="F2362" s="6" t="n">
        <x:v>0</x:v>
      </x:c>
      <x:c r="G2362" s="6" t="n">
        <x:v>21347</x:v>
      </x:c>
      <x:c r="H2362" s="6" t="n">
        <x:v>1500</x:v>
      </x:c>
    </x:row>
    <x:row r="2363" ht="21" customHeight="1">
      <x:c r="A2363" s="1" t="str">
        <x:v>C0010268</x:v>
      </x:c>
      <x:c r="B2363" s="1" t="n">
        <x:v>30</x:v>
      </x:c>
      <x:c r="C2363" s="1" t="n">
        <x:v>120</x:v>
      </x:c>
      <x:c r="D2363" s="6" t="n">
        <x:v>24724</x:v>
      </x:c>
      <x:c r="E2363" s="6" t="n">
        <x:v>26224</x:v>
      </x:c>
      <x:c r="F2363" s="6" t="n">
        <x:v>0</x:v>
      </x:c>
      <x:c r="G2363" s="6" t="n">
        <x:v>26224</x:v>
      </x:c>
      <x:c r="H2363" s="6" t="n">
        <x:v>1500</x:v>
      </x:c>
    </x:row>
    <x:row r="2364" ht="21" customHeight="1">
      <x:c r="A2364" s="1" t="str">
        <x:v>C0002082</x:v>
      </x:c>
      <x:c r="B2364" s="1" t="n">
        <x:v>1</x:v>
      </x:c>
      <x:c r="C2364" s="1" t="n">
        <x:v>61</x:v>
      </x:c>
      <x:c r="D2364" s="6" t="n">
        <x:v>8460</x:v>
      </x:c>
      <x:c r="E2364" s="6" t="n">
        <x:v>9960</x:v>
      </x:c>
      <x:c r="F2364" s="6" t="n">
        <x:v>0</x:v>
      </x:c>
      <x:c r="G2364" s="6" t="n">
        <x:v>9960</x:v>
      </x:c>
      <x:c r="H2364" s="6" t="n">
        <x:v>1500</x:v>
      </x:c>
    </x:row>
    <x:row r="2365" ht="21" customHeight="1">
      <x:c r="A2365" s="1" t="str">
        <x:v>C0010261</x:v>
      </x:c>
      <x:c r="B2365" s="1" t="n">
        <x:v>6</x:v>
      </x:c>
      <x:c r="C2365" s="1" t="n">
        <x:v>36</x:v>
      </x:c>
      <x:c r="D2365" s="6" t="n">
        <x:v>28512</x:v>
      </x:c>
      <x:c r="E2365" s="6" t="n">
        <x:v>30012</x:v>
      </x:c>
      <x:c r="F2365" s="6" t="n">
        <x:v>0</x:v>
      </x:c>
      <x:c r="G2365" s="6" t="n">
        <x:v>30012</x:v>
      </x:c>
      <x:c r="H2365" s="6" t="n">
        <x:v>1500</x:v>
      </x:c>
    </x:row>
    <x:row r="2366" ht="21" customHeight="1">
      <x:c r="A2366" s="1" t="str">
        <x:v>C0002714</x:v>
      </x:c>
      <x:c r="B2366" s="1" t="n">
        <x:v>9</x:v>
      </x:c>
      <x:c r="C2366" s="1" t="n">
        <x:v>9</x:v>
      </x:c>
      <x:c r="D2366" s="6" t="n">
        <x:v>10531</x:v>
      </x:c>
      <x:c r="E2366" s="6" t="n">
        <x:v>12031</x:v>
      </x:c>
      <x:c r="F2366" s="6" t="n">
        <x:v>0</x:v>
      </x:c>
      <x:c r="G2366" s="6" t="n">
        <x:v>12031</x:v>
      </x:c>
      <x:c r="H2366" s="6" t="n">
        <x:v>1500</x:v>
      </x:c>
    </x:row>
    <x:row r="2367" ht="21" customHeight="1">
      <x:c r="A2367" s="1" t="str">
        <x:v>C0002085</x:v>
      </x:c>
      <x:c r="B2367" s="1" t="n">
        <x:v>20</x:v>
      </x:c>
      <x:c r="C2367" s="1" t="n">
        <x:v>50</x:v>
      </x:c>
      <x:c r="D2367" s="6" t="n">
        <x:v>5109</x:v>
      </x:c>
      <x:c r="E2367" s="6" t="n">
        <x:v>6609</x:v>
      </x:c>
      <x:c r="F2367" s="6" t="n">
        <x:v>0</x:v>
      </x:c>
      <x:c r="G2367" s="6" t="n">
        <x:v>6609</x:v>
      </x:c>
      <x:c r="H2367" s="6" t="n">
        <x:v>1500</x:v>
      </x:c>
    </x:row>
    <x:row r="2368" ht="21" customHeight="1">
      <x:c r="A2368" s="1" t="str">
        <x:v>C0002103</x:v>
      </x:c>
      <x:c r="B2368" s="1" t="n">
        <x:v>13</x:v>
      </x:c>
      <x:c r="C2368" s="1" t="n">
        <x:v>13</x:v>
      </x:c>
      <x:c r="D2368" s="6" t="n">
        <x:v>10445</x:v>
      </x:c>
      <x:c r="E2368" s="6" t="n">
        <x:v>11945</x:v>
      </x:c>
      <x:c r="F2368" s="6" t="n">
        <x:v>0</x:v>
      </x:c>
      <x:c r="G2368" s="6" t="n">
        <x:v>11945</x:v>
      </x:c>
      <x:c r="H2368" s="6" t="n">
        <x:v>1500</x:v>
      </x:c>
    </x:row>
    <x:row r="2369" ht="21" customHeight="1">
      <x:c r="A2369" s="1" t="str">
        <x:v>C0010235</x:v>
      </x:c>
      <x:c r="B2369" s="1" t="n">
        <x:v>11</x:v>
      </x:c>
      <x:c r="C2369" s="1" t="n">
        <x:v>11</x:v>
      </x:c>
      <x:c r="D2369" s="6" t="n">
        <x:v>19341</x:v>
      </x:c>
      <x:c r="E2369" s="6" t="n">
        <x:v>20841</x:v>
      </x:c>
      <x:c r="F2369" s="6" t="n">
        <x:v>0</x:v>
      </x:c>
      <x:c r="G2369" s="6" t="n">
        <x:v>20841</x:v>
      </x:c>
      <x:c r="H2369" s="6" t="n">
        <x:v>1500</x:v>
      </x:c>
    </x:row>
    <x:row r="2370" ht="21" customHeight="1">
      <x:c r="A2370" s="1" t="str">
        <x:v>C0010228</x:v>
      </x:c>
      <x:c r="B2370" s="1" t="n">
        <x:v>6</x:v>
      </x:c>
      <x:c r="C2370" s="1" t="n">
        <x:v>6</x:v>
      </x:c>
      <x:c r="D2370" s="6" t="n">
        <x:v>9791</x:v>
      </x:c>
      <x:c r="E2370" s="6" t="n">
        <x:v>11291</x:v>
      </x:c>
      <x:c r="F2370" s="6" t="n">
        <x:v>0</x:v>
      </x:c>
      <x:c r="G2370" s="6" t="n">
        <x:v>11291</x:v>
      </x:c>
      <x:c r="H2370" s="6" t="n">
        <x:v>1500</x:v>
      </x:c>
    </x:row>
    <x:row r="2371" ht="21" customHeight="1">
      <x:c r="A2371" s="1" t="str">
        <x:v>C0015285</x:v>
      </x:c>
      <x:c r="B2371" s="1" t="n">
        <x:v>9</x:v>
      </x:c>
      <x:c r="C2371" s="1" t="n">
        <x:v>69</x:v>
      </x:c>
      <x:c r="D2371" s="6" t="n">
        <x:v>12830</x:v>
      </x:c>
      <x:c r="E2371" s="6" t="n">
        <x:v>14330</x:v>
      </x:c>
      <x:c r="F2371" s="6" t="n">
        <x:v>0</x:v>
      </x:c>
      <x:c r="G2371" s="6" t="n">
        <x:v>14330</x:v>
      </x:c>
      <x:c r="H2371" s="6" t="n">
        <x:v>1500</x:v>
      </x:c>
    </x:row>
    <x:row r="2372" ht="21" customHeight="1">
      <x:c r="A2372" s="1" t="str">
        <x:v>C0015983</x:v>
      </x:c>
      <x:c r="B2372" s="1" t="n">
        <x:v>20</x:v>
      </x:c>
      <x:c r="C2372" s="1" t="n">
        <x:v>80</x:v>
      </x:c>
      <x:c r="D2372" s="6" t="n">
        <x:v>18780</x:v>
      </x:c>
      <x:c r="E2372" s="6" t="n">
        <x:v>20280</x:v>
      </x:c>
      <x:c r="F2372" s="6" t="n">
        <x:v>0</x:v>
      </x:c>
      <x:c r="G2372" s="6" t="n">
        <x:v>20280</x:v>
      </x:c>
      <x:c r="H2372" s="6" t="n">
        <x:v>1500</x:v>
      </x:c>
    </x:row>
    <x:row r="2373" ht="21" customHeight="1">
      <x:c r="A2373" s="1" t="str">
        <x:v>C0015282</x:v>
      </x:c>
      <x:c r="B2373" s="1" t="n">
        <x:v>3</x:v>
      </x:c>
      <x:c r="C2373" s="1" t="n">
        <x:v>3</x:v>
      </x:c>
      <x:c r="D2373" s="6" t="n">
        <x:v>8304</x:v>
      </x:c>
      <x:c r="E2373" s="6" t="n">
        <x:v>9804</x:v>
      </x:c>
      <x:c r="F2373" s="6" t="n">
        <x:v>0</x:v>
      </x:c>
      <x:c r="G2373" s="6" t="n">
        <x:v>9804</x:v>
      </x:c>
      <x:c r="H2373" s="6" t="n">
        <x:v>1500</x:v>
      </x:c>
    </x:row>
    <x:row r="2374" ht="21" customHeight="1">
      <x:c r="A2374" s="1" t="str">
        <x:v>C0015984</x:v>
      </x:c>
      <x:c r="B2374" s="1" t="n">
        <x:v>7</x:v>
      </x:c>
      <x:c r="C2374" s="1" t="n">
        <x:v>67</x:v>
      </x:c>
      <x:c r="D2374" s="6" t="n">
        <x:v>19874</x:v>
      </x:c>
      <x:c r="E2374" s="6" t="n">
        <x:v>21374</x:v>
      </x:c>
      <x:c r="F2374" s="6" t="n">
        <x:v>0</x:v>
      </x:c>
      <x:c r="G2374" s="6" t="n">
        <x:v>21374</x:v>
      </x:c>
      <x:c r="H2374" s="6" t="n">
        <x:v>1500</x:v>
      </x:c>
    </x:row>
    <x:row r="2375" ht="21" customHeight="1">
      <x:c r="A2375" s="1" t="str">
        <x:v>C0008341</x:v>
      </x:c>
      <x:c r="B2375" s="1" t="n">
        <x:v>25</x:v>
      </x:c>
      <x:c r="C2375" s="1" t="n">
        <x:v>25</x:v>
      </x:c>
      <x:c r="D2375" s="6" t="n">
        <x:v>15127</x:v>
      </x:c>
      <x:c r="E2375" s="6" t="n">
        <x:v>16627</x:v>
      </x:c>
      <x:c r="F2375" s="6" t="n">
        <x:v>0</x:v>
      </x:c>
      <x:c r="G2375" s="6" t="n">
        <x:v>16627</x:v>
      </x:c>
      <x:c r="H2375" s="6" t="n">
        <x:v>1500</x:v>
      </x:c>
    </x:row>
    <x:row r="2376" ht="21" customHeight="1">
      <x:c r="A2376" s="1" t="str">
        <x:v>C0015345</x:v>
      </x:c>
      <x:c r="B2376" s="1" t="n">
        <x:v>4</x:v>
      </x:c>
      <x:c r="C2376" s="1" t="n">
        <x:v>94</x:v>
      </x:c>
      <x:c r="D2376" s="6" t="n">
        <x:v>12667</x:v>
      </x:c>
      <x:c r="E2376" s="6" t="n">
        <x:v>14167</x:v>
      </x:c>
      <x:c r="F2376" s="6" t="n">
        <x:v>0</x:v>
      </x:c>
      <x:c r="G2376" s="6" t="n">
        <x:v>14167</x:v>
      </x:c>
      <x:c r="H2376" s="6" t="n">
        <x:v>1500</x:v>
      </x:c>
    </x:row>
    <x:row r="2377" ht="21" customHeight="1">
      <x:c r="A2377" s="1" t="str">
        <x:v>C0008337</x:v>
      </x:c>
      <x:c r="B2377" s="1" t="n">
        <x:v>11</x:v>
      </x:c>
      <x:c r="C2377" s="1" t="n">
        <x:v>101</x:v>
      </x:c>
      <x:c r="D2377" s="6" t="n">
        <x:v>35836</x:v>
      </x:c>
      <x:c r="E2377" s="6" t="n">
        <x:v>37336</x:v>
      </x:c>
      <x:c r="F2377" s="6" t="n">
        <x:v>0</x:v>
      </x:c>
      <x:c r="G2377" s="6" t="n">
        <x:v>37336</x:v>
      </x:c>
      <x:c r="H2377" s="6" t="n">
        <x:v>1500</x:v>
      </x:c>
    </x:row>
    <x:row r="2378" ht="21" customHeight="1">
      <x:c r="A2378" s="1" t="str">
        <x:v>C0010337</x:v>
      </x:c>
      <x:c r="B2378" s="1" t="n">
        <x:v>16</x:v>
      </x:c>
      <x:c r="C2378" s="1" t="n">
        <x:v>46</x:v>
      </x:c>
      <x:c r="D2378" s="6" t="n">
        <x:v>26952</x:v>
      </x:c>
      <x:c r="E2378" s="6" t="n">
        <x:v>28452</x:v>
      </x:c>
      <x:c r="F2378" s="6" t="n">
        <x:v>0</x:v>
      </x:c>
      <x:c r="G2378" s="6" t="n">
        <x:v>28452</x:v>
      </x:c>
      <x:c r="H2378" s="6" t="n">
        <x:v>1500</x:v>
      </x:c>
    </x:row>
    <x:row r="2379" ht="21" customHeight="1">
      <x:c r="A2379" s="1" t="str">
        <x:v>C0010332</x:v>
      </x:c>
      <x:c r="B2379" s="1" t="n">
        <x:v>30</x:v>
      </x:c>
      <x:c r="C2379" s="1" t="n">
        <x:v>60</x:v>
      </x:c>
      <x:c r="D2379" s="6" t="n">
        <x:v>7317</x:v>
      </x:c>
      <x:c r="E2379" s="6" t="n">
        <x:v>8817</x:v>
      </x:c>
      <x:c r="F2379" s="6" t="n">
        <x:v>0</x:v>
      </x:c>
      <x:c r="G2379" s="6" t="n">
        <x:v>8817</x:v>
      </x:c>
      <x:c r="H2379" s="6" t="n">
        <x:v>1500</x:v>
      </x:c>
    </x:row>
    <x:row r="2380" ht="21" customHeight="1">
      <x:c r="A2380" s="1" t="str">
        <x:v>C0015319</x:v>
      </x:c>
      <x:c r="B2380" s="1" t="n">
        <x:v>14</x:v>
      </x:c>
      <x:c r="C2380" s="1" t="n">
        <x:v>44</x:v>
      </x:c>
      <x:c r="D2380" s="6" t="n">
        <x:v>17690</x:v>
      </x:c>
      <x:c r="E2380" s="6" t="n">
        <x:v>19190</x:v>
      </x:c>
      <x:c r="F2380" s="6" t="n">
        <x:v>0</x:v>
      </x:c>
      <x:c r="G2380" s="6" t="n">
        <x:v>19190</x:v>
      </x:c>
      <x:c r="H2380" s="6" t="n">
        <x:v>1500</x:v>
      </x:c>
    </x:row>
    <x:row r="2381" ht="21" customHeight="1">
      <x:c r="A2381" s="1" t="str">
        <x:v>C0015987</x:v>
      </x:c>
      <x:c r="B2381" s="1" t="n">
        <x:v>9</x:v>
      </x:c>
      <x:c r="C2381" s="1" t="n">
        <x:v>69</x:v>
      </x:c>
      <x:c r="D2381" s="6" t="n">
        <x:v>12971</x:v>
      </x:c>
      <x:c r="E2381" s="6" t="n">
        <x:v>14471</x:v>
      </x:c>
      <x:c r="F2381" s="6" t="n">
        <x:v>0</x:v>
      </x:c>
      <x:c r="G2381" s="6" t="n">
        <x:v>14471</x:v>
      </x:c>
      <x:c r="H2381" s="6" t="n">
        <x:v>1500</x:v>
      </x:c>
    </x:row>
    <x:row r="2382" ht="21" customHeight="1">
      <x:c r="A2382" s="1" t="str">
        <x:v>C0010313</x:v>
      </x:c>
      <x:c r="B2382" s="1" t="n">
        <x:v>2</x:v>
      </x:c>
      <x:c r="C2382" s="1" t="n">
        <x:v>92</x:v>
      </x:c>
      <x:c r="D2382" s="6" t="n">
        <x:v>23376</x:v>
      </x:c>
      <x:c r="E2382" s="6" t="n">
        <x:v>24876</x:v>
      </x:c>
      <x:c r="F2382" s="6" t="n">
        <x:v>0</x:v>
      </x:c>
      <x:c r="G2382" s="6" t="n">
        <x:v>24876</x:v>
      </x:c>
      <x:c r="H2382" s="6" t="n">
        <x:v>1500</x:v>
      </x:c>
    </x:row>
    <x:row r="2383" ht="21" customHeight="1">
      <x:c r="A2383" s="1" t="str">
        <x:v>C0001999</x:v>
      </x:c>
      <x:c r="B2383" s="1" t="n">
        <x:v>5</x:v>
      </x:c>
      <x:c r="C2383" s="1" t="n">
        <x:v>65</x:v>
      </x:c>
      <x:c r="D2383" s="6" t="n">
        <x:v>13676</x:v>
      </x:c>
      <x:c r="E2383" s="6" t="n">
        <x:v>15176</x:v>
      </x:c>
      <x:c r="F2383" s="6" t="n">
        <x:v>0</x:v>
      </x:c>
      <x:c r="G2383" s="6" t="n">
        <x:v>15176</x:v>
      </x:c>
      <x:c r="H2383" s="6" t="n">
        <x:v>1500</x:v>
      </x:c>
    </x:row>
    <x:row r="2384" ht="21" customHeight="1">
      <x:c r="A2384" s="1" t="str">
        <x:v>C0008332</x:v>
      </x:c>
      <x:c r="B2384" s="1" t="n">
        <x:v>23</x:v>
      </x:c>
      <x:c r="C2384" s="1" t="n">
        <x:v>53</x:v>
      </x:c>
      <x:c r="D2384" s="6" t="n">
        <x:v>5087</x:v>
      </x:c>
      <x:c r="E2384" s="6" t="n">
        <x:v>6587</x:v>
      </x:c>
      <x:c r="F2384" s="6" t="n">
        <x:v>0</x:v>
      </x:c>
      <x:c r="G2384" s="6" t="n">
        <x:v>6587</x:v>
      </x:c>
      <x:c r="H2384" s="6" t="n">
        <x:v>1500</x:v>
      </x:c>
    </x:row>
    <x:row r="2385" ht="21" customHeight="1">
      <x:c r="A2385" s="1" t="str">
        <x:v>C0015333</x:v>
      </x:c>
      <x:c r="B2385" s="1" t="n">
        <x:v>5</x:v>
      </x:c>
      <x:c r="C2385" s="1" t="n">
        <x:v>35</x:v>
      </x:c>
      <x:c r="D2385" s="6" t="n">
        <x:v>21872</x:v>
      </x:c>
      <x:c r="E2385" s="6" t="n">
        <x:v>23372</x:v>
      </x:c>
      <x:c r="F2385" s="6" t="n">
        <x:v>0</x:v>
      </x:c>
      <x:c r="G2385" s="6" t="n">
        <x:v>23372</x:v>
      </x:c>
      <x:c r="H2385" s="6" t="n">
        <x:v>1500</x:v>
      </x:c>
    </x:row>
    <x:row r="2386" ht="21" customHeight="1">
      <x:c r="A2386" s="1" t="str">
        <x:v>C0010290</x:v>
      </x:c>
      <x:c r="B2386" s="1" t="n">
        <x:v>21</x:v>
      </x:c>
      <x:c r="C2386" s="1" t="n">
        <x:v>81</x:v>
      </x:c>
      <x:c r="D2386" s="6" t="n">
        <x:v>11036</x:v>
      </x:c>
      <x:c r="E2386" s="6" t="n">
        <x:v>12536</x:v>
      </x:c>
      <x:c r="F2386" s="6" t="n">
        <x:v>0</x:v>
      </x:c>
      <x:c r="G2386" s="6" t="n">
        <x:v>12536</x:v>
      </x:c>
      <x:c r="H2386" s="6" t="n">
        <x:v>1500</x:v>
      </x:c>
    </x:row>
    <x:row r="2387" ht="21" customHeight="1">
      <x:c r="A2387" s="1" t="str">
        <x:v>C0015317</x:v>
      </x:c>
      <x:c r="B2387" s="1" t="n">
        <x:v>6</x:v>
      </x:c>
      <x:c r="C2387" s="1" t="n">
        <x:v>6</x:v>
      </x:c>
      <x:c r="D2387" s="6" t="n">
        <x:v>8998</x:v>
      </x:c>
      <x:c r="E2387" s="6" t="n">
        <x:v>10498</x:v>
      </x:c>
      <x:c r="F2387" s="6" t="n">
        <x:v>0</x:v>
      </x:c>
      <x:c r="G2387" s="6" t="n">
        <x:v>10498</x:v>
      </x:c>
      <x:c r="H2387" s="6" t="n">
        <x:v>1500</x:v>
      </x:c>
    </x:row>
    <x:row r="2388" ht="21" customHeight="1">
      <x:c r="A2388" s="1" t="str">
        <x:v>C0002000</x:v>
      </x:c>
      <x:c r="B2388" s="1" t="n">
        <x:v>29</x:v>
      </x:c>
      <x:c r="C2388" s="1" t="n">
        <x:v>89</x:v>
      </x:c>
      <x:c r="D2388" s="6" t="n">
        <x:v>9580</x:v>
      </x:c>
      <x:c r="E2388" s="6" t="n">
        <x:v>11080</x:v>
      </x:c>
      <x:c r="F2388" s="6" t="n">
        <x:v>0</x:v>
      </x:c>
      <x:c r="G2388" s="6" t="n">
        <x:v>11080</x:v>
      </x:c>
      <x:c r="H2388" s="6" t="n">
        <x:v>1500</x:v>
      </x:c>
    </x:row>
    <x:row r="2389" ht="21" customHeight="1">
      <x:c r="A2389" s="1" t="str">
        <x:v>C0010276</x:v>
      </x:c>
      <x:c r="B2389" s="1" t="n">
        <x:v>12</x:v>
      </x:c>
      <x:c r="C2389" s="1" t="n">
        <x:v>42</x:v>
      </x:c>
      <x:c r="D2389" s="6" t="n">
        <x:v>14519</x:v>
      </x:c>
      <x:c r="E2389" s="6" t="n">
        <x:v>16019</x:v>
      </x:c>
      <x:c r="F2389" s="6" t="n">
        <x:v>0</x:v>
      </x:c>
      <x:c r="G2389" s="6" t="n">
        <x:v>16019</x:v>
      </x:c>
      <x:c r="H2389" s="6" t="n">
        <x:v>1500</x:v>
      </x:c>
    </x:row>
    <x:row r="2390" ht="21" customHeight="1">
      <x:c r="A2390" s="1" t="str">
        <x:v>C0010317</x:v>
      </x:c>
      <x:c r="B2390" s="1" t="n">
        <x:v>8</x:v>
      </x:c>
      <x:c r="C2390" s="1" t="n">
        <x:v>8</x:v>
      </x:c>
      <x:c r="D2390" s="6" t="n">
        <x:v>16308</x:v>
      </x:c>
      <x:c r="E2390" s="6" t="n">
        <x:v>17808</x:v>
      </x:c>
      <x:c r="F2390" s="6" t="n">
        <x:v>0</x:v>
      </x:c>
      <x:c r="G2390" s="6" t="n">
        <x:v>17808</x:v>
      </x:c>
      <x:c r="H2390" s="6" t="n">
        <x:v>1500</x:v>
      </x:c>
    </x:row>
    <x:row r="2391" ht="21" customHeight="1">
      <x:c r="A2391" s="1" t="str">
        <x:v>C0015606</x:v>
      </x:c>
      <x:c r="B2391" s="1" t="n">
        <x:v>7</x:v>
      </x:c>
      <x:c r="C2391" s="1" t="n">
        <x:v>7</x:v>
      </x:c>
      <x:c r="D2391" s="6" t="n">
        <x:v>9909</x:v>
      </x:c>
      <x:c r="E2391" s="6" t="n">
        <x:v>11409</x:v>
      </x:c>
      <x:c r="F2391" s="6" t="n">
        <x:v>0</x:v>
      </x:c>
      <x:c r="G2391" s="6" t="n">
        <x:v>11409</x:v>
      </x:c>
      <x:c r="H2391" s="6" t="n">
        <x:v>1500</x:v>
      </x:c>
    </x:row>
    <x:row r="2392" ht="21" customHeight="1">
      <x:c r="A2392" s="1" t="str">
        <x:v>C0015616</x:v>
      </x:c>
      <x:c r="B2392" s="1" t="n">
        <x:v>30</x:v>
      </x:c>
      <x:c r="C2392" s="1" t="n">
        <x:v>30</x:v>
      </x:c>
      <x:c r="D2392" s="6" t="n">
        <x:v>9733</x:v>
      </x:c>
      <x:c r="E2392" s="6" t="n">
        <x:v>11233</x:v>
      </x:c>
      <x:c r="F2392" s="6" t="n">
        <x:v>0</x:v>
      </x:c>
      <x:c r="G2392" s="6" t="n">
        <x:v>11233</x:v>
      </x:c>
      <x:c r="H2392" s="6" t="n">
        <x:v>1500</x:v>
      </x:c>
    </x:row>
    <x:row r="2393" ht="21" customHeight="1">
      <x:c r="A2393" s="1" t="str">
        <x:v>C0015623</x:v>
      </x:c>
      <x:c r="B2393" s="1" t="n">
        <x:v>13</x:v>
      </x:c>
      <x:c r="C2393" s="1" t="n">
        <x:v>73</x:v>
      </x:c>
      <x:c r="D2393" s="6" t="n">
        <x:v>11930</x:v>
      </x:c>
      <x:c r="E2393" s="6" t="n">
        <x:v>13430</x:v>
      </x:c>
      <x:c r="F2393" s="6" t="n">
        <x:v>0</x:v>
      </x:c>
      <x:c r="G2393" s="6" t="n">
        <x:v>13430</x:v>
      </x:c>
      <x:c r="H2393" s="6" t="n">
        <x:v>1500</x:v>
      </x:c>
    </x:row>
    <x:row r="2394" ht="21" customHeight="1">
      <x:c r="A2394" s="1" t="str">
        <x:v>C0015626</x:v>
      </x:c>
      <x:c r="B2394" s="1" t="n">
        <x:v>28</x:v>
      </x:c>
      <x:c r="C2394" s="1" t="n">
        <x:v>118</x:v>
      </x:c>
      <x:c r="D2394" s="6" t="n">
        <x:v>22563</x:v>
      </x:c>
      <x:c r="E2394" s="6" t="n">
        <x:v>24063</x:v>
      </x:c>
      <x:c r="F2394" s="6" t="n">
        <x:v>0</x:v>
      </x:c>
      <x:c r="G2394" s="6" t="n">
        <x:v>24063</x:v>
      </x:c>
      <x:c r="H2394" s="6" t="n">
        <x:v>1500</x:v>
      </x:c>
    </x:row>
    <x:row r="2395" ht="21" customHeight="1">
      <x:c r="A2395" s="1" t="str">
        <x:v>C0015647</x:v>
      </x:c>
      <x:c r="B2395" s="1" t="n">
        <x:v>12</x:v>
      </x:c>
      <x:c r="C2395" s="1" t="n">
        <x:v>42</x:v>
      </x:c>
      <x:c r="D2395" s="6" t="n">
        <x:v>8425</x:v>
      </x:c>
      <x:c r="E2395" s="6" t="n">
        <x:v>9925</x:v>
      </x:c>
      <x:c r="F2395" s="6" t="n">
        <x:v>0</x:v>
      </x:c>
      <x:c r="G2395" s="6" t="n">
        <x:v>9925</x:v>
      </x:c>
      <x:c r="H2395" s="6" t="n">
        <x:v>1500</x:v>
      </x:c>
    </x:row>
    <x:row r="2396" ht="21" customHeight="1">
      <x:c r="A2396" s="1" t="str">
        <x:v>C0015656</x:v>
      </x:c>
      <x:c r="B2396" s="1" t="n">
        <x:v>23</x:v>
      </x:c>
      <x:c r="C2396" s="1" t="n">
        <x:v>83</x:v>
      </x:c>
      <x:c r="D2396" s="6" t="n">
        <x:v>8108</x:v>
      </x:c>
      <x:c r="E2396" s="6" t="n">
        <x:v>9608</x:v>
      </x:c>
      <x:c r="F2396" s="6" t="n">
        <x:v>0</x:v>
      </x:c>
      <x:c r="G2396" s="6" t="n">
        <x:v>9608</x:v>
      </x:c>
      <x:c r="H2396" s="6" t="n">
        <x:v>1500</x:v>
      </x:c>
    </x:row>
    <x:row r="2397" ht="21" customHeight="1">
      <x:c r="A2397" s="1" t="str">
        <x:v>C0015658</x:v>
      </x:c>
      <x:c r="B2397" s="1" t="n">
        <x:v>12</x:v>
      </x:c>
      <x:c r="C2397" s="1" t="n">
        <x:v>72</x:v>
      </x:c>
      <x:c r="D2397" s="6" t="n">
        <x:v>21185</x:v>
      </x:c>
      <x:c r="E2397" s="6" t="n">
        <x:v>22685</x:v>
      </x:c>
      <x:c r="F2397" s="6" t="n">
        <x:v>0</x:v>
      </x:c>
      <x:c r="G2397" s="6" t="n">
        <x:v>22685</x:v>
      </x:c>
      <x:c r="H2397" s="6" t="n">
        <x:v>1500</x:v>
      </x:c>
    </x:row>
    <x:row r="2398" ht="21" customHeight="1">
      <x:c r="A2398" s="1" t="str">
        <x:v>C0015666</x:v>
      </x:c>
      <x:c r="B2398" s="1" t="n">
        <x:v>29</x:v>
      </x:c>
      <x:c r="C2398" s="1" t="n">
        <x:v>119</x:v>
      </x:c>
      <x:c r="D2398" s="6" t="n">
        <x:v>8063</x:v>
      </x:c>
      <x:c r="E2398" s="6" t="n">
        <x:v>9563</x:v>
      </x:c>
      <x:c r="F2398" s="6" t="n">
        <x:v>0</x:v>
      </x:c>
      <x:c r="G2398" s="6" t="n">
        <x:v>9563</x:v>
      </x:c>
      <x:c r="H2398" s="6" t="n">
        <x:v>1500</x:v>
      </x:c>
    </x:row>
    <x:row r="2399" ht="21" customHeight="1">
      <x:c r="A2399" s="1" t="str">
        <x:v>C0008097</x:v>
      </x:c>
      <x:c r="B2399" s="1" t="n">
        <x:v>12</x:v>
      </x:c>
      <x:c r="C2399" s="1" t="n">
        <x:v>102</x:v>
      </x:c>
      <x:c r="D2399" s="6" t="n">
        <x:v>19623</x:v>
      </x:c>
      <x:c r="E2399" s="6" t="n">
        <x:v>21123</x:v>
      </x:c>
      <x:c r="F2399" s="6" t="n">
        <x:v>0</x:v>
      </x:c>
      <x:c r="G2399" s="6" t="n">
        <x:v>21123</x:v>
      </x:c>
      <x:c r="H2399" s="6" t="n">
        <x:v>1500</x:v>
      </x:c>
    </x:row>
    <x:row r="2400" ht="21" customHeight="1">
      <x:c r="A2400" s="1" t="str">
        <x:v>C0015668</x:v>
      </x:c>
      <x:c r="B2400" s="1" t="n">
        <x:v>22</x:v>
      </x:c>
      <x:c r="C2400" s="1" t="n">
        <x:v>22</x:v>
      </x:c>
      <x:c r="D2400" s="6" t="n">
        <x:v>12473</x:v>
      </x:c>
      <x:c r="E2400" s="6" t="n">
        <x:v>13973</x:v>
      </x:c>
      <x:c r="F2400" s="6" t="n">
        <x:v>0</x:v>
      </x:c>
      <x:c r="G2400" s="6" t="n">
        <x:v>13973</x:v>
      </x:c>
      <x:c r="H2400" s="6" t="n">
        <x:v>1500</x:v>
      </x:c>
    </x:row>
    <x:row r="2401" ht="21" customHeight="1">
      <x:c r="A2401" s="1" t="str">
        <x:v>C0002131</x:v>
      </x:c>
      <x:c r="B2401" s="1" t="n">
        <x:v>28</x:v>
      </x:c>
      <x:c r="C2401" s="1" t="n">
        <x:v>28</x:v>
      </x:c>
      <x:c r="D2401" s="6" t="n">
        <x:v>39534</x:v>
      </x:c>
      <x:c r="E2401" s="6" t="n">
        <x:v>41034</x:v>
      </x:c>
      <x:c r="F2401" s="6" t="n">
        <x:v>0</x:v>
      </x:c>
      <x:c r="G2401" s="6" t="n">
        <x:v>41034</x:v>
      </x:c>
      <x:c r="H2401" s="6" t="n">
        <x:v>1500</x:v>
      </x:c>
    </x:row>
    <x:row r="2402" ht="21" customHeight="1">
      <x:c r="A2402" s="1" t="str">
        <x:v>C0002439</x:v>
      </x:c>
      <x:c r="B2402" s="1" t="n">
        <x:v>25</x:v>
      </x:c>
      <x:c r="C2402" s="1" t="n">
        <x:v>25</x:v>
      </x:c>
      <x:c r="D2402" s="6" t="n">
        <x:v>13341</x:v>
      </x:c>
      <x:c r="E2402" s="6" t="n">
        <x:v>14841</x:v>
      </x:c>
      <x:c r="F2402" s="6" t="n">
        <x:v>0</x:v>
      </x:c>
      <x:c r="G2402" s="6" t="n">
        <x:v>14841</x:v>
      </x:c>
      <x:c r="H2402" s="6" t="n">
        <x:v>1500</x:v>
      </x:c>
    </x:row>
    <x:row r="2403" ht="21" customHeight="1">
      <x:c r="A2403" s="1" t="str">
        <x:v>C0015704</x:v>
      </x:c>
      <x:c r="B2403" s="1" t="n">
        <x:v>10</x:v>
      </x:c>
      <x:c r="C2403" s="1" t="n">
        <x:v>40</x:v>
      </x:c>
      <x:c r="D2403" s="6" t="n">
        <x:v>15284</x:v>
      </x:c>
      <x:c r="E2403" s="6" t="n">
        <x:v>16784</x:v>
      </x:c>
      <x:c r="F2403" s="6" t="n">
        <x:v>0</x:v>
      </x:c>
      <x:c r="G2403" s="6" t="n">
        <x:v>16784</x:v>
      </x:c>
      <x:c r="H2403" s="6" t="n">
        <x:v>1500</x:v>
      </x:c>
    </x:row>
    <x:row r="2404" ht="21" customHeight="1">
      <x:c r="A2404" s="1" t="str">
        <x:v>C0002283</x:v>
      </x:c>
      <x:c r="B2404" s="1" t="n">
        <x:v>19</x:v>
      </x:c>
      <x:c r="C2404" s="1" t="n">
        <x:v>79</x:v>
      </x:c>
      <x:c r="D2404" s="6" t="n">
        <x:v>7386</x:v>
      </x:c>
      <x:c r="E2404" s="6" t="n">
        <x:v>8886</x:v>
      </x:c>
      <x:c r="F2404" s="6" t="n">
        <x:v>0</x:v>
      </x:c>
      <x:c r="G2404" s="6" t="n">
        <x:v>8886</x:v>
      </x:c>
      <x:c r="H2404" s="6" t="n">
        <x:v>1500</x:v>
      </x:c>
    </x:row>
    <x:row r="2405" ht="21" customHeight="1">
      <x:c r="A2405" s="1" t="str">
        <x:v>C0002297</x:v>
      </x:c>
      <x:c r="B2405" s="1" t="n">
        <x:v>18</x:v>
      </x:c>
      <x:c r="C2405" s="1" t="n">
        <x:v>78</x:v>
      </x:c>
      <x:c r="D2405" s="6" t="n">
        <x:v>21958</x:v>
      </x:c>
      <x:c r="E2405" s="6" t="n">
        <x:v>23458</x:v>
      </x:c>
      <x:c r="F2405" s="6" t="n">
        <x:v>0</x:v>
      </x:c>
      <x:c r="G2405" s="6" t="n">
        <x:v>23458</x:v>
      </x:c>
      <x:c r="H2405" s="6" t="n">
        <x:v>1500</x:v>
      </x:c>
    </x:row>
    <x:row r="2406" ht="21" customHeight="1">
      <x:c r="A2406" s="1" t="str">
        <x:v>C0002418</x:v>
      </x:c>
      <x:c r="B2406" s="1" t="n">
        <x:v>18</x:v>
      </x:c>
      <x:c r="C2406" s="1" t="n">
        <x:v>18</x:v>
      </x:c>
      <x:c r="D2406" s="6" t="n">
        <x:v>12273</x:v>
      </x:c>
      <x:c r="E2406" s="6" t="n">
        <x:v>13773</x:v>
      </x:c>
      <x:c r="F2406" s="6" t="n">
        <x:v>0</x:v>
      </x:c>
      <x:c r="G2406" s="6" t="n">
        <x:v>13773</x:v>
      </x:c>
      <x:c r="H2406" s="6" t="n">
        <x:v>1500</x:v>
      </x:c>
    </x:row>
    <x:row r="2407" ht="21" customHeight="1">
      <x:c r="A2407" s="1" t="str">
        <x:v>C0002305</x:v>
      </x:c>
      <x:c r="B2407" s="1" t="n">
        <x:v>13</x:v>
      </x:c>
      <x:c r="C2407" s="1" t="n">
        <x:v>103</x:v>
      </x:c>
      <x:c r="D2407" s="6" t="n">
        <x:v>23626</x:v>
      </x:c>
      <x:c r="E2407" s="6" t="n">
        <x:v>25126</x:v>
      </x:c>
      <x:c r="F2407" s="6" t="n">
        <x:v>0</x:v>
      </x:c>
      <x:c r="G2407" s="6" t="n">
        <x:v>25126</x:v>
      </x:c>
      <x:c r="H2407" s="6" t="n">
        <x:v>1500</x:v>
      </x:c>
    </x:row>
    <x:row r="2408" ht="21" customHeight="1">
      <x:c r="A2408" s="1" t="str">
        <x:v>C0002328</x:v>
      </x:c>
      <x:c r="B2408" s="1" t="n">
        <x:v>19</x:v>
      </x:c>
      <x:c r="C2408" s="1" t="n">
        <x:v>79</x:v>
      </x:c>
      <x:c r="D2408" s="6" t="n">
        <x:v>13498</x:v>
      </x:c>
      <x:c r="E2408" s="6" t="n">
        <x:v>14998</x:v>
      </x:c>
      <x:c r="F2408" s="6" t="n">
        <x:v>0</x:v>
      </x:c>
      <x:c r="G2408" s="6" t="n">
        <x:v>14998</x:v>
      </x:c>
      <x:c r="H2408" s="6" t="n">
        <x:v>1500</x:v>
      </x:c>
    </x:row>
    <x:row r="2409" ht="21" customHeight="1">
      <x:c r="A2409" s="1" t="str">
        <x:v>C0002415</x:v>
      </x:c>
      <x:c r="B2409" s="1" t="n">
        <x:v>26</x:v>
      </x:c>
      <x:c r="C2409" s="1" t="n">
        <x:v>116</x:v>
      </x:c>
      <x:c r="D2409" s="6" t="n">
        <x:v>24773</x:v>
      </x:c>
      <x:c r="E2409" s="6" t="n">
        <x:v>26273</x:v>
      </x:c>
      <x:c r="F2409" s="6" t="n">
        <x:v>0</x:v>
      </x:c>
      <x:c r="G2409" s="6" t="n">
        <x:v>26273</x:v>
      </x:c>
      <x:c r="H2409" s="6" t="n">
        <x:v>1500</x:v>
      </x:c>
    </x:row>
    <x:row r="2410" ht="21" customHeight="1">
      <x:c r="A2410" s="1" t="str">
        <x:v>C0002384</x:v>
      </x:c>
      <x:c r="B2410" s="1" t="n">
        <x:v>2</x:v>
      </x:c>
      <x:c r="C2410" s="1" t="n">
        <x:v>62</x:v>
      </x:c>
      <x:c r="D2410" s="6" t="n">
        <x:v>24169</x:v>
      </x:c>
      <x:c r="E2410" s="6" t="n">
        <x:v>25669</x:v>
      </x:c>
      <x:c r="F2410" s="6" t="n">
        <x:v>0</x:v>
      </x:c>
      <x:c r="G2410" s="6" t="n">
        <x:v>25669</x:v>
      </x:c>
      <x:c r="H2410" s="6" t="n">
        <x:v>1500</x:v>
      </x:c>
    </x:row>
    <x:row r="2411" ht="21" customHeight="1">
      <x:c r="A2411" s="1" t="str">
        <x:v>C0002389</x:v>
      </x:c>
      <x:c r="B2411" s="1" t="n">
        <x:v>29</x:v>
      </x:c>
      <x:c r="C2411" s="1" t="n">
        <x:v>89</x:v>
      </x:c>
      <x:c r="D2411" s="6" t="n">
        <x:v>14597</x:v>
      </x:c>
      <x:c r="E2411" s="6" t="n">
        <x:v>16097</x:v>
      </x:c>
      <x:c r="F2411" s="6" t="n">
        <x:v>0</x:v>
      </x:c>
      <x:c r="G2411" s="6" t="n">
        <x:v>16097</x:v>
      </x:c>
      <x:c r="H2411" s="6" t="n">
        <x:v>1500</x:v>
      </x:c>
    </x:row>
    <x:row r="2412" ht="21" customHeight="1">
      <x:c r="A2412" s="1" t="str">
        <x:v>C0002444</x:v>
      </x:c>
      <x:c r="B2412" s="1" t="n">
        <x:v>2</x:v>
      </x:c>
      <x:c r="C2412" s="1" t="n">
        <x:v>32</x:v>
      </x:c>
      <x:c r="D2412" s="6" t="n">
        <x:v>8493</x:v>
      </x:c>
      <x:c r="E2412" s="6" t="n">
        <x:v>9993</x:v>
      </x:c>
      <x:c r="F2412" s="6" t="n">
        <x:v>0</x:v>
      </x:c>
      <x:c r="G2412" s="6" t="n">
        <x:v>9993</x:v>
      </x:c>
      <x:c r="H2412" s="6" t="n">
        <x:v>1500</x:v>
      </x:c>
    </x:row>
    <x:row r="2413" ht="21" customHeight="1">
      <x:c r="A2413" s="1" t="str">
        <x:v>C0010400</x:v>
      </x:c>
      <x:c r="B2413" s="1" t="n">
        <x:v>22</x:v>
      </x:c>
      <x:c r="C2413" s="1" t="n">
        <x:v>52</x:v>
      </x:c>
      <x:c r="D2413" s="6" t="n">
        <x:v>7498</x:v>
      </x:c>
      <x:c r="E2413" s="6" t="n">
        <x:v>8998</x:v>
      </x:c>
      <x:c r="F2413" s="6" t="n">
        <x:v>0</x:v>
      </x:c>
      <x:c r="G2413" s="6" t="n">
        <x:v>8998</x:v>
      </x:c>
      <x:c r="H2413" s="6" t="n">
        <x:v>1500</x:v>
      </x:c>
    </x:row>
    <x:row r="2414" ht="21" customHeight="1">
      <x:c r="A2414" s="1" t="str">
        <x:v>C0010405</x:v>
      </x:c>
      <x:c r="B2414" s="1" t="n">
        <x:v>1</x:v>
      </x:c>
      <x:c r="C2414" s="1" t="n">
        <x:v>91</x:v>
      </x:c>
      <x:c r="D2414" s="6" t="n">
        <x:v>8071</x:v>
      </x:c>
      <x:c r="E2414" s="6" t="n">
        <x:v>9571</x:v>
      </x:c>
      <x:c r="F2414" s="6" t="n">
        <x:v>0</x:v>
      </x:c>
      <x:c r="G2414" s="6" t="n">
        <x:v>9571</x:v>
      </x:c>
      <x:c r="H2414" s="6" t="n">
        <x:v>1500</x:v>
      </x:c>
    </x:row>
    <x:row r="2415" ht="21" customHeight="1">
      <x:c r="A2415" s="1" t="str">
        <x:v>C0010409</x:v>
      </x:c>
      <x:c r="B2415" s="1" t="n">
        <x:v>4</x:v>
      </x:c>
      <x:c r="C2415" s="1" t="n">
        <x:v>94</x:v>
      </x:c>
      <x:c r="D2415" s="6" t="n">
        <x:v>19504</x:v>
      </x:c>
      <x:c r="E2415" s="6" t="n">
        <x:v>21004</x:v>
      </x:c>
      <x:c r="F2415" s="6" t="n">
        <x:v>0</x:v>
      </x:c>
      <x:c r="G2415" s="6" t="n">
        <x:v>21004</x:v>
      </x:c>
      <x:c r="H2415" s="6" t="n">
        <x:v>1500</x:v>
      </x:c>
    </x:row>
    <x:row r="2416" ht="21" customHeight="1">
      <x:c r="A2416" s="1" t="str">
        <x:v>C0010411</x:v>
      </x:c>
      <x:c r="B2416" s="1" t="n">
        <x:v>26</x:v>
      </x:c>
      <x:c r="C2416" s="1" t="n">
        <x:v>56</x:v>
      </x:c>
      <x:c r="D2416" s="6" t="n">
        <x:v>11094</x:v>
      </x:c>
      <x:c r="E2416" s="6" t="n">
        <x:v>12594</x:v>
      </x:c>
      <x:c r="F2416" s="6" t="n">
        <x:v>0</x:v>
      </x:c>
      <x:c r="G2416" s="6" t="n">
        <x:v>12594</x:v>
      </x:c>
      <x:c r="H2416" s="6" t="n">
        <x:v>1500</x:v>
      </x:c>
    </x:row>
    <x:row r="2417" ht="21" customHeight="1">
      <x:c r="A2417" s="1" t="str">
        <x:v>C0010420</x:v>
      </x:c>
      <x:c r="B2417" s="1" t="n">
        <x:v>1</x:v>
      </x:c>
      <x:c r="C2417" s="1" t="n">
        <x:v>61</x:v>
      </x:c>
      <x:c r="D2417" s="6" t="n">
        <x:v>6552</x:v>
      </x:c>
      <x:c r="E2417" s="6" t="n">
        <x:v>8052</x:v>
      </x:c>
      <x:c r="F2417" s="6" t="n">
        <x:v>0</x:v>
      </x:c>
      <x:c r="G2417" s="6" t="n">
        <x:v>8052</x:v>
      </x:c>
      <x:c r="H2417" s="6" t="n">
        <x:v>1500</x:v>
      </x:c>
    </x:row>
    <x:row r="2418" ht="21" customHeight="1">
      <x:c r="A2418" s="1" t="str">
        <x:v>C0010461</x:v>
      </x:c>
      <x:c r="B2418" s="1" t="n">
        <x:v>11</x:v>
      </x:c>
      <x:c r="C2418" s="1" t="n">
        <x:v>41</x:v>
      </x:c>
      <x:c r="D2418" s="6" t="n">
        <x:v>26268</x:v>
      </x:c>
      <x:c r="E2418" s="6" t="n">
        <x:v>27768</x:v>
      </x:c>
      <x:c r="F2418" s="6" t="n">
        <x:v>0</x:v>
      </x:c>
      <x:c r="G2418" s="6" t="n">
        <x:v>27768</x:v>
      </x:c>
      <x:c r="H2418" s="6" t="n">
        <x:v>1500</x:v>
      </x:c>
    </x:row>
    <x:row r="2419" ht="21" customHeight="1">
      <x:c r="A2419" s="1" t="str">
        <x:v>C0010474</x:v>
      </x:c>
      <x:c r="B2419" s="1" t="n">
        <x:v>16</x:v>
      </x:c>
      <x:c r="C2419" s="1" t="n">
        <x:v>76</x:v>
      </x:c>
      <x:c r="D2419" s="6" t="n">
        <x:v>39578</x:v>
      </x:c>
      <x:c r="E2419" s="6" t="n">
        <x:v>41078</x:v>
      </x:c>
      <x:c r="F2419" s="6" t="n">
        <x:v>0</x:v>
      </x:c>
      <x:c r="G2419" s="6" t="n">
        <x:v>41078</x:v>
      </x:c>
      <x:c r="H2419" s="6" t="n">
        <x:v>1500</x:v>
      </x:c>
    </x:row>
    <x:row r="2420" ht="21" customHeight="1">
      <x:c r="A2420" s="1" t="str">
        <x:v>C0010481</x:v>
      </x:c>
      <x:c r="B2420" s="1" t="n">
        <x:v>9</x:v>
      </x:c>
      <x:c r="C2420" s="1" t="n">
        <x:v>9</x:v>
      </x:c>
      <x:c r="D2420" s="6" t="n">
        <x:v>10531</x:v>
      </x:c>
      <x:c r="E2420" s="6" t="n">
        <x:v>12031</x:v>
      </x:c>
      <x:c r="F2420" s="6" t="n">
        <x:v>0</x:v>
      </x:c>
      <x:c r="G2420" s="6" t="n">
        <x:v>12031</x:v>
      </x:c>
      <x:c r="H2420" s="6" t="n">
        <x:v>1500</x:v>
      </x:c>
    </x:row>
    <x:row r="2421" ht="21" customHeight="1">
      <x:c r="A2421" s="1" t="str">
        <x:v>C0010353</x:v>
      </x:c>
      <x:c r="B2421" s="1" t="n">
        <x:v>29</x:v>
      </x:c>
      <x:c r="C2421" s="1" t="n">
        <x:v>119</x:v>
      </x:c>
      <x:c r="D2421" s="6" t="n">
        <x:v>18165</x:v>
      </x:c>
      <x:c r="E2421" s="6" t="n">
        <x:v>19665</x:v>
      </x:c>
      <x:c r="F2421" s="6" t="n">
        <x:v>0</x:v>
      </x:c>
      <x:c r="G2421" s="6" t="n">
        <x:v>19665</x:v>
      </x:c>
      <x:c r="H2421" s="6" t="n">
        <x:v>1500</x:v>
      </x:c>
    </x:row>
    <x:row r="2422" ht="21" customHeight="1">
      <x:c r="A2422" s="1" t="str">
        <x:v>C0002459</x:v>
      </x:c>
      <x:c r="B2422" s="1" t="n">
        <x:v>16</x:v>
      </x:c>
      <x:c r="C2422" s="1" t="n">
        <x:v>106</x:v>
      </x:c>
      <x:c r="D2422" s="6" t="n">
        <x:v>14368</x:v>
      </x:c>
      <x:c r="E2422" s="6" t="n">
        <x:v>15868</x:v>
      </x:c>
      <x:c r="F2422" s="6" t="n">
        <x:v>0</x:v>
      </x:c>
      <x:c r="G2422" s="6" t="n">
        <x:v>15868</x:v>
      </x:c>
      <x:c r="H2422" s="6" t="n">
        <x:v>1500</x:v>
      </x:c>
    </x:row>
    <x:row r="2423" ht="21" customHeight="1">
      <x:c r="A2423" s="1" t="str">
        <x:v>C0015596</x:v>
      </x:c>
      <x:c r="B2423" s="1" t="n">
        <x:v>18</x:v>
      </x:c>
      <x:c r="C2423" s="1" t="n">
        <x:v>48</x:v>
      </x:c>
      <x:c r="D2423" s="6" t="n">
        <x:v>41252</x:v>
      </x:c>
      <x:c r="E2423" s="6" t="n">
        <x:v>42752</x:v>
      </x:c>
      <x:c r="F2423" s="6" t="n">
        <x:v>0</x:v>
      </x:c>
      <x:c r="G2423" s="6" t="n">
        <x:v>42752</x:v>
      </x:c>
      <x:c r="H2423" s="6" t="n">
        <x:v>1500</x:v>
      </x:c>
    </x:row>
    <x:row r="2424" ht="21" customHeight="1">
      <x:c r="A2424" s="1" t="str">
        <x:v>C0002461</x:v>
      </x:c>
      <x:c r="B2424" s="1" t="n">
        <x:v>28</x:v>
      </x:c>
      <x:c r="C2424" s="1" t="n">
        <x:v>88</x:v>
      </x:c>
      <x:c r="D2424" s="6" t="n">
        <x:v>22256</x:v>
      </x:c>
      <x:c r="E2424" s="6" t="n">
        <x:v>23756</x:v>
      </x:c>
      <x:c r="F2424" s="6" t="n">
        <x:v>0</x:v>
      </x:c>
      <x:c r="G2424" s="6" t="n">
        <x:v>23756</x:v>
      </x:c>
      <x:c r="H2424" s="6" t="n">
        <x:v>1500</x:v>
      </x:c>
    </x:row>
    <x:row r="2425" ht="21" customHeight="1">
      <x:c r="A2425" s="1" t="str">
        <x:v>C0002489</x:v>
      </x:c>
      <x:c r="B2425" s="1" t="n">
        <x:v>1</x:v>
      </x:c>
      <x:c r="C2425" s="1" t="n">
        <x:v>61</x:v>
      </x:c>
      <x:c r="D2425" s="6" t="n">
        <x:v>23056</x:v>
      </x:c>
      <x:c r="E2425" s="6" t="n">
        <x:v>24556</x:v>
      </x:c>
      <x:c r="F2425" s="6" t="n">
        <x:v>0</x:v>
      </x:c>
      <x:c r="G2425" s="6" t="n">
        <x:v>24556</x:v>
      </x:c>
      <x:c r="H2425" s="6" t="n">
        <x:v>1500</x:v>
      </x:c>
    </x:row>
    <x:row r="2426" ht="21" customHeight="1">
      <x:c r="A2426" s="1" t="str">
        <x:v>C0008235</x:v>
      </x:c>
      <x:c r="B2426" s="1" t="n">
        <x:v>3</x:v>
      </x:c>
      <x:c r="C2426" s="1" t="n">
        <x:v>63</x:v>
      </x:c>
      <x:c r="D2426" s="6" t="n">
        <x:v>12757</x:v>
      </x:c>
      <x:c r="E2426" s="6" t="n">
        <x:v>14257</x:v>
      </x:c>
      <x:c r="F2426" s="6" t="n">
        <x:v>0</x:v>
      </x:c>
      <x:c r="G2426" s="6" t="n">
        <x:v>14257</x:v>
      </x:c>
      <x:c r="H2426" s="6" t="n">
        <x:v>1500</x:v>
      </x:c>
    </x:row>
    <x:row r="2427" ht="21" customHeight="1">
      <x:c r="A2427" s="1" t="str">
        <x:v>C0002505</x:v>
      </x:c>
      <x:c r="B2427" s="1" t="n">
        <x:v>7</x:v>
      </x:c>
      <x:c r="C2427" s="1" t="n">
        <x:v>7</x:v>
      </x:c>
      <x:c r="D2427" s="6" t="n">
        <x:v>9909</x:v>
      </x:c>
      <x:c r="E2427" s="6" t="n">
        <x:v>11409</x:v>
      </x:c>
      <x:c r="F2427" s="6" t="n">
        <x:v>0</x:v>
      </x:c>
      <x:c r="G2427" s="6" t="n">
        <x:v>11409</x:v>
      </x:c>
      <x:c r="H2427" s="6" t="n">
        <x:v>1500</x:v>
      </x:c>
    </x:row>
    <x:row r="2428" ht="21" customHeight="1">
      <x:c r="A2428" s="1" t="str">
        <x:v>C0002526</x:v>
      </x:c>
      <x:c r="B2428" s="1" t="n">
        <x:v>7</x:v>
      </x:c>
      <x:c r="C2428" s="1" t="n">
        <x:v>97</x:v>
      </x:c>
      <x:c r="D2428" s="6" t="n">
        <x:v>24535</x:v>
      </x:c>
      <x:c r="E2428" s="6" t="n">
        <x:v>26035</x:v>
      </x:c>
      <x:c r="F2428" s="6" t="n">
        <x:v>0</x:v>
      </x:c>
      <x:c r="G2428" s="6" t="n">
        <x:v>26035</x:v>
      </x:c>
      <x:c r="H2428" s="6" t="n">
        <x:v>1500</x:v>
      </x:c>
    </x:row>
    <x:row r="2429" ht="21" customHeight="1">
      <x:c r="A2429" s="1" t="str">
        <x:v>C0008212</x:v>
      </x:c>
      <x:c r="B2429" s="1" t="n">
        <x:v>7</x:v>
      </x:c>
      <x:c r="C2429" s="1" t="n">
        <x:v>97</x:v>
      </x:c>
      <x:c r="D2429" s="6" t="n">
        <x:v>8647</x:v>
      </x:c>
      <x:c r="E2429" s="6" t="n">
        <x:v>10147</x:v>
      </x:c>
      <x:c r="F2429" s="6" t="n">
        <x:v>0</x:v>
      </x:c>
      <x:c r="G2429" s="6" t="n">
        <x:v>10147</x:v>
      </x:c>
      <x:c r="H2429" s="6" t="n">
        <x:v>1500</x:v>
      </x:c>
    </x:row>
    <x:row r="2430" ht="21" customHeight="1">
      <x:c r="A2430" s="1" t="str">
        <x:v>C0008184</x:v>
      </x:c>
      <x:c r="B2430" s="1" t="n">
        <x:v>16</x:v>
      </x:c>
      <x:c r="C2430" s="1" t="n">
        <x:v>76</x:v>
      </x:c>
      <x:c r="D2430" s="6" t="n">
        <x:v>23157</x:v>
      </x:c>
      <x:c r="E2430" s="6" t="n">
        <x:v>24657</x:v>
      </x:c>
      <x:c r="F2430" s="6" t="n">
        <x:v>0</x:v>
      </x:c>
      <x:c r="G2430" s="6" t="n">
        <x:v>24657</x:v>
      </x:c>
      <x:c r="H2430" s="6" t="n">
        <x:v>1500</x:v>
      </x:c>
    </x:row>
    <x:row r="2431" ht="21" customHeight="1">
      <x:c r="A2431" s="1" t="str">
        <x:v>C0002571</x:v>
      </x:c>
      <x:c r="B2431" s="1" t="n">
        <x:v>21</x:v>
      </x:c>
      <x:c r="C2431" s="1" t="n">
        <x:v>51</x:v>
      </x:c>
      <x:c r="D2431" s="6" t="n">
        <x:v>19794</x:v>
      </x:c>
      <x:c r="E2431" s="6" t="n">
        <x:v>21294</x:v>
      </x:c>
      <x:c r="F2431" s="6" t="n">
        <x:v>0</x:v>
      </x:c>
      <x:c r="G2431" s="6" t="n">
        <x:v>21294</x:v>
      </x:c>
      <x:c r="H2431" s="6" t="n">
        <x:v>1500</x:v>
      </x:c>
    </x:row>
    <x:row r="2432" ht="21" customHeight="1">
      <x:c r="A2432" s="1" t="str">
        <x:v>C0015587</x:v>
      </x:c>
      <x:c r="B2432" s="1" t="n">
        <x:v>21</x:v>
      </x:c>
      <x:c r="C2432" s="1" t="n">
        <x:v>111</x:v>
      </x:c>
      <x:c r="D2432" s="6" t="n">
        <x:v>18014</x:v>
      </x:c>
      <x:c r="E2432" s="6" t="n">
        <x:v>19514</x:v>
      </x:c>
      <x:c r="F2432" s="6" t="n">
        <x:v>0</x:v>
      </x:c>
      <x:c r="G2432" s="6" t="n">
        <x:v>19514</x:v>
      </x:c>
      <x:c r="H2432" s="6" t="n">
        <x:v>1500</x:v>
      </x:c>
    </x:row>
    <x:row r="2433" ht="21" customHeight="1">
      <x:c r="A2433" s="1" t="str">
        <x:v>C0015592</x:v>
      </x:c>
      <x:c r="B2433" s="1" t="n">
        <x:v>28</x:v>
      </x:c>
      <x:c r="C2433" s="1" t="n">
        <x:v>58</x:v>
      </x:c>
      <x:c r="D2433" s="6" t="n">
        <x:v>16794</x:v>
      </x:c>
      <x:c r="E2433" s="6" t="n">
        <x:v>18294</x:v>
      </x:c>
      <x:c r="F2433" s="6" t="n">
        <x:v>0</x:v>
      </x:c>
      <x:c r="G2433" s="6" t="n">
        <x:v>18294</x:v>
      </x:c>
      <x:c r="H2433" s="6" t="n">
        <x:v>1500</x:v>
      </x:c>
    </x:row>
    <x:row r="2434" ht="21" customHeight="1">
      <x:c r="A2434" s="1" t="str">
        <x:v>C0008107</x:v>
      </x:c>
      <x:c r="B2434" s="1" t="n">
        <x:v>3</x:v>
      </x:c>
      <x:c r="C2434" s="1" t="n">
        <x:v>63</x:v>
      </x:c>
      <x:c r="D2434" s="6" t="n">
        <x:v>18499</x:v>
      </x:c>
      <x:c r="E2434" s="6" t="n">
        <x:v>19999</x:v>
      </x:c>
      <x:c r="F2434" s="6" t="n">
        <x:v>0</x:v>
      </x:c>
      <x:c r="G2434" s="6" t="n">
        <x:v>19999</x:v>
      </x:c>
      <x:c r="H2434" s="6" t="n">
        <x:v>1500</x:v>
      </x:c>
    </x:row>
    <x:row r="2435" ht="21" customHeight="1">
      <x:c r="A2435" s="1" t="str">
        <x:v>C0008261</x:v>
      </x:c>
      <x:c r="B2435" s="1" t="n">
        <x:v>9</x:v>
      </x:c>
      <x:c r="C2435" s="1" t="n">
        <x:v>69</x:v>
      </x:c>
      <x:c r="D2435" s="6" t="n">
        <x:v>12830</x:v>
      </x:c>
      <x:c r="E2435" s="6" t="n">
        <x:v>14330</x:v>
      </x:c>
      <x:c r="F2435" s="6" t="n">
        <x:v>0</x:v>
      </x:c>
      <x:c r="G2435" s="6" t="n">
        <x:v>14330</x:v>
      </x:c>
      <x:c r="H2435" s="6" t="n">
        <x:v>1500</x:v>
      </x:c>
    </x:row>
    <x:row r="2436" ht="21" customHeight="1">
      <x:c r="A2436" s="1" t="str">
        <x:v>C0002238</x:v>
      </x:c>
      <x:c r="B2436" s="1" t="n">
        <x:v>12</x:v>
      </x:c>
      <x:c r="C2436" s="1" t="n">
        <x:v>102</x:v>
      </x:c>
      <x:c r="D2436" s="6" t="n">
        <x:v>44624</x:v>
      </x:c>
      <x:c r="E2436" s="6" t="n">
        <x:v>46124</x:v>
      </x:c>
      <x:c r="F2436" s="6" t="n">
        <x:v>0</x:v>
      </x:c>
      <x:c r="G2436" s="6" t="n">
        <x:v>46124</x:v>
      </x:c>
      <x:c r="H2436" s="6" t="n">
        <x:v>1500</x:v>
      </x:c>
    </x:row>
    <x:row r="2437" ht="21" customHeight="1">
      <x:c r="A2437" s="1" t="str">
        <x:v>C0015475</x:v>
      </x:c>
      <x:c r="B2437" s="1" t="n">
        <x:v>17</x:v>
      </x:c>
      <x:c r="C2437" s="1" t="n">
        <x:v>77</x:v>
      </x:c>
      <x:c r="D2437" s="6" t="n">
        <x:v>15612</x:v>
      </x:c>
      <x:c r="E2437" s="6" t="n">
        <x:v>17112</x:v>
      </x:c>
      <x:c r="F2437" s="6" t="n">
        <x:v>0</x:v>
      </x:c>
      <x:c r="G2437" s="6" t="n">
        <x:v>17112</x:v>
      </x:c>
      <x:c r="H2437" s="6" t="n">
        <x:v>1500</x:v>
      </x:c>
    </x:row>
    <x:row r="2438" ht="21" customHeight="1">
      <x:c r="A2438" s="1" t="str">
        <x:v>C0002243</x:v>
      </x:c>
      <x:c r="B2438" s="1" t="n">
        <x:v>28</x:v>
      </x:c>
      <x:c r="C2438" s="1" t="n">
        <x:v>58</x:v>
      </x:c>
      <x:c r="D2438" s="6" t="n">
        <x:v>18049</x:v>
      </x:c>
      <x:c r="E2438" s="6" t="n">
        <x:v>19549</x:v>
      </x:c>
      <x:c r="F2438" s="6" t="n">
        <x:v>0</x:v>
      </x:c>
      <x:c r="G2438" s="6" t="n">
        <x:v>19549</x:v>
      </x:c>
      <x:c r="H2438" s="6" t="n">
        <x:v>1500</x:v>
      </x:c>
    </x:row>
    <x:row r="2439" ht="21" customHeight="1">
      <x:c r="A2439" s="1" t="str">
        <x:v>C0015470</x:v>
      </x:c>
      <x:c r="B2439" s="1" t="n">
        <x:v>25</x:v>
      </x:c>
      <x:c r="C2439" s="1" t="n">
        <x:v>115</x:v>
      </x:c>
      <x:c r="D2439" s="6" t="n">
        <x:v>12603</x:v>
      </x:c>
      <x:c r="E2439" s="6" t="n">
        <x:v>14103</x:v>
      </x:c>
      <x:c r="F2439" s="6" t="n">
        <x:v>0</x:v>
      </x:c>
      <x:c r="G2439" s="6" t="n">
        <x:v>14103</x:v>
      </x:c>
      <x:c r="H2439" s="6" t="n">
        <x:v>1500</x:v>
      </x:c>
    </x:row>
    <x:row r="2440" ht="21" customHeight="1">
      <x:c r="A2440" s="1" t="str">
        <x:v>C0015465</x:v>
      </x:c>
      <x:c r="B2440" s="1" t="n">
        <x:v>24</x:v>
      </x:c>
      <x:c r="C2440" s="1" t="n">
        <x:v>114</x:v>
      </x:c>
      <x:c r="D2440" s="6" t="n">
        <x:v>16088</x:v>
      </x:c>
      <x:c r="E2440" s="6" t="n">
        <x:v>17588</x:v>
      </x:c>
      <x:c r="F2440" s="6" t="n">
        <x:v>0</x:v>
      </x:c>
      <x:c r="G2440" s="6" t="n">
        <x:v>17588</x:v>
      </x:c>
      <x:c r="H2440" s="6" t="n">
        <x:v>1500</x:v>
      </x:c>
    </x:row>
    <x:row r="2441" ht="21" customHeight="1">
      <x:c r="A2441" s="1" t="str">
        <x:v>C0002252</x:v>
      </x:c>
      <x:c r="B2441" s="1" t="n">
        <x:v>10</x:v>
      </x:c>
      <x:c r="C2441" s="1" t="n">
        <x:v>10</x:v>
      </x:c>
      <x:c r="D2441" s="6" t="n">
        <x:v>20678</x:v>
      </x:c>
      <x:c r="E2441" s="6" t="n">
        <x:v>22178</x:v>
      </x:c>
      <x:c r="F2441" s="6" t="n">
        <x:v>0</x:v>
      </x:c>
      <x:c r="G2441" s="6" t="n">
        <x:v>22178</x:v>
      </x:c>
      <x:c r="H2441" s="6" t="n">
        <x:v>1500</x:v>
      </x:c>
    </x:row>
    <x:row r="2442" ht="21" customHeight="1">
      <x:c r="A2442" s="1" t="str">
        <x:v>C0002256</x:v>
      </x:c>
      <x:c r="B2442" s="1" t="n">
        <x:v>12</x:v>
      </x:c>
      <x:c r="C2442" s="1" t="n">
        <x:v>102</x:v>
      </x:c>
      <x:c r="D2442" s="6" t="n">
        <x:v>44624</x:v>
      </x:c>
      <x:c r="E2442" s="6" t="n">
        <x:v>46124</x:v>
      </x:c>
      <x:c r="F2442" s="6" t="n">
        <x:v>0</x:v>
      </x:c>
      <x:c r="G2442" s="6" t="n">
        <x:v>46124</x:v>
      </x:c>
      <x:c r="H2442" s="6" t="n">
        <x:v>1500</x:v>
      </x:c>
    </x:row>
    <x:row r="2443" ht="21" customHeight="1">
      <x:c r="A2443" s="1" t="str">
        <x:v>C0002257</x:v>
      </x:c>
      <x:c r="B2443" s="1" t="n">
        <x:v>3</x:v>
      </x:c>
      <x:c r="C2443" s="1" t="n">
        <x:v>63</x:v>
      </x:c>
      <x:c r="D2443" s="6" t="n">
        <x:v>18499</x:v>
      </x:c>
      <x:c r="E2443" s="6" t="n">
        <x:v>19999</x:v>
      </x:c>
      <x:c r="F2443" s="6" t="n">
        <x:v>0</x:v>
      </x:c>
      <x:c r="G2443" s="6" t="n">
        <x:v>19999</x:v>
      </x:c>
      <x:c r="H2443" s="6" t="n">
        <x:v>1500</x:v>
      </x:c>
    </x:row>
    <x:row r="2444" ht="21" customHeight="1">
      <x:c r="A2444" s="1" t="str">
        <x:v>C0015917</x:v>
      </x:c>
      <x:c r="B2444" s="1" t="n">
        <x:v>10</x:v>
      </x:c>
      <x:c r="C2444" s="1" t="n">
        <x:v>40</x:v>
      </x:c>
      <x:c r="D2444" s="6" t="n">
        <x:v>17438</x:v>
      </x:c>
      <x:c r="E2444" s="6" t="n">
        <x:v>18938</x:v>
      </x:c>
      <x:c r="F2444" s="6" t="n">
        <x:v>0</x:v>
      </x:c>
      <x:c r="G2444" s="6" t="n">
        <x:v>18938</x:v>
      </x:c>
      <x:c r="H2444" s="6" t="n">
        <x:v>1500</x:v>
      </x:c>
    </x:row>
    <x:row r="2445" ht="21" customHeight="1">
      <x:c r="A2445" s="1" t="str">
        <x:v>C0015919</x:v>
      </x:c>
      <x:c r="B2445" s="1" t="n">
        <x:v>6</x:v>
      </x:c>
      <x:c r="C2445" s="1" t="n">
        <x:v>36</x:v>
      </x:c>
      <x:c r="D2445" s="6" t="n">
        <x:v>28512</x:v>
      </x:c>
      <x:c r="E2445" s="6" t="n">
        <x:v>30012</x:v>
      </x:c>
      <x:c r="F2445" s="6" t="n">
        <x:v>0</x:v>
      </x:c>
      <x:c r="G2445" s="6" t="n">
        <x:v>30012</x:v>
      </x:c>
      <x:c r="H2445" s="6" t="n">
        <x:v>1500</x:v>
      </x:c>
    </x:row>
    <x:row r="2446" ht="21" customHeight="1">
      <x:c r="A2446" s="1" t="str">
        <x:v>C0002394</x:v>
      </x:c>
      <x:c r="B2446" s="1" t="n">
        <x:v>24</x:v>
      </x:c>
      <x:c r="C2446" s="1" t="n">
        <x:v>114</x:v>
      </x:c>
      <x:c r="D2446" s="6" t="n">
        <x:v>7513</x:v>
      </x:c>
      <x:c r="E2446" s="6" t="n">
        <x:v>9013</x:v>
      </x:c>
      <x:c r="F2446" s="6" t="n">
        <x:v>0</x:v>
      </x:c>
      <x:c r="G2446" s="6" t="n">
        <x:v>9013</x:v>
      </x:c>
      <x:c r="H2446" s="6" t="n">
        <x:v>1500</x:v>
      </x:c>
    </x:row>
    <x:row r="2447" ht="21" customHeight="1">
      <x:c r="A2447" s="1" t="str">
        <x:v>C0015452</x:v>
      </x:c>
      <x:c r="B2447" s="1" t="n">
        <x:v>15</x:v>
      </x:c>
      <x:c r="C2447" s="1" t="n">
        <x:v>45</x:v>
      </x:c>
      <x:c r="D2447" s="6" t="n">
        <x:v>32200</x:v>
      </x:c>
      <x:c r="E2447" s="6" t="n">
        <x:v>33700</x:v>
      </x:c>
      <x:c r="F2447" s="6" t="n">
        <x:v>0</x:v>
      </x:c>
      <x:c r="G2447" s="6" t="n">
        <x:v>33700</x:v>
      </x:c>
      <x:c r="H2447" s="6" t="n">
        <x:v>1500</x:v>
      </x:c>
    </x:row>
    <x:row r="2448" ht="21" customHeight="1">
      <x:c r="A2448" s="1" t="str">
        <x:v>C0015440</x:v>
      </x:c>
      <x:c r="B2448" s="1" t="n">
        <x:v>15</x:v>
      </x:c>
      <x:c r="C2448" s="1" t="n">
        <x:v>105</x:v>
      </x:c>
      <x:c r="D2448" s="6" t="n">
        <x:v>39090</x:v>
      </x:c>
      <x:c r="E2448" s="6" t="n">
        <x:v>40590</x:v>
      </x:c>
      <x:c r="F2448" s="6" t="n">
        <x:v>0</x:v>
      </x:c>
      <x:c r="G2448" s="6" t="n">
        <x:v>40590</x:v>
      </x:c>
      <x:c r="H2448" s="6" t="n">
        <x:v>1500</x:v>
      </x:c>
    </x:row>
    <x:row r="2449" ht="21" customHeight="1">
      <x:c r="A2449" s="1" t="str">
        <x:v>C0015938</x:v>
      </x:c>
      <x:c r="B2449" s="1" t="n">
        <x:v>20</x:v>
      </x:c>
      <x:c r="C2449" s="1" t="n">
        <x:v>110</x:v>
      </x:c>
      <x:c r="D2449" s="6" t="n">
        <x:v>19703</x:v>
      </x:c>
      <x:c r="E2449" s="6" t="n">
        <x:v>21203</x:v>
      </x:c>
      <x:c r="F2449" s="6" t="n">
        <x:v>0</x:v>
      </x:c>
      <x:c r="G2449" s="6" t="n">
        <x:v>21203</x:v>
      </x:c>
      <x:c r="H2449" s="6" t="n">
        <x:v>1500</x:v>
      </x:c>
    </x:row>
    <x:row r="2450" ht="21" customHeight="1">
      <x:c r="A2450" s="1" t="str">
        <x:v>C0015418</x:v>
      </x:c>
      <x:c r="B2450" s="1" t="n">
        <x:v>30</x:v>
      </x:c>
      <x:c r="C2450" s="1" t="n">
        <x:v>90</x:v>
      </x:c>
      <x:c r="D2450" s="6" t="n">
        <x:v>14215</x:v>
      </x:c>
      <x:c r="E2450" s="6" t="n">
        <x:v>15715</x:v>
      </x:c>
      <x:c r="F2450" s="6" t="n">
        <x:v>0</x:v>
      </x:c>
      <x:c r="G2450" s="6" t="n">
        <x:v>15715</x:v>
      </x:c>
      <x:c r="H2450" s="6" t="n">
        <x:v>1500</x:v>
      </x:c>
    </x:row>
    <x:row r="2451" ht="21" customHeight="1">
      <x:c r="A2451" s="1" t="str">
        <x:v>C0015399</x:v>
      </x:c>
      <x:c r="B2451" s="1" t="n">
        <x:v>18</x:v>
      </x:c>
      <x:c r="C2451" s="1" t="n">
        <x:v>18</x:v>
      </x:c>
      <x:c r="D2451" s="6" t="n">
        <x:v>15413</x:v>
      </x:c>
      <x:c r="E2451" s="6" t="n">
        <x:v>16913</x:v>
      </x:c>
      <x:c r="F2451" s="6" t="n">
        <x:v>0</x:v>
      </x:c>
      <x:c r="G2451" s="6" t="n">
        <x:v>16913</x:v>
      </x:c>
      <x:c r="H2451" s="6" t="n">
        <x:v>1500</x:v>
      </x:c>
    </x:row>
    <x:row r="2452" ht="21" customHeight="1">
      <x:c r="A2452" s="1" t="str">
        <x:v>C0015965</x:v>
      </x:c>
      <x:c r="B2452" s="1" t="n">
        <x:v>2</x:v>
      </x:c>
      <x:c r="C2452" s="1" t="n">
        <x:v>92</x:v>
      </x:c>
      <x:c r="D2452" s="6" t="n">
        <x:v>34766</x:v>
      </x:c>
      <x:c r="E2452" s="6" t="n">
        <x:v>36266</x:v>
      </x:c>
      <x:c r="F2452" s="6" t="n">
        <x:v>0</x:v>
      </x:c>
      <x:c r="G2452" s="6" t="n">
        <x:v>36266</x:v>
      </x:c>
      <x:c r="H2452" s="6" t="n">
        <x:v>1500</x:v>
      </x:c>
    </x:row>
    <x:row r="2453" ht="21" customHeight="1">
      <x:c r="A2453" s="1" t="str">
        <x:v>C0015968</x:v>
      </x:c>
      <x:c r="B2453" s="1" t="n">
        <x:v>29</x:v>
      </x:c>
      <x:c r="C2453" s="1" t="n">
        <x:v>89</x:v>
      </x:c>
      <x:c r="D2453" s="6" t="n">
        <x:v>14597</x:v>
      </x:c>
      <x:c r="E2453" s="6" t="n">
        <x:v>16097</x:v>
      </x:c>
      <x:c r="F2453" s="6" t="n">
        <x:v>0</x:v>
      </x:c>
      <x:c r="G2453" s="6" t="n">
        <x:v>16097</x:v>
      </x:c>
      <x:c r="H2453" s="6" t="n">
        <x:v>1500</x:v>
      </x:c>
    </x:row>
    <x:row r="2454" ht="21" customHeight="1">
      <x:c r="A2454" s="1" t="str">
        <x:v>C0015972</x:v>
      </x:c>
      <x:c r="B2454" s="1" t="n">
        <x:v>16</x:v>
      </x:c>
      <x:c r="C2454" s="1" t="n">
        <x:v>106</x:v>
      </x:c>
      <x:c r="D2454" s="6" t="n">
        <x:v>22621</x:v>
      </x:c>
      <x:c r="E2454" s="6" t="n">
        <x:v>24121</x:v>
      </x:c>
      <x:c r="F2454" s="6" t="n">
        <x:v>0</x:v>
      </x:c>
      <x:c r="G2454" s="6" t="n">
        <x:v>24121</x:v>
      </x:c>
      <x:c r="H2454" s="6" t="n">
        <x:v>1500</x:v>
      </x:c>
    </x:row>
    <x:row r="2455" ht="21" customHeight="1">
      <x:c r="A2455" s="1" t="str">
        <x:v>C0010176</x:v>
      </x:c>
      <x:c r="B2455" s="1" t="n">
        <x:v>9</x:v>
      </x:c>
      <x:c r="C2455" s="1" t="n">
        <x:v>99</x:v>
      </x:c>
      <x:c r="D2455" s="6" t="n">
        <x:v>10353</x:v>
      </x:c>
      <x:c r="E2455" s="6" t="n">
        <x:v>11853</x:v>
      </x:c>
      <x:c r="F2455" s="6" t="n">
        <x:v>0</x:v>
      </x:c>
      <x:c r="G2455" s="6" t="n">
        <x:v>11853</x:v>
      </x:c>
      <x:c r="H2455" s="6" t="n">
        <x:v>1500</x:v>
      </x:c>
    </x:row>
    <x:row r="2456" ht="21" customHeight="1">
      <x:c r="A2456" s="1" t="str">
        <x:v>C0008296</x:v>
      </x:c>
      <x:c r="B2456" s="1" t="n">
        <x:v>23</x:v>
      </x:c>
      <x:c r="C2456" s="1" t="n">
        <x:v>23</x:v>
      </x:c>
      <x:c r="D2456" s="6" t="n">
        <x:v>19935</x:v>
      </x:c>
      <x:c r="E2456" s="6" t="n">
        <x:v>21435</x:v>
      </x:c>
      <x:c r="F2456" s="6" t="n">
        <x:v>0</x:v>
      </x:c>
      <x:c r="G2456" s="6" t="n">
        <x:v>21435</x:v>
      </x:c>
      <x:c r="H2456" s="6" t="n">
        <x:v>1500</x:v>
      </x:c>
    </x:row>
    <x:row r="2457" ht="21" customHeight="1">
      <x:c r="A2457" s="1" t="str">
        <x:v>C0015383</x:v>
      </x:c>
      <x:c r="B2457" s="1" t="n">
        <x:v>22</x:v>
      </x:c>
      <x:c r="C2457" s="1" t="n">
        <x:v>52</x:v>
      </x:c>
      <x:c r="D2457" s="6" t="n">
        <x:v>7498</x:v>
      </x:c>
      <x:c r="E2457" s="6" t="n">
        <x:v>8998</x:v>
      </x:c>
      <x:c r="F2457" s="6" t="n">
        <x:v>0</x:v>
      </x:c>
      <x:c r="G2457" s="6" t="n">
        <x:v>8998</x:v>
      </x:c>
      <x:c r="H2457" s="6" t="n">
        <x:v>1500</x:v>
      </x:c>
    </x:row>
    <x:row r="2458" ht="21" customHeight="1">
      <x:c r="A2458" s="1" t="str">
        <x:v>C0015457</x:v>
      </x:c>
      <x:c r="B2458" s="1" t="n">
        <x:v>10</x:v>
      </x:c>
      <x:c r="C2458" s="1" t="n">
        <x:v>100</x:v>
      </x:c>
      <x:c r="D2458" s="6" t="n">
        <x:v>8200</x:v>
      </x:c>
      <x:c r="E2458" s="6" t="n">
        <x:v>9700</x:v>
      </x:c>
      <x:c r="F2458" s="6" t="n">
        <x:v>0</x:v>
      </x:c>
      <x:c r="G2458" s="6" t="n">
        <x:v>9700</x:v>
      </x:c>
      <x:c r="H2458" s="6" t="n">
        <x:v>1500</x:v>
      </x:c>
    </x:row>
    <x:row r="2459" ht="21" customHeight="1">
      <x:c r="A2459" s="1" t="str">
        <x:v>C0002401</x:v>
      </x:c>
      <x:c r="B2459" s="1" t="n">
        <x:v>19</x:v>
      </x:c>
      <x:c r="C2459" s="1" t="n">
        <x:v>109</x:v>
      </x:c>
      <x:c r="D2459" s="6" t="n">
        <x:v>15847</x:v>
      </x:c>
      <x:c r="E2459" s="6" t="n">
        <x:v>17347</x:v>
      </x:c>
      <x:c r="F2459" s="6" t="n">
        <x:v>0</x:v>
      </x:c>
      <x:c r="G2459" s="6" t="n">
        <x:v>17347</x:v>
      </x:c>
      <x:c r="H2459" s="6" t="n">
        <x:v>1500</x:v>
      </x:c>
    </x:row>
    <x:row r="2460" ht="21" customHeight="1">
      <x:c r="A2460" s="1" t="str">
        <x:v>C0002413</x:v>
      </x:c>
      <x:c r="B2460" s="1" t="n">
        <x:v>14</x:v>
      </x:c>
      <x:c r="C2460" s="1" t="n">
        <x:v>44</x:v>
      </x:c>
      <x:c r="D2460" s="6" t="n">
        <x:v>11289</x:v>
      </x:c>
      <x:c r="E2460" s="6" t="n">
        <x:v>12789</x:v>
      </x:c>
      <x:c r="F2460" s="6" t="n">
        <x:v>0</x:v>
      </x:c>
      <x:c r="G2460" s="6" t="n">
        <x:v>12789</x:v>
      </x:c>
      <x:c r="H2460" s="6" t="n">
        <x:v>1500</x:v>
      </x:c>
    </x:row>
    <x:row r="2461" ht="21" customHeight="1">
      <x:c r="A2461" s="1" t="str">
        <x:v>C0002404</x:v>
      </x:c>
      <x:c r="B2461" s="1" t="n">
        <x:v>5</x:v>
      </x:c>
      <x:c r="C2461" s="1" t="n">
        <x:v>95</x:v>
      </x:c>
      <x:c r="D2461" s="6" t="n">
        <x:v>7520</x:v>
      </x:c>
      <x:c r="E2461" s="6" t="n">
        <x:v>9020</x:v>
      </x:c>
      <x:c r="F2461" s="6" t="n">
        <x:v>0</x:v>
      </x:c>
      <x:c r="G2461" s="6" t="n">
        <x:v>9020</x:v>
      </x:c>
      <x:c r="H2461" s="6" t="n">
        <x:v>1500</x:v>
      </x:c>
    </x:row>
    <x:row r="2462" ht="21" customHeight="1">
      <x:c r="A2462" s="1" t="str">
        <x:v>C0015717</x:v>
      </x:c>
      <x:c r="B2462" s="1" t="n">
        <x:v>5</x:v>
      </x:c>
      <x:c r="C2462" s="1" t="n">
        <x:v>65</x:v>
      </x:c>
      <x:c r="D2462" s="6" t="n">
        <x:v>11572</x:v>
      </x:c>
      <x:c r="E2462" s="6" t="n">
        <x:v>13072</x:v>
      </x:c>
      <x:c r="F2462" s="6" t="n">
        <x:v>0</x:v>
      </x:c>
      <x:c r="G2462" s="6" t="n">
        <x:v>13072</x:v>
      </x:c>
      <x:c r="H2462" s="6" t="n">
        <x:v>1500</x:v>
      </x:c>
    </x:row>
    <x:row r="2463" ht="21" customHeight="1">
      <x:c r="A2463" s="1" t="str">
        <x:v>C0015580</x:v>
      </x:c>
      <x:c r="B2463" s="1" t="n">
        <x:v>14</x:v>
      </x:c>
      <x:c r="C2463" s="1" t="n">
        <x:v>104</x:v>
      </x:c>
      <x:c r="D2463" s="6" t="n">
        <x:v>28706</x:v>
      </x:c>
      <x:c r="E2463" s="6" t="n">
        <x:v>30206</x:v>
      </x:c>
      <x:c r="F2463" s="6" t="n">
        <x:v>0</x:v>
      </x:c>
      <x:c r="G2463" s="6" t="n">
        <x:v>30206</x:v>
      </x:c>
      <x:c r="H2463" s="6" t="n">
        <x:v>1500</x:v>
      </x:c>
    </x:row>
    <x:row r="2464" ht="21" customHeight="1">
      <x:c r="A2464" s="1" t="str">
        <x:v>C0015721</x:v>
      </x:c>
      <x:c r="B2464" s="1" t="n">
        <x:v>21</x:v>
      </x:c>
      <x:c r="C2464" s="1" t="n">
        <x:v>51</x:v>
      </x:c>
      <x:c r="D2464" s="6" t="n">
        <x:v>21396</x:v>
      </x:c>
      <x:c r="E2464" s="6" t="n">
        <x:v>22896</x:v>
      </x:c>
      <x:c r="F2464" s="6" t="n">
        <x:v>0</x:v>
      </x:c>
      <x:c r="G2464" s="6" t="n">
        <x:v>22896</x:v>
      </x:c>
      <x:c r="H2464" s="6" t="n">
        <x:v>1500</x:v>
      </x:c>
    </x:row>
    <x:row r="2465" ht="21" customHeight="1">
      <x:c r="A2465" s="1" t="str">
        <x:v>C0015577</x:v>
      </x:c>
      <x:c r="B2465" s="1" t="n">
        <x:v>1</x:v>
      </x:c>
      <x:c r="C2465" s="1" t="n">
        <x:v>31</x:v>
      </x:c>
      <x:c r="D2465" s="6" t="n">
        <x:v>7923</x:v>
      </x:c>
      <x:c r="E2465" s="6" t="n">
        <x:v>9423</x:v>
      </x:c>
      <x:c r="F2465" s="6" t="n">
        <x:v>0</x:v>
      </x:c>
      <x:c r="G2465" s="6" t="n">
        <x:v>9423</x:v>
      </x:c>
      <x:c r="H2465" s="6" t="n">
        <x:v>1500</x:v>
      </x:c>
    </x:row>
    <x:row r="2466" ht="21" customHeight="1">
      <x:c r="A2466" s="1" t="str">
        <x:v>C0015736</x:v>
      </x:c>
      <x:c r="B2466" s="1" t="n">
        <x:v>5</x:v>
      </x:c>
      <x:c r="C2466" s="1" t="n">
        <x:v>5</x:v>
      </x:c>
      <x:c r="D2466" s="6" t="n">
        <x:v>18396</x:v>
      </x:c>
      <x:c r="E2466" s="6" t="n">
        <x:v>19896</x:v>
      </x:c>
      <x:c r="F2466" s="6" t="n">
        <x:v>0</x:v>
      </x:c>
      <x:c r="G2466" s="6" t="n">
        <x:v>19896</x:v>
      </x:c>
      <x:c r="H2466" s="6" t="n">
        <x:v>1500</x:v>
      </x:c>
    </x:row>
    <x:row r="2467" ht="21" customHeight="1">
      <x:c r="A2467" s="1" t="str">
        <x:v>C0015551</x:v>
      </x:c>
      <x:c r="B2467" s="1" t="n">
        <x:v>25</x:v>
      </x:c>
      <x:c r="C2467" s="1" t="n">
        <x:v>115</x:v>
      </x:c>
      <x:c r="D2467" s="6" t="n">
        <x:v>24419</x:v>
      </x:c>
      <x:c r="E2467" s="6" t="n">
        <x:v>25919</x:v>
      </x:c>
      <x:c r="F2467" s="6" t="n">
        <x:v>0</x:v>
      </x:c>
      <x:c r="G2467" s="6" t="n">
        <x:v>25919</x:v>
      </x:c>
      <x:c r="H2467" s="6" t="n">
        <x:v>1500</x:v>
      </x:c>
    </x:row>
    <x:row r="2468" ht="21" customHeight="1">
      <x:c r="A2468" s="1" t="str">
        <x:v>C0015741</x:v>
      </x:c>
      <x:c r="B2468" s="1" t="n">
        <x:v>14</x:v>
      </x:c>
      <x:c r="C2468" s="1" t="n">
        <x:v>74</x:v>
      </x:c>
      <x:c r="D2468" s="6" t="n">
        <x:v>16109</x:v>
      </x:c>
      <x:c r="E2468" s="6" t="n">
        <x:v>17609</x:v>
      </x:c>
      <x:c r="F2468" s="6" t="n">
        <x:v>0</x:v>
      </x:c>
      <x:c r="G2468" s="6" t="n">
        <x:v>17609</x:v>
      </x:c>
      <x:c r="H2468" s="6" t="n">
        <x:v>1500</x:v>
      </x:c>
    </x:row>
    <x:row r="2469" ht="21" customHeight="1">
      <x:c r="A2469" s="1" t="str">
        <x:v>C0015490</x:v>
      </x:c>
      <x:c r="B2469" s="1" t="n">
        <x:v>12</x:v>
      </x:c>
      <x:c r="C2469" s="1" t="n">
        <x:v>102</x:v>
      </x:c>
      <x:c r="D2469" s="6" t="n">
        <x:v>44624</x:v>
      </x:c>
      <x:c r="E2469" s="6" t="n">
        <x:v>46124</x:v>
      </x:c>
      <x:c r="F2469" s="6" t="n">
        <x:v>0</x:v>
      </x:c>
      <x:c r="G2469" s="6" t="n">
        <x:v>46124</x:v>
      </x:c>
      <x:c r="H2469" s="6" t="n">
        <x:v>1500</x:v>
      </x:c>
    </x:row>
    <x:row r="2470" ht="21" customHeight="1">
      <x:c r="A2470" s="1" t="str">
        <x:v>C0015793</x:v>
      </x:c>
      <x:c r="B2470" s="1" t="n">
        <x:v>1</x:v>
      </x:c>
      <x:c r="C2470" s="1" t="n">
        <x:v>91</x:v>
      </x:c>
      <x:c r="D2470" s="6" t="n">
        <x:v>9833</x:v>
      </x:c>
      <x:c r="E2470" s="6" t="n">
        <x:v>11333</x:v>
      </x:c>
      <x:c r="F2470" s="6" t="n">
        <x:v>0</x:v>
      </x:c>
      <x:c r="G2470" s="6" t="n">
        <x:v>11333</x:v>
      </x:c>
      <x:c r="H2470" s="6" t="n">
        <x:v>1500</x:v>
      </x:c>
    </x:row>
    <x:row r="2471" ht="21" customHeight="1">
      <x:c r="A2471" s="1" t="str">
        <x:v>C0015812</x:v>
      </x:c>
      <x:c r="B2471" s="1" t="n">
        <x:v>19</x:v>
      </x:c>
      <x:c r="C2471" s="1" t="n">
        <x:v>49</x:v>
      </x:c>
      <x:c r="D2471" s="6" t="n">
        <x:v>7730</x:v>
      </x:c>
      <x:c r="E2471" s="6" t="n">
        <x:v>9230</x:v>
      </x:c>
      <x:c r="F2471" s="6" t="n">
        <x:v>0</x:v>
      </x:c>
      <x:c r="G2471" s="6" t="n">
        <x:v>9230</x:v>
      </x:c>
      <x:c r="H2471" s="6" t="n">
        <x:v>1500</x:v>
      </x:c>
    </x:row>
    <x:row r="2472" ht="21" customHeight="1">
      <x:c r="A2472" s="1" t="str">
        <x:v>C0015536</x:v>
      </x:c>
      <x:c r="B2472" s="1" t="n">
        <x:v>30</x:v>
      </x:c>
      <x:c r="C2472" s="1" t="n">
        <x:v>90</x:v>
      </x:c>
      <x:c r="D2472" s="6" t="n">
        <x:v>17072</x:v>
      </x:c>
      <x:c r="E2472" s="6" t="n">
        <x:v>18572</x:v>
      </x:c>
      <x:c r="F2472" s="6" t="n">
        <x:v>0</x:v>
      </x:c>
      <x:c r="G2472" s="6" t="n">
        <x:v>18572</x:v>
      </x:c>
      <x:c r="H2472" s="6" t="n">
        <x:v>1500</x:v>
      </x:c>
    </x:row>
    <x:row r="2473" ht="21" customHeight="1">
      <x:c r="A2473" s="1" t="str">
        <x:v>C0015815</x:v>
      </x:c>
      <x:c r="B2473" s="1" t="n">
        <x:v>4</x:v>
      </x:c>
      <x:c r="C2473" s="1" t="n">
        <x:v>94</x:v>
      </x:c>
      <x:c r="D2473" s="6" t="n">
        <x:v>12667</x:v>
      </x:c>
      <x:c r="E2473" s="6" t="n">
        <x:v>14167</x:v>
      </x:c>
      <x:c r="F2473" s="6" t="n">
        <x:v>0</x:v>
      </x:c>
      <x:c r="G2473" s="6" t="n">
        <x:v>14167</x:v>
      </x:c>
      <x:c r="H2473" s="6" t="n">
        <x:v>1500</x:v>
      </x:c>
    </x:row>
    <x:row r="2474" ht="21" customHeight="1">
      <x:c r="A2474" s="1" t="str">
        <x:v>C0015836</x:v>
      </x:c>
      <x:c r="B2474" s="1" t="n">
        <x:v>20</x:v>
      </x:c>
      <x:c r="C2474" s="1" t="n">
        <x:v>20</x:v>
      </x:c>
      <x:c r="D2474" s="6" t="n">
        <x:v>24058</x:v>
      </x:c>
      <x:c r="E2474" s="6" t="n">
        <x:v>25558</x:v>
      </x:c>
      <x:c r="F2474" s="6" t="n">
        <x:v>0</x:v>
      </x:c>
      <x:c r="G2474" s="6" t="n">
        <x:v>25558</x:v>
      </x:c>
      <x:c r="H2474" s="6" t="n">
        <x:v>1500</x:v>
      </x:c>
    </x:row>
    <x:row r="2475" ht="21" customHeight="1">
      <x:c r="A2475" s="1" t="str">
        <x:v>C0015839</x:v>
      </x:c>
      <x:c r="B2475" s="1" t="n">
        <x:v>27</x:v>
      </x:c>
      <x:c r="C2475" s="1" t="n">
        <x:v>27</x:v>
      </x:c>
      <x:c r="D2475" s="6" t="n">
        <x:v>30840</x:v>
      </x:c>
      <x:c r="E2475" s="6" t="n">
        <x:v>32340</x:v>
      </x:c>
      <x:c r="F2475" s="6" t="n">
        <x:v>0</x:v>
      </x:c>
      <x:c r="G2475" s="6" t="n">
        <x:v>32340</x:v>
      </x:c>
      <x:c r="H2475" s="6" t="n">
        <x:v>1500</x:v>
      </x:c>
    </x:row>
    <x:row r="2476" ht="21" customHeight="1">
      <x:c r="A2476" s="1" t="str">
        <x:v>C0015524</x:v>
      </x:c>
      <x:c r="B2476" s="1" t="n">
        <x:v>7</x:v>
      </x:c>
      <x:c r="C2476" s="1" t="n">
        <x:v>7</x:v>
      </x:c>
      <x:c r="D2476" s="6" t="n">
        <x:v>14431</x:v>
      </x:c>
      <x:c r="E2476" s="6" t="n">
        <x:v>15931</x:v>
      </x:c>
      <x:c r="F2476" s="6" t="n">
        <x:v>0</x:v>
      </x:c>
      <x:c r="G2476" s="6" t="n">
        <x:v>15931</x:v>
      </x:c>
      <x:c r="H2476" s="6" t="n">
        <x:v>1500</x:v>
      </x:c>
    </x:row>
    <x:row r="2477" ht="21" customHeight="1">
      <x:c r="A2477" s="1" t="str">
        <x:v>C0015844</x:v>
      </x:c>
      <x:c r="B2477" s="1" t="n">
        <x:v>13</x:v>
      </x:c>
      <x:c r="C2477" s="1" t="n">
        <x:v>13</x:v>
      </x:c>
      <x:c r="D2477" s="6" t="n">
        <x:v>10223</x:v>
      </x:c>
      <x:c r="E2477" s="6" t="n">
        <x:v>11723</x:v>
      </x:c>
      <x:c r="F2477" s="6" t="n">
        <x:v>0</x:v>
      </x:c>
      <x:c r="G2477" s="6" t="n">
        <x:v>11723</x:v>
      </x:c>
      <x:c r="H2477" s="6" t="n">
        <x:v>1500</x:v>
      </x:c>
    </x:row>
    <x:row r="2478" ht="21" customHeight="1">
      <x:c r="A2478" s="1" t="str">
        <x:v>C0002164</x:v>
      </x:c>
      <x:c r="B2478" s="1" t="n">
        <x:v>7</x:v>
      </x:c>
      <x:c r="C2478" s="1" t="n">
        <x:v>37</x:v>
      </x:c>
      <x:c r="D2478" s="6" t="n">
        <x:v>6222</x:v>
      </x:c>
      <x:c r="E2478" s="6" t="n">
        <x:v>7722</x:v>
      </x:c>
      <x:c r="F2478" s="6" t="n">
        <x:v>0</x:v>
      </x:c>
      <x:c r="G2478" s="6" t="n">
        <x:v>7722</x:v>
      </x:c>
      <x:c r="H2478" s="6" t="n">
        <x:v>1500</x:v>
      </x:c>
    </x:row>
    <x:row r="2479" ht="21" customHeight="1">
      <x:c r="A2479" s="1" t="str">
        <x:v>C0002173</x:v>
      </x:c>
      <x:c r="B2479" s="1" t="n">
        <x:v>13</x:v>
      </x:c>
      <x:c r="C2479" s="1" t="n">
        <x:v>13</x:v>
      </x:c>
      <x:c r="D2479" s="6" t="n">
        <x:v>10445</x:v>
      </x:c>
      <x:c r="E2479" s="6" t="n">
        <x:v>11945</x:v>
      </x:c>
      <x:c r="F2479" s="6" t="n">
        <x:v>0</x:v>
      </x:c>
      <x:c r="G2479" s="6" t="n">
        <x:v>11945</x:v>
      </x:c>
      <x:c r="H2479" s="6" t="n">
        <x:v>1500</x:v>
      </x:c>
    </x:row>
    <x:row r="2480" ht="21" customHeight="1">
      <x:c r="A2480" s="1" t="str">
        <x:v>C0002180</x:v>
      </x:c>
      <x:c r="B2480" s="1" t="n">
        <x:v>23</x:v>
      </x:c>
      <x:c r="C2480" s="1" t="n">
        <x:v>53</x:v>
      </x:c>
      <x:c r="D2480" s="6" t="n">
        <x:v>5087</x:v>
      </x:c>
      <x:c r="E2480" s="6" t="n">
        <x:v>6587</x:v>
      </x:c>
      <x:c r="F2480" s="6" t="n">
        <x:v>0</x:v>
      </x:c>
      <x:c r="G2480" s="6" t="n">
        <x:v>6587</x:v>
      </x:c>
      <x:c r="H2480" s="6" t="n">
        <x:v>1500</x:v>
      </x:c>
    </x:row>
    <x:row r="2481" ht="21" customHeight="1">
      <x:c r="A2481" s="1" t="str">
        <x:v>C0015786</x:v>
      </x:c>
      <x:c r="B2481" s="1" t="n">
        <x:v>16</x:v>
      </x:c>
      <x:c r="C2481" s="1" t="n">
        <x:v>46</x:v>
      </x:c>
      <x:c r="D2481" s="6" t="n">
        <x:v>26952</x:v>
      </x:c>
      <x:c r="E2481" s="6" t="n">
        <x:v>28452</x:v>
      </x:c>
      <x:c r="F2481" s="6" t="n">
        <x:v>0</x:v>
      </x:c>
      <x:c r="G2481" s="6" t="n">
        <x:v>28452</x:v>
      </x:c>
      <x:c r="H2481" s="6" t="n">
        <x:v>1500</x:v>
      </x:c>
    </x:row>
    <x:row r="2482" ht="21" customHeight="1">
      <x:c r="A2482" s="1" t="str">
        <x:v>C0009559</x:v>
      </x:c>
      <x:c r="B2482" s="1" t="n">
        <x:v>28</x:v>
      </x:c>
      <x:c r="C2482" s="1" t="n">
        <x:v>118</x:v>
      </x:c>
      <x:c r="D2482" s="6" t="n">
        <x:v>22563</x:v>
      </x:c>
      <x:c r="E2482" s="6" t="n">
        <x:v>24063</x:v>
      </x:c>
      <x:c r="F2482" s="6" t="n">
        <x:v>0</x:v>
      </x:c>
      <x:c r="G2482" s="6" t="n">
        <x:v>24063</x:v>
      </x:c>
      <x:c r="H2482" s="6" t="n">
        <x:v>1500</x:v>
      </x:c>
    </x:row>
    <x:row r="2483" ht="21" customHeight="1">
      <x:c r="A2483" s="1" t="str">
        <x:v>C0009595</x:v>
      </x:c>
      <x:c r="B2483" s="1" t="n">
        <x:v>13</x:v>
      </x:c>
      <x:c r="C2483" s="1" t="n">
        <x:v>13</x:v>
      </x:c>
      <x:c r="D2483" s="6" t="n">
        <x:v>15102</x:v>
      </x:c>
      <x:c r="E2483" s="6" t="n">
        <x:v>16602</x:v>
      </x:c>
      <x:c r="F2483" s="6" t="n">
        <x:v>0</x:v>
      </x:c>
      <x:c r="G2483" s="6" t="n">
        <x:v>16602</x:v>
      </x:c>
      <x:c r="H2483" s="6" t="n">
        <x:v>1500</x:v>
      </x:c>
    </x:row>
    <x:row r="2484" ht="21" customHeight="1">
      <x:c r="A2484" s="1" t="str">
        <x:v>C0009602</x:v>
      </x:c>
      <x:c r="B2484" s="1" t="n">
        <x:v>17</x:v>
      </x:c>
      <x:c r="C2484" s="1" t="n">
        <x:v>47</x:v>
      </x:c>
      <x:c r="D2484" s="6" t="n">
        <x:v>11308</x:v>
      </x:c>
      <x:c r="E2484" s="6" t="n">
        <x:v>12808</x:v>
      </x:c>
      <x:c r="F2484" s="6" t="n">
        <x:v>0</x:v>
      </x:c>
      <x:c r="G2484" s="6" t="n">
        <x:v>12808</x:v>
      </x:c>
      <x:c r="H2484" s="6" t="n">
        <x:v>1500</x:v>
      </x:c>
    </x:row>
    <x:row r="2485" ht="21" customHeight="1">
      <x:c r="A2485" s="1" t="str">
        <x:v>C0009603</x:v>
      </x:c>
      <x:c r="B2485" s="1" t="n">
        <x:v>15</x:v>
      </x:c>
      <x:c r="C2485" s="1" t="n">
        <x:v>15</x:v>
      </x:c>
      <x:c r="D2485" s="6" t="n">
        <x:v>18212</x:v>
      </x:c>
      <x:c r="E2485" s="6" t="n">
        <x:v>19712</x:v>
      </x:c>
      <x:c r="F2485" s="6" t="n">
        <x:v>0</x:v>
      </x:c>
      <x:c r="G2485" s="6" t="n">
        <x:v>19712</x:v>
      </x:c>
      <x:c r="H2485" s="6" t="n">
        <x:v>1500</x:v>
      </x:c>
    </x:row>
    <x:row r="2486" ht="21" customHeight="1">
      <x:c r="A2486" s="1" t="str">
        <x:v>C0008829</x:v>
      </x:c>
      <x:c r="B2486" s="1" t="n">
        <x:v>24</x:v>
      </x:c>
      <x:c r="C2486" s="1" t="n">
        <x:v>54</x:v>
      </x:c>
      <x:c r="D2486" s="6" t="n">
        <x:v>12527</x:v>
      </x:c>
      <x:c r="E2486" s="6" t="n">
        <x:v>14027</x:v>
      </x:c>
      <x:c r="F2486" s="6" t="n">
        <x:v>0</x:v>
      </x:c>
      <x:c r="G2486" s="6" t="n">
        <x:v>14027</x:v>
      </x:c>
      <x:c r="H2486" s="6" t="n">
        <x:v>1500</x:v>
      </x:c>
    </x:row>
    <x:row r="2487" ht="21" customHeight="1">
      <x:c r="A2487" s="1" t="str">
        <x:v>C0008869</x:v>
      </x:c>
      <x:c r="B2487" s="1" t="n">
        <x:v>20</x:v>
      </x:c>
      <x:c r="C2487" s="1" t="n">
        <x:v>50</x:v>
      </x:c>
      <x:c r="D2487" s="6" t="n">
        <x:v>5109</x:v>
      </x:c>
      <x:c r="E2487" s="6" t="n">
        <x:v>6609</x:v>
      </x:c>
      <x:c r="F2487" s="6" t="n">
        <x:v>0</x:v>
      </x:c>
      <x:c r="G2487" s="6" t="n">
        <x:v>6609</x:v>
      </x:c>
      <x:c r="H2487" s="6" t="n">
        <x:v>1500</x:v>
      </x:c>
    </x:row>
    <x:row r="2488" ht="21" customHeight="1">
      <x:c r="A2488" s="1" t="str">
        <x:v>C0008885</x:v>
      </x:c>
      <x:c r="B2488" s="1" t="n">
        <x:v>27</x:v>
      </x:c>
      <x:c r="C2488" s="1" t="n">
        <x:v>117</x:v>
      </x:c>
      <x:c r="D2488" s="6" t="n">
        <x:v>20017</x:v>
      </x:c>
      <x:c r="E2488" s="6" t="n">
        <x:v>21517</x:v>
      </x:c>
      <x:c r="F2488" s="6" t="n">
        <x:v>0</x:v>
      </x:c>
      <x:c r="G2488" s="6" t="n">
        <x:v>21517</x:v>
      </x:c>
      <x:c r="H2488" s="6" t="n">
        <x:v>1500</x:v>
      </x:c>
    </x:row>
    <x:row r="2489" ht="21" customHeight="1">
      <x:c r="A2489" s="1" t="str">
        <x:v>C0008895</x:v>
      </x:c>
      <x:c r="B2489" s="1" t="n">
        <x:v>13</x:v>
      </x:c>
      <x:c r="C2489" s="1" t="n">
        <x:v>73</x:v>
      </x:c>
      <x:c r="D2489" s="6" t="n">
        <x:v>15164</x:v>
      </x:c>
      <x:c r="E2489" s="6" t="n">
        <x:v>16664</x:v>
      </x:c>
      <x:c r="F2489" s="6" t="n">
        <x:v>0</x:v>
      </x:c>
      <x:c r="G2489" s="6" t="n">
        <x:v>16664</x:v>
      </x:c>
      <x:c r="H2489" s="6" t="n">
        <x:v>1500</x:v>
      </x:c>
    </x:row>
    <x:row r="2490" ht="21" customHeight="1">
      <x:c r="A2490" s="1" t="str">
        <x:v>C0008901</x:v>
      </x:c>
      <x:c r="B2490" s="1" t="n">
        <x:v>29</x:v>
      </x:c>
      <x:c r="C2490" s="1" t="n">
        <x:v>89</x:v>
      </x:c>
      <x:c r="D2490" s="6" t="n">
        <x:v>19879</x:v>
      </x:c>
      <x:c r="E2490" s="6" t="n">
        <x:v>21379</x:v>
      </x:c>
      <x:c r="F2490" s="6" t="n">
        <x:v>0</x:v>
      </x:c>
      <x:c r="G2490" s="6" t="n">
        <x:v>21379</x:v>
      </x:c>
      <x:c r="H2490" s="6" t="n">
        <x:v>1500</x:v>
      </x:c>
    </x:row>
    <x:row r="2491" ht="21" customHeight="1">
      <x:c r="A2491" s="1" t="str">
        <x:v>C0008948</x:v>
      </x:c>
      <x:c r="B2491" s="1" t="n">
        <x:v>17</x:v>
      </x:c>
      <x:c r="C2491" s="1" t="n">
        <x:v>77</x:v>
      </x:c>
      <x:c r="D2491" s="6" t="n">
        <x:v>22913</x:v>
      </x:c>
      <x:c r="E2491" s="6" t="n">
        <x:v>24413</x:v>
      </x:c>
      <x:c r="F2491" s="6" t="n">
        <x:v>0</x:v>
      </x:c>
      <x:c r="G2491" s="6" t="n">
        <x:v>24413</x:v>
      </x:c>
      <x:c r="H2491" s="6" t="n">
        <x:v>1500</x:v>
      </x:c>
    </x:row>
    <x:row r="2492" ht="21" customHeight="1">
      <x:c r="A2492" s="1" t="str">
        <x:v>C0008977</x:v>
      </x:c>
      <x:c r="B2492" s="1" t="n">
        <x:v>3</x:v>
      </x:c>
      <x:c r="C2492" s="1" t="n">
        <x:v>93</x:v>
      </x:c>
      <x:c r="D2492" s="6" t="n">
        <x:v>22736</x:v>
      </x:c>
      <x:c r="E2492" s="6" t="n">
        <x:v>24236</x:v>
      </x:c>
      <x:c r="F2492" s="6" t="n">
        <x:v>0</x:v>
      </x:c>
      <x:c r="G2492" s="6" t="n">
        <x:v>24236</x:v>
      </x:c>
      <x:c r="H2492" s="6" t="n">
        <x:v>1500</x:v>
      </x:c>
    </x:row>
    <x:row r="2493" ht="21" customHeight="1">
      <x:c r="A2493" s="1" t="str">
        <x:v>C0008985</x:v>
      </x:c>
      <x:c r="B2493" s="1" t="n">
        <x:v>4</x:v>
      </x:c>
      <x:c r="C2493" s="1" t="n">
        <x:v>34</x:v>
      </x:c>
      <x:c r="D2493" s="6" t="n">
        <x:v>15475</x:v>
      </x:c>
      <x:c r="E2493" s="6" t="n">
        <x:v>16975</x:v>
      </x:c>
      <x:c r="F2493" s="6" t="n">
        <x:v>0</x:v>
      </x:c>
      <x:c r="G2493" s="6" t="n">
        <x:v>16975</x:v>
      </x:c>
      <x:c r="H2493" s="6" t="n">
        <x:v>1500</x:v>
      </x:c>
    </x:row>
    <x:row r="2494" ht="21" customHeight="1">
      <x:c r="A2494" s="1" t="str">
        <x:v>C0002734</x:v>
      </x:c>
      <x:c r="B2494" s="1" t="n">
        <x:v>27</x:v>
      </x:c>
      <x:c r="C2494" s="1" t="n">
        <x:v>87</x:v>
      </x:c>
      <x:c r="D2494" s="6" t="n">
        <x:v>20551</x:v>
      </x:c>
      <x:c r="E2494" s="6" t="n">
        <x:v>22051</x:v>
      </x:c>
      <x:c r="F2494" s="6" t="n">
        <x:v>0</x:v>
      </x:c>
      <x:c r="G2494" s="6" t="n">
        <x:v>22051</x:v>
      </x:c>
      <x:c r="H2494" s="6" t="n">
        <x:v>1500</x:v>
      </x:c>
    </x:row>
    <x:row r="2495" ht="21" customHeight="1">
      <x:c r="A2495" s="1" t="str">
        <x:v>C0009765</x:v>
      </x:c>
      <x:c r="B2495" s="1" t="n">
        <x:v>8</x:v>
      </x:c>
      <x:c r="C2495" s="1" t="n">
        <x:v>38</x:v>
      </x:c>
      <x:c r="D2495" s="6" t="n">
        <x:v>18715</x:v>
      </x:c>
      <x:c r="E2495" s="6" t="n">
        <x:v>20215</x:v>
      </x:c>
      <x:c r="F2495" s="6" t="n">
        <x:v>0</x:v>
      </x:c>
      <x:c r="G2495" s="6" t="n">
        <x:v>20215</x:v>
      </x:c>
      <x:c r="H2495" s="6" t="n">
        <x:v>1500</x:v>
      </x:c>
    </x:row>
    <x:row r="2496" ht="21" customHeight="1">
      <x:c r="A2496" s="1" t="str">
        <x:v>C0009791</x:v>
      </x:c>
      <x:c r="B2496" s="1" t="n">
        <x:v>29</x:v>
      </x:c>
      <x:c r="C2496" s="1" t="n">
        <x:v>59</x:v>
      </x:c>
      <x:c r="D2496" s="6" t="n">
        <x:v>16166</x:v>
      </x:c>
      <x:c r="E2496" s="6" t="n">
        <x:v>17666</x:v>
      </x:c>
      <x:c r="F2496" s="6" t="n">
        <x:v>0</x:v>
      </x:c>
      <x:c r="G2496" s="6" t="n">
        <x:v>17666</x:v>
      </x:c>
      <x:c r="H2496" s="6" t="n">
        <x:v>1500</x:v>
      </x:c>
    </x:row>
    <x:row r="2497" ht="21" customHeight="1">
      <x:c r="A2497" s="1" t="str">
        <x:v>C0009795</x:v>
      </x:c>
      <x:c r="B2497" s="1" t="n">
        <x:v>26</x:v>
      </x:c>
      <x:c r="C2497" s="1" t="n">
        <x:v>116</x:v>
      </x:c>
      <x:c r="D2497" s="6" t="n">
        <x:v>12417</x:v>
      </x:c>
      <x:c r="E2497" s="6" t="n">
        <x:v>13917</x:v>
      </x:c>
      <x:c r="F2497" s="6" t="n">
        <x:v>0</x:v>
      </x:c>
      <x:c r="G2497" s="6" t="n">
        <x:v>13917</x:v>
      </x:c>
      <x:c r="H2497" s="6" t="n">
        <x:v>1500</x:v>
      </x:c>
    </x:row>
    <x:row r="2498" ht="21" customHeight="1">
      <x:c r="A2498" s="1" t="str">
        <x:v>C0017093</x:v>
      </x:c>
      <x:c r="B2498" s="1" t="n">
        <x:v>15</x:v>
      </x:c>
      <x:c r="C2498" s="1" t="n">
        <x:v>105</x:v>
      </x:c>
      <x:c r="D2498" s="6" t="n">
        <x:v>20379</x:v>
      </x:c>
      <x:c r="E2498" s="6" t="n">
        <x:v>21879</x:v>
      </x:c>
      <x:c r="F2498" s="6" t="n">
        <x:v>0</x:v>
      </x:c>
      <x:c r="G2498" s="6" t="n">
        <x:v>21879</x:v>
      </x:c>
      <x:c r="H2498" s="6" t="n">
        <x:v>1500</x:v>
      </x:c>
    </x:row>
    <x:row r="2499" ht="21" customHeight="1">
      <x:c r="A2499" s="1" t="str">
        <x:v>C0017094</x:v>
      </x:c>
      <x:c r="B2499" s="1" t="n">
        <x:v>17</x:v>
      </x:c>
      <x:c r="C2499" s="1" t="n">
        <x:v>107</x:v>
      </x:c>
      <x:c r="D2499" s="6" t="n">
        <x:v>14910</x:v>
      </x:c>
      <x:c r="E2499" s="6" t="n">
        <x:v>16410</x:v>
      </x:c>
      <x:c r="F2499" s="6" t="n">
        <x:v>0</x:v>
      </x:c>
      <x:c r="G2499" s="6" t="n">
        <x:v>16410</x:v>
      </x:c>
      <x:c r="H2499" s="6" t="n">
        <x:v>1500</x:v>
      </x:c>
    </x:row>
    <x:row r="2500" ht="21" customHeight="1">
      <x:c r="A2500" s="1" t="str">
        <x:v>C0017105</x:v>
      </x:c>
      <x:c r="B2500" s="1" t="n">
        <x:v>1</x:v>
      </x:c>
      <x:c r="C2500" s="1" t="n">
        <x:v>31</x:v>
      </x:c>
      <x:c r="D2500" s="6" t="n">
        <x:v>22633</x:v>
      </x:c>
      <x:c r="E2500" s="6" t="n">
        <x:v>24133</x:v>
      </x:c>
      <x:c r="F2500" s="6" t="n">
        <x:v>0</x:v>
      </x:c>
      <x:c r="G2500" s="6" t="n">
        <x:v>24133</x:v>
      </x:c>
      <x:c r="H2500" s="6" t="n">
        <x:v>1500</x:v>
      </x:c>
    </x:row>
    <x:row r="2501" ht="21" customHeight="1">
      <x:c r="A2501" s="1" t="str">
        <x:v>C0017109</x:v>
      </x:c>
      <x:c r="B2501" s="1" t="n">
        <x:v>21</x:v>
      </x:c>
      <x:c r="C2501" s="1" t="n">
        <x:v>21</x:v>
      </x:c>
      <x:c r="D2501" s="6" t="n">
        <x:v>16060</x:v>
      </x:c>
      <x:c r="E2501" s="6" t="n">
        <x:v>17560</x:v>
      </x:c>
      <x:c r="F2501" s="6" t="n">
        <x:v>0</x:v>
      </x:c>
      <x:c r="G2501" s="6" t="n">
        <x:v>17560</x:v>
      </x:c>
      <x:c r="H2501" s="6" t="n">
        <x:v>1500</x:v>
      </x:c>
    </x:row>
    <x:row r="2502" ht="21" customHeight="1">
      <x:c r="A2502" s="1" t="str">
        <x:v>C0017147</x:v>
      </x:c>
      <x:c r="B2502" s="1" t="n">
        <x:v>14</x:v>
      </x:c>
      <x:c r="C2502" s="1" t="n">
        <x:v>74</x:v>
      </x:c>
      <x:c r="D2502" s="6" t="n">
        <x:v>6480</x:v>
      </x:c>
      <x:c r="E2502" s="6" t="n">
        <x:v>7980</x:v>
      </x:c>
      <x:c r="F2502" s="6" t="n">
        <x:v>0</x:v>
      </x:c>
      <x:c r="G2502" s="6" t="n">
        <x:v>7980</x:v>
      </x:c>
      <x:c r="H2502" s="6" t="n">
        <x:v>1500</x:v>
      </x:c>
    </x:row>
    <x:row r="2503" ht="21" customHeight="1">
      <x:c r="A2503" s="1" t="str">
        <x:v>C0017155</x:v>
      </x:c>
      <x:c r="B2503" s="1" t="n">
        <x:v>24</x:v>
      </x:c>
      <x:c r="C2503" s="1" t="n">
        <x:v>54</x:v>
      </x:c>
      <x:c r="D2503" s="6" t="n">
        <x:v>8462</x:v>
      </x:c>
      <x:c r="E2503" s="6" t="n">
        <x:v>9962</x:v>
      </x:c>
      <x:c r="F2503" s="6" t="n">
        <x:v>0</x:v>
      </x:c>
      <x:c r="G2503" s="6" t="n">
        <x:v>9962</x:v>
      </x:c>
      <x:c r="H2503" s="6" t="n">
        <x:v>1500</x:v>
      </x:c>
    </x:row>
    <x:row r="2504" ht="21" customHeight="1">
      <x:c r="A2504" s="1" t="str">
        <x:v>C0017167</x:v>
      </x:c>
      <x:c r="B2504" s="1" t="n">
        <x:v>19</x:v>
      </x:c>
      <x:c r="C2504" s="1" t="n">
        <x:v>49</x:v>
      </x:c>
      <x:c r="D2504" s="6" t="n">
        <x:v>22941</x:v>
      </x:c>
      <x:c r="E2504" s="6" t="n">
        <x:v>24441</x:v>
      </x:c>
      <x:c r="F2504" s="6" t="n">
        <x:v>0</x:v>
      </x:c>
      <x:c r="G2504" s="6" t="n">
        <x:v>24441</x:v>
      </x:c>
      <x:c r="H2504" s="6" t="n">
        <x:v>1500</x:v>
      </x:c>
    </x:row>
    <x:row r="2505" ht="21" customHeight="1">
      <x:c r="A2505" s="1" t="str">
        <x:v>C0017212</x:v>
      </x:c>
      <x:c r="B2505" s="1" t="n">
        <x:v>4</x:v>
      </x:c>
      <x:c r="C2505" s="1" t="n">
        <x:v>34</x:v>
      </x:c>
      <x:c r="D2505" s="6" t="n">
        <x:v>15475</x:v>
      </x:c>
      <x:c r="E2505" s="6" t="n">
        <x:v>16975</x:v>
      </x:c>
      <x:c r="F2505" s="6" t="n">
        <x:v>0</x:v>
      </x:c>
      <x:c r="G2505" s="6" t="n">
        <x:v>16975</x:v>
      </x:c>
      <x:c r="H2505" s="6" t="n">
        <x:v>1500</x:v>
      </x:c>
    </x:row>
    <x:row r="2506" ht="21" customHeight="1">
      <x:c r="A2506" s="1" t="str">
        <x:v>C0000594</x:v>
      </x:c>
      <x:c r="B2506" s="1" t="n">
        <x:v>26</x:v>
      </x:c>
      <x:c r="C2506" s="1" t="n">
        <x:v>56</x:v>
      </x:c>
      <x:c r="D2506" s="6" t="n">
        <x:v>24469</x:v>
      </x:c>
      <x:c r="E2506" s="6" t="n">
        <x:v>25969</x:v>
      </x:c>
      <x:c r="F2506" s="6" t="n">
        <x:v>0</x:v>
      </x:c>
      <x:c r="G2506" s="6" t="n">
        <x:v>25969</x:v>
      </x:c>
      <x:c r="H2506" s="6" t="n">
        <x:v>1500</x:v>
      </x:c>
    </x:row>
    <x:row r="2507" ht="21" customHeight="1">
      <x:c r="A2507" s="1" t="str">
        <x:v>C0000607</x:v>
      </x:c>
      <x:c r="B2507" s="1" t="n">
        <x:v>19</x:v>
      </x:c>
      <x:c r="C2507" s="1" t="n">
        <x:v>109</x:v>
      </x:c>
      <x:c r="D2507" s="6" t="n">
        <x:v>14087</x:v>
      </x:c>
      <x:c r="E2507" s="6" t="n">
        <x:v>15587</x:v>
      </x:c>
      <x:c r="F2507" s="6" t="n">
        <x:v>0</x:v>
      </x:c>
      <x:c r="G2507" s="6" t="n">
        <x:v>15587</x:v>
      </x:c>
      <x:c r="H2507" s="6" t="n">
        <x:v>1500</x:v>
      </x:c>
    </x:row>
    <x:row r="2508" ht="21" customHeight="1">
      <x:c r="A2508" s="1" t="str">
        <x:v>C0009636</x:v>
      </x:c>
      <x:c r="B2508" s="1" t="n">
        <x:v>6</x:v>
      </x:c>
      <x:c r="C2508" s="1" t="n">
        <x:v>96</x:v>
      </x:c>
      <x:c r="D2508" s="6" t="n">
        <x:v>22946</x:v>
      </x:c>
      <x:c r="E2508" s="6" t="n">
        <x:v>24446</x:v>
      </x:c>
      <x:c r="F2508" s="6" t="n">
        <x:v>0</x:v>
      </x:c>
      <x:c r="G2508" s="6" t="n">
        <x:v>24446</x:v>
      </x:c>
      <x:c r="H2508" s="6" t="n">
        <x:v>1500</x:v>
      </x:c>
    </x:row>
    <x:row r="2509" ht="21" customHeight="1">
      <x:c r="A2509" s="1" t="str">
        <x:v>C0009930</x:v>
      </x:c>
      <x:c r="B2509" s="1" t="n">
        <x:v>2</x:v>
      </x:c>
      <x:c r="C2509" s="1" t="n">
        <x:v>62</x:v>
      </x:c>
      <x:c r="D2509" s="6" t="n">
        <x:v>24890</x:v>
      </x:c>
      <x:c r="E2509" s="6" t="n">
        <x:v>26390</x:v>
      </x:c>
      <x:c r="F2509" s="6" t="n">
        <x:v>0</x:v>
      </x:c>
      <x:c r="G2509" s="6" t="n">
        <x:v>26390</x:v>
      </x:c>
      <x:c r="H2509" s="6" t="n">
        <x:v>1500</x:v>
      </x:c>
    </x:row>
    <x:row r="2510" ht="21" customHeight="1">
      <x:c r="A2510" s="1" t="str">
        <x:v>C0001025</x:v>
      </x:c>
      <x:c r="B2510" s="1" t="n">
        <x:v>9</x:v>
      </x:c>
      <x:c r="C2510" s="1" t="n">
        <x:v>9</x:v>
      </x:c>
      <x:c r="D2510" s="6" t="n">
        <x:v>10531</x:v>
      </x:c>
      <x:c r="E2510" s="6" t="n">
        <x:v>12031</x:v>
      </x:c>
      <x:c r="F2510" s="6" t="n">
        <x:v>0</x:v>
      </x:c>
      <x:c r="G2510" s="6" t="n">
        <x:v>12031</x:v>
      </x:c>
      <x:c r="H2510" s="6" t="n">
        <x:v>1500</x:v>
      </x:c>
    </x:row>
    <x:row r="2511" ht="21" customHeight="1">
      <x:c r="A2511" s="1" t="str">
        <x:v>C0001097</x:v>
      </x:c>
      <x:c r="B2511" s="1" t="n">
        <x:v>3</x:v>
      </x:c>
      <x:c r="C2511" s="1" t="n">
        <x:v>63</x:v>
      </x:c>
      <x:c r="D2511" s="6" t="n">
        <x:v>12757</x:v>
      </x:c>
      <x:c r="E2511" s="6" t="n">
        <x:v>14257</x:v>
      </x:c>
      <x:c r="F2511" s="6" t="n">
        <x:v>0</x:v>
      </x:c>
      <x:c r="G2511" s="6" t="n">
        <x:v>14257</x:v>
      </x:c>
      <x:c r="H2511" s="6" t="n">
        <x:v>1500</x:v>
      </x:c>
    </x:row>
    <x:row r="2512" ht="21" customHeight="1">
      <x:c r="A2512" s="1" t="str">
        <x:v>C0001133</x:v>
      </x:c>
      <x:c r="B2512" s="1" t="n">
        <x:v>24</x:v>
      </x:c>
      <x:c r="C2512" s="1" t="n">
        <x:v>24</x:v>
      </x:c>
      <x:c r="D2512" s="6" t="n">
        <x:v>7878</x:v>
      </x:c>
      <x:c r="E2512" s="6" t="n">
        <x:v>9378</x:v>
      </x:c>
      <x:c r="F2512" s="6" t="n">
        <x:v>0</x:v>
      </x:c>
      <x:c r="G2512" s="6" t="n">
        <x:v>9378</x:v>
      </x:c>
      <x:c r="H2512" s="6" t="n">
        <x:v>1500</x:v>
      </x:c>
    </x:row>
    <x:row r="2513" ht="21" customHeight="1">
      <x:c r="A2513" s="1" t="str">
        <x:v>C0001212</x:v>
      </x:c>
      <x:c r="B2513" s="1" t="n">
        <x:v>9</x:v>
      </x:c>
      <x:c r="C2513" s="1" t="n">
        <x:v>69</x:v>
      </x:c>
      <x:c r="D2513" s="6" t="n">
        <x:v>21960</x:v>
      </x:c>
      <x:c r="E2513" s="6" t="n">
        <x:v>23460</x:v>
      </x:c>
      <x:c r="F2513" s="6" t="n">
        <x:v>0</x:v>
      </x:c>
      <x:c r="G2513" s="6" t="n">
        <x:v>23460</x:v>
      </x:c>
      <x:c r="H2513" s="6" t="n">
        <x:v>1500</x:v>
      </x:c>
    </x:row>
    <x:row r="2514" ht="21" customHeight="1">
      <x:c r="A2514" s="1" t="str">
        <x:v>C0016881</x:v>
      </x:c>
      <x:c r="B2514" s="1" t="n">
        <x:v>7</x:v>
      </x:c>
      <x:c r="C2514" s="1" t="n">
        <x:v>67</x:v>
      </x:c>
      <x:c r="D2514" s="6" t="n">
        <x:v>19874</x:v>
      </x:c>
      <x:c r="E2514" s="6" t="n">
        <x:v>21374</x:v>
      </x:c>
      <x:c r="F2514" s="6" t="n">
        <x:v>0</x:v>
      </x:c>
      <x:c r="G2514" s="6" t="n">
        <x:v>21374</x:v>
      </x:c>
      <x:c r="H2514" s="6" t="n">
        <x:v>1500</x:v>
      </x:c>
    </x:row>
    <x:row r="2515" ht="21" customHeight="1">
      <x:c r="A2515" s="1" t="str">
        <x:v>C0016888</x:v>
      </x:c>
      <x:c r="B2515" s="1" t="n">
        <x:v>22</x:v>
      </x:c>
      <x:c r="C2515" s="1" t="n">
        <x:v>22</x:v>
      </x:c>
      <x:c r="D2515" s="6" t="n">
        <x:v>45738</x:v>
      </x:c>
      <x:c r="E2515" s="6" t="n">
        <x:v>47238</x:v>
      </x:c>
      <x:c r="F2515" s="6" t="n">
        <x:v>0</x:v>
      </x:c>
      <x:c r="G2515" s="6" t="n">
        <x:v>47238</x:v>
      </x:c>
      <x:c r="H2515" s="6" t="n">
        <x:v>1500</x:v>
      </x:c>
    </x:row>
    <x:row r="2516" ht="21" customHeight="1">
      <x:c r="A2516" s="1" t="str">
        <x:v>C0016891</x:v>
      </x:c>
      <x:c r="B2516" s="1" t="n">
        <x:v>23</x:v>
      </x:c>
      <x:c r="C2516" s="1" t="n">
        <x:v>23</x:v>
      </x:c>
      <x:c r="D2516" s="6" t="n">
        <x:v>19935</x:v>
      </x:c>
      <x:c r="E2516" s="6" t="n">
        <x:v>21435</x:v>
      </x:c>
      <x:c r="F2516" s="6" t="n">
        <x:v>0</x:v>
      </x:c>
      <x:c r="G2516" s="6" t="n">
        <x:v>21435</x:v>
      </x:c>
      <x:c r="H2516" s="6" t="n">
        <x:v>1500</x:v>
      </x:c>
    </x:row>
    <x:row r="2517" ht="21" customHeight="1">
      <x:c r="A2517" s="1" t="str">
        <x:v>C0016912</x:v>
      </x:c>
      <x:c r="B2517" s="1" t="n">
        <x:v>18</x:v>
      </x:c>
      <x:c r="C2517" s="1" t="n">
        <x:v>48</x:v>
      </x:c>
      <x:c r="D2517" s="6" t="n">
        <x:v>41252</x:v>
      </x:c>
      <x:c r="E2517" s="6" t="n">
        <x:v>42752</x:v>
      </x:c>
      <x:c r="F2517" s="6" t="n">
        <x:v>0</x:v>
      </x:c>
      <x:c r="G2517" s="6" t="n">
        <x:v>42752</x:v>
      </x:c>
      <x:c r="H2517" s="6" t="n">
        <x:v>1500</x:v>
      </x:c>
    </x:row>
    <x:row r="2518" ht="21" customHeight="1">
      <x:c r="A2518" s="1" t="str">
        <x:v>C0016932</x:v>
      </x:c>
      <x:c r="B2518" s="1" t="n">
        <x:v>26</x:v>
      </x:c>
      <x:c r="C2518" s="1" t="n">
        <x:v>56</x:v>
      </x:c>
      <x:c r="D2518" s="6" t="n">
        <x:v>11094</x:v>
      </x:c>
      <x:c r="E2518" s="6" t="n">
        <x:v>12594</x:v>
      </x:c>
      <x:c r="F2518" s="6" t="n">
        <x:v>0</x:v>
      </x:c>
      <x:c r="G2518" s="6" t="n">
        <x:v>12594</x:v>
      </x:c>
      <x:c r="H2518" s="6" t="n">
        <x:v>1500</x:v>
      </x:c>
    </x:row>
    <x:row r="2519" ht="21" customHeight="1">
      <x:c r="A2519" s="1" t="str">
        <x:v>C0016972</x:v>
      </x:c>
      <x:c r="B2519" s="1" t="n">
        <x:v>4</x:v>
      </x:c>
      <x:c r="C2519" s="1" t="n">
        <x:v>64</x:v>
      </x:c>
      <x:c r="D2519" s="6" t="n">
        <x:v>48322</x:v>
      </x:c>
      <x:c r="E2519" s="6" t="n">
        <x:v>49822</x:v>
      </x:c>
      <x:c r="F2519" s="6" t="n">
        <x:v>0</x:v>
      </x:c>
      <x:c r="G2519" s="6" t="n">
        <x:v>49822</x:v>
      </x:c>
      <x:c r="H2519" s="6" t="n">
        <x:v>1500</x:v>
      </x:c>
    </x:row>
    <x:row r="2520" ht="21" customHeight="1">
      <x:c r="A2520" s="1" t="str">
        <x:v>C0017016</x:v>
      </x:c>
      <x:c r="B2520" s="1" t="n">
        <x:v>11</x:v>
      </x:c>
      <x:c r="C2520" s="1" t="n">
        <x:v>101</x:v>
      </x:c>
      <x:c r="D2520" s="6" t="n">
        <x:v>49342</x:v>
      </x:c>
      <x:c r="E2520" s="6" t="n">
        <x:v>50842</x:v>
      </x:c>
      <x:c r="F2520" s="6" t="n">
        <x:v>0</x:v>
      </x:c>
      <x:c r="G2520" s="6" t="n">
        <x:v>50842</x:v>
      </x:c>
      <x:c r="H2520" s="6" t="n">
        <x:v>1500</x:v>
      </x:c>
    </x:row>
    <x:row r="2521" ht="21" customHeight="1">
      <x:c r="A2521" s="1" t="str">
        <x:v>C0009555</x:v>
      </x:c>
      <x:c r="B2521" s="1" t="n">
        <x:v>11</x:v>
      </x:c>
      <x:c r="C2521" s="1" t="n">
        <x:v>11</x:v>
      </x:c>
      <x:c r="D2521" s="6" t="n">
        <x:v>19341</x:v>
      </x:c>
      <x:c r="E2521" s="6" t="n">
        <x:v>20841</x:v>
      </x:c>
      <x:c r="F2521" s="6" t="n">
        <x:v>0</x:v>
      </x:c>
      <x:c r="G2521" s="6" t="n">
        <x:v>20841</x:v>
      </x:c>
      <x:c r="H2521" s="6" t="n">
        <x:v>1500</x:v>
      </x:c>
    </x:row>
    <x:row r="2522" ht="21" customHeight="1">
      <x:c r="A2522" s="1" t="str">
        <x:v>C0000784</x:v>
      </x:c>
      <x:c r="B2522" s="1" t="n">
        <x:v>11</x:v>
      </x:c>
      <x:c r="C2522" s="1" t="n">
        <x:v>71</x:v>
      </x:c>
      <x:c r="D2522" s="6" t="n">
        <x:v>19270</x:v>
      </x:c>
      <x:c r="E2522" s="6" t="n">
        <x:v>20770</x:v>
      </x:c>
      <x:c r="F2522" s="6" t="n">
        <x:v>0</x:v>
      </x:c>
      <x:c r="G2522" s="6" t="n">
        <x:v>20770</x:v>
      </x:c>
      <x:c r="H2522" s="6" t="n">
        <x:v>1500</x:v>
      </x:c>
    </x:row>
    <x:row r="2523" ht="21" customHeight="1">
      <x:c r="A2523" s="1" t="str">
        <x:v>C0000786</x:v>
      </x:c>
      <x:c r="B2523" s="1" t="n">
        <x:v>24</x:v>
      </x:c>
      <x:c r="C2523" s="1" t="n">
        <x:v>24</x:v>
      </x:c>
      <x:c r="D2523" s="6" t="n">
        <x:v>11408</x:v>
      </x:c>
      <x:c r="E2523" s="6" t="n">
        <x:v>12908</x:v>
      </x:c>
      <x:c r="F2523" s="6" t="n">
        <x:v>0</x:v>
      </x:c>
      <x:c r="G2523" s="6" t="n">
        <x:v>12908</x:v>
      </x:c>
      <x:c r="H2523" s="6" t="n">
        <x:v>1500</x:v>
      </x:c>
    </x:row>
    <x:row r="2524" ht="21" customHeight="1">
      <x:c r="A2524" s="1" t="str">
        <x:v>C0000789</x:v>
      </x:c>
      <x:c r="B2524" s="1" t="n">
        <x:v>4</x:v>
      </x:c>
      <x:c r="C2524" s="1" t="n">
        <x:v>4</x:v>
      </x:c>
      <x:c r="D2524" s="6" t="n">
        <x:v>8085</x:v>
      </x:c>
      <x:c r="E2524" s="6" t="n">
        <x:v>9585</x:v>
      </x:c>
      <x:c r="F2524" s="6" t="n">
        <x:v>0</x:v>
      </x:c>
      <x:c r="G2524" s="6" t="n">
        <x:v>9585</x:v>
      </x:c>
      <x:c r="H2524" s="6" t="n">
        <x:v>1500</x:v>
      </x:c>
    </x:row>
    <x:row r="2525" ht="21" customHeight="1">
      <x:c r="A2525" s="1" t="str">
        <x:v>C0000823</x:v>
      </x:c>
      <x:c r="B2525" s="1" t="n">
        <x:v>1</x:v>
      </x:c>
      <x:c r="C2525" s="1" t="n">
        <x:v>91</x:v>
      </x:c>
      <x:c r="D2525" s="6" t="n">
        <x:v>9833</x:v>
      </x:c>
      <x:c r="E2525" s="6" t="n">
        <x:v>11333</x:v>
      </x:c>
      <x:c r="F2525" s="6" t="n">
        <x:v>0</x:v>
      </x:c>
      <x:c r="G2525" s="6" t="n">
        <x:v>11333</x:v>
      </x:c>
      <x:c r="H2525" s="6" t="n">
        <x:v>1500</x:v>
      </x:c>
    </x:row>
    <x:row r="2526" ht="21" customHeight="1">
      <x:c r="A2526" s="1" t="str">
        <x:v>C0000828</x:v>
      </x:c>
      <x:c r="B2526" s="1" t="n">
        <x:v>15</x:v>
      </x:c>
      <x:c r="C2526" s="1" t="n">
        <x:v>75</x:v>
      </x:c>
      <x:c r="D2526" s="6" t="n">
        <x:v>5974</x:v>
      </x:c>
      <x:c r="E2526" s="6" t="n">
        <x:v>7474</x:v>
      </x:c>
      <x:c r="F2526" s="6" t="n">
        <x:v>0</x:v>
      </x:c>
      <x:c r="G2526" s="6" t="n">
        <x:v>7474</x:v>
      </x:c>
      <x:c r="H2526" s="6" t="n">
        <x:v>1500</x:v>
      </x:c>
    </x:row>
    <x:row r="2527" ht="21" customHeight="1">
      <x:c r="A2527" s="1" t="str">
        <x:v>C0000831</x:v>
      </x:c>
      <x:c r="B2527" s="1" t="n">
        <x:v>24</x:v>
      </x:c>
      <x:c r="C2527" s="1" t="n">
        <x:v>24</x:v>
      </x:c>
      <x:c r="D2527" s="6" t="n">
        <x:v>7878</x:v>
      </x:c>
      <x:c r="E2527" s="6" t="n">
        <x:v>9378</x:v>
      </x:c>
      <x:c r="F2527" s="6" t="n">
        <x:v>0</x:v>
      </x:c>
      <x:c r="G2527" s="6" t="n">
        <x:v>9378</x:v>
      </x:c>
      <x:c r="H2527" s="6" t="n">
        <x:v>1500</x:v>
      </x:c>
    </x:row>
    <x:row r="2528" ht="21" customHeight="1">
      <x:c r="A2528" s="1" t="str">
        <x:v>C0000837</x:v>
      </x:c>
      <x:c r="B2528" s="1" t="n">
        <x:v>24</x:v>
      </x:c>
      <x:c r="C2528" s="1" t="n">
        <x:v>84</x:v>
      </x:c>
      <x:c r="D2528" s="6" t="n">
        <x:v>13768</x:v>
      </x:c>
      <x:c r="E2528" s="6" t="n">
        <x:v>15268</x:v>
      </x:c>
      <x:c r="F2528" s="6" t="n">
        <x:v>0</x:v>
      </x:c>
      <x:c r="G2528" s="6" t="n">
        <x:v>15268</x:v>
      </x:c>
      <x:c r="H2528" s="6" t="n">
        <x:v>1500</x:v>
      </x:c>
    </x:row>
    <x:row r="2529" ht="21" customHeight="1">
      <x:c r="A2529" s="1" t="str">
        <x:v>C0000849</x:v>
      </x:c>
      <x:c r="B2529" s="1" t="n">
        <x:v>11</x:v>
      </x:c>
      <x:c r="C2529" s="1" t="n">
        <x:v>11</x:v>
      </x:c>
      <x:c r="D2529" s="6" t="n">
        <x:v>8046</x:v>
      </x:c>
      <x:c r="E2529" s="6" t="n">
        <x:v>9546</x:v>
      </x:c>
      <x:c r="F2529" s="6" t="n">
        <x:v>0</x:v>
      </x:c>
      <x:c r="G2529" s="6" t="n">
        <x:v>9546</x:v>
      </x:c>
      <x:c r="H2529" s="6" t="n">
        <x:v>1500</x:v>
      </x:c>
    </x:row>
    <x:row r="2530" ht="21" customHeight="1">
      <x:c r="A2530" s="1" t="str">
        <x:v>C0000865</x:v>
      </x:c>
      <x:c r="B2530" s="1" t="n">
        <x:v>7</x:v>
      </x:c>
      <x:c r="C2530" s="1" t="n">
        <x:v>97</x:v>
      </x:c>
      <x:c r="D2530" s="6" t="n">
        <x:v>16891</x:v>
      </x:c>
      <x:c r="E2530" s="6" t="n">
        <x:v>18391</x:v>
      </x:c>
      <x:c r="F2530" s="6" t="n">
        <x:v>0</x:v>
      </x:c>
      <x:c r="G2530" s="6" t="n">
        <x:v>18391</x:v>
      </x:c>
      <x:c r="H2530" s="6" t="n">
        <x:v>1500</x:v>
      </x:c>
    </x:row>
    <x:row r="2531" ht="21" customHeight="1">
      <x:c r="A2531" s="1" t="str">
        <x:v>C0000900</x:v>
      </x:c>
      <x:c r="B2531" s="1" t="n">
        <x:v>9</x:v>
      </x:c>
      <x:c r="C2531" s="1" t="n">
        <x:v>69</x:v>
      </x:c>
      <x:c r="D2531" s="6" t="n">
        <x:v>21960</x:v>
      </x:c>
      <x:c r="E2531" s="6" t="n">
        <x:v>23460</x:v>
      </x:c>
      <x:c r="F2531" s="6" t="n">
        <x:v>0</x:v>
      </x:c>
      <x:c r="G2531" s="6" t="n">
        <x:v>23460</x:v>
      </x:c>
      <x:c r="H2531" s="6" t="n">
        <x:v>1500</x:v>
      </x:c>
    </x:row>
    <x:row r="2532" ht="21" customHeight="1">
      <x:c r="A2532" s="1" t="str">
        <x:v>C0000937</x:v>
      </x:c>
      <x:c r="B2532" s="1" t="n">
        <x:v>30</x:v>
      </x:c>
      <x:c r="C2532" s="1" t="n">
        <x:v>120</x:v>
      </x:c>
      <x:c r="D2532" s="6" t="n">
        <x:v>23708</x:v>
      </x:c>
      <x:c r="E2532" s="6" t="n">
        <x:v>25208</x:v>
      </x:c>
      <x:c r="F2532" s="6" t="n">
        <x:v>0</x:v>
      </x:c>
      <x:c r="G2532" s="6" t="n">
        <x:v>25208</x:v>
      </x:c>
      <x:c r="H2532" s="6" t="n">
        <x:v>1500</x:v>
      </x:c>
    </x:row>
    <x:row r="2533" ht="21" customHeight="1">
      <x:c r="A2533" s="1" t="str">
        <x:v>C0000952</x:v>
      </x:c>
      <x:c r="B2533" s="1" t="n">
        <x:v>22</x:v>
      </x:c>
      <x:c r="C2533" s="1" t="n">
        <x:v>82</x:v>
      </x:c>
      <x:c r="D2533" s="6" t="n">
        <x:v>22818</x:v>
      </x:c>
      <x:c r="E2533" s="6" t="n">
        <x:v>24318</x:v>
      </x:c>
      <x:c r="F2533" s="6" t="n">
        <x:v>0</x:v>
      </x:c>
      <x:c r="G2533" s="6" t="n">
        <x:v>24318</x:v>
      </x:c>
      <x:c r="H2533" s="6" t="n">
        <x:v>1500</x:v>
      </x:c>
    </x:row>
    <x:row r="2534" ht="21" customHeight="1">
      <x:c r="A2534" s="1" t="str">
        <x:v>C0009548</x:v>
      </x:c>
      <x:c r="B2534" s="1" t="n">
        <x:v>19</x:v>
      </x:c>
      <x:c r="C2534" s="1" t="n">
        <x:v>79</x:v>
      </x:c>
      <x:c r="D2534" s="6" t="n">
        <x:v>13498</x:v>
      </x:c>
      <x:c r="E2534" s="6" t="n">
        <x:v>14998</x:v>
      </x:c>
      <x:c r="F2534" s="6" t="n">
        <x:v>0</x:v>
      </x:c>
      <x:c r="G2534" s="6" t="n">
        <x:v>14998</x:v>
      </x:c>
      <x:c r="H2534" s="6" t="n">
        <x:v>1500</x:v>
      </x:c>
    </x:row>
    <x:row r="2535" ht="21" customHeight="1">
      <x:c r="A2535" s="1" t="str">
        <x:v>C0017028</x:v>
      </x:c>
      <x:c r="B2535" s="1" t="n">
        <x:v>28</x:v>
      </x:c>
      <x:c r="C2535" s="1" t="n">
        <x:v>88</x:v>
      </x:c>
      <x:c r="D2535" s="6" t="n">
        <x:v>22256</x:v>
      </x:c>
      <x:c r="E2535" s="6" t="n">
        <x:v>23756</x:v>
      </x:c>
      <x:c r="F2535" s="6" t="n">
        <x:v>0</x:v>
      </x:c>
      <x:c r="G2535" s="6" t="n">
        <x:v>23756</x:v>
      </x:c>
      <x:c r="H2535" s="6" t="n">
        <x:v>1500</x:v>
      </x:c>
    </x:row>
    <x:row r="2536" ht="21" customHeight="1">
      <x:c r="A2536" s="1" t="str">
        <x:v>C0017371</x:v>
      </x:c>
      <x:c r="B2536" s="1" t="n">
        <x:v>22</x:v>
      </x:c>
      <x:c r="C2536" s="1" t="n">
        <x:v>112</x:v>
      </x:c>
      <x:c r="D2536" s="6" t="n">
        <x:v>39884</x:v>
      </x:c>
      <x:c r="E2536" s="6" t="n">
        <x:v>41384</x:v>
      </x:c>
      <x:c r="F2536" s="6" t="n">
        <x:v>0</x:v>
      </x:c>
      <x:c r="G2536" s="6" t="n">
        <x:v>41384</x:v>
      </x:c>
      <x:c r="H2536" s="6" t="n">
        <x:v>1500</x:v>
      </x:c>
    </x:row>
    <x:row r="2537" ht="21" customHeight="1">
      <x:c r="A2537" s="1" t="str">
        <x:v>C0000669</x:v>
      </x:c>
      <x:c r="B2537" s="1" t="n">
        <x:v>25</x:v>
      </x:c>
      <x:c r="C2537" s="1" t="n">
        <x:v>25</x:v>
      </x:c>
      <x:c r="D2537" s="6" t="n">
        <x:v>5359</x:v>
      </x:c>
      <x:c r="E2537" s="6" t="n">
        <x:v>6859</x:v>
      </x:c>
      <x:c r="F2537" s="6" t="n">
        <x:v>0</x:v>
      </x:c>
      <x:c r="G2537" s="6" t="n">
        <x:v>6859</x:v>
      </x:c>
      <x:c r="H2537" s="6" t="n">
        <x:v>1500</x:v>
      </x:c>
    </x:row>
    <x:row r="2538" ht="21" customHeight="1">
      <x:c r="A2538" s="1" t="str">
        <x:v>C0000673</x:v>
      </x:c>
      <x:c r="B2538" s="1" t="n">
        <x:v>26</x:v>
      </x:c>
      <x:c r="C2538" s="1" t="n">
        <x:v>86</x:v>
      </x:c>
      <x:c r="D2538" s="6" t="n">
        <x:v>11251</x:v>
      </x:c>
      <x:c r="E2538" s="6" t="n">
        <x:v>12751</x:v>
      </x:c>
      <x:c r="F2538" s="6" t="n">
        <x:v>0</x:v>
      </x:c>
      <x:c r="G2538" s="6" t="n">
        <x:v>12751</x:v>
      </x:c>
      <x:c r="H2538" s="6" t="n">
        <x:v>1500</x:v>
      </x:c>
    </x:row>
    <x:row r="2539" ht="21" customHeight="1">
      <x:c r="A2539" s="1" t="str">
        <x:v>C0000692</x:v>
      </x:c>
      <x:c r="B2539" s="1" t="n">
        <x:v>9</x:v>
      </x:c>
      <x:c r="C2539" s="1" t="n">
        <x:v>99</x:v>
      </x:c>
      <x:c r="D2539" s="6" t="n">
        <x:v>5703</x:v>
      </x:c>
      <x:c r="E2539" s="6" t="n">
        <x:v>7203</x:v>
      </x:c>
      <x:c r="F2539" s="6" t="n">
        <x:v>0</x:v>
      </x:c>
      <x:c r="G2539" s="6" t="n">
        <x:v>7203</x:v>
      </x:c>
      <x:c r="H2539" s="6" t="n">
        <x:v>1500</x:v>
      </x:c>
    </x:row>
    <x:row r="2540" ht="21" customHeight="1">
      <x:c r="A2540" s="1" t="str">
        <x:v>C0000720</x:v>
      </x:c>
      <x:c r="B2540" s="1" t="n">
        <x:v>29</x:v>
      </x:c>
      <x:c r="C2540" s="1" t="n">
        <x:v>89</x:v>
      </x:c>
      <x:c r="D2540" s="6" t="n">
        <x:v>9580</x:v>
      </x:c>
      <x:c r="E2540" s="6" t="n">
        <x:v>11080</x:v>
      </x:c>
      <x:c r="F2540" s="6" t="n">
        <x:v>0</x:v>
      </x:c>
      <x:c r="G2540" s="6" t="n">
        <x:v>11080</x:v>
      </x:c>
      <x:c r="H2540" s="6" t="n">
        <x:v>1500</x:v>
      </x:c>
    </x:row>
    <x:row r="2541" ht="21" customHeight="1">
      <x:c r="A2541" s="1" t="str">
        <x:v>C0000744</x:v>
      </x:c>
      <x:c r="B2541" s="1" t="n">
        <x:v>10</x:v>
      </x:c>
      <x:c r="C2541" s="1" t="n">
        <x:v>100</x:v>
      </x:c>
      <x:c r="D2541" s="6" t="n">
        <x:v>6881</x:v>
      </x:c>
      <x:c r="E2541" s="6" t="n">
        <x:v>8381</x:v>
      </x:c>
      <x:c r="F2541" s="6" t="n">
        <x:v>0</x:v>
      </x:c>
      <x:c r="G2541" s="6" t="n">
        <x:v>8381</x:v>
      </x:c>
      <x:c r="H2541" s="6" t="n">
        <x:v>1500</x:v>
      </x:c>
    </x:row>
    <x:row r="2542" ht="21" customHeight="1">
      <x:c r="A2542" s="1" t="str">
        <x:v>C0017258</x:v>
      </x:c>
      <x:c r="B2542" s="1" t="n">
        <x:v>7</x:v>
      </x:c>
      <x:c r="C2542" s="1" t="n">
        <x:v>67</x:v>
      </x:c>
      <x:c r="D2542" s="6" t="n">
        <x:v>19874</x:v>
      </x:c>
      <x:c r="E2542" s="6" t="n">
        <x:v>21374</x:v>
      </x:c>
      <x:c r="F2542" s="6" t="n">
        <x:v>0</x:v>
      </x:c>
      <x:c r="G2542" s="6" t="n">
        <x:v>21374</x:v>
      </x:c>
      <x:c r="H2542" s="6" t="n">
        <x:v>1500</x:v>
      </x:c>
    </x:row>
    <x:row r="2543" ht="21" customHeight="1">
      <x:c r="A2543" s="1" t="str">
        <x:v>C0017266</x:v>
      </x:c>
      <x:c r="B2543" s="1" t="n">
        <x:v>3</x:v>
      </x:c>
      <x:c r="C2543" s="1" t="n">
        <x:v>3</x:v>
      </x:c>
      <x:c r="D2543" s="6" t="n">
        <x:v>8304</x:v>
      </x:c>
      <x:c r="E2543" s="6" t="n">
        <x:v>9804</x:v>
      </x:c>
      <x:c r="F2543" s="6" t="n">
        <x:v>0</x:v>
      </x:c>
      <x:c r="G2543" s="6" t="n">
        <x:v>9804</x:v>
      </x:c>
      <x:c r="H2543" s="6" t="n">
        <x:v>1500</x:v>
      </x:c>
    </x:row>
    <x:row r="2544" ht="21" customHeight="1">
      <x:c r="A2544" s="1" t="str">
        <x:v>C0009328</x:v>
      </x:c>
      <x:c r="B2544" s="1" t="n">
        <x:v>16</x:v>
      </x:c>
      <x:c r="C2544" s="1" t="n">
        <x:v>76</x:v>
      </x:c>
      <x:c r="D2544" s="6" t="n">
        <x:v>39578</x:v>
      </x:c>
      <x:c r="E2544" s="6" t="n">
        <x:v>41078</x:v>
      </x:c>
      <x:c r="F2544" s="6" t="n">
        <x:v>0</x:v>
      </x:c>
      <x:c r="G2544" s="6" t="n">
        <x:v>41078</x:v>
      </x:c>
      <x:c r="H2544" s="6" t="n">
        <x:v>1500</x:v>
      </x:c>
    </x:row>
    <x:row r="2545" ht="21" customHeight="1">
      <x:c r="A2545" s="1" t="str">
        <x:v>C0009391</x:v>
      </x:c>
      <x:c r="B2545" s="1" t="n">
        <x:v>16</x:v>
      </x:c>
      <x:c r="C2545" s="1" t="n">
        <x:v>46</x:v>
      </x:c>
      <x:c r="D2545" s="6" t="n">
        <x:v>24733</x:v>
      </x:c>
      <x:c r="E2545" s="6" t="n">
        <x:v>26233</x:v>
      </x:c>
      <x:c r="F2545" s="6" t="n">
        <x:v>0</x:v>
      </x:c>
      <x:c r="G2545" s="6" t="n">
        <x:v>26233</x:v>
      </x:c>
      <x:c r="H2545" s="6" t="n">
        <x:v>1500</x:v>
      </x:c>
    </x:row>
    <x:row r="2546" ht="21" customHeight="1">
      <x:c r="A2546" s="1" t="str">
        <x:v>C0009406</x:v>
      </x:c>
      <x:c r="B2546" s="1" t="n">
        <x:v>12</x:v>
      </x:c>
      <x:c r="C2546" s="1" t="n">
        <x:v>72</x:v>
      </x:c>
      <x:c r="D2546" s="6" t="n">
        <x:v>18082</x:v>
      </x:c>
      <x:c r="E2546" s="6" t="n">
        <x:v>19582</x:v>
      </x:c>
      <x:c r="F2546" s="6" t="n">
        <x:v>0</x:v>
      </x:c>
      <x:c r="G2546" s="6" t="n">
        <x:v>19582</x:v>
      </x:c>
      <x:c r="H2546" s="6" t="n">
        <x:v>1500</x:v>
      </x:c>
    </x:row>
    <x:row r="2547" ht="21" customHeight="1">
      <x:c r="A2547" s="1" t="str">
        <x:v>C0008999</x:v>
      </x:c>
      <x:c r="B2547" s="1" t="n">
        <x:v>29</x:v>
      </x:c>
      <x:c r="C2547" s="1" t="n">
        <x:v>29</x:v>
      </x:c>
      <x:c r="D2547" s="6" t="n">
        <x:v>15615</x:v>
      </x:c>
      <x:c r="E2547" s="6" t="n">
        <x:v>17115</x:v>
      </x:c>
      <x:c r="F2547" s="6" t="n">
        <x:v>0</x:v>
      </x:c>
      <x:c r="G2547" s="6" t="n">
        <x:v>17115</x:v>
      </x:c>
      <x:c r="H2547" s="6" t="n">
        <x:v>1500</x:v>
      </x:c>
    </x:row>
    <x:row r="2548" ht="21" customHeight="1">
      <x:c r="A2548" s="1" t="str">
        <x:v>C0000612</x:v>
      </x:c>
      <x:c r="B2548" s="1" t="n">
        <x:v>9</x:v>
      </x:c>
      <x:c r="C2548" s="1" t="n">
        <x:v>39</x:v>
      </x:c>
      <x:c r="D2548" s="6" t="n">
        <x:v>17658</x:v>
      </x:c>
      <x:c r="E2548" s="6" t="n">
        <x:v>19158</x:v>
      </x:c>
      <x:c r="F2548" s="6" t="n">
        <x:v>0</x:v>
      </x:c>
      <x:c r="G2548" s="6" t="n">
        <x:v>19158</x:v>
      </x:c>
      <x:c r="H2548" s="6" t="n">
        <x:v>1500</x:v>
      </x:c>
    </x:row>
    <x:row r="2549" ht="21" customHeight="1">
      <x:c r="A2549" s="1" t="str">
        <x:v>C0009056</x:v>
      </x:c>
      <x:c r="B2549" s="1" t="n">
        <x:v>5</x:v>
      </x:c>
      <x:c r="C2549" s="1" t="n">
        <x:v>95</x:v>
      </x:c>
      <x:c r="D2549" s="6" t="n">
        <x:v>7483</x:v>
      </x:c>
      <x:c r="E2549" s="6" t="n">
        <x:v>8983</x:v>
      </x:c>
      <x:c r="F2549" s="6" t="n">
        <x:v>0</x:v>
      </x:c>
      <x:c r="G2549" s="6" t="n">
        <x:v>8983</x:v>
      </x:c>
      <x:c r="H2549" s="6" t="n">
        <x:v>1500</x:v>
      </x:c>
    </x:row>
    <x:row r="2550" ht="21" customHeight="1">
      <x:c r="A2550" s="1" t="str">
        <x:v>C0009077</x:v>
      </x:c>
      <x:c r="B2550" s="1" t="n">
        <x:v>20</x:v>
      </x:c>
      <x:c r="C2550" s="1" t="n">
        <x:v>20</x:v>
      </x:c>
      <x:c r="D2550" s="6" t="n">
        <x:v>28402</x:v>
      </x:c>
      <x:c r="E2550" s="6" t="n">
        <x:v>29902</x:v>
      </x:c>
      <x:c r="F2550" s="6" t="n">
        <x:v>0</x:v>
      </x:c>
      <x:c r="G2550" s="6" t="n">
        <x:v>29902</x:v>
      </x:c>
      <x:c r="H2550" s="6" t="n">
        <x:v>1500</x:v>
      </x:c>
    </x:row>
    <x:row r="2551" ht="21" customHeight="1">
      <x:c r="A2551" s="1" t="str">
        <x:v>C0009091</x:v>
      </x:c>
      <x:c r="B2551" s="1" t="n">
        <x:v>7</x:v>
      </x:c>
      <x:c r="C2551" s="1" t="n">
        <x:v>7</x:v>
      </x:c>
      <x:c r="D2551" s="6" t="n">
        <x:v>14178</x:v>
      </x:c>
      <x:c r="E2551" s="6" t="n">
        <x:v>15678</x:v>
      </x:c>
      <x:c r="F2551" s="6" t="n">
        <x:v>0</x:v>
      </x:c>
      <x:c r="G2551" s="6" t="n">
        <x:v>15678</x:v>
      </x:c>
      <x:c r="H2551" s="6" t="n">
        <x:v>1500</x:v>
      </x:c>
    </x:row>
    <x:row r="2552" ht="21" customHeight="1">
      <x:c r="A2552" s="1" t="str">
        <x:v>C0009182</x:v>
      </x:c>
      <x:c r="B2552" s="1" t="n">
        <x:v>13</x:v>
      </x:c>
      <x:c r="C2552" s="1" t="n">
        <x:v>43</x:v>
      </x:c>
      <x:c r="D2552" s="6" t="n">
        <x:v>19576</x:v>
      </x:c>
      <x:c r="E2552" s="6" t="n">
        <x:v>21076</x:v>
      </x:c>
      <x:c r="F2552" s="6" t="n">
        <x:v>0</x:v>
      </x:c>
      <x:c r="G2552" s="6" t="n">
        <x:v>21076</x:v>
      </x:c>
      <x:c r="H2552" s="6" t="n">
        <x:v>1500</x:v>
      </x:c>
    </x:row>
    <x:row r="2553" ht="21" customHeight="1">
      <x:c r="A2553" s="1" t="str">
        <x:v>C0009455</x:v>
      </x:c>
      <x:c r="B2553" s="1" t="n">
        <x:v>15</x:v>
      </x:c>
      <x:c r="C2553" s="1" t="n">
        <x:v>105</x:v>
      </x:c>
      <x:c r="D2553" s="6" t="n">
        <x:v>20379</x:v>
      </x:c>
      <x:c r="E2553" s="6" t="n">
        <x:v>21879</x:v>
      </x:c>
      <x:c r="F2553" s="6" t="n">
        <x:v>0</x:v>
      </x:c>
      <x:c r="G2553" s="6" t="n">
        <x:v>21879</x:v>
      </x:c>
      <x:c r="H2553" s="6" t="n">
        <x:v>1500</x:v>
      </x:c>
    </x:row>
    <x:row r="2554" ht="21" customHeight="1">
      <x:c r="A2554" s="1" t="str">
        <x:v>C0009459</x:v>
      </x:c>
      <x:c r="B2554" s="1" t="n">
        <x:v>9</x:v>
      </x:c>
      <x:c r="C2554" s="1" t="n">
        <x:v>69</x:v>
      </x:c>
      <x:c r="D2554" s="6" t="n">
        <x:v>21960</x:v>
      </x:c>
      <x:c r="E2554" s="6" t="n">
        <x:v>23460</x:v>
      </x:c>
      <x:c r="F2554" s="6" t="n">
        <x:v>0</x:v>
      </x:c>
      <x:c r="G2554" s="6" t="n">
        <x:v>23460</x:v>
      </x:c>
      <x:c r="H2554" s="6" t="n">
        <x:v>1500</x:v>
      </x:c>
    </x:row>
    <x:row r="2555" ht="21" customHeight="1">
      <x:c r="A2555" s="1" t="str">
        <x:v>C0009466</x:v>
      </x:c>
      <x:c r="B2555" s="1" t="n">
        <x:v>1</x:v>
      </x:c>
      <x:c r="C2555" s="1" t="n">
        <x:v>61</x:v>
      </x:c>
      <x:c r="D2555" s="6" t="n">
        <x:v>6552</x:v>
      </x:c>
      <x:c r="E2555" s="6" t="n">
        <x:v>8052</x:v>
      </x:c>
      <x:c r="F2555" s="6" t="n">
        <x:v>0</x:v>
      </x:c>
      <x:c r="G2555" s="6" t="n">
        <x:v>8052</x:v>
      </x:c>
      <x:c r="H2555" s="6" t="n">
        <x:v>1500</x:v>
      </x:c>
    </x:row>
    <x:row r="2556" ht="21" customHeight="1">
      <x:c r="A2556" s="1" t="str">
        <x:v>C0009474</x:v>
      </x:c>
      <x:c r="B2556" s="1" t="n">
        <x:v>28</x:v>
      </x:c>
      <x:c r="C2556" s="1" t="n">
        <x:v>118</x:v>
      </x:c>
      <x:c r="D2556" s="6" t="n">
        <x:v>7580</x:v>
      </x:c>
      <x:c r="E2556" s="6" t="n">
        <x:v>9080</x:v>
      </x:c>
      <x:c r="F2556" s="6" t="n">
        <x:v>0</x:v>
      </x:c>
      <x:c r="G2556" s="6" t="n">
        <x:v>9080</x:v>
      </x:c>
      <x:c r="H2556" s="6" t="n">
        <x:v>1500</x:v>
      </x:c>
    </x:row>
    <x:row r="2557" ht="21" customHeight="1">
      <x:c r="A2557" s="1" t="str">
        <x:v>C0009487</x:v>
      </x:c>
      <x:c r="B2557" s="1" t="n">
        <x:v>25</x:v>
      </x:c>
      <x:c r="C2557" s="1" t="n">
        <x:v>115</x:v>
      </x:c>
      <x:c r="D2557" s="6" t="n">
        <x:v>22860</x:v>
      </x:c>
      <x:c r="E2557" s="6" t="n">
        <x:v>24360</x:v>
      </x:c>
      <x:c r="F2557" s="6" t="n">
        <x:v>0</x:v>
      </x:c>
      <x:c r="G2557" s="6" t="n">
        <x:v>24360</x:v>
      </x:c>
      <x:c r="H2557" s="6" t="n">
        <x:v>1500</x:v>
      </x:c>
    </x:row>
    <x:row r="2558" ht="21" customHeight="1">
      <x:c r="A2558" s="1" t="str">
        <x:v>C0009517</x:v>
      </x:c>
      <x:c r="B2558" s="1" t="n">
        <x:v>22</x:v>
      </x:c>
      <x:c r="C2558" s="1" t="n">
        <x:v>22</x:v>
      </x:c>
      <x:c r="D2558" s="6" t="n">
        <x:v>5442</x:v>
      </x:c>
      <x:c r="E2558" s="6" t="n">
        <x:v>6942</x:v>
      </x:c>
      <x:c r="F2558" s="6" t="n">
        <x:v>0</x:v>
      </x:c>
      <x:c r="G2558" s="6" t="n">
        <x:v>6942</x:v>
      </x:c>
      <x:c r="H2558" s="6" t="n">
        <x:v>1500</x:v>
      </x:c>
    </x:row>
    <x:row r="2559" ht="21" customHeight="1">
      <x:c r="A2559" s="1" t="str">
        <x:v>C0009540</x:v>
      </x:c>
      <x:c r="B2559" s="1" t="n">
        <x:v>26</x:v>
      </x:c>
      <x:c r="C2559" s="1" t="n">
        <x:v>86</x:v>
      </x:c>
      <x:c r="D2559" s="6" t="n">
        <x:v>5821</x:v>
      </x:c>
      <x:c r="E2559" s="6" t="n">
        <x:v>7321</x:v>
      </x:c>
      <x:c r="F2559" s="6" t="n">
        <x:v>0</x:v>
      </x:c>
      <x:c r="G2559" s="6" t="n">
        <x:v>7321</x:v>
      </x:c>
      <x:c r="H2559" s="6" t="n">
        <x:v>1500</x:v>
      </x:c>
    </x:row>
    <x:row r="2560" ht="21" customHeight="1">
      <x:c r="A2560" s="1" t="str">
        <x:v>C0017346</x:v>
      </x:c>
      <x:c r="B2560" s="1" t="n">
        <x:v>1</x:v>
      </x:c>
      <x:c r="C2560" s="1" t="n">
        <x:v>31</x:v>
      </x:c>
      <x:c r="D2560" s="6" t="n">
        <x:v>22633</x:v>
      </x:c>
      <x:c r="E2560" s="6" t="n">
        <x:v>24133</x:v>
      </x:c>
      <x:c r="F2560" s="6" t="n">
        <x:v>0</x:v>
      </x:c>
      <x:c r="G2560" s="6" t="n">
        <x:v>24133</x:v>
      </x:c>
      <x:c r="H2560" s="6" t="n">
        <x:v>1500</x:v>
      </x:c>
    </x:row>
    <x:row r="2561" ht="21" customHeight="1">
      <x:c r="A2561" s="1" t="str">
        <x:v>C0017347</x:v>
      </x:c>
      <x:c r="B2561" s="1" t="n">
        <x:v>3</x:v>
      </x:c>
      <x:c r="C2561" s="1" t="n">
        <x:v>3</x:v>
      </x:c>
      <x:c r="D2561" s="6" t="n">
        <x:v>8304</x:v>
      </x:c>
      <x:c r="E2561" s="6" t="n">
        <x:v>9804</x:v>
      </x:c>
      <x:c r="F2561" s="6" t="n">
        <x:v>0</x:v>
      </x:c>
      <x:c r="G2561" s="6" t="n">
        <x:v>9804</x:v>
      </x:c>
      <x:c r="H2561" s="6" t="n">
        <x:v>1500</x:v>
      </x:c>
    </x:row>
    <x:row r="2562" ht="21" customHeight="1">
      <x:c r="A2562" s="1" t="str">
        <x:v>C0009021</x:v>
      </x:c>
      <x:c r="B2562" s="1" t="n">
        <x:v>28</x:v>
      </x:c>
      <x:c r="C2562" s="1" t="n">
        <x:v>58</x:v>
      </x:c>
      <x:c r="D2562" s="6" t="n">
        <x:v>9512</x:v>
      </x:c>
      <x:c r="E2562" s="6" t="n">
        <x:v>11012</x:v>
      </x:c>
      <x:c r="F2562" s="6" t="n">
        <x:v>0</x:v>
      </x:c>
      <x:c r="G2562" s="6" t="n">
        <x:v>11012</x:v>
      </x:c>
      <x:c r="H2562" s="6" t="n">
        <x:v>1500</x:v>
      </x:c>
    </x:row>
    <x:row r="2563" ht="21" customHeight="1">
      <x:c r="A2563" s="1" t="str">
        <x:v>C0000623</x:v>
      </x:c>
      <x:c r="B2563" s="1" t="n">
        <x:v>9</x:v>
      </x:c>
      <x:c r="C2563" s="1" t="n">
        <x:v>69</x:v>
      </x:c>
      <x:c r="D2563" s="6" t="n">
        <x:v>12971</x:v>
      </x:c>
      <x:c r="E2563" s="6" t="n">
        <x:v>14471</x:v>
      </x:c>
      <x:c r="F2563" s="6" t="n">
        <x:v>0</x:v>
      </x:c>
      <x:c r="G2563" s="6" t="n">
        <x:v>14471</x:v>
      </x:c>
      <x:c r="H2563" s="6" t="n">
        <x:v>1500</x:v>
      </x:c>
    </x:row>
    <x:row r="2564" ht="21" customHeight="1">
      <x:c r="A2564" s="1" t="str">
        <x:v>C0017849</x:v>
      </x:c>
      <x:c r="B2564" s="1" t="n">
        <x:v>23</x:v>
      </x:c>
      <x:c r="C2564" s="1" t="n">
        <x:v>113</x:v>
      </x:c>
      <x:c r="D2564" s="6" t="n">
        <x:v>12972</x:v>
      </x:c>
      <x:c r="E2564" s="6" t="n">
        <x:v>14472</x:v>
      </x:c>
      <x:c r="F2564" s="6" t="n">
        <x:v>0</x:v>
      </x:c>
      <x:c r="G2564" s="6" t="n">
        <x:v>14472</x:v>
      </x:c>
      <x:c r="H2564" s="6" t="n">
        <x:v>1500</x:v>
      </x:c>
    </x:row>
    <x:row r="2565" ht="21" customHeight="1">
      <x:c r="A2565" s="1" t="str">
        <x:v>C0017861</x:v>
      </x:c>
      <x:c r="B2565" s="1" t="n">
        <x:v>15</x:v>
      </x:c>
      <x:c r="C2565" s="1" t="n">
        <x:v>105</x:v>
      </x:c>
      <x:c r="D2565" s="6" t="n">
        <x:v>18691</x:v>
      </x:c>
      <x:c r="E2565" s="6" t="n">
        <x:v>20191</x:v>
      </x:c>
      <x:c r="F2565" s="6" t="n">
        <x:v>0</x:v>
      </x:c>
      <x:c r="G2565" s="6" t="n">
        <x:v>20191</x:v>
      </x:c>
      <x:c r="H2565" s="6" t="n">
        <x:v>1500</x:v>
      </x:c>
    </x:row>
    <x:row r="2566" ht="21" customHeight="1">
      <x:c r="A2566" s="1" t="str">
        <x:v>C0017865</x:v>
      </x:c>
      <x:c r="B2566" s="1" t="n">
        <x:v>10</x:v>
      </x:c>
      <x:c r="C2566" s="1" t="n">
        <x:v>10</x:v>
      </x:c>
      <x:c r="D2566" s="6" t="n">
        <x:v>5454</x:v>
      </x:c>
      <x:c r="E2566" s="6" t="n">
        <x:v>6954</x:v>
      </x:c>
      <x:c r="F2566" s="6" t="n">
        <x:v>0</x:v>
      </x:c>
      <x:c r="G2566" s="6" t="n">
        <x:v>6954</x:v>
      </x:c>
      <x:c r="H2566" s="6" t="n">
        <x:v>1500</x:v>
      </x:c>
    </x:row>
    <x:row r="2567" ht="21" customHeight="1">
      <x:c r="A2567" s="1" t="str">
        <x:v>C0017873</x:v>
      </x:c>
      <x:c r="B2567" s="1" t="n">
        <x:v>20</x:v>
      </x:c>
      <x:c r="C2567" s="1" t="n">
        <x:v>50</x:v>
      </x:c>
      <x:c r="D2567" s="6" t="n">
        <x:v>23213</x:v>
      </x:c>
      <x:c r="E2567" s="6" t="n">
        <x:v>24713</x:v>
      </x:c>
      <x:c r="F2567" s="6" t="n">
        <x:v>0</x:v>
      </x:c>
      <x:c r="G2567" s="6" t="n">
        <x:v>24713</x:v>
      </x:c>
      <x:c r="H2567" s="6" t="n">
        <x:v>1500</x:v>
      </x:c>
    </x:row>
    <x:row r="2568" ht="21" customHeight="1">
      <x:c r="A2568" s="1" t="str">
        <x:v>C0017906</x:v>
      </x:c>
      <x:c r="B2568" s="1" t="n">
        <x:v>5</x:v>
      </x:c>
      <x:c r="C2568" s="1" t="n">
        <x:v>5</x:v>
      </x:c>
      <x:c r="D2568" s="6" t="n">
        <x:v>18730</x:v>
      </x:c>
      <x:c r="E2568" s="6" t="n">
        <x:v>20230</x:v>
      </x:c>
      <x:c r="F2568" s="6" t="n">
        <x:v>0</x:v>
      </x:c>
      <x:c r="G2568" s="6" t="n">
        <x:v>20230</x:v>
      </x:c>
      <x:c r="H2568" s="6" t="n">
        <x:v>1500</x:v>
      </x:c>
    </x:row>
    <x:row r="2569" ht="21" customHeight="1">
      <x:c r="A2569" s="1" t="str">
        <x:v>C0017916</x:v>
      </x:c>
      <x:c r="B2569" s="1" t="n">
        <x:v>5</x:v>
      </x:c>
      <x:c r="C2569" s="1" t="n">
        <x:v>35</x:v>
      </x:c>
      <x:c r="D2569" s="6" t="n">
        <x:v>21872</x:v>
      </x:c>
      <x:c r="E2569" s="6" t="n">
        <x:v>23372</x:v>
      </x:c>
      <x:c r="F2569" s="6" t="n">
        <x:v>0</x:v>
      </x:c>
      <x:c r="G2569" s="6" t="n">
        <x:v>23372</x:v>
      </x:c>
      <x:c r="H2569" s="6" t="n">
        <x:v>1500</x:v>
      </x:c>
    </x:row>
    <x:row r="2570" ht="21" customHeight="1">
      <x:c r="A2570" s="1" t="str">
        <x:v>C0017938</x:v>
      </x:c>
      <x:c r="B2570" s="1" t="n">
        <x:v>23</x:v>
      </x:c>
      <x:c r="C2570" s="1" t="n">
        <x:v>53</x:v>
      </x:c>
      <x:c r="D2570" s="6" t="n">
        <x:v>5087</x:v>
      </x:c>
      <x:c r="E2570" s="6" t="n">
        <x:v>6587</x:v>
      </x:c>
      <x:c r="F2570" s="6" t="n">
        <x:v>0</x:v>
      </x:c>
      <x:c r="G2570" s="6" t="n">
        <x:v>6587</x:v>
      </x:c>
      <x:c r="H2570" s="6" t="n">
        <x:v>1500</x:v>
      </x:c>
    </x:row>
    <x:row r="2571" ht="21" customHeight="1">
      <x:c r="A2571" s="1" t="str">
        <x:v>C0017946</x:v>
      </x:c>
      <x:c r="B2571" s="1" t="n">
        <x:v>16</x:v>
      </x:c>
      <x:c r="C2571" s="1" t="n">
        <x:v>76</x:v>
      </x:c>
      <x:c r="D2571" s="6" t="n">
        <x:v>23157</x:v>
      </x:c>
      <x:c r="E2571" s="6" t="n">
        <x:v>24657</x:v>
      </x:c>
      <x:c r="F2571" s="6" t="n">
        <x:v>0</x:v>
      </x:c>
      <x:c r="G2571" s="6" t="n">
        <x:v>24657</x:v>
      </x:c>
      <x:c r="H2571" s="6" t="n">
        <x:v>1500</x:v>
      </x:c>
    </x:row>
    <x:row r="2572" ht="21" customHeight="1">
      <x:c r="A2572" s="1" t="str">
        <x:v>C0000040</x:v>
      </x:c>
      <x:c r="B2572" s="1" t="n">
        <x:v>14</x:v>
      </x:c>
      <x:c r="C2572" s="1" t="n">
        <x:v>14</x:v>
      </x:c>
      <x:c r="D2572" s="6" t="n">
        <x:v>16584</x:v>
      </x:c>
      <x:c r="E2572" s="6" t="n">
        <x:v>18084</x:v>
      </x:c>
      <x:c r="F2572" s="6" t="n">
        <x:v>0</x:v>
      </x:c>
      <x:c r="G2572" s="6" t="n">
        <x:v>18084</x:v>
      </x:c>
      <x:c r="H2572" s="6" t="n">
        <x:v>1500</x:v>
      </x:c>
    </x:row>
    <x:row r="2573" ht="21" customHeight="1">
      <x:c r="A2573" s="1" t="str">
        <x:v>C0009234</x:v>
      </x:c>
      <x:c r="B2573" s="1" t="n">
        <x:v>22</x:v>
      </x:c>
      <x:c r="C2573" s="1" t="n">
        <x:v>22</x:v>
      </x:c>
      <x:c r="D2573" s="6" t="n">
        <x:v>5442</x:v>
      </x:c>
      <x:c r="E2573" s="6" t="n">
        <x:v>6942</x:v>
      </x:c>
      <x:c r="F2573" s="6" t="n">
        <x:v>0</x:v>
      </x:c>
      <x:c r="G2573" s="6" t="n">
        <x:v>6942</x:v>
      </x:c>
      <x:c r="H2573" s="6" t="n">
        <x:v>1500</x:v>
      </x:c>
    </x:row>
    <x:row r="2574" ht="21" customHeight="1">
      <x:c r="A2574" s="1" t="str">
        <x:v>C0009248</x:v>
      </x:c>
      <x:c r="B2574" s="1" t="n">
        <x:v>29</x:v>
      </x:c>
      <x:c r="C2574" s="1" t="n">
        <x:v>89</x:v>
      </x:c>
      <x:c r="D2574" s="6" t="n">
        <x:v>19879</x:v>
      </x:c>
      <x:c r="E2574" s="6" t="n">
        <x:v>21379</x:v>
      </x:c>
      <x:c r="F2574" s="6" t="n">
        <x:v>0</x:v>
      </x:c>
      <x:c r="G2574" s="6" t="n">
        <x:v>21379</x:v>
      </x:c>
      <x:c r="H2574" s="6" t="n">
        <x:v>1500</x:v>
      </x:c>
    </x:row>
    <x:row r="2575" ht="21" customHeight="1">
      <x:c r="A2575" s="1" t="str">
        <x:v>C0000338</x:v>
      </x:c>
      <x:c r="B2575" s="1" t="n">
        <x:v>23</x:v>
      </x:c>
      <x:c r="C2575" s="1" t="n">
        <x:v>113</x:v>
      </x:c>
      <x:c r="D2575" s="6" t="n">
        <x:v>15353</x:v>
      </x:c>
      <x:c r="E2575" s="6" t="n">
        <x:v>16853</x:v>
      </x:c>
      <x:c r="F2575" s="6" t="n">
        <x:v>0</x:v>
      </x:c>
      <x:c r="G2575" s="6" t="n">
        <x:v>16853</x:v>
      </x:c>
      <x:c r="H2575" s="6" t="n">
        <x:v>1500</x:v>
      </x:c>
    </x:row>
    <x:row r="2576" ht="21" customHeight="1">
      <x:c r="A2576" s="1" t="str">
        <x:v>C0009277</x:v>
      </x:c>
      <x:c r="B2576" s="1" t="n">
        <x:v>4</x:v>
      </x:c>
      <x:c r="C2576" s="1" t="n">
        <x:v>64</x:v>
      </x:c>
      <x:c r="D2576" s="6" t="n">
        <x:v>8318</x:v>
      </x:c>
      <x:c r="E2576" s="6" t="n">
        <x:v>9818</x:v>
      </x:c>
      <x:c r="F2576" s="6" t="n">
        <x:v>0</x:v>
      </x:c>
      <x:c r="G2576" s="6" t="n">
        <x:v>9818</x:v>
      </x:c>
      <x:c r="H2576" s="6" t="n">
        <x:v>1500</x:v>
      </x:c>
    </x:row>
    <x:row r="2577" ht="21" customHeight="1">
      <x:c r="A2577" s="1" t="str">
        <x:v>C0009320</x:v>
      </x:c>
      <x:c r="B2577" s="1" t="n">
        <x:v>1</x:v>
      </x:c>
      <x:c r="C2577" s="1" t="n">
        <x:v>31</x:v>
      </x:c>
      <x:c r="D2577" s="6" t="n">
        <x:v>7923</x:v>
      </x:c>
      <x:c r="E2577" s="6" t="n">
        <x:v>9423</x:v>
      </x:c>
      <x:c r="F2577" s="6" t="n">
        <x:v>0</x:v>
      </x:c>
      <x:c r="G2577" s="6" t="n">
        <x:v>9423</x:v>
      </x:c>
      <x:c r="H2577" s="6" t="n">
        <x:v>1500</x:v>
      </x:c>
    </x:row>
    <x:row r="2578" ht="21" customHeight="1">
      <x:c r="A2578" s="1" t="str">
        <x:v>C0017493</x:v>
      </x:c>
      <x:c r="B2578" s="1" t="n">
        <x:v>2</x:v>
      </x:c>
      <x:c r="C2578" s="1" t="n">
        <x:v>2</x:v>
      </x:c>
      <x:c r="D2578" s="6" t="n">
        <x:v>31818</x:v>
      </x:c>
      <x:c r="E2578" s="6" t="n">
        <x:v>33318</x:v>
      </x:c>
      <x:c r="F2578" s="6" t="n">
        <x:v>0</x:v>
      </x:c>
      <x:c r="G2578" s="6" t="n">
        <x:v>33318</x:v>
      </x:c>
      <x:c r="H2578" s="6" t="n">
        <x:v>1500</x:v>
      </x:c>
    </x:row>
    <x:row r="2579" ht="21" customHeight="1">
      <x:c r="A2579" s="1" t="str">
        <x:v>C0017503</x:v>
      </x:c>
      <x:c r="B2579" s="1" t="n">
        <x:v>25</x:v>
      </x:c>
      <x:c r="C2579" s="1" t="n">
        <x:v>55</x:v>
      </x:c>
      <x:c r="D2579" s="6" t="n">
        <x:v>13853</x:v>
      </x:c>
      <x:c r="E2579" s="6" t="n">
        <x:v>15353</x:v>
      </x:c>
      <x:c r="F2579" s="6" t="n">
        <x:v>0</x:v>
      </x:c>
      <x:c r="G2579" s="6" t="n">
        <x:v>15353</x:v>
      </x:c>
      <x:c r="H2579" s="6" t="n">
        <x:v>1500</x:v>
      </x:c>
    </x:row>
    <x:row r="2580" ht="21" customHeight="1">
      <x:c r="A2580" s="1" t="str">
        <x:v>C0017539</x:v>
      </x:c>
      <x:c r="B2580" s="1" t="n">
        <x:v>25</x:v>
      </x:c>
      <x:c r="C2580" s="1" t="n">
        <x:v>25</x:v>
      </x:c>
      <x:c r="D2580" s="6" t="n">
        <x:v>5359</x:v>
      </x:c>
      <x:c r="E2580" s="6" t="n">
        <x:v>6859</x:v>
      </x:c>
      <x:c r="F2580" s="6" t="n">
        <x:v>0</x:v>
      </x:c>
      <x:c r="G2580" s="6" t="n">
        <x:v>6859</x:v>
      </x:c>
      <x:c r="H2580" s="6" t="n">
        <x:v>1500</x:v>
      </x:c>
    </x:row>
    <x:row r="2581" ht="21" customHeight="1">
      <x:c r="A2581" s="1" t="str">
        <x:v>C0017556</x:v>
      </x:c>
      <x:c r="B2581" s="1" t="n">
        <x:v>9</x:v>
      </x:c>
      <x:c r="C2581" s="1" t="n">
        <x:v>9</x:v>
      </x:c>
      <x:c r="D2581" s="6" t="n">
        <x:v>19358</x:v>
      </x:c>
      <x:c r="E2581" s="6" t="n">
        <x:v>20858</x:v>
      </x:c>
      <x:c r="F2581" s="6" t="n">
        <x:v>0</x:v>
      </x:c>
      <x:c r="G2581" s="6" t="n">
        <x:v>20858</x:v>
      </x:c>
      <x:c r="H2581" s="6" t="n">
        <x:v>1500</x:v>
      </x:c>
    </x:row>
    <x:row r="2582" ht="21" customHeight="1">
      <x:c r="A2582" s="1" t="str">
        <x:v>C0000248</x:v>
      </x:c>
      <x:c r="B2582" s="1" t="n">
        <x:v>23</x:v>
      </x:c>
      <x:c r="C2582" s="1" t="n">
        <x:v>83</x:v>
      </x:c>
      <x:c r="D2582" s="6" t="n">
        <x:v>8108</x:v>
      </x:c>
      <x:c r="E2582" s="6" t="n">
        <x:v>9608</x:v>
      </x:c>
      <x:c r="F2582" s="6" t="n">
        <x:v>0</x:v>
      </x:c>
      <x:c r="G2582" s="6" t="n">
        <x:v>9608</x:v>
      </x:c>
      <x:c r="H2582" s="6" t="n">
        <x:v>1500</x:v>
      </x:c>
    </x:row>
    <x:row r="2583" ht="21" customHeight="1">
      <x:c r="A2583" s="1" t="str">
        <x:v>C0000265</x:v>
      </x:c>
      <x:c r="B2583" s="1" t="n">
        <x:v>29</x:v>
      </x:c>
      <x:c r="C2583" s="1" t="n">
        <x:v>89</x:v>
      </x:c>
      <x:c r="D2583" s="6" t="n">
        <x:v>9580</x:v>
      </x:c>
      <x:c r="E2583" s="6" t="n">
        <x:v>11080</x:v>
      </x:c>
      <x:c r="F2583" s="6" t="n">
        <x:v>0</x:v>
      </x:c>
      <x:c r="G2583" s="6" t="n">
        <x:v>11080</x:v>
      </x:c>
      <x:c r="H2583" s="6" t="n">
        <x:v>1500</x:v>
      </x:c>
    </x:row>
    <x:row r="2584" ht="21" customHeight="1">
      <x:c r="A2584" s="1" t="str">
        <x:v>C0000278</x:v>
      </x:c>
      <x:c r="B2584" s="1" t="n">
        <x:v>3</x:v>
      </x:c>
      <x:c r="C2584" s="1" t="n">
        <x:v>93</x:v>
      </x:c>
      <x:c r="D2584" s="6" t="n">
        <x:v>22736</x:v>
      </x:c>
      <x:c r="E2584" s="6" t="n">
        <x:v>24236</x:v>
      </x:c>
      <x:c r="F2584" s="6" t="n">
        <x:v>0</x:v>
      </x:c>
      <x:c r="G2584" s="6" t="n">
        <x:v>24236</x:v>
      </x:c>
      <x:c r="H2584" s="6" t="n">
        <x:v>1500</x:v>
      </x:c>
    </x:row>
    <x:row r="2585" ht="21" customHeight="1">
      <x:c r="A2585" s="1" t="str">
        <x:v>C0000285</x:v>
      </x:c>
      <x:c r="B2585" s="1" t="n">
        <x:v>5</x:v>
      </x:c>
      <x:c r="C2585" s="1" t="n">
        <x:v>95</x:v>
      </x:c>
      <x:c r="D2585" s="6" t="n">
        <x:v>6204</x:v>
      </x:c>
      <x:c r="E2585" s="6" t="n">
        <x:v>7704</x:v>
      </x:c>
      <x:c r="F2585" s="6" t="n">
        <x:v>0</x:v>
      </x:c>
      <x:c r="G2585" s="6" t="n">
        <x:v>7704</x:v>
      </x:c>
      <x:c r="H2585" s="6" t="n">
        <x:v>1500</x:v>
      </x:c>
    </x:row>
    <x:row r="2586" ht="21" customHeight="1">
      <x:c r="A2586" s="1" t="str">
        <x:v>C0000288</x:v>
      </x:c>
      <x:c r="B2586" s="1" t="n">
        <x:v>6</x:v>
      </x:c>
      <x:c r="C2586" s="1" t="n">
        <x:v>96</x:v>
      </x:c>
      <x:c r="D2586" s="6" t="n">
        <x:v>22946</x:v>
      </x:c>
      <x:c r="E2586" s="6" t="n">
        <x:v>24446</x:v>
      </x:c>
      <x:c r="F2586" s="6" t="n">
        <x:v>0</x:v>
      </x:c>
      <x:c r="G2586" s="6" t="n">
        <x:v>24446</x:v>
      </x:c>
      <x:c r="H2586" s="6" t="n">
        <x:v>1500</x:v>
      </x:c>
    </x:row>
    <x:row r="2587" ht="21" customHeight="1">
      <x:c r="A2587" s="1" t="str">
        <x:v>C0000297</x:v>
      </x:c>
      <x:c r="B2587" s="1" t="n">
        <x:v>9</x:v>
      </x:c>
      <x:c r="C2587" s="1" t="n">
        <x:v>99</x:v>
      </x:c>
      <x:c r="D2587" s="6" t="n">
        <x:v>5703</x:v>
      </x:c>
      <x:c r="E2587" s="6" t="n">
        <x:v>7203</x:v>
      </x:c>
      <x:c r="F2587" s="6" t="n">
        <x:v>0</x:v>
      </x:c>
      <x:c r="G2587" s="6" t="n">
        <x:v>7203</x:v>
      </x:c>
      <x:c r="H2587" s="6" t="n">
        <x:v>1500</x:v>
      </x:c>
    </x:row>
    <x:row r="2588" ht="21" customHeight="1">
      <x:c r="A2588" s="1" t="str">
        <x:v>C0000301</x:v>
      </x:c>
      <x:c r="B2588" s="1" t="n">
        <x:v>11</x:v>
      </x:c>
      <x:c r="C2588" s="1" t="n">
        <x:v>101</x:v>
      </x:c>
      <x:c r="D2588" s="6" t="n">
        <x:v>49342</x:v>
      </x:c>
      <x:c r="E2588" s="6" t="n">
        <x:v>50842</x:v>
      </x:c>
      <x:c r="F2588" s="6" t="n">
        <x:v>0</x:v>
      </x:c>
      <x:c r="G2588" s="6" t="n">
        <x:v>50842</x:v>
      </x:c>
      <x:c r="H2588" s="6" t="n">
        <x:v>1500</x:v>
      </x:c>
    </x:row>
    <x:row r="2589" ht="21" customHeight="1">
      <x:c r="A2589" s="1" t="str">
        <x:v>C0009270</x:v>
      </x:c>
      <x:c r="B2589" s="1" t="n">
        <x:v>22</x:v>
      </x:c>
      <x:c r="C2589" s="1" t="n">
        <x:v>82</x:v>
      </x:c>
      <x:c r="D2589" s="6" t="n">
        <x:v>19847</x:v>
      </x:c>
      <x:c r="E2589" s="6" t="n">
        <x:v>21347</x:v>
      </x:c>
      <x:c r="F2589" s="6" t="n">
        <x:v>0</x:v>
      </x:c>
      <x:c r="G2589" s="6" t="n">
        <x:v>21347</x:v>
      </x:c>
      <x:c r="H2589" s="6" t="n">
        <x:v>1500</x:v>
      </x:c>
    </x:row>
    <x:row r="2590" ht="21" customHeight="1">
      <x:c r="A2590" s="1" t="str">
        <x:v>C0008402</x:v>
      </x:c>
      <x:c r="B2590" s="1" t="n">
        <x:v>29</x:v>
      </x:c>
      <x:c r="C2590" s="1" t="n">
        <x:v>29</x:v>
      </x:c>
      <x:c r="D2590" s="6" t="n">
        <x:v>40134</x:v>
      </x:c>
      <x:c r="E2590" s="6" t="n">
        <x:v>41634</x:v>
      </x:c>
      <x:c r="F2590" s="6" t="n">
        <x:v>0</x:v>
      </x:c>
      <x:c r="G2590" s="6" t="n">
        <x:v>41634</x:v>
      </x:c>
      <x:c r="H2590" s="6" t="n">
        <x:v>1500</x:v>
      </x:c>
    </x:row>
    <x:row r="2591" ht="21" customHeight="1">
      <x:c r="A2591" s="1" t="str">
        <x:v>C0008494</x:v>
      </x:c>
      <x:c r="B2591" s="1" t="n">
        <x:v>5</x:v>
      </x:c>
      <x:c r="C2591" s="1" t="n">
        <x:v>95</x:v>
      </x:c>
      <x:c r="D2591" s="6" t="n">
        <x:v>7483</x:v>
      </x:c>
      <x:c r="E2591" s="6" t="n">
        <x:v>8983</x:v>
      </x:c>
      <x:c r="F2591" s="6" t="n">
        <x:v>0</x:v>
      </x:c>
      <x:c r="G2591" s="6" t="n">
        <x:v>8983</x:v>
      </x:c>
      <x:c r="H2591" s="6" t="n">
        <x:v>1500</x:v>
      </x:c>
    </x:row>
    <x:row r="2592" ht="21" customHeight="1">
      <x:c r="A2592" s="1" t="str">
        <x:v>C0008540</x:v>
      </x:c>
      <x:c r="B2592" s="1" t="n">
        <x:v>11</x:v>
      </x:c>
      <x:c r="C2592" s="1" t="n">
        <x:v>101</x:v>
      </x:c>
      <x:c r="D2592" s="6" t="n">
        <x:v>14396</x:v>
      </x:c>
      <x:c r="E2592" s="6" t="n">
        <x:v>15896</x:v>
      </x:c>
      <x:c r="F2592" s="6" t="n">
        <x:v>0</x:v>
      </x:c>
      <x:c r="G2592" s="6" t="n">
        <x:v>15896</x:v>
      </x:c>
      <x:c r="H2592" s="6" t="n">
        <x:v>1500</x:v>
      </x:c>
    </x:row>
    <x:row r="2593" ht="21" customHeight="1">
      <x:c r="A2593" s="1" t="str">
        <x:v>C0008554</x:v>
      </x:c>
      <x:c r="B2593" s="1" t="n">
        <x:v>13</x:v>
      </x:c>
      <x:c r="C2593" s="1" t="n">
        <x:v>73</x:v>
      </x:c>
      <x:c r="D2593" s="6" t="n">
        <x:v>21430</x:v>
      </x:c>
      <x:c r="E2593" s="6" t="n">
        <x:v>22930</x:v>
      </x:c>
      <x:c r="F2593" s="6" t="n">
        <x:v>0</x:v>
      </x:c>
      <x:c r="G2593" s="6" t="n">
        <x:v>22930</x:v>
      </x:c>
      <x:c r="H2593" s="6" t="n">
        <x:v>1500</x:v>
      </x:c>
    </x:row>
    <x:row r="2594" ht="21" customHeight="1">
      <x:c r="A2594" s="1" t="str">
        <x:v>C0008570</x:v>
      </x:c>
      <x:c r="B2594" s="1" t="n">
        <x:v>7</x:v>
      </x:c>
      <x:c r="C2594" s="1" t="n">
        <x:v>67</x:v>
      </x:c>
      <x:c r="D2594" s="6" t="n">
        <x:v>16124</x:v>
      </x:c>
      <x:c r="E2594" s="6" t="n">
        <x:v>17624</x:v>
      </x:c>
      <x:c r="F2594" s="6" t="n">
        <x:v>0</x:v>
      </x:c>
      <x:c r="G2594" s="6" t="n">
        <x:v>17624</x:v>
      </x:c>
      <x:c r="H2594" s="6" t="n">
        <x:v>1500</x:v>
      </x:c>
    </x:row>
    <x:row r="2595" ht="21" customHeight="1">
      <x:c r="A2595" s="1" t="str">
        <x:v>C0010028</x:v>
      </x:c>
      <x:c r="B2595" s="1" t="n">
        <x:v>1</x:v>
      </x:c>
      <x:c r="C2595" s="1" t="n">
        <x:v>31</x:v>
      </x:c>
      <x:c r="D2595" s="6" t="n">
        <x:v>22633</x:v>
      </x:c>
      <x:c r="E2595" s="6" t="n">
        <x:v>24133</x:v>
      </x:c>
      <x:c r="F2595" s="6" t="n">
        <x:v>0</x:v>
      </x:c>
      <x:c r="G2595" s="6" t="n">
        <x:v>24133</x:v>
      </x:c>
      <x:c r="H2595" s="6" t="n">
        <x:v>1500</x:v>
      </x:c>
    </x:row>
    <x:row r="2596" ht="21" customHeight="1">
      <x:c r="A2596" s="1" t="str">
        <x:v>C0010086</x:v>
      </x:c>
      <x:c r="B2596" s="1" t="n">
        <x:v>5</x:v>
      </x:c>
      <x:c r="C2596" s="1" t="n">
        <x:v>95</x:v>
      </x:c>
      <x:c r="D2596" s="6" t="n">
        <x:v>7483</x:v>
      </x:c>
      <x:c r="E2596" s="6" t="n">
        <x:v>8983</x:v>
      </x:c>
      <x:c r="F2596" s="6" t="n">
        <x:v>0</x:v>
      </x:c>
      <x:c r="G2596" s="6" t="n">
        <x:v>8983</x:v>
      </x:c>
      <x:c r="H2596" s="6" t="n">
        <x:v>1500</x:v>
      </x:c>
    </x:row>
    <x:row r="2597" ht="21" customHeight="1">
      <x:c r="A2597" s="1" t="str">
        <x:v>C0010174</x:v>
      </x:c>
      <x:c r="B2597" s="1" t="n">
        <x:v>9</x:v>
      </x:c>
      <x:c r="C2597" s="1" t="n">
        <x:v>99</x:v>
      </x:c>
      <x:c r="D2597" s="6" t="n">
        <x:v>10353</x:v>
      </x:c>
      <x:c r="E2597" s="6" t="n">
        <x:v>11853</x:v>
      </x:c>
      <x:c r="F2597" s="6" t="n">
        <x:v>0</x:v>
      </x:c>
      <x:c r="G2597" s="6" t="n">
        <x:v>11853</x:v>
      </x:c>
      <x:c r="H2597" s="6" t="n">
        <x:v>1500</x:v>
      </x:c>
    </x:row>
    <x:row r="2598" ht="21" customHeight="1">
      <x:c r="A2598" s="1" t="str">
        <x:v>C0001576</x:v>
      </x:c>
      <x:c r="B2598" s="1" t="n">
        <x:v>23</x:v>
      </x:c>
      <x:c r="C2598" s="1" t="n">
        <x:v>23</x:v>
      </x:c>
      <x:c r="D2598" s="6" t="n">
        <x:v>7455</x:v>
      </x:c>
      <x:c r="E2598" s="6" t="n">
        <x:v>8955</x:v>
      </x:c>
      <x:c r="F2598" s="6" t="n">
        <x:v>0</x:v>
      </x:c>
      <x:c r="G2598" s="6" t="n">
        <x:v>8955</x:v>
      </x:c>
      <x:c r="H2598" s="6" t="n">
        <x:v>1500</x:v>
      </x:c>
    </x:row>
    <x:row r="2599" ht="21" customHeight="1">
      <x:c r="A2599" s="1" t="str">
        <x:v>C0001601</x:v>
      </x:c>
      <x:c r="B2599" s="1" t="n">
        <x:v>11</x:v>
      </x:c>
      <x:c r="C2599" s="1" t="n">
        <x:v>11</x:v>
      </x:c>
      <x:c r="D2599" s="6" t="n">
        <x:v>8046</x:v>
      </x:c>
      <x:c r="E2599" s="6" t="n">
        <x:v>9546</x:v>
      </x:c>
      <x:c r="F2599" s="6" t="n">
        <x:v>0</x:v>
      </x:c>
      <x:c r="G2599" s="6" t="n">
        <x:v>9546</x:v>
      </x:c>
      <x:c r="H2599" s="6" t="n">
        <x:v>1500</x:v>
      </x:c>
    </x:row>
    <x:row r="2600" ht="21" customHeight="1">
      <x:c r="A2600" s="1" t="str">
        <x:v>C0001637</x:v>
      </x:c>
      <x:c r="B2600" s="1" t="n">
        <x:v>16</x:v>
      </x:c>
      <x:c r="C2600" s="1" t="n">
        <x:v>76</x:v>
      </x:c>
      <x:c r="D2600" s="6" t="n">
        <x:v>22163</x:v>
      </x:c>
      <x:c r="E2600" s="6" t="n">
        <x:v>23663</x:v>
      </x:c>
      <x:c r="F2600" s="6" t="n">
        <x:v>0</x:v>
      </x:c>
      <x:c r="G2600" s="6" t="n">
        <x:v>23663</x:v>
      </x:c>
      <x:c r="H2600" s="6" t="n">
        <x:v>1500</x:v>
      </x:c>
    </x:row>
    <x:row r="2601" ht="21" customHeight="1">
      <x:c r="A2601" s="1" t="str">
        <x:v>C0001644</x:v>
      </x:c>
      <x:c r="B2601" s="1" t="n">
        <x:v>17</x:v>
      </x:c>
      <x:c r="C2601" s="1" t="n">
        <x:v>77</x:v>
      </x:c>
      <x:c r="D2601" s="6" t="n">
        <x:v>13300</x:v>
      </x:c>
      <x:c r="E2601" s="6" t="n">
        <x:v>14800</x:v>
      </x:c>
      <x:c r="F2601" s="6" t="n">
        <x:v>0</x:v>
      </x:c>
      <x:c r="G2601" s="6" t="n">
        <x:v>14800</x:v>
      </x:c>
      <x:c r="H2601" s="6" t="n">
        <x:v>1500</x:v>
      </x:c>
    </x:row>
    <x:row r="2602" ht="21" customHeight="1">
      <x:c r="A2602" s="1" t="str">
        <x:v>C0009890</x:v>
      </x:c>
      <x:c r="B2602" s="1" t="n">
        <x:v>30</x:v>
      </x:c>
      <x:c r="C2602" s="1" t="n">
        <x:v>30</x:v>
      </x:c>
      <x:c r="D2602" s="6" t="n">
        <x:v>13518</x:v>
      </x:c>
      <x:c r="E2602" s="6" t="n">
        <x:v>15018</x:v>
      </x:c>
      <x:c r="F2602" s="6" t="n">
        <x:v>0</x:v>
      </x:c>
      <x:c r="G2602" s="6" t="n">
        <x:v>15018</x:v>
      </x:c>
      <x:c r="H2602" s="6" t="n">
        <x:v>1500</x:v>
      </x:c>
    </x:row>
    <x:row r="2603" ht="21" customHeight="1">
      <x:c r="A2603" s="1" t="str">
        <x:v>C0001684</x:v>
      </x:c>
      <x:c r="B2603" s="1" t="n">
        <x:v>9</x:v>
      </x:c>
      <x:c r="C2603" s="1" t="n">
        <x:v>99</x:v>
      </x:c>
      <x:c r="D2603" s="6" t="n">
        <x:v>26770</x:v>
      </x:c>
      <x:c r="E2603" s="6" t="n">
        <x:v>28270</x:v>
      </x:c>
      <x:c r="F2603" s="6" t="n">
        <x:v>0</x:v>
      </x:c>
      <x:c r="G2603" s="6" t="n">
        <x:v>28270</x:v>
      </x:c>
      <x:c r="H2603" s="6" t="n">
        <x:v>1500</x:v>
      </x:c>
    </x:row>
    <x:row r="2604" ht="21" customHeight="1">
      <x:c r="A2604" s="1" t="str">
        <x:v>C0001689</x:v>
      </x:c>
      <x:c r="B2604" s="1" t="n">
        <x:v>21</x:v>
      </x:c>
      <x:c r="C2604" s="1" t="n">
        <x:v>51</x:v>
      </x:c>
      <x:c r="D2604" s="6" t="n">
        <x:v>21396</x:v>
      </x:c>
      <x:c r="E2604" s="6" t="n">
        <x:v>22896</x:v>
      </x:c>
      <x:c r="F2604" s="6" t="n">
        <x:v>0</x:v>
      </x:c>
      <x:c r="G2604" s="6" t="n">
        <x:v>22896</x:v>
      </x:c>
      <x:c r="H2604" s="6" t="n">
        <x:v>1500</x:v>
      </x:c>
    </x:row>
    <x:row r="2605" ht="21" customHeight="1">
      <x:c r="A2605" s="1" t="str">
        <x:v>C0001738</x:v>
      </x:c>
      <x:c r="B2605" s="1" t="n">
        <x:v>16</x:v>
      </x:c>
      <x:c r="C2605" s="1" t="n">
        <x:v>106</x:v>
      </x:c>
      <x:c r="D2605" s="6" t="n">
        <x:v>22621</x:v>
      </x:c>
      <x:c r="E2605" s="6" t="n">
        <x:v>24121</x:v>
      </x:c>
      <x:c r="F2605" s="6" t="n">
        <x:v>0</x:v>
      </x:c>
      <x:c r="G2605" s="6" t="n">
        <x:v>24121</x:v>
      </x:c>
      <x:c r="H2605" s="6" t="n">
        <x:v>1500</x:v>
      </x:c>
    </x:row>
    <x:row r="2606" ht="21" customHeight="1">
      <x:c r="A2606" s="1" t="str">
        <x:v>C0016391</x:v>
      </x:c>
      <x:c r="B2606" s="1" t="n">
        <x:v>12</x:v>
      </x:c>
      <x:c r="C2606" s="1" t="n">
        <x:v>12</x:v>
      </x:c>
      <x:c r="D2606" s="6" t="n">
        <x:v>12236</x:v>
      </x:c>
      <x:c r="E2606" s="6" t="n">
        <x:v>13736</x:v>
      </x:c>
      <x:c r="F2606" s="6" t="n">
        <x:v>0</x:v>
      </x:c>
      <x:c r="G2606" s="6" t="n">
        <x:v>13736</x:v>
      </x:c>
      <x:c r="H2606" s="6" t="n">
        <x:v>1500</x:v>
      </x:c>
    </x:row>
    <x:row r="2607" ht="21" customHeight="1">
      <x:c r="A2607" s="1" t="str">
        <x:v>C0016410</x:v>
      </x:c>
      <x:c r="B2607" s="1" t="n">
        <x:v>7</x:v>
      </x:c>
      <x:c r="C2607" s="1" t="n">
        <x:v>37</x:v>
      </x:c>
      <x:c r="D2607" s="6" t="n">
        <x:v>15101</x:v>
      </x:c>
      <x:c r="E2607" s="6" t="n">
        <x:v>16601</x:v>
      </x:c>
      <x:c r="F2607" s="6" t="n">
        <x:v>0</x:v>
      </x:c>
      <x:c r="G2607" s="6" t="n">
        <x:v>16601</x:v>
      </x:c>
      <x:c r="H2607" s="6" t="n">
        <x:v>1500</x:v>
      </x:c>
    </x:row>
    <x:row r="2608" ht="21" customHeight="1">
      <x:c r="A2608" s="1" t="str">
        <x:v>C0016416</x:v>
      </x:c>
      <x:c r="B2608" s="1" t="n">
        <x:v>20</x:v>
      </x:c>
      <x:c r="C2608" s="1" t="n">
        <x:v>50</x:v>
      </x:c>
      <x:c r="D2608" s="6" t="n">
        <x:v>23213</x:v>
      </x:c>
      <x:c r="E2608" s="6" t="n">
        <x:v>24713</x:v>
      </x:c>
      <x:c r="F2608" s="6" t="n">
        <x:v>0</x:v>
      </x:c>
      <x:c r="G2608" s="6" t="n">
        <x:v>24713</x:v>
      </x:c>
      <x:c r="H2608" s="6" t="n">
        <x:v>1500</x:v>
      </x:c>
    </x:row>
    <x:row r="2609" ht="21" customHeight="1">
      <x:c r="A2609" s="1" t="str">
        <x:v>C0016426</x:v>
      </x:c>
      <x:c r="B2609" s="1" t="n">
        <x:v>21</x:v>
      </x:c>
      <x:c r="C2609" s="1" t="n">
        <x:v>111</x:v>
      </x:c>
      <x:c r="D2609" s="6" t="n">
        <x:v>10291</x:v>
      </x:c>
      <x:c r="E2609" s="6" t="n">
        <x:v>11791</x:v>
      </x:c>
      <x:c r="F2609" s="6" t="n">
        <x:v>0</x:v>
      </x:c>
      <x:c r="G2609" s="6" t="n">
        <x:v>11791</x:v>
      </x:c>
      <x:c r="H2609" s="6" t="n">
        <x:v>1500</x:v>
      </x:c>
    </x:row>
    <x:row r="2610" ht="21" customHeight="1">
      <x:c r="A2610" s="1" t="str">
        <x:v>C0016434</x:v>
      </x:c>
      <x:c r="B2610" s="1" t="n">
        <x:v>17</x:v>
      </x:c>
      <x:c r="C2610" s="1" t="n">
        <x:v>77</x:v>
      </x:c>
      <x:c r="D2610" s="6" t="n">
        <x:v>22913</x:v>
      </x:c>
      <x:c r="E2610" s="6" t="n">
        <x:v>24413</x:v>
      </x:c>
      <x:c r="F2610" s="6" t="n">
        <x:v>0</x:v>
      </x:c>
      <x:c r="G2610" s="6" t="n">
        <x:v>24413</x:v>
      </x:c>
      <x:c r="H2610" s="6" t="n">
        <x:v>1500</x:v>
      </x:c>
    </x:row>
    <x:row r="2611" ht="21" customHeight="1">
      <x:c r="A2611" s="1" t="str">
        <x:v>C0016497</x:v>
      </x:c>
      <x:c r="B2611" s="1" t="n">
        <x:v>4</x:v>
      </x:c>
      <x:c r="C2611" s="1" t="n">
        <x:v>4</x:v>
      </x:c>
      <x:c r="D2611" s="6" t="n">
        <x:v>8085</x:v>
      </x:c>
      <x:c r="E2611" s="6" t="n">
        <x:v>9585</x:v>
      </x:c>
      <x:c r="F2611" s="6" t="n">
        <x:v>0</x:v>
      </x:c>
      <x:c r="G2611" s="6" t="n">
        <x:v>9585</x:v>
      </x:c>
      <x:c r="H2611" s="6" t="n">
        <x:v>1500</x:v>
      </x:c>
    </x:row>
    <x:row r="2612" ht="21" customHeight="1">
      <x:c r="A2612" s="1" t="str">
        <x:v>C0016502</x:v>
      </x:c>
      <x:c r="B2612" s="1" t="n">
        <x:v>20</x:v>
      </x:c>
      <x:c r="C2612" s="1" t="n">
        <x:v>80</x:v>
      </x:c>
      <x:c r="D2612" s="6" t="n">
        <x:v>18780</x:v>
      </x:c>
      <x:c r="E2612" s="6" t="n">
        <x:v>20280</x:v>
      </x:c>
      <x:c r="F2612" s="6" t="n">
        <x:v>0</x:v>
      </x:c>
      <x:c r="G2612" s="6" t="n">
        <x:v>20280</x:v>
      </x:c>
      <x:c r="H2612" s="6" t="n">
        <x:v>1500</x:v>
      </x:c>
    </x:row>
    <x:row r="2613" ht="21" customHeight="1">
      <x:c r="A2613" s="1" t="str">
        <x:v>C0016511</x:v>
      </x:c>
      <x:c r="B2613" s="1" t="n">
        <x:v>9</x:v>
      </x:c>
      <x:c r="C2613" s="1" t="n">
        <x:v>99</x:v>
      </x:c>
      <x:c r="D2613" s="6" t="n">
        <x:v>5703</x:v>
      </x:c>
      <x:c r="E2613" s="6" t="n">
        <x:v>7203</x:v>
      </x:c>
      <x:c r="F2613" s="6" t="n">
        <x:v>0</x:v>
      </x:c>
      <x:c r="G2613" s="6" t="n">
        <x:v>7203</x:v>
      </x:c>
      <x:c r="H2613" s="6" t="n">
        <x:v>1500</x:v>
      </x:c>
    </x:row>
    <x:row r="2614" ht="21" customHeight="1">
      <x:c r="A2614" s="1" t="str">
        <x:v>C0001398</x:v>
      </x:c>
      <x:c r="B2614" s="1" t="n">
        <x:v>8</x:v>
      </x:c>
      <x:c r="C2614" s="1" t="n">
        <x:v>98</x:v>
      </x:c>
      <x:c r="D2614" s="6" t="n">
        <x:v>12923</x:v>
      </x:c>
      <x:c r="E2614" s="6" t="n">
        <x:v>14423</x:v>
      </x:c>
      <x:c r="F2614" s="6" t="n">
        <x:v>0</x:v>
      </x:c>
      <x:c r="G2614" s="6" t="n">
        <x:v>14423</x:v>
      </x:c>
      <x:c r="H2614" s="6" t="n">
        <x:v>1500</x:v>
      </x:c>
    </x:row>
    <x:row r="2615" ht="21" customHeight="1">
      <x:c r="A2615" s="1" t="str">
        <x:v>C0001406</x:v>
      </x:c>
      <x:c r="B2615" s="1" t="n">
        <x:v>14</x:v>
      </x:c>
      <x:c r="C2615" s="1" t="n">
        <x:v>44</x:v>
      </x:c>
      <x:c r="D2615" s="6" t="n">
        <x:v>11673</x:v>
      </x:c>
      <x:c r="E2615" s="6" t="n">
        <x:v>13173</x:v>
      </x:c>
      <x:c r="F2615" s="6" t="n">
        <x:v>0</x:v>
      </x:c>
      <x:c r="G2615" s="6" t="n">
        <x:v>13173</x:v>
      </x:c>
      <x:c r="H2615" s="6" t="n">
        <x:v>1500</x:v>
      </x:c>
    </x:row>
    <x:row r="2616" ht="21" customHeight="1">
      <x:c r="A2616" s="1" t="str">
        <x:v>C0001656</x:v>
      </x:c>
      <x:c r="B2616" s="1" t="n">
        <x:v>28</x:v>
      </x:c>
      <x:c r="C2616" s="1" t="n">
        <x:v>28</x:v>
      </x:c>
      <x:c r="D2616" s="6" t="n">
        <x:v>24325</x:v>
      </x:c>
      <x:c r="E2616" s="6" t="n">
        <x:v>25825</x:v>
      </x:c>
      <x:c r="F2616" s="6" t="n">
        <x:v>0</x:v>
      </x:c>
      <x:c r="G2616" s="6" t="n">
        <x:v>25825</x:v>
      </x:c>
      <x:c r="H2616" s="6" t="n">
        <x:v>1500</x:v>
      </x:c>
    </x:row>
    <x:row r="2617" ht="21" customHeight="1">
      <x:c r="A2617" s="1" t="str">
        <x:v>C0016030</x:v>
      </x:c>
      <x:c r="B2617" s="1" t="n">
        <x:v>6</x:v>
      </x:c>
      <x:c r="C2617" s="1" t="n">
        <x:v>66</x:v>
      </x:c>
      <x:c r="D2617" s="6" t="n">
        <x:v>24913</x:v>
      </x:c>
      <x:c r="E2617" s="6" t="n">
        <x:v>26413</x:v>
      </x:c>
      <x:c r="F2617" s="6" t="n">
        <x:v>0</x:v>
      </x:c>
      <x:c r="G2617" s="6" t="n">
        <x:v>26413</x:v>
      </x:c>
      <x:c r="H2617" s="6" t="n">
        <x:v>1500</x:v>
      </x:c>
    </x:row>
    <x:row r="2618" ht="21" customHeight="1">
      <x:c r="A2618" s="1" t="str">
        <x:v>C0016050</x:v>
      </x:c>
      <x:c r="B2618" s="1" t="n">
        <x:v>9</x:v>
      </x:c>
      <x:c r="C2618" s="1" t="n">
        <x:v>9</x:v>
      </x:c>
      <x:c r="D2618" s="6" t="n">
        <x:v>10531</x:v>
      </x:c>
      <x:c r="E2618" s="6" t="n">
        <x:v>12031</x:v>
      </x:c>
      <x:c r="F2618" s="6" t="n">
        <x:v>0</x:v>
      </x:c>
      <x:c r="G2618" s="6" t="n">
        <x:v>12031</x:v>
      </x:c>
      <x:c r="H2618" s="6" t="n">
        <x:v>1500</x:v>
      </x:c>
    </x:row>
    <x:row r="2619" ht="21" customHeight="1">
      <x:c r="A2619" s="1" t="str">
        <x:v>C0016071</x:v>
      </x:c>
      <x:c r="B2619" s="1" t="n">
        <x:v>8</x:v>
      </x:c>
      <x:c r="C2619" s="1" t="n">
        <x:v>98</x:v>
      </x:c>
      <x:c r="D2619" s="6" t="n">
        <x:v>17394</x:v>
      </x:c>
      <x:c r="E2619" s="6" t="n">
        <x:v>18894</x:v>
      </x:c>
      <x:c r="F2619" s="6" t="n">
        <x:v>0</x:v>
      </x:c>
      <x:c r="G2619" s="6" t="n">
        <x:v>18894</x:v>
      </x:c>
      <x:c r="H2619" s="6" t="n">
        <x:v>1500</x:v>
      </x:c>
    </x:row>
    <x:row r="2620" ht="21" customHeight="1">
      <x:c r="A2620" s="1" t="str">
        <x:v>C0016096</x:v>
      </x:c>
      <x:c r="B2620" s="1" t="n">
        <x:v>12</x:v>
      </x:c>
      <x:c r="C2620" s="1" t="n">
        <x:v>72</x:v>
      </x:c>
      <x:c r="D2620" s="6" t="n">
        <x:v>18082</x:v>
      </x:c>
      <x:c r="E2620" s="6" t="n">
        <x:v>19582</x:v>
      </x:c>
      <x:c r="F2620" s="6" t="n">
        <x:v>0</x:v>
      </x:c>
      <x:c r="G2620" s="6" t="n">
        <x:v>19582</x:v>
      </x:c>
      <x:c r="H2620" s="6" t="n">
        <x:v>1500</x:v>
      </x:c>
    </x:row>
    <x:row r="2621" ht="21" customHeight="1">
      <x:c r="A2621" s="1" t="str">
        <x:v>C0016102</x:v>
      </x:c>
      <x:c r="B2621" s="1" t="n">
        <x:v>5</x:v>
      </x:c>
      <x:c r="C2621" s="1" t="n">
        <x:v>95</x:v>
      </x:c>
      <x:c r="D2621" s="6" t="n">
        <x:v>7483</x:v>
      </x:c>
      <x:c r="E2621" s="6" t="n">
        <x:v>8983</x:v>
      </x:c>
      <x:c r="F2621" s="6" t="n">
        <x:v>0</x:v>
      </x:c>
      <x:c r="G2621" s="6" t="n">
        <x:v>8983</x:v>
      </x:c>
      <x:c r="H2621" s="6" t="n">
        <x:v>1500</x:v>
      </x:c>
    </x:row>
    <x:row r="2622" ht="21" customHeight="1">
      <x:c r="A2622" s="1" t="str">
        <x:v>C0016119</x:v>
      </x:c>
      <x:c r="B2622" s="1" t="n">
        <x:v>15</x:v>
      </x:c>
      <x:c r="C2622" s="1" t="n">
        <x:v>105</x:v>
      </x:c>
      <x:c r="D2622" s="6" t="n">
        <x:v>18691</x:v>
      </x:c>
      <x:c r="E2622" s="6" t="n">
        <x:v>20191</x:v>
      </x:c>
      <x:c r="F2622" s="6" t="n">
        <x:v>0</x:v>
      </x:c>
      <x:c r="G2622" s="6" t="n">
        <x:v>20191</x:v>
      </x:c>
      <x:c r="H2622" s="6" t="n">
        <x:v>1500</x:v>
      </x:c>
    </x:row>
    <x:row r="2623" ht="21" customHeight="1">
      <x:c r="A2623" s="1" t="str">
        <x:v>C0016149</x:v>
      </x:c>
      <x:c r="B2623" s="1" t="n">
        <x:v>5</x:v>
      </x:c>
      <x:c r="C2623" s="1" t="n">
        <x:v>95</x:v>
      </x:c>
      <x:c r="D2623" s="6" t="n">
        <x:v>7483</x:v>
      </x:c>
      <x:c r="E2623" s="6" t="n">
        <x:v>8983</x:v>
      </x:c>
      <x:c r="F2623" s="6" t="n">
        <x:v>0</x:v>
      </x:c>
      <x:c r="G2623" s="6" t="n">
        <x:v>8983</x:v>
      </x:c>
      <x:c r="H2623" s="6" t="n">
        <x:v>1500</x:v>
      </x:c>
    </x:row>
    <x:row r="2624" ht="21" customHeight="1">
      <x:c r="A2624" s="1" t="str">
        <x:v>C0001758</x:v>
      </x:c>
      <x:c r="B2624" s="1" t="n">
        <x:v>20</x:v>
      </x:c>
      <x:c r="C2624" s="1" t="n">
        <x:v>80</x:v>
      </x:c>
      <x:c r="D2624" s="6" t="n">
        <x:v>16904</x:v>
      </x:c>
      <x:c r="E2624" s="6" t="n">
        <x:v>18404</x:v>
      </x:c>
      <x:c r="F2624" s="6" t="n">
        <x:v>0</x:v>
      </x:c>
      <x:c r="G2624" s="6" t="n">
        <x:v>18404</x:v>
      </x:c>
      <x:c r="H2624" s="6" t="n">
        <x:v>1500</x:v>
      </x:c>
    </x:row>
    <x:row r="2625" ht="21" customHeight="1">
      <x:c r="A2625" s="1" t="str">
        <x:v>C0001766</x:v>
      </x:c>
      <x:c r="B2625" s="1" t="n">
        <x:v>26</x:v>
      </x:c>
      <x:c r="C2625" s="1" t="n">
        <x:v>86</x:v>
      </x:c>
      <x:c r="D2625" s="6" t="n">
        <x:v>24693</x:v>
      </x:c>
      <x:c r="E2625" s="6" t="n">
        <x:v>26193</x:v>
      </x:c>
      <x:c r="F2625" s="6" t="n">
        <x:v>0</x:v>
      </x:c>
      <x:c r="G2625" s="6" t="n">
        <x:v>26193</x:v>
      </x:c>
      <x:c r="H2625" s="6" t="n">
        <x:v>1500</x:v>
      </x:c>
    </x:row>
    <x:row r="2626" ht="21" customHeight="1">
      <x:c r="A2626" s="1" t="str">
        <x:v>C0001767</x:v>
      </x:c>
      <x:c r="B2626" s="1" t="n">
        <x:v>9</x:v>
      </x:c>
      <x:c r="C2626" s="1" t="n">
        <x:v>39</x:v>
      </x:c>
      <x:c r="D2626" s="6" t="n">
        <x:v>17658</x:v>
      </x:c>
      <x:c r="E2626" s="6" t="n">
        <x:v>19158</x:v>
      </x:c>
      <x:c r="F2626" s="6" t="n">
        <x:v>0</x:v>
      </x:c>
      <x:c r="G2626" s="6" t="n">
        <x:v>19158</x:v>
      </x:c>
      <x:c r="H2626" s="6" t="n">
        <x:v>1500</x:v>
      </x:c>
    </x:row>
    <x:row r="2627" ht="21" customHeight="1">
      <x:c r="A2627" s="1" t="str">
        <x:v>C0001778</x:v>
      </x:c>
      <x:c r="B2627" s="1" t="n">
        <x:v>4</x:v>
      </x:c>
      <x:c r="C2627" s="1" t="n">
        <x:v>4</x:v>
      </x:c>
      <x:c r="D2627" s="6" t="n">
        <x:v>12409</x:v>
      </x:c>
      <x:c r="E2627" s="6" t="n">
        <x:v>13909</x:v>
      </x:c>
      <x:c r="F2627" s="6" t="n">
        <x:v>0</x:v>
      </x:c>
      <x:c r="G2627" s="6" t="n">
        <x:v>13909</x:v>
      </x:c>
      <x:c r="H2627" s="6" t="n">
        <x:v>1500</x:v>
      </x:c>
    </x:row>
    <x:row r="2628" ht="21" customHeight="1">
      <x:c r="A2628" s="1" t="str">
        <x:v>C0001858</x:v>
      </x:c>
      <x:c r="B2628" s="1" t="n">
        <x:v>16</x:v>
      </x:c>
      <x:c r="C2628" s="1" t="n">
        <x:v>16</x:v>
      </x:c>
      <x:c r="D2628" s="6" t="n">
        <x:v>5456</x:v>
      </x:c>
      <x:c r="E2628" s="6" t="n">
        <x:v>6956</x:v>
      </x:c>
      <x:c r="F2628" s="6" t="n">
        <x:v>0</x:v>
      </x:c>
      <x:c r="G2628" s="6" t="n">
        <x:v>6956</x:v>
      </x:c>
      <x:c r="H2628" s="6" t="n">
        <x:v>1500</x:v>
      </x:c>
    </x:row>
    <x:row r="2629" ht="21" customHeight="1">
      <x:c r="A2629" s="1" t="str">
        <x:v>C0008394</x:v>
      </x:c>
      <x:c r="B2629" s="1" t="n">
        <x:v>18</x:v>
      </x:c>
      <x:c r="C2629" s="1" t="n">
        <x:v>108</x:v>
      </x:c>
      <x:c r="D2629" s="6" t="n">
        <x:v>24194</x:v>
      </x:c>
      <x:c r="E2629" s="6" t="n">
        <x:v>25694</x:v>
      </x:c>
      <x:c r="F2629" s="6" t="n">
        <x:v>0</x:v>
      </x:c>
      <x:c r="G2629" s="6" t="n">
        <x:v>25694</x:v>
      </x:c>
      <x:c r="H2629" s="6" t="n">
        <x:v>1500</x:v>
      </x:c>
    </x:row>
    <x:row r="2630" ht="21" customHeight="1">
      <x:c r="A2630" s="1" t="str">
        <x:v>C0001903</x:v>
      </x:c>
      <x:c r="B2630" s="1" t="n">
        <x:v>25</x:v>
      </x:c>
      <x:c r="C2630" s="1" t="n">
        <x:v>25</x:v>
      </x:c>
      <x:c r="D2630" s="6" t="n">
        <x:v>13341</x:v>
      </x:c>
      <x:c r="E2630" s="6" t="n">
        <x:v>14841</x:v>
      </x:c>
      <x:c r="F2630" s="6" t="n">
        <x:v>0</x:v>
      </x:c>
      <x:c r="G2630" s="6" t="n">
        <x:v>14841</x:v>
      </x:c>
      <x:c r="H2630" s="6" t="n">
        <x:v>1500</x:v>
      </x:c>
    </x:row>
    <x:row r="2631" ht="21" customHeight="1">
      <x:c r="A2631" s="1" t="str">
        <x:v>C0001909</x:v>
      </x:c>
      <x:c r="B2631" s="1" t="n">
        <x:v>19</x:v>
      </x:c>
      <x:c r="C2631" s="1" t="n">
        <x:v>79</x:v>
      </x:c>
      <x:c r="D2631" s="6" t="n">
        <x:v>13498</x:v>
      </x:c>
      <x:c r="E2631" s="6" t="n">
        <x:v>14998</x:v>
      </x:c>
      <x:c r="F2631" s="6" t="n">
        <x:v>0</x:v>
      </x:c>
      <x:c r="G2631" s="6" t="n">
        <x:v>14998</x:v>
      </x:c>
      <x:c r="H2631" s="6" t="n">
        <x:v>1500</x:v>
      </x:c>
    </x:row>
    <x:row r="2632" ht="21" customHeight="1">
      <x:c r="A2632" s="1" t="str">
        <x:v>C0001967</x:v>
      </x:c>
      <x:c r="B2632" s="1" t="n">
        <x:v>18</x:v>
      </x:c>
      <x:c r="C2632" s="1" t="n">
        <x:v>78</x:v>
      </x:c>
      <x:c r="D2632" s="6" t="n">
        <x:v>21958</x:v>
      </x:c>
      <x:c r="E2632" s="6" t="n">
        <x:v>23458</x:v>
      </x:c>
      <x:c r="F2632" s="6" t="n">
        <x:v>0</x:v>
      </x:c>
      <x:c r="G2632" s="6" t="n">
        <x:v>23458</x:v>
      </x:c>
      <x:c r="H2632" s="6" t="n">
        <x:v>1500</x:v>
      </x:c>
    </x:row>
    <x:row r="2633" ht="21" customHeight="1">
      <x:c r="A2633" s="1" t="str">
        <x:v>C0016193</x:v>
      </x:c>
      <x:c r="B2633" s="1" t="n">
        <x:v>23</x:v>
      </x:c>
      <x:c r="C2633" s="1" t="n">
        <x:v>113</x:v>
      </x:c>
      <x:c r="D2633" s="6" t="n">
        <x:v>12866</x:v>
      </x:c>
      <x:c r="E2633" s="6" t="n">
        <x:v>14366</x:v>
      </x:c>
      <x:c r="F2633" s="6" t="n">
        <x:v>0</x:v>
      </x:c>
      <x:c r="G2633" s="6" t="n">
        <x:v>14366</x:v>
      </x:c>
      <x:c r="H2633" s="6" t="n">
        <x:v>1500</x:v>
      </x:c>
    </x:row>
    <x:row r="2634" ht="21" customHeight="1">
      <x:c r="A2634" s="1" t="str">
        <x:v>C0016242</x:v>
      </x:c>
      <x:c r="B2634" s="1" t="n">
        <x:v>30</x:v>
      </x:c>
      <x:c r="C2634" s="1" t="n">
        <x:v>30</x:v>
      </x:c>
      <x:c r="D2634" s="6" t="n">
        <x:v>13518</x:v>
      </x:c>
      <x:c r="E2634" s="6" t="n">
        <x:v>15018</x:v>
      </x:c>
      <x:c r="F2634" s="6" t="n">
        <x:v>0</x:v>
      </x:c>
      <x:c r="G2634" s="6" t="n">
        <x:v>15018</x:v>
      </x:c>
      <x:c r="H2634" s="6" t="n">
        <x:v>1500</x:v>
      </x:c>
    </x:row>
    <x:row r="2635" ht="21" customHeight="1">
      <x:c r="A2635" s="1" t="str">
        <x:v>C0016270</x:v>
      </x:c>
      <x:c r="B2635" s="1" t="n">
        <x:v>6</x:v>
      </x:c>
      <x:c r="C2635" s="1" t="n">
        <x:v>36</x:v>
      </x:c>
      <x:c r="D2635" s="6" t="n">
        <x:v>28512</x:v>
      </x:c>
      <x:c r="E2635" s="6" t="n">
        <x:v>30012</x:v>
      </x:c>
      <x:c r="F2635" s="6" t="n">
        <x:v>0</x:v>
      </x:c>
      <x:c r="G2635" s="6" t="n">
        <x:v>30012</x:v>
      </x:c>
      <x:c r="H2635" s="6" t="n">
        <x:v>1500</x:v>
      </x:c>
    </x:row>
    <x:row r="2636" ht="21" customHeight="1">
      <x:c r="A2636" s="1" t="str">
        <x:v>C0016277</x:v>
      </x:c>
      <x:c r="B2636" s="1" t="n">
        <x:v>27</x:v>
      </x:c>
      <x:c r="C2636" s="1" t="n">
        <x:v>87</x:v>
      </x:c>
      <x:c r="D2636" s="6" t="n">
        <x:v>9140</x:v>
      </x:c>
      <x:c r="E2636" s="6" t="n">
        <x:v>10640</x:v>
      </x:c>
      <x:c r="F2636" s="6" t="n">
        <x:v>0</x:v>
      </x:c>
      <x:c r="G2636" s="6" t="n">
        <x:v>10640</x:v>
      </x:c>
      <x:c r="H2636" s="6" t="n">
        <x:v>1500</x:v>
      </x:c>
    </x:row>
    <x:row r="2637" ht="21" customHeight="1">
      <x:c r="A2637" s="1" t="str">
        <x:v>C0016311</x:v>
      </x:c>
      <x:c r="B2637" s="1" t="n">
        <x:v>9</x:v>
      </x:c>
      <x:c r="C2637" s="1" t="n">
        <x:v>99</x:v>
      </x:c>
      <x:c r="D2637" s="6" t="n">
        <x:v>5703</x:v>
      </x:c>
      <x:c r="E2637" s="6" t="n">
        <x:v>7203</x:v>
      </x:c>
      <x:c r="F2637" s="6" t="n">
        <x:v>0</x:v>
      </x:c>
      <x:c r="G2637" s="6" t="n">
        <x:v>7203</x:v>
      </x:c>
      <x:c r="H2637" s="6" t="n">
        <x:v>1500</x:v>
      </x:c>
    </x:row>
    <x:row r="2638" ht="21" customHeight="1">
      <x:c r="A2638" s="1" t="str">
        <x:v>C0016330</x:v>
      </x:c>
      <x:c r="B2638" s="1" t="n">
        <x:v>2</x:v>
      </x:c>
      <x:c r="C2638" s="1" t="n">
        <x:v>2</x:v>
      </x:c>
      <x:c r="D2638" s="6" t="n">
        <x:v>23536</x:v>
      </x:c>
      <x:c r="E2638" s="6" t="n">
        <x:v>25036</x:v>
      </x:c>
      <x:c r="F2638" s="6" t="n">
        <x:v>0</x:v>
      </x:c>
      <x:c r="G2638" s="6" t="n">
        <x:v>25036</x:v>
      </x:c>
      <x:c r="H2638" s="6" t="n">
        <x:v>1500</x:v>
      </x:c>
    </x:row>
    <x:row r="2639" ht="21" customHeight="1">
      <x:c r="A2639" s="1" t="str">
        <x:v>C0009941</x:v>
      </x:c>
      <x:c r="B2639" s="1" t="n">
        <x:v>8</x:v>
      </x:c>
      <x:c r="C2639" s="1" t="n">
        <x:v>98</x:v>
      </x:c>
      <x:c r="D2639" s="6" t="n">
        <x:v>12923</x:v>
      </x:c>
      <x:c r="E2639" s="6" t="n">
        <x:v>14423</x:v>
      </x:c>
      <x:c r="F2639" s="6" t="n">
        <x:v>0</x:v>
      </x:c>
      <x:c r="G2639" s="6" t="n">
        <x:v>14423</x:v>
      </x:c>
      <x:c r="H2639" s="6" t="n">
        <x:v>1500</x:v>
      </x:c>
    </x:row>
    <x:row r="2640" ht="21" customHeight="1">
      <x:c r="A2640" s="1" t="str">
        <x:v>C0009961</x:v>
      </x:c>
      <x:c r="B2640" s="1" t="n">
        <x:v>1</x:v>
      </x:c>
      <x:c r="C2640" s="1" t="n">
        <x:v>61</x:v>
      </x:c>
      <x:c r="D2640" s="6" t="n">
        <x:v>8460</x:v>
      </x:c>
      <x:c r="E2640" s="6" t="n">
        <x:v>9960</x:v>
      </x:c>
      <x:c r="F2640" s="6" t="n">
        <x:v>0</x:v>
      </x:c>
      <x:c r="G2640" s="6" t="n">
        <x:v>9960</x:v>
      </x:c>
      <x:c r="H2640" s="6" t="n">
        <x:v>1500</x:v>
      </x:c>
    </x:row>
    <x:row r="2641" ht="21" customHeight="1">
      <x:c r="A2641" s="1" t="str">
        <x:v>C0009970</x:v>
      </x:c>
      <x:c r="B2641" s="1" t="n">
        <x:v>14</x:v>
      </x:c>
      <x:c r="C2641" s="1" t="n">
        <x:v>44</x:v>
      </x:c>
      <x:c r="D2641" s="6" t="n">
        <x:v>11289</x:v>
      </x:c>
      <x:c r="E2641" s="6" t="n">
        <x:v>12789</x:v>
      </x:c>
      <x:c r="F2641" s="6" t="n">
        <x:v>0</x:v>
      </x:c>
      <x:c r="G2641" s="6" t="n">
        <x:v>12789</x:v>
      </x:c>
      <x:c r="H2641" s="6" t="n">
        <x:v>1500</x:v>
      </x:c>
    </x:row>
    <x:row r="2642" ht="21" customHeight="1">
      <x:c r="A2642" s="1" t="str">
        <x:v>C0008387</x:v>
      </x:c>
      <x:c r="B2642" s="1" t="n">
        <x:v>4</x:v>
      </x:c>
      <x:c r="C2642" s="1" t="n">
        <x:v>94</x:v>
      </x:c>
      <x:c r="D2642" s="6" t="n">
        <x:v>19504</x:v>
      </x:c>
      <x:c r="E2642" s="6" t="n">
        <x:v>21004</x:v>
      </x:c>
      <x:c r="F2642" s="6" t="n">
        <x:v>0</x:v>
      </x:c>
      <x:c r="G2642" s="6" t="n">
        <x:v>21004</x:v>
      </x:c>
      <x:c r="H2642" s="6" t="n">
        <x:v>1500</x:v>
      </x:c>
    </x:row>
    <x:row r="2643" ht="21" customHeight="1">
      <x:c r="A2643" s="1" t="str">
        <x:v>C0001897</x:v>
      </x:c>
      <x:c r="B2643" s="1" t="n">
        <x:v>18</x:v>
      </x:c>
      <x:c r="C2643" s="1" t="n">
        <x:v>78</x:v>
      </x:c>
      <x:c r="D2643" s="6" t="n">
        <x:v>7291</x:v>
      </x:c>
      <x:c r="E2643" s="6" t="n">
        <x:v>8791</x:v>
      </x:c>
      <x:c r="F2643" s="6" t="n">
        <x:v>0</x:v>
      </x:c>
      <x:c r="G2643" s="6" t="n">
        <x:v>8791</x:v>
      </x:c>
      <x:c r="H2643" s="6" t="n">
        <x:v>1500</x:v>
      </x:c>
    </x:row>
    <x:row r="2644" ht="21" customHeight="1">
      <x:c r="A2644" s="1" t="str">
        <x:v>C0016741</x:v>
      </x:c>
      <x:c r="B2644" s="1" t="n">
        <x:v>2</x:v>
      </x:c>
      <x:c r="C2644" s="1" t="n">
        <x:v>2</x:v>
      </x:c>
      <x:c r="D2644" s="6" t="n">
        <x:v>23536</x:v>
      </x:c>
      <x:c r="E2644" s="6" t="n">
        <x:v>25036</x:v>
      </x:c>
      <x:c r="F2644" s="6" t="n">
        <x:v>0</x:v>
      </x:c>
      <x:c r="G2644" s="6" t="n">
        <x:v>25036</x:v>
      </x:c>
      <x:c r="H2644" s="6" t="n">
        <x:v>1500</x:v>
      </x:c>
    </x:row>
    <x:row r="2645" ht="21" customHeight="1">
      <x:c r="A2645" s="1" t="str">
        <x:v>C0016743</x:v>
      </x:c>
      <x:c r="B2645" s="1" t="n">
        <x:v>3</x:v>
      </x:c>
      <x:c r="C2645" s="1" t="n">
        <x:v>93</x:v>
      </x:c>
      <x:c r="D2645" s="6" t="n">
        <x:v>10929</x:v>
      </x:c>
      <x:c r="E2645" s="6" t="n">
        <x:v>12429</x:v>
      </x:c>
      <x:c r="F2645" s="6" t="n">
        <x:v>0</x:v>
      </x:c>
      <x:c r="G2645" s="6" t="n">
        <x:v>12429</x:v>
      </x:c>
      <x:c r="H2645" s="6" t="n">
        <x:v>1500</x:v>
      </x:c>
    </x:row>
    <x:row r="2646" ht="21" customHeight="1">
      <x:c r="A2646" s="1" t="str">
        <x:v>C0016750</x:v>
      </x:c>
      <x:c r="B2646" s="1" t="n">
        <x:v>1</x:v>
      </x:c>
      <x:c r="C2646" s="1" t="n">
        <x:v>1</x:v>
      </x:c>
      <x:c r="D2646" s="6" t="n">
        <x:v>15265</x:v>
      </x:c>
      <x:c r="E2646" s="6" t="n">
        <x:v>16765</x:v>
      </x:c>
      <x:c r="F2646" s="6" t="n">
        <x:v>0</x:v>
      </x:c>
      <x:c r="G2646" s="6" t="n">
        <x:v>16765</x:v>
      </x:c>
      <x:c r="H2646" s="6" t="n">
        <x:v>1500</x:v>
      </x:c>
    </x:row>
    <x:row r="2647" ht="21" customHeight="1">
      <x:c r="A2647" s="1" t="str">
        <x:v>C0016756</x:v>
      </x:c>
      <x:c r="B2647" s="1" t="n">
        <x:v>30</x:v>
      </x:c>
      <x:c r="C2647" s="1" t="n">
        <x:v>120</x:v>
      </x:c>
      <x:c r="D2647" s="6" t="n">
        <x:v>23708</x:v>
      </x:c>
      <x:c r="E2647" s="6" t="n">
        <x:v>25208</x:v>
      </x:c>
      <x:c r="F2647" s="6" t="n">
        <x:v>0</x:v>
      </x:c>
      <x:c r="G2647" s="6" t="n">
        <x:v>25208</x:v>
      </x:c>
      <x:c r="H2647" s="6" t="n">
        <x:v>1500</x:v>
      </x:c>
    </x:row>
    <x:row r="2648" ht="21" customHeight="1">
      <x:c r="A2648" s="1" t="str">
        <x:v>C0016790</x:v>
      </x:c>
      <x:c r="B2648" s="1" t="n">
        <x:v>14</x:v>
      </x:c>
      <x:c r="C2648" s="1" t="n">
        <x:v>14</x:v>
      </x:c>
      <x:c r="D2648" s="6" t="n">
        <x:v>13642</x:v>
      </x:c>
      <x:c r="E2648" s="6" t="n">
        <x:v>15142</x:v>
      </x:c>
      <x:c r="F2648" s="6" t="n">
        <x:v>0</x:v>
      </x:c>
      <x:c r="G2648" s="6" t="n">
        <x:v>15142</x:v>
      </x:c>
      <x:c r="H2648" s="6" t="n">
        <x:v>1500</x:v>
      </x:c>
    </x:row>
    <x:row r="2649" ht="21" customHeight="1">
      <x:c r="A2649" s="1" t="str">
        <x:v>C0016802</x:v>
      </x:c>
      <x:c r="B2649" s="1" t="n">
        <x:v>6</x:v>
      </x:c>
      <x:c r="C2649" s="1" t="n">
        <x:v>36</x:v>
      </x:c>
      <x:c r="D2649" s="6" t="n">
        <x:v>11461</x:v>
      </x:c>
      <x:c r="E2649" s="6" t="n">
        <x:v>12961</x:v>
      </x:c>
      <x:c r="F2649" s="6" t="n">
        <x:v>0</x:v>
      </x:c>
      <x:c r="G2649" s="6" t="n">
        <x:v>12961</x:v>
      </x:c>
      <x:c r="H2649" s="6" t="n">
        <x:v>1500</x:v>
      </x:c>
    </x:row>
    <x:row r="2650" ht="21" customHeight="1">
      <x:c r="A2650" s="1" t="str">
        <x:v>C0016811</x:v>
      </x:c>
      <x:c r="B2650" s="1" t="n">
        <x:v>23</x:v>
      </x:c>
      <x:c r="C2650" s="1" t="n">
        <x:v>23</x:v>
      </x:c>
      <x:c r="D2650" s="6" t="n">
        <x:v>7455</x:v>
      </x:c>
      <x:c r="E2650" s="6" t="n">
        <x:v>8955</x:v>
      </x:c>
      <x:c r="F2650" s="6" t="n">
        <x:v>0</x:v>
      </x:c>
      <x:c r="G2650" s="6" t="n">
        <x:v>8955</x:v>
      </x:c>
      <x:c r="H2650" s="6" t="n">
        <x:v>1500</x:v>
      </x:c>
    </x:row>
    <x:row r="2651" ht="21" customHeight="1">
      <x:c r="A2651" s="1" t="str">
        <x:v>C0016845</x:v>
      </x:c>
      <x:c r="B2651" s="1" t="n">
        <x:v>28</x:v>
      </x:c>
      <x:c r="C2651" s="1" t="n">
        <x:v>88</x:v>
      </x:c>
      <x:c r="D2651" s="6" t="n">
        <x:v>10497</x:v>
      </x:c>
      <x:c r="E2651" s="6" t="n">
        <x:v>11997</x:v>
      </x:c>
      <x:c r="F2651" s="6" t="n">
        <x:v>0</x:v>
      </x:c>
      <x:c r="G2651" s="6" t="n">
        <x:v>11997</x:v>
      </x:c>
      <x:c r="H2651" s="6" t="n">
        <x:v>1500</x:v>
      </x:c>
    </x:row>
    <x:row r="2652" ht="21" customHeight="1">
      <x:c r="A2652" s="1" t="str">
        <x:v>C0009799</x:v>
      </x:c>
      <x:c r="B2652" s="1" t="n">
        <x:v>21</x:v>
      </x:c>
      <x:c r="C2652" s="1" t="n">
        <x:v>21</x:v>
      </x:c>
      <x:c r="D2652" s="6" t="n">
        <x:v>24828</x:v>
      </x:c>
      <x:c r="E2652" s="6" t="n">
        <x:v>26328</x:v>
      </x:c>
      <x:c r="F2652" s="6" t="n">
        <x:v>0</x:v>
      </x:c>
      <x:c r="G2652" s="6" t="n">
        <x:v>26328</x:v>
      </x:c>
      <x:c r="H2652" s="6" t="n">
        <x:v>1500</x:v>
      </x:c>
    </x:row>
    <x:row r="2653" ht="21" customHeight="1">
      <x:c r="A2653" s="1" t="str">
        <x:v>C0008607</x:v>
      </x:c>
      <x:c r="B2653" s="1" t="n">
        <x:v>30</x:v>
      </x:c>
      <x:c r="C2653" s="1" t="n">
        <x:v>90</x:v>
      </x:c>
      <x:c r="D2653" s="6" t="n">
        <x:v>17072</x:v>
      </x:c>
      <x:c r="E2653" s="6" t="n">
        <x:v>18572</x:v>
      </x:c>
      <x:c r="F2653" s="6" t="n">
        <x:v>0</x:v>
      </x:c>
      <x:c r="G2653" s="6" t="n">
        <x:v>18572</x:v>
      </x:c>
      <x:c r="H2653" s="6" t="n">
        <x:v>1500</x:v>
      </x:c>
    </x:row>
    <x:row r="2654" ht="21" customHeight="1">
      <x:c r="A2654" s="1" t="str">
        <x:v>C0008608</x:v>
      </x:c>
      <x:c r="B2654" s="1" t="n">
        <x:v>22</x:v>
      </x:c>
      <x:c r="C2654" s="1" t="n">
        <x:v>112</x:v>
      </x:c>
      <x:c r="D2654" s="6" t="n">
        <x:v>39884</x:v>
      </x:c>
      <x:c r="E2654" s="6" t="n">
        <x:v>41384</x:v>
      </x:c>
      <x:c r="F2654" s="6" t="n">
        <x:v>0</x:v>
      </x:c>
      <x:c r="G2654" s="6" t="n">
        <x:v>41384</x:v>
      </x:c>
      <x:c r="H2654" s="6" t="n">
        <x:v>1500</x:v>
      </x:c>
    </x:row>
    <x:row r="2655" ht="21" customHeight="1">
      <x:c r="A2655" s="1" t="str">
        <x:v>C0008620</x:v>
      </x:c>
      <x:c r="B2655" s="1" t="n">
        <x:v>4</x:v>
      </x:c>
      <x:c r="C2655" s="1" t="n">
        <x:v>34</x:v>
      </x:c>
      <x:c r="D2655" s="6" t="n">
        <x:v>9988</x:v>
      </x:c>
      <x:c r="E2655" s="6" t="n">
        <x:v>11488</x:v>
      </x:c>
      <x:c r="F2655" s="6" t="n">
        <x:v>0</x:v>
      </x:c>
      <x:c r="G2655" s="6" t="n">
        <x:v>11488</x:v>
      </x:c>
      <x:c r="H2655" s="6" t="n">
        <x:v>1500</x:v>
      </x:c>
    </x:row>
    <x:row r="2656" ht="21" customHeight="1">
      <x:c r="A2656" s="1" t="str">
        <x:v>C0001422</x:v>
      </x:c>
      <x:c r="B2656" s="1" t="n">
        <x:v>16</x:v>
      </x:c>
      <x:c r="C2656" s="1" t="n">
        <x:v>16</x:v>
      </x:c>
      <x:c r="D2656" s="6" t="n">
        <x:v>5456</x:v>
      </x:c>
      <x:c r="E2656" s="6" t="n">
        <x:v>6956</x:v>
      </x:c>
      <x:c r="F2656" s="6" t="n">
        <x:v>0</x:v>
      </x:c>
      <x:c r="G2656" s="6" t="n">
        <x:v>6956</x:v>
      </x:c>
      <x:c r="H2656" s="6" t="n">
        <x:v>1500</x:v>
      </x:c>
    </x:row>
    <x:row r="2657" ht="21" customHeight="1">
      <x:c r="A2657" s="1" t="str">
        <x:v>C0008654</x:v>
      </x:c>
      <x:c r="B2657" s="1" t="n">
        <x:v>14</x:v>
      </x:c>
      <x:c r="C2657" s="1" t="n">
        <x:v>44</x:v>
      </x:c>
      <x:c r="D2657" s="6" t="n">
        <x:v>11289</x:v>
      </x:c>
      <x:c r="E2657" s="6" t="n">
        <x:v>12789</x:v>
      </x:c>
      <x:c r="F2657" s="6" t="n">
        <x:v>0</x:v>
      </x:c>
      <x:c r="G2657" s="6" t="n">
        <x:v>12789</x:v>
      </x:c>
      <x:c r="H2657" s="6" t="n">
        <x:v>1500</x:v>
      </x:c>
    </x:row>
    <x:row r="2658" ht="21" customHeight="1">
      <x:c r="A2658" s="1" t="str">
        <x:v>C0008709</x:v>
      </x:c>
      <x:c r="B2658" s="1" t="n">
        <x:v>15</x:v>
      </x:c>
      <x:c r="C2658" s="1" t="n">
        <x:v>15</x:v>
      </x:c>
      <x:c r="D2658" s="6" t="n">
        <x:v>17575</x:v>
      </x:c>
      <x:c r="E2658" s="6" t="n">
        <x:v>19075</x:v>
      </x:c>
      <x:c r="F2658" s="6" t="n">
        <x:v>0</x:v>
      </x:c>
      <x:c r="G2658" s="6" t="n">
        <x:v>19075</x:v>
      </x:c>
      <x:c r="H2658" s="6" t="n">
        <x:v>1500</x:v>
      </x:c>
    </x:row>
    <x:row r="2659" ht="21" customHeight="1">
      <x:c r="A2659" s="1" t="str">
        <x:v>C0008710</x:v>
      </x:c>
      <x:c r="B2659" s="1" t="n">
        <x:v>16</x:v>
      </x:c>
      <x:c r="C2659" s="1" t="n">
        <x:v>106</x:v>
      </x:c>
      <x:c r="D2659" s="6" t="n">
        <x:v>24513</x:v>
      </x:c>
      <x:c r="E2659" s="6" t="n">
        <x:v>26013</x:v>
      </x:c>
      <x:c r="F2659" s="6" t="n">
        <x:v>0</x:v>
      </x:c>
      <x:c r="G2659" s="6" t="n">
        <x:v>26013</x:v>
      </x:c>
      <x:c r="H2659" s="6" t="n">
        <x:v>1500</x:v>
      </x:c>
    </x:row>
    <x:row r="2660" ht="21" customHeight="1">
      <x:c r="A2660" s="1" t="str">
        <x:v>C0008725</x:v>
      </x:c>
      <x:c r="B2660" s="1" t="n">
        <x:v>11</x:v>
      </x:c>
      <x:c r="C2660" s="1" t="n">
        <x:v>101</x:v>
      </x:c>
      <x:c r="D2660" s="6" t="n">
        <x:v>49342</x:v>
      </x:c>
      <x:c r="E2660" s="6" t="n">
        <x:v>50842</x:v>
      </x:c>
      <x:c r="F2660" s="6" t="n">
        <x:v>0</x:v>
      </x:c>
      <x:c r="G2660" s="6" t="n">
        <x:v>50842</x:v>
      </x:c>
      <x:c r="H2660" s="6" t="n">
        <x:v>1500</x:v>
      </x:c>
    </x:row>
    <x:row r="2661" ht="21" customHeight="1">
      <x:c r="A2661" s="1" t="str">
        <x:v>C0008733</x:v>
      </x:c>
      <x:c r="B2661" s="1" t="n">
        <x:v>29</x:v>
      </x:c>
      <x:c r="C2661" s="1" t="n">
        <x:v>119</x:v>
      </x:c>
      <x:c r="D2661" s="6" t="n">
        <x:v>8063</x:v>
      </x:c>
      <x:c r="E2661" s="6" t="n">
        <x:v>9563</x:v>
      </x:c>
      <x:c r="F2661" s="6" t="n">
        <x:v>0</x:v>
      </x:c>
      <x:c r="G2661" s="6" t="n">
        <x:v>9563</x:v>
      </x:c>
      <x:c r="H2661" s="6" t="n">
        <x:v>1500</x:v>
      </x:c>
    </x:row>
    <x:row r="2662" ht="21" customHeight="1">
      <x:c r="A2662" s="1" t="str">
        <x:v>C0008776</x:v>
      </x:c>
      <x:c r="B2662" s="1" t="n">
        <x:v>1</x:v>
      </x:c>
      <x:c r="C2662" s="1" t="n">
        <x:v>1</x:v>
      </x:c>
      <x:c r="D2662" s="6" t="n">
        <x:v>24513</x:v>
      </x:c>
      <x:c r="E2662" s="6" t="n">
        <x:v>26013</x:v>
      </x:c>
      <x:c r="F2662" s="6" t="n">
        <x:v>0</x:v>
      </x:c>
      <x:c r="G2662" s="6" t="n">
        <x:v>26013</x:v>
      </x:c>
      <x:c r="H2662" s="6" t="n">
        <x:v>1500</x:v>
      </x:c>
    </x:row>
    <x:row r="2663" ht="21" customHeight="1">
      <x:c r="A2663" s="1" t="str">
        <x:v>C0008798</x:v>
      </x:c>
      <x:c r="B2663" s="1" t="n">
        <x:v>23</x:v>
      </x:c>
      <x:c r="C2663" s="1" t="n">
        <x:v>53</x:v>
      </x:c>
      <x:c r="D2663" s="6" t="n">
        <x:v>34462</x:v>
      </x:c>
      <x:c r="E2663" s="6" t="n">
        <x:v>35962</x:v>
      </x:c>
      <x:c r="F2663" s="6" t="n">
        <x:v>0</x:v>
      </x:c>
      <x:c r="G2663" s="6" t="n">
        <x:v>35962</x:v>
      </x:c>
      <x:c r="H2663" s="6" t="n">
        <x:v>1500</x:v>
      </x:c>
    </x:row>
    <x:row r="2664" ht="21" customHeight="1">
      <x:c r="A2664" s="1" t="str">
        <x:v>C0009849</x:v>
      </x:c>
      <x:c r="B2664" s="1" t="n">
        <x:v>9</x:v>
      </x:c>
      <x:c r="C2664" s="1" t="n">
        <x:v>99</x:v>
      </x:c>
      <x:c r="D2664" s="6" t="n">
        <x:v>26770</x:v>
      </x:c>
      <x:c r="E2664" s="6" t="n">
        <x:v>28270</x:v>
      </x:c>
      <x:c r="F2664" s="6" t="n">
        <x:v>0</x:v>
      </x:c>
      <x:c r="G2664" s="6" t="n">
        <x:v>28270</x:v>
      </x:c>
      <x:c r="H2664" s="6" t="n">
        <x:v>1500</x:v>
      </x:c>
    </x:row>
    <x:row r="2665" ht="21" customHeight="1">
      <x:c r="A2665" s="1" t="str">
        <x:v>C0009852</x:v>
      </x:c>
      <x:c r="B2665" s="1" t="n">
        <x:v>20</x:v>
      </x:c>
      <x:c r="C2665" s="1" t="n">
        <x:v>50</x:v>
      </x:c>
      <x:c r="D2665" s="6" t="n">
        <x:v>5109</x:v>
      </x:c>
      <x:c r="E2665" s="6" t="n">
        <x:v>6609</x:v>
      </x:c>
      <x:c r="F2665" s="6" t="n">
        <x:v>0</x:v>
      </x:c>
      <x:c r="G2665" s="6" t="n">
        <x:v>6609</x:v>
      </x:c>
      <x:c r="H2665" s="6" t="n">
        <x:v>1500</x:v>
      </x:c>
    </x:row>
    <x:row r="2666" ht="21" customHeight="1">
      <x:c r="A2666" s="1" t="str">
        <x:v>C0009857</x:v>
      </x:c>
      <x:c r="B2666" s="1" t="n">
        <x:v>18</x:v>
      </x:c>
      <x:c r="C2666" s="1" t="n">
        <x:v>78</x:v>
      </x:c>
      <x:c r="D2666" s="6" t="n">
        <x:v>21958</x:v>
      </x:c>
      <x:c r="E2666" s="6" t="n">
        <x:v>23458</x:v>
      </x:c>
      <x:c r="F2666" s="6" t="n">
        <x:v>0</x:v>
      </x:c>
      <x:c r="G2666" s="6" t="n">
        <x:v>23458</x:v>
      </x:c>
      <x:c r="H2666" s="6" t="n">
        <x:v>1500</x:v>
      </x:c>
    </x:row>
    <x:row r="2667" ht="21" customHeight="1">
      <x:c r="A2667" s="1" t="str">
        <x:v>C0009863</x:v>
      </x:c>
      <x:c r="B2667" s="1" t="n">
        <x:v>19</x:v>
      </x:c>
      <x:c r="C2667" s="1" t="n">
        <x:v>19</x:v>
      </x:c>
      <x:c r="D2667" s="6" t="n">
        <x:v>17293</x:v>
      </x:c>
      <x:c r="E2667" s="6" t="n">
        <x:v>18793</x:v>
      </x:c>
      <x:c r="F2667" s="6" t="n">
        <x:v>0</x:v>
      </x:c>
      <x:c r="G2667" s="6" t="n">
        <x:v>18793</x:v>
      </x:c>
      <x:c r="H2667" s="6" t="n">
        <x:v>1500</x:v>
      </x:c>
    </x:row>
    <x:row r="2668" ht="21" customHeight="1">
      <x:c r="A2668" s="1" t="str">
        <x:v>C0009869</x:v>
      </x:c>
      <x:c r="B2668" s="1" t="n">
        <x:v>9</x:v>
      </x:c>
      <x:c r="C2668" s="1" t="n">
        <x:v>39</x:v>
      </x:c>
      <x:c r="D2668" s="6" t="n">
        <x:v>17658</x:v>
      </x:c>
      <x:c r="E2668" s="6" t="n">
        <x:v>19158</x:v>
      </x:c>
      <x:c r="F2668" s="6" t="n">
        <x:v>0</x:v>
      </x:c>
      <x:c r="G2668" s="6" t="n">
        <x:v>19158</x:v>
      </x:c>
      <x:c r="H2668" s="6" t="n">
        <x:v>1500</x:v>
      </x:c>
    </x:row>
    <x:row r="2669" ht="21" customHeight="1">
      <x:c r="A2669" s="1" t="str">
        <x:v>C0009875</x:v>
      </x:c>
      <x:c r="B2669" s="1" t="n">
        <x:v>21</x:v>
      </x:c>
      <x:c r="C2669" s="1" t="n">
        <x:v>81</x:v>
      </x:c>
      <x:c r="D2669" s="6" t="n">
        <x:v>11036</x:v>
      </x:c>
      <x:c r="E2669" s="6" t="n">
        <x:v>12536</x:v>
      </x:c>
      <x:c r="F2669" s="6" t="n">
        <x:v>0</x:v>
      </x:c>
      <x:c r="G2669" s="6" t="n">
        <x:v>12536</x:v>
      </x:c>
      <x:c r="H2669" s="6" t="n">
        <x:v>1500</x:v>
      </x:c>
    </x:row>
    <x:row r="2670" ht="21" customHeight="1">
      <x:c r="A2670" s="1" t="str">
        <x:v>C0008639</x:v>
      </x:c>
      <x:c r="B2670" s="1" t="n">
        <x:v>10</x:v>
      </x:c>
      <x:c r="C2670" s="1" t="n">
        <x:v>10</x:v>
      </x:c>
      <x:c r="D2670" s="6" t="n">
        <x:v>13359</x:v>
      </x:c>
      <x:c r="E2670" s="6" t="n">
        <x:v>14859</x:v>
      </x:c>
      <x:c r="F2670" s="6" t="n">
        <x:v>0</x:v>
      </x:c>
      <x:c r="G2670" s="6" t="n">
        <x:v>14859</x:v>
      </x:c>
      <x:c r="H2670" s="6" t="n">
        <x:v>1500</x:v>
      </x:c>
    </x:row>
    <x:row r="2671" ht="21" customHeight="1">
      <x:c r="A2671" s="1" t="str">
        <x:v>C0001431</x:v>
      </x:c>
      <x:c r="B2671" s="1" t="n">
        <x:v>5</x:v>
      </x:c>
      <x:c r="C2671" s="1" t="n">
        <x:v>65</x:v>
      </x:c>
      <x:c r="D2671" s="6" t="n">
        <x:v>11127</x:v>
      </x:c>
      <x:c r="E2671" s="6" t="n">
        <x:v>12627</x:v>
      </x:c>
      <x:c r="F2671" s="6" t="n">
        <x:v>0</x:v>
      </x:c>
      <x:c r="G2671" s="6" t="n">
        <x:v>12627</x:v>
      </x:c>
      <x:c r="H2671" s="6" t="n">
        <x:v>1500</x:v>
      </x:c>
    </x:row>
    <x:row r="2672" ht="21" customHeight="1">
      <x:c r="A2672" s="1" t="str">
        <x:v>C0001445</x:v>
      </x:c>
      <x:c r="B2672" s="1" t="n">
        <x:v>23</x:v>
      </x:c>
      <x:c r="C2672" s="1" t="n">
        <x:v>53</x:v>
      </x:c>
      <x:c r="D2672" s="6" t="n">
        <x:v>5087</x:v>
      </x:c>
      <x:c r="E2672" s="6" t="n">
        <x:v>6587</x:v>
      </x:c>
      <x:c r="F2672" s="6" t="n">
        <x:v>0</x:v>
      </x:c>
      <x:c r="G2672" s="6" t="n">
        <x:v>6587</x:v>
      </x:c>
      <x:c r="H2672" s="6" t="n">
        <x:v>1500</x:v>
      </x:c>
    </x:row>
    <x:row r="2673" ht="21" customHeight="1">
      <x:c r="A2673" s="1" t="str">
        <x:v>C0001446</x:v>
      </x:c>
      <x:c r="B2673" s="1" t="n">
        <x:v>17</x:v>
      </x:c>
      <x:c r="C2673" s="1" t="n">
        <x:v>107</x:v>
      </x:c>
      <x:c r="D2673" s="6" t="n">
        <x:v>7708</x:v>
      </x:c>
      <x:c r="E2673" s="6" t="n">
        <x:v>9208</x:v>
      </x:c>
      <x:c r="F2673" s="6" t="n">
        <x:v>0</x:v>
      </x:c>
      <x:c r="G2673" s="6" t="n">
        <x:v>9208</x:v>
      </x:c>
      <x:c r="H2673" s="6" t="n">
        <x:v>1500</x:v>
      </x:c>
    </x:row>
    <x:row r="2674" ht="21" customHeight="1">
      <x:c r="A2674" s="1" t="str">
        <x:v>C0001458</x:v>
      </x:c>
      <x:c r="B2674" s="1" t="n">
        <x:v>28</x:v>
      </x:c>
      <x:c r="C2674" s="1" t="n">
        <x:v>58</x:v>
      </x:c>
      <x:c r="D2674" s="6" t="n">
        <x:v>9512</x:v>
      </x:c>
      <x:c r="E2674" s="6" t="n">
        <x:v>11012</x:v>
      </x:c>
      <x:c r="F2674" s="6" t="n">
        <x:v>0</x:v>
      </x:c>
      <x:c r="G2674" s="6" t="n">
        <x:v>11012</x:v>
      </x:c>
      <x:c r="H2674" s="6" t="n">
        <x:v>1500</x:v>
      </x:c>
    </x:row>
    <x:row r="2675" ht="21" customHeight="1">
      <x:c r="A2675" s="1" t="str">
        <x:v>C0001481</x:v>
      </x:c>
      <x:c r="B2675" s="1" t="n">
        <x:v>15</x:v>
      </x:c>
      <x:c r="C2675" s="1" t="n">
        <x:v>15</x:v>
      </x:c>
      <x:c r="D2675" s="6" t="n">
        <x:v>17575</x:v>
      </x:c>
      <x:c r="E2675" s="6" t="n">
        <x:v>19075</x:v>
      </x:c>
      <x:c r="F2675" s="6" t="n">
        <x:v>0</x:v>
      </x:c>
      <x:c r="G2675" s="6" t="n">
        <x:v>19075</x:v>
      </x:c>
      <x:c r="H2675" s="6" t="n">
        <x:v>1500</x:v>
      </x:c>
    </x:row>
    <x:row r="2676" ht="21" customHeight="1">
      <x:c r="A2676" s="1" t="str">
        <x:v>C0001500</x:v>
      </x:c>
      <x:c r="B2676" s="1" t="n">
        <x:v>21</x:v>
      </x:c>
      <x:c r="C2676" s="1" t="n">
        <x:v>21</x:v>
      </x:c>
      <x:c r="D2676" s="6" t="n">
        <x:v>5898</x:v>
      </x:c>
      <x:c r="E2676" s="6" t="n">
        <x:v>7398</x:v>
      </x:c>
      <x:c r="F2676" s="6" t="n">
        <x:v>0</x:v>
      </x:c>
      <x:c r="G2676" s="6" t="n">
        <x:v>7398</x:v>
      </x:c>
      <x:c r="H2676" s="6" t="n">
        <x:v>1500</x:v>
      </x:c>
    </x:row>
    <x:row r="2677" ht="21" customHeight="1">
      <x:c r="A2677" s="1" t="str">
        <x:v>C0001538</x:v>
      </x:c>
      <x:c r="B2677" s="1" t="n">
        <x:v>22</x:v>
      </x:c>
      <x:c r="C2677" s="1" t="n">
        <x:v>52</x:v>
      </x:c>
      <x:c r="D2677" s="6" t="n">
        <x:v>15965</x:v>
      </x:c>
      <x:c r="E2677" s="6" t="n">
        <x:v>17465</x:v>
      </x:c>
      <x:c r="F2677" s="6" t="n">
        <x:v>0</x:v>
      </x:c>
      <x:c r="G2677" s="6" t="n">
        <x:v>17465</x:v>
      </x:c>
      <x:c r="H2677" s="6" t="n">
        <x:v>1500</x:v>
      </x:c>
    </x:row>
    <x:row r="2678" ht="21" customHeight="1">
      <x:c r="A2678" s="1" t="str">
        <x:v>C0001554</x:v>
      </x:c>
      <x:c r="B2678" s="1" t="n">
        <x:v>1</x:v>
      </x:c>
      <x:c r="C2678" s="1" t="n">
        <x:v>1</x:v>
      </x:c>
      <x:c r="D2678" s="6" t="n">
        <x:v>24513</x:v>
      </x:c>
      <x:c r="E2678" s="6" t="n">
        <x:v>26013</x:v>
      </x:c>
      <x:c r="F2678" s="6" t="n">
        <x:v>0</x:v>
      </x:c>
      <x:c r="G2678" s="6" t="n">
        <x:v>26013</x:v>
      </x:c>
      <x:c r="H2678" s="6" t="n">
        <x:v>1500</x:v>
      </x:c>
    </x:row>
    <x:row r="2679" ht="21" customHeight="1">
      <x:c r="A2679" s="1" t="str">
        <x:v>C0001559</x:v>
      </x:c>
      <x:c r="B2679" s="1" t="n">
        <x:v>16</x:v>
      </x:c>
      <x:c r="C2679" s="1" t="n">
        <x:v>106</x:v>
      </x:c>
      <x:c r="D2679" s="6" t="n">
        <x:v>14368</x:v>
      </x:c>
      <x:c r="E2679" s="6" t="n">
        <x:v>15868</x:v>
      </x:c>
      <x:c r="F2679" s="6" t="n">
        <x:v>0</x:v>
      </x:c>
      <x:c r="G2679" s="6" t="n">
        <x:v>15868</x:v>
      </x:c>
      <x:c r="H2679" s="6" t="n">
        <x:v>1500</x:v>
      </x:c>
    </x:row>
    <x:row r="2680" ht="21" customHeight="1">
      <x:c r="A2680" s="1" t="str">
        <x:v>C0001560</x:v>
      </x:c>
      <x:c r="B2680" s="1" t="n">
        <x:v>5</x:v>
      </x:c>
      <x:c r="C2680" s="1" t="n">
        <x:v>5</x:v>
      </x:c>
      <x:c r="D2680" s="6" t="n">
        <x:v>18396</x:v>
      </x:c>
      <x:c r="E2680" s="6" t="n">
        <x:v>19896</x:v>
      </x:c>
      <x:c r="F2680" s="6" t="n">
        <x:v>0</x:v>
      </x:c>
      <x:c r="G2680" s="6" t="n">
        <x:v>19896</x:v>
      </x:c>
      <x:c r="H2680" s="6" t="n">
        <x:v>1500</x:v>
      </x:c>
    </x:row>
    <x:row r="2681" ht="21" customHeight="1">
      <x:c r="A2681" s="1" t="str">
        <x:v>C0001570</x:v>
      </x:c>
      <x:c r="B2681" s="1" t="n">
        <x:v>18</x:v>
      </x:c>
      <x:c r="C2681" s="1" t="n">
        <x:v>48</x:v>
      </x:c>
      <x:c r="D2681" s="6" t="n">
        <x:v>11766</x:v>
      </x:c>
      <x:c r="E2681" s="6" t="n">
        <x:v>13266</x:v>
      </x:c>
      <x:c r="F2681" s="6" t="n">
        <x:v>0</x:v>
      </x:c>
      <x:c r="G2681" s="6" t="n">
        <x:v>13266</x:v>
      </x:c>
      <x:c r="H2681" s="6" t="n">
        <x:v>1500</x:v>
      </x:c>
    </x:row>
    <x:row r="2682" ht="21" customHeight="1">
      <x:c r="A2682" s="1" t="str">
        <x:v>C0016525</x:v>
      </x:c>
      <x:c r="B2682" s="1" t="n">
        <x:v>21</x:v>
      </x:c>
      <x:c r="C2682" s="1" t="n">
        <x:v>21</x:v>
      </x:c>
      <x:c r="D2682" s="6" t="n">
        <x:v>5898</x:v>
      </x:c>
      <x:c r="E2682" s="6" t="n">
        <x:v>7398</x:v>
      </x:c>
      <x:c r="F2682" s="6" t="n">
        <x:v>0</x:v>
      </x:c>
      <x:c r="G2682" s="6" t="n">
        <x:v>7398</x:v>
      </x:c>
      <x:c r="H2682" s="6" t="n">
        <x:v>1500</x:v>
      </x:c>
    </x:row>
    <x:row r="2683" ht="21" customHeight="1">
      <x:c r="A2683" s="1" t="str">
        <x:v>C0016560</x:v>
      </x:c>
      <x:c r="B2683" s="1" t="n">
        <x:v>13</x:v>
      </x:c>
      <x:c r="C2683" s="1" t="n">
        <x:v>103</x:v>
      </x:c>
      <x:c r="D2683" s="6" t="n">
        <x:v>13620</x:v>
      </x:c>
      <x:c r="E2683" s="6" t="n">
        <x:v>15120</x:v>
      </x:c>
      <x:c r="F2683" s="6" t="n">
        <x:v>0</x:v>
      </x:c>
      <x:c r="G2683" s="6" t="n">
        <x:v>15120</x:v>
      </x:c>
      <x:c r="H2683" s="6" t="n">
        <x:v>1500</x:v>
      </x:c>
    </x:row>
    <x:row r="2684" ht="21" customHeight="1">
      <x:c r="A2684" s="1" t="str">
        <x:v>C0001392</x:v>
      </x:c>
      <x:c r="B2684" s="1" t="n">
        <x:v>28</x:v>
      </x:c>
      <x:c r="C2684" s="1" t="n">
        <x:v>58</x:v>
      </x:c>
      <x:c r="D2684" s="6" t="n">
        <x:v>18049</x:v>
      </x:c>
      <x:c r="E2684" s="6" t="n">
        <x:v>19549</x:v>
      </x:c>
      <x:c r="F2684" s="6" t="n">
        <x:v>0</x:v>
      </x:c>
      <x:c r="G2684" s="6" t="n">
        <x:v>19549</x:v>
      </x:c>
      <x:c r="H2684" s="6" t="n">
        <x:v>1500</x:v>
      </x:c>
    </x:row>
    <x:row r="2685" ht="21" customHeight="1">
      <x:c r="A2685" s="1" t="str">
        <x:v>C0016622</x:v>
      </x:c>
      <x:c r="B2685" s="1" t="n">
        <x:v>12</x:v>
      </x:c>
      <x:c r="C2685" s="1" t="n">
        <x:v>42</x:v>
      </x:c>
      <x:c r="D2685" s="6" t="n">
        <x:v>14519</x:v>
      </x:c>
      <x:c r="E2685" s="6" t="n">
        <x:v>16019</x:v>
      </x:c>
      <x:c r="F2685" s="6" t="n">
        <x:v>0</x:v>
      </x:c>
      <x:c r="G2685" s="6" t="n">
        <x:v>16019</x:v>
      </x:c>
      <x:c r="H2685" s="6" t="n">
        <x:v>1500</x:v>
      </x:c>
    </x:row>
    <x:row r="2686" ht="21" customHeight="1">
      <x:c r="A2686" s="1" t="str">
        <x:v>C0016655</x:v>
      </x:c>
      <x:c r="B2686" s="1" t="n">
        <x:v>22</x:v>
      </x:c>
      <x:c r="C2686" s="1" t="n">
        <x:v>52</x:v>
      </x:c>
      <x:c r="D2686" s="6" t="n">
        <x:v>16208</x:v>
      </x:c>
      <x:c r="E2686" s="6" t="n">
        <x:v>17708</x:v>
      </x:c>
      <x:c r="F2686" s="6" t="n">
        <x:v>0</x:v>
      </x:c>
      <x:c r="G2686" s="6" t="n">
        <x:v>17708</x:v>
      </x:c>
      <x:c r="H2686" s="6" t="n">
        <x:v>1500</x:v>
      </x:c>
    </x:row>
    <x:row r="2687" ht="21" customHeight="1">
      <x:c r="A2687" s="1" t="str">
        <x:v>C0016658</x:v>
      </x:c>
      <x:c r="B2687" s="1" t="n">
        <x:v>20</x:v>
      </x:c>
      <x:c r="C2687" s="1" t="n">
        <x:v>20</x:v>
      </x:c>
      <x:c r="D2687" s="6" t="n">
        <x:v>28402</x:v>
      </x:c>
      <x:c r="E2687" s="6" t="n">
        <x:v>29902</x:v>
      </x:c>
      <x:c r="F2687" s="6" t="n">
        <x:v>0</x:v>
      </x:c>
      <x:c r="G2687" s="6" t="n">
        <x:v>29902</x:v>
      </x:c>
      <x:c r="H2687" s="6" t="n">
        <x:v>1500</x:v>
      </x:c>
    </x:row>
    <x:row r="2688" ht="21" customHeight="1">
      <x:c r="A2688" s="1" t="str">
        <x:v>C0016668</x:v>
      </x:c>
      <x:c r="B2688" s="1" t="n">
        <x:v>20</x:v>
      </x:c>
      <x:c r="C2688" s="1" t="n">
        <x:v>20</x:v>
      </x:c>
      <x:c r="D2688" s="6" t="n">
        <x:v>16097</x:v>
      </x:c>
      <x:c r="E2688" s="6" t="n">
        <x:v>17597</x:v>
      </x:c>
      <x:c r="F2688" s="6" t="n">
        <x:v>0</x:v>
      </x:c>
      <x:c r="G2688" s="6" t="n">
        <x:v>17597</x:v>
      </x:c>
      <x:c r="H2688" s="6" t="n">
        <x:v>1500</x:v>
      </x:c>
    </x:row>
    <x:row r="2689" ht="21" customHeight="1">
      <x:c r="A2689" s="1" t="str">
        <x:v>C0016670</x:v>
      </x:c>
      <x:c r="B2689" s="1" t="n">
        <x:v>19</x:v>
      </x:c>
      <x:c r="C2689" s="1" t="n">
        <x:v>109</x:v>
      </x:c>
      <x:c r="D2689" s="6" t="n">
        <x:v>21330</x:v>
      </x:c>
      <x:c r="E2689" s="6" t="n">
        <x:v>22830</x:v>
      </x:c>
      <x:c r="F2689" s="6" t="n">
        <x:v>0</x:v>
      </x:c>
      <x:c r="G2689" s="6" t="n">
        <x:v>22830</x:v>
      </x:c>
      <x:c r="H2689" s="6" t="n">
        <x:v>1500</x:v>
      </x:c>
    </x:row>
    <x:row r="2690" ht="21" customHeight="1">
      <x:c r="A2690" s="1" t="str">
        <x:v>C0016693</x:v>
      </x:c>
      <x:c r="B2690" s="1" t="n">
        <x:v>28</x:v>
      </x:c>
      <x:c r="C2690" s="1" t="n">
        <x:v>58</x:v>
      </x:c>
      <x:c r="D2690" s="6" t="n">
        <x:v>18049</x:v>
      </x:c>
      <x:c r="E2690" s="6" t="n">
        <x:v>19549</x:v>
      </x:c>
      <x:c r="F2690" s="6" t="n">
        <x:v>0</x:v>
      </x:c>
      <x:c r="G2690" s="6" t="n">
        <x:v>19549</x:v>
      </x:c>
      <x:c r="H2690" s="6" t="n">
        <x:v>1500</x:v>
      </x:c>
    </x:row>
    <x:row r="2691" ht="21" customHeight="1">
      <x:c r="A2691" s="1" t="str">
        <x:v>C0016695</x:v>
      </x:c>
      <x:c r="B2691" s="1" t="n">
        <x:v>4</x:v>
      </x:c>
      <x:c r="C2691" s="1" t="n">
        <x:v>94</x:v>
      </x:c>
      <x:c r="D2691" s="6" t="n">
        <x:v>6562</x:v>
      </x:c>
      <x:c r="E2691" s="6" t="n">
        <x:v>8062</x:v>
      </x:c>
      <x:c r="F2691" s="6" t="n">
        <x:v>0</x:v>
      </x:c>
      <x:c r="G2691" s="6" t="n">
        <x:v>8062</x:v>
      </x:c>
      <x:c r="H2691" s="6" t="n">
        <x:v>1500</x:v>
      </x:c>
    </x:row>
    <x:row r="2692" ht="21" customHeight="1">
      <x:c r="A2692" s="1" t="str">
        <x:v>C0001242</x:v>
      </x:c>
      <x:c r="B2692" s="1" t="n">
        <x:v>3</x:v>
      </x:c>
      <x:c r="C2692" s="1" t="n">
        <x:v>93</x:v>
      </x:c>
      <x:c r="D2692" s="6" t="n">
        <x:v>22736</x:v>
      </x:c>
      <x:c r="E2692" s="6" t="n">
        <x:v>24236</x:v>
      </x:c>
      <x:c r="F2692" s="6" t="n">
        <x:v>0</x:v>
      </x:c>
      <x:c r="G2692" s="6" t="n">
        <x:v>24236</x:v>
      </x:c>
      <x:c r="H2692" s="6" t="n">
        <x:v>1500</x:v>
      </x:c>
    </x:row>
    <x:row r="2693" ht="21" customHeight="1">
      <x:c r="A2693" s="1" t="str">
        <x:v>C0001266</x:v>
      </x:c>
      <x:c r="B2693" s="1" t="n">
        <x:v>13</x:v>
      </x:c>
      <x:c r="C2693" s="1" t="n">
        <x:v>13</x:v>
      </x:c>
      <x:c r="D2693" s="6" t="n">
        <x:v>15102</x:v>
      </x:c>
      <x:c r="E2693" s="6" t="n">
        <x:v>16602</x:v>
      </x:c>
      <x:c r="F2693" s="6" t="n">
        <x:v>0</x:v>
      </x:c>
      <x:c r="G2693" s="6" t="n">
        <x:v>16602</x:v>
      </x:c>
      <x:c r="H2693" s="6" t="n">
        <x:v>1500</x:v>
      </x:c>
    </x:row>
    <x:row r="2694" ht="21" customHeight="1">
      <x:c r="A2694" s="1" t="str">
        <x:v>C0001305</x:v>
      </x:c>
      <x:c r="B2694" s="1" t="n">
        <x:v>27</x:v>
      </x:c>
      <x:c r="C2694" s="1" t="n">
        <x:v>87</x:v>
      </x:c>
      <x:c r="D2694" s="6" t="n">
        <x:v>9140</x:v>
      </x:c>
      <x:c r="E2694" s="6" t="n">
        <x:v>10640</x:v>
      </x:c>
      <x:c r="F2694" s="6" t="n">
        <x:v>0</x:v>
      </x:c>
      <x:c r="G2694" s="6" t="n">
        <x:v>10640</x:v>
      </x:c>
      <x:c r="H2694" s="6" t="n">
        <x:v>1500</x:v>
      </x:c>
    </x:row>
    <x:row r="2695" ht="21" customHeight="1">
      <x:c r="A2695" s="1" t="str">
        <x:v>C0001330</x:v>
      </x:c>
      <x:c r="B2695" s="1" t="n">
        <x:v>8</x:v>
      </x:c>
      <x:c r="C2695" s="1" t="n">
        <x:v>98</x:v>
      </x:c>
      <x:c r="D2695" s="6" t="n">
        <x:v>17394</x:v>
      </x:c>
      <x:c r="E2695" s="6" t="n">
        <x:v>18894</x:v>
      </x:c>
      <x:c r="F2695" s="6" t="n">
        <x:v>0</x:v>
      </x:c>
      <x:c r="G2695" s="6" t="n">
        <x:v>18894</x:v>
      </x:c>
      <x:c r="H2695" s="6" t="n">
        <x:v>1500</x:v>
      </x:c>
    </x:row>
    <x:row r="2696" ht="21" customHeight="1">
      <x:c r="A2696" s="1" t="str">
        <x:v>C0001333</x:v>
      </x:c>
      <x:c r="B2696" s="1" t="n">
        <x:v>6</x:v>
      </x:c>
      <x:c r="C2696" s="1" t="n">
        <x:v>6</x:v>
      </x:c>
      <x:c r="D2696" s="6" t="n">
        <x:v>9791</x:v>
      </x:c>
      <x:c r="E2696" s="6" t="n">
        <x:v>11291</x:v>
      </x:c>
      <x:c r="F2696" s="6" t="n">
        <x:v>0</x:v>
      </x:c>
      <x:c r="G2696" s="6" t="n">
        <x:v>11291</x:v>
      </x:c>
      <x:c r="H2696" s="6" t="n">
        <x:v>1500</x:v>
      </x:c>
    </x:row>
    <x:row r="2697" ht="21" customHeight="1">
      <x:c r="A2697" s="1" t="str">
        <x:v>C0001365</x:v>
      </x:c>
      <x:c r="B2697" s="1" t="n">
        <x:v>23</x:v>
      </x:c>
      <x:c r="C2697" s="1" t="n">
        <x:v>23</x:v>
      </x:c>
      <x:c r="D2697" s="6" t="n">
        <x:v>19935</x:v>
      </x:c>
      <x:c r="E2697" s="6" t="n">
        <x:v>21435</x:v>
      </x:c>
      <x:c r="F2697" s="6" t="n">
        <x:v>0</x:v>
      </x:c>
      <x:c r="G2697" s="6" t="n">
        <x:v>21435</x:v>
      </x:c>
      <x:c r="H2697" s="6" t="n">
        <x:v>1500</x:v>
      </x:c>
    </x:row>
    <x:row r="2698" ht="21" customHeight="1">
      <x:c r="A2698" s="1" t="str">
        <x:v>C0016572</x:v>
      </x:c>
      <x:c r="B2698" s="1" t="n">
        <x:v>26</x:v>
      </x:c>
      <x:c r="C2698" s="1" t="n">
        <x:v>116</x:v>
      </x:c>
      <x:c r="D2698" s="6" t="n">
        <x:v>24773</x:v>
      </x:c>
      <x:c r="E2698" s="6" t="n">
        <x:v>26273</x:v>
      </x:c>
      <x:c r="F2698" s="6" t="n">
        <x:v>0</x:v>
      </x:c>
      <x:c r="G2698" s="6" t="n">
        <x:v>26273</x:v>
      </x:c>
      <x:c r="H2698" s="6" t="n">
        <x:v>1500</x:v>
      </x:c>
    </x:row>
    <x:row r="2699" ht="21" customHeight="1">
      <x:c r="A2699" s="1" t="str">
        <x:v>C0013031</x:v>
      </x:c>
      <x:c r="B2699" s="1" t="n">
        <x:v>17</x:v>
      </x:c>
      <x:c r="C2699" s="1" t="n">
        <x:v>107</x:v>
      </x:c>
      <x:c r="D2699" s="6" t="n">
        <x:v>7708</x:v>
      </x:c>
      <x:c r="E2699" s="6" t="n">
        <x:v>9208</x:v>
      </x:c>
      <x:c r="F2699" s="6" t="n">
        <x:v>0</x:v>
      </x:c>
      <x:c r="G2699" s="6" t="n">
        <x:v>9208</x:v>
      </x:c>
      <x:c r="H2699" s="6" t="n">
        <x:v>1500</x:v>
      </x:c>
    </x:row>
    <x:row r="2700" ht="21" customHeight="1">
      <x:c r="A2700" s="1" t="str">
        <x:v>C0011541</x:v>
      </x:c>
      <x:c r="B2700" s="1" t="n">
        <x:v>30</x:v>
      </x:c>
      <x:c r="C2700" s="1" t="n">
        <x:v>60</x:v>
      </x:c>
      <x:c r="D2700" s="6" t="n">
        <x:v>7317</x:v>
      </x:c>
      <x:c r="E2700" s="6" t="n">
        <x:v>8817</x:v>
      </x:c>
      <x:c r="F2700" s="6" t="n">
        <x:v>0</x:v>
      </x:c>
      <x:c r="G2700" s="6" t="n">
        <x:v>8817</x:v>
      </x:c>
      <x:c r="H2700" s="6" t="n">
        <x:v>1500</x:v>
      </x:c>
    </x:row>
    <x:row r="2701" ht="21" customHeight="1">
      <x:c r="A2701" s="1" t="str">
        <x:v>C0011572</x:v>
      </x:c>
      <x:c r="B2701" s="1" t="n">
        <x:v>20</x:v>
      </x:c>
      <x:c r="C2701" s="1" t="n">
        <x:v>110</x:v>
      </x:c>
      <x:c r="D2701" s="6" t="n">
        <x:v>19703</x:v>
      </x:c>
      <x:c r="E2701" s="6" t="n">
        <x:v>21203</x:v>
      </x:c>
      <x:c r="F2701" s="6" t="n">
        <x:v>0</x:v>
      </x:c>
      <x:c r="G2701" s="6" t="n">
        <x:v>21203</x:v>
      </x:c>
      <x:c r="H2701" s="6" t="n">
        <x:v>1500</x:v>
      </x:c>
    </x:row>
    <x:row r="2702" ht="21" customHeight="1">
      <x:c r="A2702" s="1" t="str">
        <x:v>C0011598</x:v>
      </x:c>
      <x:c r="B2702" s="1" t="n">
        <x:v>6</x:v>
      </x:c>
      <x:c r="C2702" s="1" t="n">
        <x:v>96</x:v>
      </x:c>
      <x:c r="D2702" s="6" t="n">
        <x:v>10160</x:v>
      </x:c>
      <x:c r="E2702" s="6" t="n">
        <x:v>11660</x:v>
      </x:c>
      <x:c r="F2702" s="6" t="n">
        <x:v>0</x:v>
      </x:c>
      <x:c r="G2702" s="6" t="n">
        <x:v>11660</x:v>
      </x:c>
      <x:c r="H2702" s="6" t="n">
        <x:v>1500</x:v>
      </x:c>
    </x:row>
    <x:row r="2703" ht="21" customHeight="1">
      <x:c r="A2703" s="1" t="str">
        <x:v>C0006611</x:v>
      </x:c>
      <x:c r="B2703" s="1" t="n">
        <x:v>22</x:v>
      </x:c>
      <x:c r="C2703" s="1" t="n">
        <x:v>52</x:v>
      </x:c>
      <x:c r="D2703" s="6" t="n">
        <x:v>7498</x:v>
      </x:c>
      <x:c r="E2703" s="6" t="n">
        <x:v>8998</x:v>
      </x:c>
      <x:c r="F2703" s="6" t="n">
        <x:v>0</x:v>
      </x:c>
      <x:c r="G2703" s="6" t="n">
        <x:v>8998</x:v>
      </x:c>
      <x:c r="H2703" s="6" t="n">
        <x:v>1500</x:v>
      </x:c>
    </x:row>
    <x:row r="2704" ht="21" customHeight="1">
      <x:c r="A2704" s="1" t="str">
        <x:v>C0006620</x:v>
      </x:c>
      <x:c r="B2704" s="1" t="n">
        <x:v>20</x:v>
      </x:c>
      <x:c r="C2704" s="1" t="n">
        <x:v>50</x:v>
      </x:c>
      <x:c r="D2704" s="6" t="n">
        <x:v>17119</x:v>
      </x:c>
      <x:c r="E2704" s="6" t="n">
        <x:v>18619</x:v>
      </x:c>
      <x:c r="F2704" s="6" t="n">
        <x:v>0</x:v>
      </x:c>
      <x:c r="G2704" s="6" t="n">
        <x:v>18619</x:v>
      </x:c>
      <x:c r="H2704" s="6" t="n">
        <x:v>1500</x:v>
      </x:c>
    </x:row>
    <x:row r="2705" ht="21" customHeight="1">
      <x:c r="A2705" s="1" t="str">
        <x:v>C0006623</x:v>
      </x:c>
      <x:c r="B2705" s="1" t="n">
        <x:v>29</x:v>
      </x:c>
      <x:c r="C2705" s="1" t="n">
        <x:v>59</x:v>
      </x:c>
      <x:c r="D2705" s="6" t="n">
        <x:v>16166</x:v>
      </x:c>
      <x:c r="E2705" s="6" t="n">
        <x:v>17666</x:v>
      </x:c>
      <x:c r="F2705" s="6" t="n">
        <x:v>0</x:v>
      </x:c>
      <x:c r="G2705" s="6" t="n">
        <x:v>17666</x:v>
      </x:c>
      <x:c r="H2705" s="6" t="n">
        <x:v>1500</x:v>
      </x:c>
    </x:row>
    <x:row r="2706" ht="21" customHeight="1">
      <x:c r="A2706" s="1" t="str">
        <x:v>C0006648</x:v>
      </x:c>
      <x:c r="B2706" s="1" t="n">
        <x:v>18</x:v>
      </x:c>
      <x:c r="C2706" s="1" t="n">
        <x:v>48</x:v>
      </x:c>
      <x:c r="D2706" s="6" t="n">
        <x:v>11766</x:v>
      </x:c>
      <x:c r="E2706" s="6" t="n">
        <x:v>13266</x:v>
      </x:c>
      <x:c r="F2706" s="6" t="n">
        <x:v>0</x:v>
      </x:c>
      <x:c r="G2706" s="6" t="n">
        <x:v>13266</x:v>
      </x:c>
      <x:c r="H2706" s="6" t="n">
        <x:v>1500</x:v>
      </x:c>
    </x:row>
    <x:row r="2707" ht="21" customHeight="1">
      <x:c r="A2707" s="1" t="str">
        <x:v>C0006673</x:v>
      </x:c>
      <x:c r="B2707" s="1" t="n">
        <x:v>12</x:v>
      </x:c>
      <x:c r="C2707" s="1" t="n">
        <x:v>42</x:v>
      </x:c>
      <x:c r="D2707" s="6" t="n">
        <x:v>14519</x:v>
      </x:c>
      <x:c r="E2707" s="6" t="n">
        <x:v>16019</x:v>
      </x:c>
      <x:c r="F2707" s="6" t="n">
        <x:v>0</x:v>
      </x:c>
      <x:c r="G2707" s="6" t="n">
        <x:v>16019</x:v>
      </x:c>
      <x:c r="H2707" s="6" t="n">
        <x:v>1500</x:v>
      </x:c>
    </x:row>
    <x:row r="2708" ht="21" customHeight="1">
      <x:c r="A2708" s="1" t="str">
        <x:v>C0006699</x:v>
      </x:c>
      <x:c r="B2708" s="1" t="n">
        <x:v>24</x:v>
      </x:c>
      <x:c r="C2708" s="1" t="n">
        <x:v>114</x:v>
      </x:c>
      <x:c r="D2708" s="6" t="n">
        <x:v>16088</x:v>
      </x:c>
      <x:c r="E2708" s="6" t="n">
        <x:v>17588</x:v>
      </x:c>
      <x:c r="F2708" s="6" t="n">
        <x:v>0</x:v>
      </x:c>
      <x:c r="G2708" s="6" t="n">
        <x:v>17588</x:v>
      </x:c>
      <x:c r="H2708" s="6" t="n">
        <x:v>1500</x:v>
      </x:c>
    </x:row>
    <x:row r="2709" ht="21" customHeight="1">
      <x:c r="A2709" s="1" t="str">
        <x:v>C0006721</x:v>
      </x:c>
      <x:c r="B2709" s="1" t="n">
        <x:v>22</x:v>
      </x:c>
      <x:c r="C2709" s="1" t="n">
        <x:v>82</x:v>
      </x:c>
      <x:c r="D2709" s="6" t="n">
        <x:v>19847</x:v>
      </x:c>
      <x:c r="E2709" s="6" t="n">
        <x:v>21347</x:v>
      </x:c>
      <x:c r="F2709" s="6" t="n">
        <x:v>0</x:v>
      </x:c>
      <x:c r="G2709" s="6" t="n">
        <x:v>21347</x:v>
      </x:c>
      <x:c r="H2709" s="6" t="n">
        <x:v>1500</x:v>
      </x:c>
    </x:row>
    <x:row r="2710" ht="21" customHeight="1">
      <x:c r="A2710" s="1" t="str">
        <x:v>C0011646</x:v>
      </x:c>
      <x:c r="B2710" s="1" t="n">
        <x:v>17</x:v>
      </x:c>
      <x:c r="C2710" s="1" t="n">
        <x:v>17</x:v>
      </x:c>
      <x:c r="D2710" s="6" t="n">
        <x:v>6299</x:v>
      </x:c>
      <x:c r="E2710" s="6" t="n">
        <x:v>7799</x:v>
      </x:c>
      <x:c r="F2710" s="6" t="n">
        <x:v>0</x:v>
      </x:c>
      <x:c r="G2710" s="6" t="n">
        <x:v>7799</x:v>
      </x:c>
      <x:c r="H2710" s="6" t="n">
        <x:v>1500</x:v>
      </x:c>
    </x:row>
    <x:row r="2711" ht="21" customHeight="1">
      <x:c r="A2711" s="1" t="str">
        <x:v>C0011656</x:v>
      </x:c>
      <x:c r="B2711" s="1" t="n">
        <x:v>28</x:v>
      </x:c>
      <x:c r="C2711" s="1" t="n">
        <x:v>58</x:v>
      </x:c>
      <x:c r="D2711" s="6" t="n">
        <x:v>9512</x:v>
      </x:c>
      <x:c r="E2711" s="6" t="n">
        <x:v>11012</x:v>
      </x:c>
      <x:c r="F2711" s="6" t="n">
        <x:v>0</x:v>
      </x:c>
      <x:c r="G2711" s="6" t="n">
        <x:v>11012</x:v>
      </x:c>
      <x:c r="H2711" s="6" t="n">
        <x:v>1500</x:v>
      </x:c>
    </x:row>
    <x:row r="2712" ht="21" customHeight="1">
      <x:c r="A2712" s="1" t="str">
        <x:v>C0014808</x:v>
      </x:c>
      <x:c r="B2712" s="1" t="n">
        <x:v>14</x:v>
      </x:c>
      <x:c r="C2712" s="1" t="n">
        <x:v>44</x:v>
      </x:c>
      <x:c r="D2712" s="6" t="n">
        <x:v>11289</x:v>
      </x:c>
      <x:c r="E2712" s="6" t="n">
        <x:v>12789</x:v>
      </x:c>
      <x:c r="F2712" s="6" t="n">
        <x:v>0</x:v>
      </x:c>
      <x:c r="G2712" s="6" t="n">
        <x:v>12789</x:v>
      </x:c>
      <x:c r="H2712" s="6" t="n">
        <x:v>1500</x:v>
      </x:c>
    </x:row>
    <x:row r="2713" ht="21" customHeight="1">
      <x:c r="A2713" s="1" t="str">
        <x:v>C0011762</x:v>
      </x:c>
      <x:c r="B2713" s="1" t="n">
        <x:v>18</x:v>
      </x:c>
      <x:c r="C2713" s="1" t="n">
        <x:v>48</x:v>
      </x:c>
      <x:c r="D2713" s="6" t="n">
        <x:v>41252</x:v>
      </x:c>
      <x:c r="E2713" s="6" t="n">
        <x:v>42752</x:v>
      </x:c>
      <x:c r="F2713" s="6" t="n">
        <x:v>0</x:v>
      </x:c>
      <x:c r="G2713" s="6" t="n">
        <x:v>42752</x:v>
      </x:c>
      <x:c r="H2713" s="6" t="n">
        <x:v>1500</x:v>
      </x:c>
    </x:row>
    <x:row r="2714" ht="21" customHeight="1">
      <x:c r="A2714" s="1" t="str">
        <x:v>C0013036</x:v>
      </x:c>
      <x:c r="B2714" s="1" t="n">
        <x:v>17</x:v>
      </x:c>
      <x:c r="C2714" s="1" t="n">
        <x:v>17</x:v>
      </x:c>
      <x:c r="D2714" s="6" t="n">
        <x:v>15845</x:v>
      </x:c>
      <x:c r="E2714" s="6" t="n">
        <x:v>17345</x:v>
      </x:c>
      <x:c r="F2714" s="6" t="n">
        <x:v>0</x:v>
      </x:c>
      <x:c r="G2714" s="6" t="n">
        <x:v>17345</x:v>
      </x:c>
      <x:c r="H2714" s="6" t="n">
        <x:v>1500</x:v>
      </x:c>
    </x:row>
    <x:row r="2715" ht="21" customHeight="1">
      <x:c r="A2715" s="1" t="str">
        <x:v>C0013038</x:v>
      </x:c>
      <x:c r="B2715" s="1" t="n">
        <x:v>4</x:v>
      </x:c>
      <x:c r="C2715" s="1" t="n">
        <x:v>34</x:v>
      </x:c>
      <x:c r="D2715" s="6" t="n">
        <x:v>9988</x:v>
      </x:c>
      <x:c r="E2715" s="6" t="n">
        <x:v>11488</x:v>
      </x:c>
      <x:c r="F2715" s="6" t="n">
        <x:v>0</x:v>
      </x:c>
      <x:c r="G2715" s="6" t="n">
        <x:v>11488</x:v>
      </x:c>
      <x:c r="H2715" s="6" t="n">
        <x:v>1500</x:v>
      </x:c>
    </x:row>
    <x:row r="2716" ht="21" customHeight="1">
      <x:c r="A2716" s="1" t="str">
        <x:v>C0004974</x:v>
      </x:c>
      <x:c r="B2716" s="1" t="n">
        <x:v>19</x:v>
      </x:c>
      <x:c r="C2716" s="1" t="n">
        <x:v>49</x:v>
      </x:c>
      <x:c r="D2716" s="6" t="n">
        <x:v>14066</x:v>
      </x:c>
      <x:c r="E2716" s="6" t="n">
        <x:v>15566</x:v>
      </x:c>
      <x:c r="F2716" s="6" t="n">
        <x:v>0</x:v>
      </x:c>
      <x:c r="G2716" s="6" t="n">
        <x:v>15566</x:v>
      </x:c>
      <x:c r="H2716" s="6" t="n">
        <x:v>1500</x:v>
      </x:c>
    </x:row>
    <x:row r="2717" ht="21" customHeight="1">
      <x:c r="A2717" s="1" t="str">
        <x:v>C0004993</x:v>
      </x:c>
      <x:c r="B2717" s="1" t="n">
        <x:v>11</x:v>
      </x:c>
      <x:c r="C2717" s="1" t="n">
        <x:v>41</x:v>
      </x:c>
      <x:c r="D2717" s="6" t="n">
        <x:v>26268</x:v>
      </x:c>
      <x:c r="E2717" s="6" t="n">
        <x:v>27768</x:v>
      </x:c>
      <x:c r="F2717" s="6" t="n">
        <x:v>0</x:v>
      </x:c>
      <x:c r="G2717" s="6" t="n">
        <x:v>27768</x:v>
      </x:c>
      <x:c r="H2717" s="6" t="n">
        <x:v>1500</x:v>
      </x:c>
    </x:row>
    <x:row r="2718" ht="21" customHeight="1">
      <x:c r="A2718" s="1" t="str">
        <x:v>C0005027</x:v>
      </x:c>
      <x:c r="B2718" s="1" t="n">
        <x:v>3</x:v>
      </x:c>
      <x:c r="C2718" s="1" t="n">
        <x:v>3</x:v>
      </x:c>
      <x:c r="D2718" s="6" t="n">
        <x:v>20198</x:v>
      </x:c>
      <x:c r="E2718" s="6" t="n">
        <x:v>21698</x:v>
      </x:c>
      <x:c r="F2718" s="6" t="n">
        <x:v>0</x:v>
      </x:c>
      <x:c r="G2718" s="6" t="n">
        <x:v>21698</x:v>
      </x:c>
      <x:c r="H2718" s="6" t="n">
        <x:v>1500</x:v>
      </x:c>
    </x:row>
    <x:row r="2719" ht="21" customHeight="1">
      <x:c r="A2719" s="1" t="str">
        <x:v>C0005168</x:v>
      </x:c>
      <x:c r="B2719" s="1" t="n">
        <x:v>19</x:v>
      </x:c>
      <x:c r="C2719" s="1" t="n">
        <x:v>49</x:v>
      </x:c>
      <x:c r="D2719" s="6" t="n">
        <x:v>7730</x:v>
      </x:c>
      <x:c r="E2719" s="6" t="n">
        <x:v>9230</x:v>
      </x:c>
      <x:c r="F2719" s="6" t="n">
        <x:v>0</x:v>
      </x:c>
      <x:c r="G2719" s="6" t="n">
        <x:v>9230</x:v>
      </x:c>
      <x:c r="H2719" s="6" t="n">
        <x:v>1500</x:v>
      </x:c>
    </x:row>
    <x:row r="2720" ht="21" customHeight="1">
      <x:c r="A2720" s="1" t="str">
        <x:v>C0005169</x:v>
      </x:c>
      <x:c r="B2720" s="1" t="n">
        <x:v>12</x:v>
      </x:c>
      <x:c r="C2720" s="1" t="n">
        <x:v>42</x:v>
      </x:c>
      <x:c r="D2720" s="6" t="n">
        <x:v>14519</x:v>
      </x:c>
      <x:c r="E2720" s="6" t="n">
        <x:v>16019</x:v>
      </x:c>
      <x:c r="F2720" s="6" t="n">
        <x:v>0</x:v>
      </x:c>
      <x:c r="G2720" s="6" t="n">
        <x:v>16019</x:v>
      </x:c>
      <x:c r="H2720" s="6" t="n">
        <x:v>1500</x:v>
      </x:c>
    </x:row>
    <x:row r="2721" ht="21" customHeight="1">
      <x:c r="A2721" s="1" t="str">
        <x:v>C0005175</x:v>
      </x:c>
      <x:c r="B2721" s="1" t="n">
        <x:v>15</x:v>
      </x:c>
      <x:c r="C2721" s="1" t="n">
        <x:v>105</x:v>
      </x:c>
      <x:c r="D2721" s="6" t="n">
        <x:v>39090</x:v>
      </x:c>
      <x:c r="E2721" s="6" t="n">
        <x:v>40590</x:v>
      </x:c>
      <x:c r="F2721" s="6" t="n">
        <x:v>0</x:v>
      </x:c>
      <x:c r="G2721" s="6" t="n">
        <x:v>40590</x:v>
      </x:c>
      <x:c r="H2721" s="6" t="n">
        <x:v>1500</x:v>
      </x:c>
    </x:row>
    <x:row r="2722" ht="21" customHeight="1">
      <x:c r="A2722" s="1" t="str">
        <x:v>C0013068</x:v>
      </x:c>
      <x:c r="B2722" s="1" t="n">
        <x:v>9</x:v>
      </x:c>
      <x:c r="C2722" s="1" t="n">
        <x:v>99</x:v>
      </x:c>
      <x:c r="D2722" s="6" t="n">
        <x:v>5703</x:v>
      </x:c>
      <x:c r="E2722" s="6" t="n">
        <x:v>7203</x:v>
      </x:c>
      <x:c r="F2722" s="6" t="n">
        <x:v>0</x:v>
      </x:c>
      <x:c r="G2722" s="6" t="n">
        <x:v>7203</x:v>
      </x:c>
      <x:c r="H2722" s="6" t="n">
        <x:v>1500</x:v>
      </x:c>
    </x:row>
    <x:row r="2723" ht="21" customHeight="1">
      <x:c r="A2723" s="1" t="str">
        <x:v>C0013073</x:v>
      </x:c>
      <x:c r="B2723" s="1" t="n">
        <x:v>8</x:v>
      </x:c>
      <x:c r="C2723" s="1" t="n">
        <x:v>8</x:v>
      </x:c>
      <x:c r="D2723" s="6" t="n">
        <x:v>16308</x:v>
      </x:c>
      <x:c r="E2723" s="6" t="n">
        <x:v>17808</x:v>
      </x:c>
      <x:c r="F2723" s="6" t="n">
        <x:v>0</x:v>
      </x:c>
      <x:c r="G2723" s="6" t="n">
        <x:v>17808</x:v>
      </x:c>
      <x:c r="H2723" s="6" t="n">
        <x:v>1500</x:v>
      </x:c>
    </x:row>
    <x:row r="2724" ht="21" customHeight="1">
      <x:c r="A2724" s="1" t="str">
        <x:v>C0013131</x:v>
      </x:c>
      <x:c r="B2724" s="1" t="n">
        <x:v>8</x:v>
      </x:c>
      <x:c r="C2724" s="1" t="n">
        <x:v>98</x:v>
      </x:c>
      <x:c r="D2724" s="6" t="n">
        <x:v>9625</x:v>
      </x:c>
      <x:c r="E2724" s="6" t="n">
        <x:v>11125</x:v>
      </x:c>
      <x:c r="F2724" s="6" t="n">
        <x:v>0</x:v>
      </x:c>
      <x:c r="G2724" s="6" t="n">
        <x:v>11125</x:v>
      </x:c>
      <x:c r="H2724" s="6" t="n">
        <x:v>1500</x:v>
      </x:c>
    </x:row>
    <x:row r="2725" ht="21" customHeight="1">
      <x:c r="A2725" s="1" t="str">
        <x:v>C0013200</x:v>
      </x:c>
      <x:c r="B2725" s="1" t="n">
        <x:v>20</x:v>
      </x:c>
      <x:c r="C2725" s="1" t="n">
        <x:v>110</x:v>
      </x:c>
      <x:c r="D2725" s="6" t="n">
        <x:v>20447</x:v>
      </x:c>
      <x:c r="E2725" s="6" t="n">
        <x:v>21947</x:v>
      </x:c>
      <x:c r="F2725" s="6" t="n">
        <x:v>0</x:v>
      </x:c>
      <x:c r="G2725" s="6" t="n">
        <x:v>21947</x:v>
      </x:c>
      <x:c r="H2725" s="6" t="n">
        <x:v>1500</x:v>
      </x:c>
    </x:row>
    <x:row r="2726" ht="21" customHeight="1">
      <x:c r="A2726" s="1" t="str">
        <x:v>C0011737</x:v>
      </x:c>
      <x:c r="B2726" s="1" t="n">
        <x:v>11</x:v>
      </x:c>
      <x:c r="C2726" s="1" t="n">
        <x:v>71</x:v>
      </x:c>
      <x:c r="D2726" s="6" t="n">
        <x:v>19270</x:v>
      </x:c>
      <x:c r="E2726" s="6" t="n">
        <x:v>20770</x:v>
      </x:c>
      <x:c r="F2726" s="6" t="n">
        <x:v>0</x:v>
      </x:c>
      <x:c r="G2726" s="6" t="n">
        <x:v>20770</x:v>
      </x:c>
      <x:c r="H2726" s="6" t="n">
        <x:v>1500</x:v>
      </x:c>
    </x:row>
    <x:row r="2727" ht="21" customHeight="1">
      <x:c r="A2727" s="1" t="str">
        <x:v>C0012761</x:v>
      </x:c>
      <x:c r="B2727" s="1" t="n">
        <x:v>1</x:v>
      </x:c>
      <x:c r="C2727" s="1" t="n">
        <x:v>31</x:v>
      </x:c>
      <x:c r="D2727" s="6" t="n">
        <x:v>22633</x:v>
      </x:c>
      <x:c r="E2727" s="6" t="n">
        <x:v>24133</x:v>
      </x:c>
      <x:c r="F2727" s="6" t="n">
        <x:v>0</x:v>
      </x:c>
      <x:c r="G2727" s="6" t="n">
        <x:v>24133</x:v>
      </x:c>
      <x:c r="H2727" s="6" t="n">
        <x:v>1500</x:v>
      </x:c>
    </x:row>
    <x:row r="2728" ht="21" customHeight="1">
      <x:c r="A2728" s="1" t="str">
        <x:v>C0012777</x:v>
      </x:c>
      <x:c r="B2728" s="1" t="n">
        <x:v>13</x:v>
      </x:c>
      <x:c r="C2728" s="1" t="n">
        <x:v>103</x:v>
      </x:c>
      <x:c r="D2728" s="6" t="n">
        <x:v>24585</x:v>
      </x:c>
      <x:c r="E2728" s="6" t="n">
        <x:v>26085</x:v>
      </x:c>
      <x:c r="F2728" s="6" t="n">
        <x:v>0</x:v>
      </x:c>
      <x:c r="G2728" s="6" t="n">
        <x:v>26085</x:v>
      </x:c>
      <x:c r="H2728" s="6" t="n">
        <x:v>1500</x:v>
      </x:c>
    </x:row>
    <x:row r="2729" ht="21" customHeight="1">
      <x:c r="A2729" s="1" t="str">
        <x:v>C0012782</x:v>
      </x:c>
      <x:c r="B2729" s="1" t="n">
        <x:v>7</x:v>
      </x:c>
      <x:c r="C2729" s="1" t="n">
        <x:v>37</x:v>
      </x:c>
      <x:c r="D2729" s="6" t="n">
        <x:v>13338</x:v>
      </x:c>
      <x:c r="E2729" s="6" t="n">
        <x:v>14838</x:v>
      </x:c>
      <x:c r="F2729" s="6" t="n">
        <x:v>0</x:v>
      </x:c>
      <x:c r="G2729" s="6" t="n">
        <x:v>14838</x:v>
      </x:c>
      <x:c r="H2729" s="6" t="n">
        <x:v>1500</x:v>
      </x:c>
    </x:row>
    <x:row r="2730" ht="21" customHeight="1">
      <x:c r="A2730" s="1" t="str">
        <x:v>C0012790</x:v>
      </x:c>
      <x:c r="B2730" s="1" t="n">
        <x:v>13</x:v>
      </x:c>
      <x:c r="C2730" s="1" t="n">
        <x:v>73</x:v>
      </x:c>
      <x:c r="D2730" s="6" t="n">
        <x:v>15164</x:v>
      </x:c>
      <x:c r="E2730" s="6" t="n">
        <x:v>16664</x:v>
      </x:c>
      <x:c r="F2730" s="6" t="n">
        <x:v>0</x:v>
      </x:c>
      <x:c r="G2730" s="6" t="n">
        <x:v>16664</x:v>
      </x:c>
      <x:c r="H2730" s="6" t="n">
        <x:v>1500</x:v>
      </x:c>
    </x:row>
    <x:row r="2731" ht="21" customHeight="1">
      <x:c r="A2731" s="1" t="str">
        <x:v>C0012792</x:v>
      </x:c>
      <x:c r="B2731" s="1" t="n">
        <x:v>4</x:v>
      </x:c>
      <x:c r="C2731" s="1" t="n">
        <x:v>94</x:v>
      </x:c>
      <x:c r="D2731" s="6" t="n">
        <x:v>19504</x:v>
      </x:c>
      <x:c r="E2731" s="6" t="n">
        <x:v>21004</x:v>
      </x:c>
      <x:c r="F2731" s="6" t="n">
        <x:v>0</x:v>
      </x:c>
      <x:c r="G2731" s="6" t="n">
        <x:v>21004</x:v>
      </x:c>
      <x:c r="H2731" s="6" t="n">
        <x:v>1500</x:v>
      </x:c>
    </x:row>
    <x:row r="2732" ht="21" customHeight="1">
      <x:c r="A2732" s="1" t="str">
        <x:v>C0012806</x:v>
      </x:c>
      <x:c r="B2732" s="1" t="n">
        <x:v>25</x:v>
      </x:c>
      <x:c r="C2732" s="1" t="n">
        <x:v>85</x:v>
      </x:c>
      <x:c r="D2732" s="6" t="n">
        <x:v>24107</x:v>
      </x:c>
      <x:c r="E2732" s="6" t="n">
        <x:v>25607</x:v>
      </x:c>
      <x:c r="F2732" s="6" t="n">
        <x:v>0</x:v>
      </x:c>
      <x:c r="G2732" s="6" t="n">
        <x:v>25607</x:v>
      </x:c>
      <x:c r="H2732" s="6" t="n">
        <x:v>1500</x:v>
      </x:c>
    </x:row>
    <x:row r="2733" ht="21" customHeight="1">
      <x:c r="A2733" s="1" t="str">
        <x:v>C0012813</x:v>
      </x:c>
      <x:c r="B2733" s="1" t="n">
        <x:v>18</x:v>
      </x:c>
      <x:c r="C2733" s="1" t="n">
        <x:v>18</x:v>
      </x:c>
      <x:c r="D2733" s="6" t="n">
        <x:v>15413</x:v>
      </x:c>
      <x:c r="E2733" s="6" t="n">
        <x:v>16913</x:v>
      </x:c>
      <x:c r="F2733" s="6" t="n">
        <x:v>0</x:v>
      </x:c>
      <x:c r="G2733" s="6" t="n">
        <x:v>16913</x:v>
      </x:c>
      <x:c r="H2733" s="6" t="n">
        <x:v>1500</x:v>
      </x:c>
    </x:row>
    <x:row r="2734" ht="21" customHeight="1">
      <x:c r="A2734" s="1" t="str">
        <x:v>C0012818</x:v>
      </x:c>
      <x:c r="B2734" s="1" t="n">
        <x:v>5</x:v>
      </x:c>
      <x:c r="C2734" s="1" t="n">
        <x:v>95</x:v>
      </x:c>
      <x:c r="D2734" s="6" t="n">
        <x:v>7520</x:v>
      </x:c>
      <x:c r="E2734" s="6" t="n">
        <x:v>9020</x:v>
      </x:c>
      <x:c r="F2734" s="6" t="n">
        <x:v>0</x:v>
      </x:c>
      <x:c r="G2734" s="6" t="n">
        <x:v>9020</x:v>
      </x:c>
      <x:c r="H2734" s="6" t="n">
        <x:v>1500</x:v>
      </x:c>
    </x:row>
    <x:row r="2735" ht="21" customHeight="1">
      <x:c r="A2735" s="1" t="str">
        <x:v>C0012823</x:v>
      </x:c>
      <x:c r="B2735" s="1" t="n">
        <x:v>2</x:v>
      </x:c>
      <x:c r="C2735" s="1" t="n">
        <x:v>62</x:v>
      </x:c>
      <x:c r="D2735" s="6" t="n">
        <x:v>18369</x:v>
      </x:c>
      <x:c r="E2735" s="6" t="n">
        <x:v>19869</x:v>
      </x:c>
      <x:c r="F2735" s="6" t="n">
        <x:v>0</x:v>
      </x:c>
      <x:c r="G2735" s="6" t="n">
        <x:v>19869</x:v>
      </x:c>
      <x:c r="H2735" s="6" t="n">
        <x:v>1500</x:v>
      </x:c>
    </x:row>
    <x:row r="2736" ht="21" customHeight="1">
      <x:c r="A2736" s="1" t="str">
        <x:v>C0012883</x:v>
      </x:c>
      <x:c r="B2736" s="1" t="n">
        <x:v>7</x:v>
      </x:c>
      <x:c r="C2736" s="1" t="n">
        <x:v>7</x:v>
      </x:c>
      <x:c r="D2736" s="6" t="n">
        <x:v>14431</x:v>
      </x:c>
      <x:c r="E2736" s="6" t="n">
        <x:v>15931</x:v>
      </x:c>
      <x:c r="F2736" s="6" t="n">
        <x:v>0</x:v>
      </x:c>
      <x:c r="G2736" s="6" t="n">
        <x:v>15931</x:v>
      </x:c>
      <x:c r="H2736" s="6" t="n">
        <x:v>1500</x:v>
      </x:c>
    </x:row>
    <x:row r="2737" ht="21" customHeight="1">
      <x:c r="A2737" s="1" t="str">
        <x:v>C0012897</x:v>
      </x:c>
      <x:c r="B2737" s="1" t="n">
        <x:v>10</x:v>
      </x:c>
      <x:c r="C2737" s="1" t="n">
        <x:v>40</x:v>
      </x:c>
      <x:c r="D2737" s="6" t="n">
        <x:v>17438</x:v>
      </x:c>
      <x:c r="E2737" s="6" t="n">
        <x:v>18938</x:v>
      </x:c>
      <x:c r="F2737" s="6" t="n">
        <x:v>0</x:v>
      </x:c>
      <x:c r="G2737" s="6" t="n">
        <x:v>18938</x:v>
      </x:c>
      <x:c r="H2737" s="6" t="n">
        <x:v>1500</x:v>
      </x:c>
    </x:row>
    <x:row r="2738" ht="21" customHeight="1">
      <x:c r="A2738" s="1" t="str">
        <x:v>C0012900</x:v>
      </x:c>
      <x:c r="B2738" s="1" t="n">
        <x:v>23</x:v>
      </x:c>
      <x:c r="C2738" s="1" t="n">
        <x:v>23</x:v>
      </x:c>
      <x:c r="D2738" s="6" t="n">
        <x:v>7455</x:v>
      </x:c>
      <x:c r="E2738" s="6" t="n">
        <x:v>8955</x:v>
      </x:c>
      <x:c r="F2738" s="6" t="n">
        <x:v>0</x:v>
      </x:c>
      <x:c r="G2738" s="6" t="n">
        <x:v>8955</x:v>
      </x:c>
      <x:c r="H2738" s="6" t="n">
        <x:v>1500</x:v>
      </x:c>
    </x:row>
    <x:row r="2739" ht="21" customHeight="1">
      <x:c r="A2739" s="1" t="str">
        <x:v>C0005191</x:v>
      </x:c>
      <x:c r="B2739" s="1" t="n">
        <x:v>19</x:v>
      </x:c>
      <x:c r="C2739" s="1" t="n">
        <x:v>19</x:v>
      </x:c>
      <x:c r="D2739" s="6" t="n">
        <x:v>7377</x:v>
      </x:c>
      <x:c r="E2739" s="6" t="n">
        <x:v>8877</x:v>
      </x:c>
      <x:c r="F2739" s="6" t="n">
        <x:v>0</x:v>
      </x:c>
      <x:c r="G2739" s="6" t="n">
        <x:v>8877</x:v>
      </x:c>
      <x:c r="H2739" s="6" t="n">
        <x:v>1500</x:v>
      </x:c>
    </x:row>
    <x:row r="2740" ht="21" customHeight="1">
      <x:c r="A2740" s="1" t="str">
        <x:v>C0013028</x:v>
      </x:c>
      <x:c r="B2740" s="1" t="n">
        <x:v>10</x:v>
      </x:c>
      <x:c r="C2740" s="1" t="n">
        <x:v>70</x:v>
      </x:c>
      <x:c r="D2740" s="6" t="n">
        <x:v>5496</x:v>
      </x:c>
      <x:c r="E2740" s="6" t="n">
        <x:v>6996</x:v>
      </x:c>
      <x:c r="F2740" s="6" t="n">
        <x:v>0</x:v>
      </x:c>
      <x:c r="G2740" s="6" t="n">
        <x:v>6996</x:v>
      </x:c>
      <x:c r="H2740" s="6" t="n">
        <x:v>1500</x:v>
      </x:c>
    </x:row>
    <x:row r="2741" ht="21" customHeight="1">
      <x:c r="A2741" s="1" t="str">
        <x:v>C0005215</x:v>
      </x:c>
      <x:c r="B2741" s="1" t="n">
        <x:v>24</x:v>
      </x:c>
      <x:c r="C2741" s="1" t="n">
        <x:v>84</x:v>
      </x:c>
      <x:c r="D2741" s="6" t="n">
        <x:v>46102</x:v>
      </x:c>
      <x:c r="E2741" s="6" t="n">
        <x:v>47602</x:v>
      </x:c>
      <x:c r="F2741" s="6" t="n">
        <x:v>0</x:v>
      </x:c>
      <x:c r="G2741" s="6" t="n">
        <x:v>47602</x:v>
      </x:c>
      <x:c r="H2741" s="6" t="n">
        <x:v>1500</x:v>
      </x:c>
    </x:row>
    <x:row r="2742" ht="21" customHeight="1">
      <x:c r="A2742" s="1" t="str">
        <x:v>C0005219</x:v>
      </x:c>
      <x:c r="B2742" s="1" t="n">
        <x:v>23</x:v>
      </x:c>
      <x:c r="C2742" s="1" t="n">
        <x:v>113</x:v>
      </x:c>
      <x:c r="D2742" s="6" t="n">
        <x:v>15353</x:v>
      </x:c>
      <x:c r="E2742" s="6" t="n">
        <x:v>16853</x:v>
      </x:c>
      <x:c r="F2742" s="6" t="n">
        <x:v>0</x:v>
      </x:c>
      <x:c r="G2742" s="6" t="n">
        <x:v>16853</x:v>
      </x:c>
      <x:c r="H2742" s="6" t="n">
        <x:v>1500</x:v>
      </x:c>
    </x:row>
    <x:row r="2743" ht="21" customHeight="1">
      <x:c r="A2743" s="1" t="str">
        <x:v>C0005236</x:v>
      </x:c>
      <x:c r="B2743" s="1" t="n">
        <x:v>19</x:v>
      </x:c>
      <x:c r="C2743" s="1" t="n">
        <x:v>109</x:v>
      </x:c>
      <x:c r="D2743" s="6" t="n">
        <x:v>21330</x:v>
      </x:c>
      <x:c r="E2743" s="6" t="n">
        <x:v>22830</x:v>
      </x:c>
      <x:c r="F2743" s="6" t="n">
        <x:v>0</x:v>
      </x:c>
      <x:c r="G2743" s="6" t="n">
        <x:v>22830</x:v>
      </x:c>
      <x:c r="H2743" s="6" t="n">
        <x:v>1500</x:v>
      </x:c>
    </x:row>
    <x:row r="2744" ht="21" customHeight="1">
      <x:c r="A2744" s="1" t="str">
        <x:v>C0005282</x:v>
      </x:c>
      <x:c r="B2744" s="1" t="n">
        <x:v>24</x:v>
      </x:c>
      <x:c r="C2744" s="1" t="n">
        <x:v>54</x:v>
      </x:c>
      <x:c r="D2744" s="6" t="n">
        <x:v>8462</x:v>
      </x:c>
      <x:c r="E2744" s="6" t="n">
        <x:v>9962</x:v>
      </x:c>
      <x:c r="F2744" s="6" t="n">
        <x:v>0</x:v>
      </x:c>
      <x:c r="G2744" s="6" t="n">
        <x:v>9962</x:v>
      </x:c>
      <x:c r="H2744" s="6" t="n">
        <x:v>1500</x:v>
      </x:c>
    </x:row>
    <x:row r="2745" ht="21" customHeight="1">
      <x:c r="A2745" s="1" t="str">
        <x:v>C0005295</x:v>
      </x:c>
      <x:c r="B2745" s="1" t="n">
        <x:v>7</x:v>
      </x:c>
      <x:c r="C2745" s="1" t="n">
        <x:v>37</x:v>
      </x:c>
      <x:c r="D2745" s="6" t="n">
        <x:v>15101</x:v>
      </x:c>
      <x:c r="E2745" s="6" t="n">
        <x:v>16601</x:v>
      </x:c>
      <x:c r="F2745" s="6" t="n">
        <x:v>0</x:v>
      </x:c>
      <x:c r="G2745" s="6" t="n">
        <x:v>16601</x:v>
      </x:c>
      <x:c r="H2745" s="6" t="n">
        <x:v>1500</x:v>
      </x:c>
    </x:row>
    <x:row r="2746" ht="21" customHeight="1">
      <x:c r="A2746" s="1" t="str">
        <x:v>C0005319</x:v>
      </x:c>
      <x:c r="B2746" s="1" t="n">
        <x:v>20</x:v>
      </x:c>
      <x:c r="C2746" s="1" t="n">
        <x:v>50</x:v>
      </x:c>
      <x:c r="D2746" s="6" t="n">
        <x:v>17119</x:v>
      </x:c>
      <x:c r="E2746" s="6" t="n">
        <x:v>18619</x:v>
      </x:c>
      <x:c r="F2746" s="6" t="n">
        <x:v>0</x:v>
      </x:c>
      <x:c r="G2746" s="6" t="n">
        <x:v>18619</x:v>
      </x:c>
      <x:c r="H2746" s="6" t="n">
        <x:v>1500</x:v>
      </x:c>
    </x:row>
    <x:row r="2747" ht="21" customHeight="1">
      <x:c r="A2747" s="1" t="str">
        <x:v>C0012920</x:v>
      </x:c>
      <x:c r="B2747" s="1" t="n">
        <x:v>18</x:v>
      </x:c>
      <x:c r="C2747" s="1" t="n">
        <x:v>78</x:v>
      </x:c>
      <x:c r="D2747" s="6" t="n">
        <x:v>21958</x:v>
      </x:c>
      <x:c r="E2747" s="6" t="n">
        <x:v>23458</x:v>
      </x:c>
      <x:c r="F2747" s="6" t="n">
        <x:v>0</x:v>
      </x:c>
      <x:c r="G2747" s="6" t="n">
        <x:v>23458</x:v>
      </x:c>
      <x:c r="H2747" s="6" t="n">
        <x:v>1500</x:v>
      </x:c>
    </x:row>
    <x:row r="2748" ht="21" customHeight="1">
      <x:c r="A2748" s="1" t="str">
        <x:v>C0012930</x:v>
      </x:c>
      <x:c r="B2748" s="1" t="n">
        <x:v>4</x:v>
      </x:c>
      <x:c r="C2748" s="1" t="n">
        <x:v>64</x:v>
      </x:c>
      <x:c r="D2748" s="6" t="n">
        <x:v>49614</x:v>
      </x:c>
      <x:c r="E2748" s="6" t="n">
        <x:v>51114</x:v>
      </x:c>
      <x:c r="F2748" s="6" t="n">
        <x:v>0</x:v>
      </x:c>
      <x:c r="G2748" s="6" t="n">
        <x:v>51114</x:v>
      </x:c>
      <x:c r="H2748" s="6" t="n">
        <x:v>1500</x:v>
      </x:c>
    </x:row>
    <x:row r="2749" ht="21" customHeight="1">
      <x:c r="A2749" s="1" t="str">
        <x:v>C0012938</x:v>
      </x:c>
      <x:c r="B2749" s="1" t="n">
        <x:v>16</x:v>
      </x:c>
      <x:c r="C2749" s="1" t="n">
        <x:v>16</x:v>
      </x:c>
      <x:c r="D2749" s="6" t="n">
        <x:v>8412</x:v>
      </x:c>
      <x:c r="E2749" s="6" t="n">
        <x:v>9912</x:v>
      </x:c>
      <x:c r="F2749" s="6" t="n">
        <x:v>0</x:v>
      </x:c>
      <x:c r="G2749" s="6" t="n">
        <x:v>9912</x:v>
      </x:c>
      <x:c r="H2749" s="6" t="n">
        <x:v>1500</x:v>
      </x:c>
    </x:row>
    <x:row r="2750" ht="21" customHeight="1">
      <x:c r="A2750" s="1" t="str">
        <x:v>C0012970</x:v>
      </x:c>
      <x:c r="B2750" s="1" t="n">
        <x:v>28</x:v>
      </x:c>
      <x:c r="C2750" s="1" t="n">
        <x:v>88</x:v>
      </x:c>
      <x:c r="D2750" s="6" t="n">
        <x:v>13626</x:v>
      </x:c>
      <x:c r="E2750" s="6" t="n">
        <x:v>15126</x:v>
      </x:c>
      <x:c r="F2750" s="6" t="n">
        <x:v>0</x:v>
      </x:c>
      <x:c r="G2750" s="6" t="n">
        <x:v>15126</x:v>
      </x:c>
      <x:c r="H2750" s="6" t="n">
        <x:v>1500</x:v>
      </x:c>
    </x:row>
    <x:row r="2751" ht="21" customHeight="1">
      <x:c r="A2751" s="1" t="str">
        <x:v>C0012985</x:v>
      </x:c>
      <x:c r="B2751" s="1" t="n">
        <x:v>22</x:v>
      </x:c>
      <x:c r="C2751" s="1" t="n">
        <x:v>52</x:v>
      </x:c>
      <x:c r="D2751" s="6" t="n">
        <x:v>16208</x:v>
      </x:c>
      <x:c r="E2751" s="6" t="n">
        <x:v>17708</x:v>
      </x:c>
      <x:c r="F2751" s="6" t="n">
        <x:v>0</x:v>
      </x:c>
      <x:c r="G2751" s="6" t="n">
        <x:v>17708</x:v>
      </x:c>
      <x:c r="H2751" s="6" t="n">
        <x:v>1500</x:v>
      </x:c>
    </x:row>
    <x:row r="2752" ht="21" customHeight="1">
      <x:c r="A2752" s="1" t="str">
        <x:v>C0013019</x:v>
      </x:c>
      <x:c r="B2752" s="1" t="n">
        <x:v>9</x:v>
      </x:c>
      <x:c r="C2752" s="1" t="n">
        <x:v>39</x:v>
      </x:c>
      <x:c r="D2752" s="6" t="n">
        <x:v>9047</x:v>
      </x:c>
      <x:c r="E2752" s="6" t="n">
        <x:v>10547</x:v>
      </x:c>
      <x:c r="F2752" s="6" t="n">
        <x:v>0</x:v>
      </x:c>
      <x:c r="G2752" s="6" t="n">
        <x:v>10547</x:v>
      </x:c>
      <x:c r="H2752" s="6" t="n">
        <x:v>1500</x:v>
      </x:c>
    </x:row>
    <x:row r="2753" ht="21" customHeight="1">
      <x:c r="A2753" s="1" t="str">
        <x:v>C0013026</x:v>
      </x:c>
      <x:c r="B2753" s="1" t="n">
        <x:v>25</x:v>
      </x:c>
      <x:c r="C2753" s="1" t="n">
        <x:v>115</x:v>
      </x:c>
      <x:c r="D2753" s="6" t="n">
        <x:v>22860</x:v>
      </x:c>
      <x:c r="E2753" s="6" t="n">
        <x:v>24360</x:v>
      </x:c>
      <x:c r="F2753" s="6" t="n">
        <x:v>0</x:v>
      </x:c>
      <x:c r="G2753" s="6" t="n">
        <x:v>24360</x:v>
      </x:c>
      <x:c r="H2753" s="6" t="n">
        <x:v>1500</x:v>
      </x:c>
    </x:row>
    <x:row r="2754" ht="21" customHeight="1">
      <x:c r="A2754" s="1" t="str">
        <x:v>C0005207</x:v>
      </x:c>
      <x:c r="B2754" s="1" t="n">
        <x:v>16</x:v>
      </x:c>
      <x:c r="C2754" s="1" t="n">
        <x:v>106</x:v>
      </x:c>
      <x:c r="D2754" s="6" t="n">
        <x:v>14368</x:v>
      </x:c>
      <x:c r="E2754" s="6" t="n">
        <x:v>15868</x:v>
      </x:c>
      <x:c r="F2754" s="6" t="n">
        <x:v>0</x:v>
      </x:c>
      <x:c r="G2754" s="6" t="n">
        <x:v>15868</x:v>
      </x:c>
      <x:c r="H2754" s="6" t="n">
        <x:v>1500</x:v>
      </x:c>
    </x:row>
    <x:row r="2755" ht="21" customHeight="1">
      <x:c r="A2755" s="1" t="str">
        <x:v>C0006916</x:v>
      </x:c>
      <x:c r="B2755" s="1" t="n">
        <x:v>11</x:v>
      </x:c>
      <x:c r="C2755" s="1" t="n">
        <x:v>71</x:v>
      </x:c>
      <x:c r="D2755" s="6" t="n">
        <x:v>30604</x:v>
      </x:c>
      <x:c r="E2755" s="6" t="n">
        <x:v>32104</x:v>
      </x:c>
      <x:c r="F2755" s="6" t="n">
        <x:v>0</x:v>
      </x:c>
      <x:c r="G2755" s="6" t="n">
        <x:v>32104</x:v>
      </x:c>
      <x:c r="H2755" s="6" t="n">
        <x:v>1500</x:v>
      </x:c>
    </x:row>
    <x:row r="2756" ht="21" customHeight="1">
      <x:c r="A2756" s="1" t="str">
        <x:v>C0006938</x:v>
      </x:c>
      <x:c r="B2756" s="1" t="n">
        <x:v>23</x:v>
      </x:c>
      <x:c r="C2756" s="1" t="n">
        <x:v>113</x:v>
      </x:c>
      <x:c r="D2756" s="6" t="n">
        <x:v>12866</x:v>
      </x:c>
      <x:c r="E2756" s="6" t="n">
        <x:v>14366</x:v>
      </x:c>
      <x:c r="F2756" s="6" t="n">
        <x:v>0</x:v>
      </x:c>
      <x:c r="G2756" s="6" t="n">
        <x:v>14366</x:v>
      </x:c>
      <x:c r="H2756" s="6" t="n">
        <x:v>1500</x:v>
      </x:c>
    </x:row>
    <x:row r="2757" ht="21" customHeight="1">
      <x:c r="A2757" s="1" t="str">
        <x:v>C0006947</x:v>
      </x:c>
      <x:c r="B2757" s="1" t="n">
        <x:v>5</x:v>
      </x:c>
      <x:c r="C2757" s="1" t="n">
        <x:v>95</x:v>
      </x:c>
      <x:c r="D2757" s="6" t="n">
        <x:v>7483</x:v>
      </x:c>
      <x:c r="E2757" s="6" t="n">
        <x:v>8983</x:v>
      </x:c>
      <x:c r="F2757" s="6" t="n">
        <x:v>0</x:v>
      </x:c>
      <x:c r="G2757" s="6" t="n">
        <x:v>8983</x:v>
      </x:c>
      <x:c r="H2757" s="6" t="n">
        <x:v>1500</x:v>
      </x:c>
    </x:row>
    <x:row r="2758" ht="21" customHeight="1">
      <x:c r="A2758" s="1" t="str">
        <x:v>C0011455</x:v>
      </x:c>
      <x:c r="B2758" s="1" t="n">
        <x:v>2</x:v>
      </x:c>
      <x:c r="C2758" s="1" t="n">
        <x:v>92</x:v>
      </x:c>
      <x:c r="D2758" s="6" t="n">
        <x:v>24904</x:v>
      </x:c>
      <x:c r="E2758" s="6" t="n">
        <x:v>26404</x:v>
      </x:c>
      <x:c r="F2758" s="6" t="n">
        <x:v>0</x:v>
      </x:c>
      <x:c r="G2758" s="6" t="n">
        <x:v>26404</x:v>
      </x:c>
      <x:c r="H2758" s="6" t="n">
        <x:v>1500</x:v>
      </x:c>
    </x:row>
    <x:row r="2759" ht="21" customHeight="1">
      <x:c r="A2759" s="1" t="str">
        <x:v>C0013336</x:v>
      </x:c>
      <x:c r="B2759" s="1" t="n">
        <x:v>12</x:v>
      </x:c>
      <x:c r="C2759" s="1" t="n">
        <x:v>102</x:v>
      </x:c>
      <x:c r="D2759" s="6" t="n">
        <x:v>44624</x:v>
      </x:c>
      <x:c r="E2759" s="6" t="n">
        <x:v>46124</x:v>
      </x:c>
      <x:c r="F2759" s="6" t="n">
        <x:v>0</x:v>
      </x:c>
      <x:c r="G2759" s="6" t="n">
        <x:v>46124</x:v>
      </x:c>
      <x:c r="H2759" s="6" t="n">
        <x:v>1500</x:v>
      </x:c>
    </x:row>
    <x:row r="2760" ht="21" customHeight="1">
      <x:c r="A2760" s="1" t="str">
        <x:v>C0013369</x:v>
      </x:c>
      <x:c r="B2760" s="1" t="n">
        <x:v>6</x:v>
      </x:c>
      <x:c r="C2760" s="1" t="n">
        <x:v>36</x:v>
      </x:c>
      <x:c r="D2760" s="6" t="n">
        <x:v>20580</x:v>
      </x:c>
      <x:c r="E2760" s="6" t="n">
        <x:v>22080</x:v>
      </x:c>
      <x:c r="F2760" s="6" t="n">
        <x:v>0</x:v>
      </x:c>
      <x:c r="G2760" s="6" t="n">
        <x:v>22080</x:v>
      </x:c>
      <x:c r="H2760" s="6" t="n">
        <x:v>1500</x:v>
      </x:c>
    </x:row>
    <x:row r="2761" ht="21" customHeight="1">
      <x:c r="A2761" s="1" t="str">
        <x:v>C0013377</x:v>
      </x:c>
      <x:c r="B2761" s="1" t="n">
        <x:v>26</x:v>
      </x:c>
      <x:c r="C2761" s="1" t="n">
        <x:v>86</x:v>
      </x:c>
      <x:c r="D2761" s="6" t="n">
        <x:v>11251</x:v>
      </x:c>
      <x:c r="E2761" s="6" t="n">
        <x:v>12751</x:v>
      </x:c>
      <x:c r="F2761" s="6" t="n">
        <x:v>0</x:v>
      </x:c>
      <x:c r="G2761" s="6" t="n">
        <x:v>12751</x:v>
      </x:c>
      <x:c r="H2761" s="6" t="n">
        <x:v>1500</x:v>
      </x:c>
    </x:row>
    <x:row r="2762" ht="21" customHeight="1">
      <x:c r="A2762" s="1" t="str">
        <x:v>C0004441</x:v>
      </x:c>
      <x:c r="B2762" s="1" t="n">
        <x:v>28</x:v>
      </x:c>
      <x:c r="C2762" s="1" t="n">
        <x:v>28</x:v>
      </x:c>
      <x:c r="D2762" s="6" t="n">
        <x:v>39534</x:v>
      </x:c>
      <x:c r="E2762" s="6" t="n">
        <x:v>41034</x:v>
      </x:c>
      <x:c r="F2762" s="6" t="n">
        <x:v>0</x:v>
      </x:c>
      <x:c r="G2762" s="6" t="n">
        <x:v>41034</x:v>
      </x:c>
      <x:c r="H2762" s="6" t="n">
        <x:v>1500</x:v>
      </x:c>
    </x:row>
    <x:row r="2763" ht="21" customHeight="1">
      <x:c r="A2763" s="1" t="str">
        <x:v>C0004447</x:v>
      </x:c>
      <x:c r="B2763" s="1" t="n">
        <x:v>20</x:v>
      </x:c>
      <x:c r="C2763" s="1" t="n">
        <x:v>20</x:v>
      </x:c>
      <x:c r="D2763" s="6" t="n">
        <x:v>24058</x:v>
      </x:c>
      <x:c r="E2763" s="6" t="n">
        <x:v>25558</x:v>
      </x:c>
      <x:c r="F2763" s="6" t="n">
        <x:v>0</x:v>
      </x:c>
      <x:c r="G2763" s="6" t="n">
        <x:v>25558</x:v>
      </x:c>
      <x:c r="H2763" s="6" t="n">
        <x:v>1500</x:v>
      </x:c>
    </x:row>
    <x:row r="2764" ht="21" customHeight="1">
      <x:c r="A2764" s="1" t="str">
        <x:v>C0004467</x:v>
      </x:c>
      <x:c r="B2764" s="1" t="n">
        <x:v>5</x:v>
      </x:c>
      <x:c r="C2764" s="1" t="n">
        <x:v>65</x:v>
      </x:c>
      <x:c r="D2764" s="6" t="n">
        <x:v>11127</x:v>
      </x:c>
      <x:c r="E2764" s="6" t="n">
        <x:v>12627</x:v>
      </x:c>
      <x:c r="F2764" s="6" t="n">
        <x:v>0</x:v>
      </x:c>
      <x:c r="G2764" s="6" t="n">
        <x:v>12627</x:v>
      </x:c>
      <x:c r="H2764" s="6" t="n">
        <x:v>1500</x:v>
      </x:c>
    </x:row>
    <x:row r="2765" ht="21" customHeight="1">
      <x:c r="A2765" s="1" t="str">
        <x:v>C0004490</x:v>
      </x:c>
      <x:c r="B2765" s="1" t="n">
        <x:v>2</x:v>
      </x:c>
      <x:c r="C2765" s="1" t="n">
        <x:v>92</x:v>
      </x:c>
      <x:c r="D2765" s="6" t="n">
        <x:v>34766</x:v>
      </x:c>
      <x:c r="E2765" s="6" t="n">
        <x:v>36266</x:v>
      </x:c>
      <x:c r="F2765" s="6" t="n">
        <x:v>0</x:v>
      </x:c>
      <x:c r="G2765" s="6" t="n">
        <x:v>36266</x:v>
      </x:c>
      <x:c r="H2765" s="6" t="n">
        <x:v>1500</x:v>
      </x:c>
    </x:row>
    <x:row r="2766" ht="21" customHeight="1">
      <x:c r="A2766" s="1" t="str">
        <x:v>C0004499</x:v>
      </x:c>
      <x:c r="B2766" s="1" t="n">
        <x:v>6</x:v>
      </x:c>
      <x:c r="C2766" s="1" t="n">
        <x:v>96</x:v>
      </x:c>
      <x:c r="D2766" s="6" t="n">
        <x:v>22946</x:v>
      </x:c>
      <x:c r="E2766" s="6" t="n">
        <x:v>24446</x:v>
      </x:c>
      <x:c r="F2766" s="6" t="n">
        <x:v>0</x:v>
      </x:c>
      <x:c r="G2766" s="6" t="n">
        <x:v>24446</x:v>
      </x:c>
      <x:c r="H2766" s="6" t="n">
        <x:v>1500</x:v>
      </x:c>
    </x:row>
    <x:row r="2767" ht="21" customHeight="1">
      <x:c r="A2767" s="1" t="str">
        <x:v>C0004520</x:v>
      </x:c>
      <x:c r="B2767" s="1" t="n">
        <x:v>21</x:v>
      </x:c>
      <x:c r="C2767" s="1" t="n">
        <x:v>21</x:v>
      </x:c>
      <x:c r="D2767" s="6" t="n">
        <x:v>5898</x:v>
      </x:c>
      <x:c r="E2767" s="6" t="n">
        <x:v>7398</x:v>
      </x:c>
      <x:c r="F2767" s="6" t="n">
        <x:v>0</x:v>
      </x:c>
      <x:c r="G2767" s="6" t="n">
        <x:v>7398</x:v>
      </x:c>
      <x:c r="H2767" s="6" t="n">
        <x:v>1500</x:v>
      </x:c>
    </x:row>
    <x:row r="2768" ht="21" customHeight="1">
      <x:c r="A2768" s="1" t="str">
        <x:v>C0013244</x:v>
      </x:c>
      <x:c r="B2768" s="1" t="n">
        <x:v>9</x:v>
      </x:c>
      <x:c r="C2768" s="1" t="n">
        <x:v>69</x:v>
      </x:c>
      <x:c r="D2768" s="6" t="n">
        <x:v>12830</x:v>
      </x:c>
      <x:c r="E2768" s="6" t="n">
        <x:v>14330</x:v>
      </x:c>
      <x:c r="F2768" s="6" t="n">
        <x:v>0</x:v>
      </x:c>
      <x:c r="G2768" s="6" t="n">
        <x:v>14330</x:v>
      </x:c>
      <x:c r="H2768" s="6" t="n">
        <x:v>1500</x:v>
      </x:c>
    </x:row>
    <x:row r="2769" ht="21" customHeight="1">
      <x:c r="A2769" s="1" t="str">
        <x:v>C0004528</x:v>
      </x:c>
      <x:c r="B2769" s="1" t="n">
        <x:v>2</x:v>
      </x:c>
      <x:c r="C2769" s="1" t="n">
        <x:v>92</x:v>
      </x:c>
      <x:c r="D2769" s="6" t="n">
        <x:v>34766</x:v>
      </x:c>
      <x:c r="E2769" s="6" t="n">
        <x:v>36266</x:v>
      </x:c>
      <x:c r="F2769" s="6" t="n">
        <x:v>0</x:v>
      </x:c>
      <x:c r="G2769" s="6" t="n">
        <x:v>36266</x:v>
      </x:c>
      <x:c r="H2769" s="6" t="n">
        <x:v>1500</x:v>
      </x:c>
    </x:row>
    <x:row r="2770" ht="21" customHeight="1">
      <x:c r="A2770" s="1" t="str">
        <x:v>C0013417</x:v>
      </x:c>
      <x:c r="B2770" s="1" t="n">
        <x:v>5</x:v>
      </x:c>
      <x:c r="C2770" s="1" t="n">
        <x:v>35</x:v>
      </x:c>
      <x:c r="D2770" s="6" t="n">
        <x:v>13082</x:v>
      </x:c>
      <x:c r="E2770" s="6" t="n">
        <x:v>14582</x:v>
      </x:c>
      <x:c r="F2770" s="6" t="n">
        <x:v>0</x:v>
      </x:c>
      <x:c r="G2770" s="6" t="n">
        <x:v>14582</x:v>
      </x:c>
      <x:c r="H2770" s="6" t="n">
        <x:v>1500</x:v>
      </x:c>
    </x:row>
    <x:row r="2771" ht="21" customHeight="1">
      <x:c r="A2771" s="1" t="str">
        <x:v>C0013424</x:v>
      </x:c>
      <x:c r="B2771" s="1" t="n">
        <x:v>21</x:v>
      </x:c>
      <x:c r="C2771" s="1" t="n">
        <x:v>81</x:v>
      </x:c>
      <x:c r="D2771" s="6" t="n">
        <x:v>11866</x:v>
      </x:c>
      <x:c r="E2771" s="6" t="n">
        <x:v>13366</x:v>
      </x:c>
      <x:c r="F2771" s="6" t="n">
        <x:v>0</x:v>
      </x:c>
      <x:c r="G2771" s="6" t="n">
        <x:v>13366</x:v>
      </x:c>
      <x:c r="H2771" s="6" t="n">
        <x:v>1500</x:v>
      </x:c>
    </x:row>
    <x:row r="2772" ht="21" customHeight="1">
      <x:c r="A2772" s="1" t="str">
        <x:v>C0013458</x:v>
      </x:c>
      <x:c r="B2772" s="1" t="n">
        <x:v>19</x:v>
      </x:c>
      <x:c r="C2772" s="1" t="n">
        <x:v>109</x:v>
      </x:c>
      <x:c r="D2772" s="6" t="n">
        <x:v>14087</x:v>
      </x:c>
      <x:c r="E2772" s="6" t="n">
        <x:v>15587</x:v>
      </x:c>
      <x:c r="F2772" s="6" t="n">
        <x:v>0</x:v>
      </x:c>
      <x:c r="G2772" s="6" t="n">
        <x:v>15587</x:v>
      </x:c>
      <x:c r="H2772" s="6" t="n">
        <x:v>1500</x:v>
      </x:c>
    </x:row>
    <x:row r="2773" ht="21" customHeight="1">
      <x:c r="A2773" s="1" t="str">
        <x:v>C0013504</x:v>
      </x:c>
      <x:c r="B2773" s="1" t="n">
        <x:v>19</x:v>
      </x:c>
      <x:c r="C2773" s="1" t="n">
        <x:v>109</x:v>
      </x:c>
      <x:c r="D2773" s="6" t="n">
        <x:v>14087</x:v>
      </x:c>
      <x:c r="E2773" s="6" t="n">
        <x:v>15587</x:v>
      </x:c>
      <x:c r="F2773" s="6" t="n">
        <x:v>0</x:v>
      </x:c>
      <x:c r="G2773" s="6" t="n">
        <x:v>15587</x:v>
      </x:c>
      <x:c r="H2773" s="6" t="n">
        <x:v>1500</x:v>
      </x:c>
    </x:row>
    <x:row r="2774" ht="21" customHeight="1">
      <x:c r="A2774" s="1" t="str">
        <x:v>C0013525</x:v>
      </x:c>
      <x:c r="B2774" s="1" t="n">
        <x:v>5</x:v>
      </x:c>
      <x:c r="C2774" s="1" t="n">
        <x:v>5</x:v>
      </x:c>
      <x:c r="D2774" s="6" t="n">
        <x:v>18730</x:v>
      </x:c>
      <x:c r="E2774" s="6" t="n">
        <x:v>20230</x:v>
      </x:c>
      <x:c r="F2774" s="6" t="n">
        <x:v>0</x:v>
      </x:c>
      <x:c r="G2774" s="6" t="n">
        <x:v>20230</x:v>
      </x:c>
      <x:c r="H2774" s="6" t="n">
        <x:v>1500</x:v>
      </x:c>
    </x:row>
    <x:row r="2775" ht="21" customHeight="1">
      <x:c r="A2775" s="1" t="str">
        <x:v>C0013529</x:v>
      </x:c>
      <x:c r="B2775" s="1" t="n">
        <x:v>23</x:v>
      </x:c>
      <x:c r="C2775" s="1" t="n">
        <x:v>53</x:v>
      </x:c>
      <x:c r="D2775" s="6" t="n">
        <x:v>6999</x:v>
      </x:c>
      <x:c r="E2775" s="6" t="n">
        <x:v>8499</x:v>
      </x:c>
      <x:c r="F2775" s="6" t="n">
        <x:v>0</x:v>
      </x:c>
      <x:c r="G2775" s="6" t="n">
        <x:v>8499</x:v>
      </x:c>
      <x:c r="H2775" s="6" t="n">
        <x:v>1500</x:v>
      </x:c>
    </x:row>
    <x:row r="2776" ht="21" customHeight="1">
      <x:c r="A2776" s="1" t="str">
        <x:v>C0013554</x:v>
      </x:c>
      <x:c r="B2776" s="1" t="n">
        <x:v>6</x:v>
      </x:c>
      <x:c r="C2776" s="1" t="n">
        <x:v>36</x:v>
      </x:c>
      <x:c r="D2776" s="6" t="n">
        <x:v>20580</x:v>
      </x:c>
      <x:c r="E2776" s="6" t="n">
        <x:v>22080</x:v>
      </x:c>
      <x:c r="F2776" s="6" t="n">
        <x:v>0</x:v>
      </x:c>
      <x:c r="G2776" s="6" t="n">
        <x:v>22080</x:v>
      </x:c>
      <x:c r="H2776" s="6" t="n">
        <x:v>1500</x:v>
      </x:c>
    </x:row>
    <x:row r="2777" ht="21" customHeight="1">
      <x:c r="A2777" s="1" t="str">
        <x:v>C0013564</x:v>
      </x:c>
      <x:c r="B2777" s="1" t="n">
        <x:v>30</x:v>
      </x:c>
      <x:c r="C2777" s="1" t="n">
        <x:v>90</x:v>
      </x:c>
      <x:c r="D2777" s="6" t="n">
        <x:v>14215</x:v>
      </x:c>
      <x:c r="E2777" s="6" t="n">
        <x:v>15715</x:v>
      </x:c>
      <x:c r="F2777" s="6" t="n">
        <x:v>0</x:v>
      </x:c>
      <x:c r="G2777" s="6" t="n">
        <x:v>15715</x:v>
      </x:c>
      <x:c r="H2777" s="6" t="n">
        <x:v>1500</x:v>
      </x:c>
    </x:row>
    <x:row r="2778" ht="21" customHeight="1">
      <x:c r="A2778" s="1" t="str">
        <x:v>C0013576</x:v>
      </x:c>
      <x:c r="B2778" s="1" t="n">
        <x:v>19</x:v>
      </x:c>
      <x:c r="C2778" s="1" t="n">
        <x:v>109</x:v>
      </x:c>
      <x:c r="D2778" s="6" t="n">
        <x:v>21330</x:v>
      </x:c>
      <x:c r="E2778" s="6" t="n">
        <x:v>22830</x:v>
      </x:c>
      <x:c r="F2778" s="6" t="n">
        <x:v>0</x:v>
      </x:c>
      <x:c r="G2778" s="6" t="n">
        <x:v>22830</x:v>
      </x:c>
      <x:c r="H2778" s="6" t="n">
        <x:v>1500</x:v>
      </x:c>
    </x:row>
    <x:row r="2779" ht="21" customHeight="1">
      <x:c r="A2779" s="1" t="str">
        <x:v>C0004294</x:v>
      </x:c>
      <x:c r="B2779" s="1" t="n">
        <x:v>8</x:v>
      </x:c>
      <x:c r="C2779" s="1" t="n">
        <x:v>8</x:v>
      </x:c>
      <x:c r="D2779" s="6" t="n">
        <x:v>16305</x:v>
      </x:c>
      <x:c r="E2779" s="6" t="n">
        <x:v>17805</x:v>
      </x:c>
      <x:c r="F2779" s="6" t="n">
        <x:v>0</x:v>
      </x:c>
      <x:c r="G2779" s="6" t="n">
        <x:v>17805</x:v>
      </x:c>
      <x:c r="H2779" s="6" t="n">
        <x:v>1500</x:v>
      </x:c>
    </x:row>
    <x:row r="2780" ht="21" customHeight="1">
      <x:c r="A2780" s="1" t="str">
        <x:v>C0004298</x:v>
      </x:c>
      <x:c r="B2780" s="1" t="n">
        <x:v>20</x:v>
      </x:c>
      <x:c r="C2780" s="1" t="n">
        <x:v>20</x:v>
      </x:c>
      <x:c r="D2780" s="6" t="n">
        <x:v>16097</x:v>
      </x:c>
      <x:c r="E2780" s="6" t="n">
        <x:v>17597</x:v>
      </x:c>
      <x:c r="F2780" s="6" t="n">
        <x:v>0</x:v>
      </x:c>
      <x:c r="G2780" s="6" t="n">
        <x:v>17597</x:v>
      </x:c>
      <x:c r="H2780" s="6" t="n">
        <x:v>1500</x:v>
      </x:c>
    </x:row>
    <x:row r="2781" ht="21" customHeight="1">
      <x:c r="A2781" s="1" t="str">
        <x:v>C0004310</x:v>
      </x:c>
      <x:c r="B2781" s="1" t="n">
        <x:v>8</x:v>
      </x:c>
      <x:c r="C2781" s="1" t="n">
        <x:v>68</x:v>
      </x:c>
      <x:c r="D2781" s="6" t="n">
        <x:v>24794</x:v>
      </x:c>
      <x:c r="E2781" s="6" t="n">
        <x:v>26294</x:v>
      </x:c>
      <x:c r="F2781" s="6" t="n">
        <x:v>0</x:v>
      </x:c>
      <x:c r="G2781" s="6" t="n">
        <x:v>26294</x:v>
      </x:c>
      <x:c r="H2781" s="6" t="n">
        <x:v>1500</x:v>
      </x:c>
    </x:row>
    <x:row r="2782" ht="21" customHeight="1">
      <x:c r="A2782" s="1" t="str">
        <x:v>C0004527</x:v>
      </x:c>
      <x:c r="B2782" s="1" t="n">
        <x:v>25</x:v>
      </x:c>
      <x:c r="C2782" s="1" t="n">
        <x:v>85</x:v>
      </x:c>
      <x:c r="D2782" s="6" t="n">
        <x:v>7793</x:v>
      </x:c>
      <x:c r="E2782" s="6" t="n">
        <x:v>9293</x:v>
      </x:c>
      <x:c r="F2782" s="6" t="n">
        <x:v>0</x:v>
      </x:c>
      <x:c r="G2782" s="6" t="n">
        <x:v>9293</x:v>
      </x:c>
      <x:c r="H2782" s="6" t="n">
        <x:v>1500</x:v>
      </x:c>
    </x:row>
    <x:row r="2783" ht="21" customHeight="1">
      <x:c r="A2783" s="1" t="str">
        <x:v>C0004776</x:v>
      </x:c>
      <x:c r="B2783" s="1" t="n">
        <x:v>24</x:v>
      </x:c>
      <x:c r="C2783" s="1" t="n">
        <x:v>24</x:v>
      </x:c>
      <x:c r="D2783" s="6" t="n">
        <x:v>11408</x:v>
      </x:c>
      <x:c r="E2783" s="6" t="n">
        <x:v>12908</x:v>
      </x:c>
      <x:c r="F2783" s="6" t="n">
        <x:v>0</x:v>
      </x:c>
      <x:c r="G2783" s="6" t="n">
        <x:v>12908</x:v>
      </x:c>
      <x:c r="H2783" s="6" t="n">
        <x:v>1500</x:v>
      </x:c>
    </x:row>
    <x:row r="2784" ht="21" customHeight="1">
      <x:c r="A2784" s="1" t="str">
        <x:v>C0004810</x:v>
      </x:c>
      <x:c r="B2784" s="1" t="n">
        <x:v>14</x:v>
      </x:c>
      <x:c r="C2784" s="1" t="n">
        <x:v>14</x:v>
      </x:c>
      <x:c r="D2784" s="6" t="n">
        <x:v>13642</x:v>
      </x:c>
      <x:c r="E2784" s="6" t="n">
        <x:v>15142</x:v>
      </x:c>
      <x:c r="F2784" s="6" t="n">
        <x:v>0</x:v>
      </x:c>
      <x:c r="G2784" s="6" t="n">
        <x:v>15142</x:v>
      </x:c>
      <x:c r="H2784" s="6" t="n">
        <x:v>1500</x:v>
      </x:c>
    </x:row>
    <x:row r="2785" ht="21" customHeight="1">
      <x:c r="A2785" s="1" t="str">
        <x:v>C0004852</x:v>
      </x:c>
      <x:c r="B2785" s="1" t="n">
        <x:v>28</x:v>
      </x:c>
      <x:c r="C2785" s="1" t="n">
        <x:v>28</x:v>
      </x:c>
      <x:c r="D2785" s="6" t="n">
        <x:v>39534</x:v>
      </x:c>
      <x:c r="E2785" s="6" t="n">
        <x:v>41034</x:v>
      </x:c>
      <x:c r="F2785" s="6" t="n">
        <x:v>0</x:v>
      </x:c>
      <x:c r="G2785" s="6" t="n">
        <x:v>41034</x:v>
      </x:c>
      <x:c r="H2785" s="6" t="n">
        <x:v>1500</x:v>
      </x:c>
    </x:row>
    <x:row r="2786" ht="21" customHeight="1">
      <x:c r="A2786" s="1" t="str">
        <x:v>C0004929</x:v>
      </x:c>
      <x:c r="B2786" s="1" t="n">
        <x:v>11</x:v>
      </x:c>
      <x:c r="C2786" s="1" t="n">
        <x:v>11</x:v>
      </x:c>
      <x:c r="D2786" s="6" t="n">
        <x:v>19341</x:v>
      </x:c>
      <x:c r="E2786" s="6" t="n">
        <x:v>20841</x:v>
      </x:c>
      <x:c r="F2786" s="6" t="n">
        <x:v>0</x:v>
      </x:c>
      <x:c r="G2786" s="6" t="n">
        <x:v>20841</x:v>
      </x:c>
      <x:c r="H2786" s="6" t="n">
        <x:v>1500</x:v>
      </x:c>
    </x:row>
    <x:row r="2787" ht="21" customHeight="1">
      <x:c r="A2787" s="1" t="str">
        <x:v>C0004623</x:v>
      </x:c>
      <x:c r="B2787" s="1" t="n">
        <x:v>20</x:v>
      </x:c>
      <x:c r="C2787" s="1" t="n">
        <x:v>20</x:v>
      </x:c>
      <x:c r="D2787" s="6" t="n">
        <x:v>24058</x:v>
      </x:c>
      <x:c r="E2787" s="6" t="n">
        <x:v>25558</x:v>
      </x:c>
      <x:c r="F2787" s="6" t="n">
        <x:v>0</x:v>
      </x:c>
      <x:c r="G2787" s="6" t="n">
        <x:v>25558</x:v>
      </x:c>
      <x:c r="H2787" s="6" t="n">
        <x:v>1500</x:v>
      </x:c>
    </x:row>
    <x:row r="2788" ht="21" customHeight="1">
      <x:c r="A2788" s="1" t="str">
        <x:v>C0004624</x:v>
      </x:c>
      <x:c r="B2788" s="1" t="n">
        <x:v>12</x:v>
      </x:c>
      <x:c r="C2788" s="1" t="n">
        <x:v>72</x:v>
      </x:c>
      <x:c r="D2788" s="6" t="n">
        <x:v>18082</x:v>
      </x:c>
      <x:c r="E2788" s="6" t="n">
        <x:v>19582</x:v>
      </x:c>
      <x:c r="F2788" s="6" t="n">
        <x:v>0</x:v>
      </x:c>
      <x:c r="G2788" s="6" t="n">
        <x:v>19582</x:v>
      </x:c>
      <x:c r="H2788" s="6" t="n">
        <x:v>1500</x:v>
      </x:c>
    </x:row>
    <x:row r="2789" ht="21" customHeight="1">
      <x:c r="A2789" s="1" t="str">
        <x:v>C0004654</x:v>
      </x:c>
      <x:c r="B2789" s="1" t="n">
        <x:v>12</x:v>
      </x:c>
      <x:c r="C2789" s="1" t="n">
        <x:v>12</x:v>
      </x:c>
      <x:c r="D2789" s="6" t="n">
        <x:v>11779</x:v>
      </x:c>
      <x:c r="E2789" s="6" t="n">
        <x:v>13279</x:v>
      </x:c>
      <x:c r="F2789" s="6" t="n">
        <x:v>0</x:v>
      </x:c>
      <x:c r="G2789" s="6" t="n">
        <x:v>13279</x:v>
      </x:c>
      <x:c r="H2789" s="6" t="n">
        <x:v>1500</x:v>
      </x:c>
    </x:row>
    <x:row r="2790" ht="21" customHeight="1">
      <x:c r="A2790" s="1" t="str">
        <x:v>C0004659</x:v>
      </x:c>
      <x:c r="B2790" s="1" t="n">
        <x:v>7</x:v>
      </x:c>
      <x:c r="C2790" s="1" t="n">
        <x:v>97</x:v>
      </x:c>
      <x:c r="D2790" s="6" t="n">
        <x:v>8647</x:v>
      </x:c>
      <x:c r="E2790" s="6" t="n">
        <x:v>10147</x:v>
      </x:c>
      <x:c r="F2790" s="6" t="n">
        <x:v>0</x:v>
      </x:c>
      <x:c r="G2790" s="6" t="n">
        <x:v>10147</x:v>
      </x:c>
      <x:c r="H2790" s="6" t="n">
        <x:v>1500</x:v>
      </x:c>
    </x:row>
    <x:row r="2791" ht="21" customHeight="1">
      <x:c r="A2791" s="1" t="str">
        <x:v>C0004663</x:v>
      </x:c>
      <x:c r="B2791" s="1" t="n">
        <x:v>20</x:v>
      </x:c>
      <x:c r="C2791" s="1" t="n">
        <x:v>80</x:v>
      </x:c>
      <x:c r="D2791" s="6" t="n">
        <x:v>16904</x:v>
      </x:c>
      <x:c r="E2791" s="6" t="n">
        <x:v>18404</x:v>
      </x:c>
      <x:c r="F2791" s="6" t="n">
        <x:v>0</x:v>
      </x:c>
      <x:c r="G2791" s="6" t="n">
        <x:v>18404</x:v>
      </x:c>
      <x:c r="H2791" s="6" t="n">
        <x:v>1500</x:v>
      </x:c>
    </x:row>
    <x:row r="2792" ht="21" customHeight="1">
      <x:c r="A2792" s="1" t="str">
        <x:v>C0004681</x:v>
      </x:c>
      <x:c r="B2792" s="1" t="n">
        <x:v>15</x:v>
      </x:c>
      <x:c r="C2792" s="1" t="n">
        <x:v>75</x:v>
      </x:c>
      <x:c r="D2792" s="6" t="n">
        <x:v>20254</x:v>
      </x:c>
      <x:c r="E2792" s="6" t="n">
        <x:v>21754</x:v>
      </x:c>
      <x:c r="F2792" s="6" t="n">
        <x:v>0</x:v>
      </x:c>
      <x:c r="G2792" s="6" t="n">
        <x:v>21754</x:v>
      </x:c>
      <x:c r="H2792" s="6" t="n">
        <x:v>1500</x:v>
      </x:c>
    </x:row>
    <x:row r="2793" ht="21" customHeight="1">
      <x:c r="A2793" s="1" t="str">
        <x:v>C0004682</x:v>
      </x:c>
      <x:c r="B2793" s="1" t="n">
        <x:v>23</x:v>
      </x:c>
      <x:c r="C2793" s="1" t="n">
        <x:v>113</x:v>
      </x:c>
      <x:c r="D2793" s="6" t="n">
        <x:v>15353</x:v>
      </x:c>
      <x:c r="E2793" s="6" t="n">
        <x:v>16853</x:v>
      </x:c>
      <x:c r="F2793" s="6" t="n">
        <x:v>0</x:v>
      </x:c>
      <x:c r="G2793" s="6" t="n">
        <x:v>16853</x:v>
      </x:c>
      <x:c r="H2793" s="6" t="n">
        <x:v>1500</x:v>
      </x:c>
    </x:row>
    <x:row r="2794" ht="21" customHeight="1">
      <x:c r="A2794" s="1" t="str">
        <x:v>C0004702</x:v>
      </x:c>
      <x:c r="B2794" s="1" t="n">
        <x:v>24</x:v>
      </x:c>
      <x:c r="C2794" s="1" t="n">
        <x:v>24</x:v>
      </x:c>
      <x:c r="D2794" s="6" t="n">
        <x:v>11408</x:v>
      </x:c>
      <x:c r="E2794" s="6" t="n">
        <x:v>12908</x:v>
      </x:c>
      <x:c r="F2794" s="6" t="n">
        <x:v>0</x:v>
      </x:c>
      <x:c r="G2794" s="6" t="n">
        <x:v>12908</x:v>
      </x:c>
      <x:c r="H2794" s="6" t="n">
        <x:v>1500</x:v>
      </x:c>
    </x:row>
    <x:row r="2795" ht="21" customHeight="1">
      <x:c r="A2795" s="1" t="str">
        <x:v>C0004711</x:v>
      </x:c>
      <x:c r="B2795" s="1" t="n">
        <x:v>2</x:v>
      </x:c>
      <x:c r="C2795" s="1" t="n">
        <x:v>92</x:v>
      </x:c>
      <x:c r="D2795" s="6" t="n">
        <x:v>34766</x:v>
      </x:c>
      <x:c r="E2795" s="6" t="n">
        <x:v>36266</x:v>
      </x:c>
      <x:c r="F2795" s="6" t="n">
        <x:v>0</x:v>
      </x:c>
      <x:c r="G2795" s="6" t="n">
        <x:v>36266</x:v>
      </x:c>
      <x:c r="H2795" s="6" t="n">
        <x:v>1500</x:v>
      </x:c>
    </x:row>
    <x:row r="2796" ht="21" customHeight="1">
      <x:c r="A2796" s="1" t="str">
        <x:v>C0006911</x:v>
      </x:c>
      <x:c r="B2796" s="1" t="n">
        <x:v>20</x:v>
      </x:c>
      <x:c r="C2796" s="1" t="n">
        <x:v>50</x:v>
      </x:c>
      <x:c r="D2796" s="6" t="n">
        <x:v>23213</x:v>
      </x:c>
      <x:c r="E2796" s="6" t="n">
        <x:v>24713</x:v>
      </x:c>
      <x:c r="F2796" s="6" t="n">
        <x:v>0</x:v>
      </x:c>
      <x:c r="G2796" s="6" t="n">
        <x:v>24713</x:v>
      </x:c>
      <x:c r="H2796" s="6" t="n">
        <x:v>1500</x:v>
      </x:c>
    </x:row>
    <x:row r="2797" ht="21" customHeight="1">
      <x:c r="A2797" s="1" t="str">
        <x:v>C0013271</x:v>
      </x:c>
      <x:c r="B2797" s="1" t="n">
        <x:v>24</x:v>
      </x:c>
      <x:c r="C2797" s="1" t="n">
        <x:v>54</x:v>
      </x:c>
      <x:c r="D2797" s="6" t="n">
        <x:v>12527</x:v>
      </x:c>
      <x:c r="E2797" s="6" t="n">
        <x:v>14027</x:v>
      </x:c>
      <x:c r="F2797" s="6" t="n">
        <x:v>0</x:v>
      </x:c>
      <x:c r="G2797" s="6" t="n">
        <x:v>14027</x:v>
      </x:c>
      <x:c r="H2797" s="6" t="n">
        <x:v>1500</x:v>
      </x:c>
    </x:row>
    <x:row r="2798" ht="21" customHeight="1">
      <x:c r="A2798" s="1" t="str">
        <x:v>C0013273</x:v>
      </x:c>
      <x:c r="B2798" s="1" t="n">
        <x:v>5</x:v>
      </x:c>
      <x:c r="C2798" s="1" t="n">
        <x:v>5</x:v>
      </x:c>
      <x:c r="D2798" s="6" t="n">
        <x:v>35190</x:v>
      </x:c>
      <x:c r="E2798" s="6" t="n">
        <x:v>36690</x:v>
      </x:c>
      <x:c r="F2798" s="6" t="n">
        <x:v>0</x:v>
      </x:c>
      <x:c r="G2798" s="6" t="n">
        <x:v>36690</x:v>
      </x:c>
      <x:c r="H2798" s="6" t="n">
        <x:v>1500</x:v>
      </x:c>
    </x:row>
    <x:row r="2799" ht="21" customHeight="1">
      <x:c r="A2799" s="1" t="str">
        <x:v>C0006990</x:v>
      </x:c>
      <x:c r="B2799" s="1" t="n">
        <x:v>11</x:v>
      </x:c>
      <x:c r="C2799" s="1" t="n">
        <x:v>101</x:v>
      </x:c>
      <x:c r="D2799" s="6" t="n">
        <x:v>35836</x:v>
      </x:c>
      <x:c r="E2799" s="6" t="n">
        <x:v>37336</x:v>
      </x:c>
      <x:c r="F2799" s="6" t="n">
        <x:v>0</x:v>
      </x:c>
      <x:c r="G2799" s="6" t="n">
        <x:v>37336</x:v>
      </x:c>
      <x:c r="H2799" s="6" t="n">
        <x:v>1500</x:v>
      </x:c>
    </x:row>
    <x:row r="2800" ht="21" customHeight="1">
      <x:c r="A2800" s="1" t="str">
        <x:v>C0007000</x:v>
      </x:c>
      <x:c r="B2800" s="1" t="n">
        <x:v>8</x:v>
      </x:c>
      <x:c r="C2800" s="1" t="n">
        <x:v>98</x:v>
      </x:c>
      <x:c r="D2800" s="6" t="n">
        <x:v>17394</x:v>
      </x:c>
      <x:c r="E2800" s="6" t="n">
        <x:v>18894</x:v>
      </x:c>
      <x:c r="F2800" s="6" t="n">
        <x:v>0</x:v>
      </x:c>
      <x:c r="G2800" s="6" t="n">
        <x:v>18894</x:v>
      </x:c>
      <x:c r="H2800" s="6" t="n">
        <x:v>1500</x:v>
      </x:c>
    </x:row>
    <x:row r="2801" ht="21" customHeight="1">
      <x:c r="A2801" s="1" t="str">
        <x:v>C0007003</x:v>
      </x:c>
      <x:c r="B2801" s="1" t="n">
        <x:v>3</x:v>
      </x:c>
      <x:c r="C2801" s="1" t="n">
        <x:v>3</x:v>
      </x:c>
      <x:c r="D2801" s="6" t="n">
        <x:v>8304</x:v>
      </x:c>
      <x:c r="E2801" s="6" t="n">
        <x:v>9804</x:v>
      </x:c>
      <x:c r="F2801" s="6" t="n">
        <x:v>0</x:v>
      </x:c>
      <x:c r="G2801" s="6" t="n">
        <x:v>9804</x:v>
      </x:c>
      <x:c r="H2801" s="6" t="n">
        <x:v>1500</x:v>
      </x:c>
    </x:row>
    <x:row r="2802" ht="21" customHeight="1">
      <x:c r="A2802" s="1" t="str">
        <x:v>C0007071</x:v>
      </x:c>
      <x:c r="B2802" s="1" t="n">
        <x:v>26</x:v>
      </x:c>
      <x:c r="C2802" s="1" t="n">
        <x:v>26</x:v>
      </x:c>
      <x:c r="D2802" s="6" t="n">
        <x:v>19780</x:v>
      </x:c>
      <x:c r="E2802" s="6" t="n">
        <x:v>21280</x:v>
      </x:c>
      <x:c r="F2802" s="6" t="n">
        <x:v>0</x:v>
      </x:c>
      <x:c r="G2802" s="6" t="n">
        <x:v>21280</x:v>
      </x:c>
      <x:c r="H2802" s="6" t="n">
        <x:v>1500</x:v>
      </x:c>
    </x:row>
    <x:row r="2803" ht="21" customHeight="1">
      <x:c r="A2803" s="1" t="str">
        <x:v>C0007087</x:v>
      </x:c>
      <x:c r="B2803" s="1" t="n">
        <x:v>27</x:v>
      </x:c>
      <x:c r="C2803" s="1" t="n">
        <x:v>27</x:v>
      </x:c>
      <x:c r="D2803" s="6" t="n">
        <x:v>30840</x:v>
      </x:c>
      <x:c r="E2803" s="6" t="n">
        <x:v>32340</x:v>
      </x:c>
      <x:c r="F2803" s="6" t="n">
        <x:v>0</x:v>
      </x:c>
      <x:c r="G2803" s="6" t="n">
        <x:v>32340</x:v>
      </x:c>
      <x:c r="H2803" s="6" t="n">
        <x:v>1500</x:v>
      </x:c>
    </x:row>
    <x:row r="2804" ht="21" customHeight="1">
      <x:c r="A2804" s="1" t="str">
        <x:v>C0007098</x:v>
      </x:c>
      <x:c r="B2804" s="1" t="n">
        <x:v>27</x:v>
      </x:c>
      <x:c r="C2804" s="1" t="n">
        <x:v>87</x:v>
      </x:c>
      <x:c r="D2804" s="6" t="n">
        <x:v>9140</x:v>
      </x:c>
      <x:c r="E2804" s="6" t="n">
        <x:v>10640</x:v>
      </x:c>
      <x:c r="F2804" s="6" t="n">
        <x:v>0</x:v>
      </x:c>
      <x:c r="G2804" s="6" t="n">
        <x:v>10640</x:v>
      </x:c>
      <x:c r="H2804" s="6" t="n">
        <x:v>1500</x:v>
      </x:c>
    </x:row>
    <x:row r="2805" ht="21" customHeight="1">
      <x:c r="A2805" s="1" t="str">
        <x:v>C0006781</x:v>
      </x:c>
      <x:c r="B2805" s="1" t="n">
        <x:v>30</x:v>
      </x:c>
      <x:c r="C2805" s="1" t="n">
        <x:v>90</x:v>
      </x:c>
      <x:c r="D2805" s="6" t="n">
        <x:v>17072</x:v>
      </x:c>
      <x:c r="E2805" s="6" t="n">
        <x:v>18572</x:v>
      </x:c>
      <x:c r="F2805" s="6" t="n">
        <x:v>0</x:v>
      </x:c>
      <x:c r="G2805" s="6" t="n">
        <x:v>18572</x:v>
      </x:c>
      <x:c r="H2805" s="6" t="n">
        <x:v>1500</x:v>
      </x:c>
    </x:row>
    <x:row r="2806" ht="21" customHeight="1">
      <x:c r="A2806" s="1" t="str">
        <x:v>C0006797</x:v>
      </x:c>
      <x:c r="B2806" s="1" t="n">
        <x:v>26</x:v>
      </x:c>
      <x:c r="C2806" s="1" t="n">
        <x:v>56</x:v>
      </x:c>
      <x:c r="D2806" s="6" t="n">
        <x:v>24469</x:v>
      </x:c>
      <x:c r="E2806" s="6" t="n">
        <x:v>25969</x:v>
      </x:c>
      <x:c r="F2806" s="6" t="n">
        <x:v>0</x:v>
      </x:c>
      <x:c r="G2806" s="6" t="n">
        <x:v>25969</x:v>
      </x:c>
      <x:c r="H2806" s="6" t="n">
        <x:v>1500</x:v>
      </x:c>
    </x:row>
    <x:row r="2807" ht="21" customHeight="1">
      <x:c r="A2807" s="1" t="str">
        <x:v>C0006826</x:v>
      </x:c>
      <x:c r="B2807" s="1" t="n">
        <x:v>23</x:v>
      </x:c>
      <x:c r="C2807" s="1" t="n">
        <x:v>23</x:v>
      </x:c>
      <x:c r="D2807" s="6" t="n">
        <x:v>7455</x:v>
      </x:c>
      <x:c r="E2807" s="6" t="n">
        <x:v>8955</x:v>
      </x:c>
      <x:c r="F2807" s="6" t="n">
        <x:v>0</x:v>
      </x:c>
      <x:c r="G2807" s="6" t="n">
        <x:v>8955</x:v>
      </x:c>
      <x:c r="H2807" s="6" t="n">
        <x:v>1500</x:v>
      </x:c>
    </x:row>
    <x:row r="2808" ht="21" customHeight="1">
      <x:c r="A2808" s="1" t="str">
        <x:v>C0006831</x:v>
      </x:c>
      <x:c r="B2808" s="1" t="n">
        <x:v>22</x:v>
      </x:c>
      <x:c r="C2808" s="1" t="n">
        <x:v>82</x:v>
      </x:c>
      <x:c r="D2808" s="6" t="n">
        <x:v>22940</x:v>
      </x:c>
      <x:c r="E2808" s="6" t="n">
        <x:v>24440</x:v>
      </x:c>
      <x:c r="F2808" s="6" t="n">
        <x:v>0</x:v>
      </x:c>
      <x:c r="G2808" s="6" t="n">
        <x:v>24440</x:v>
      </x:c>
      <x:c r="H2808" s="6" t="n">
        <x:v>1500</x:v>
      </x:c>
    </x:row>
    <x:row r="2809" ht="21" customHeight="1">
      <x:c r="A2809" s="1" t="str">
        <x:v>C0006844</x:v>
      </x:c>
      <x:c r="B2809" s="1" t="n">
        <x:v>17</x:v>
      </x:c>
      <x:c r="C2809" s="1" t="n">
        <x:v>107</x:v>
      </x:c>
      <x:c r="D2809" s="6" t="n">
        <x:v>14910</x:v>
      </x:c>
      <x:c r="E2809" s="6" t="n">
        <x:v>16410</x:v>
      </x:c>
      <x:c r="F2809" s="6" t="n">
        <x:v>0</x:v>
      </x:c>
      <x:c r="G2809" s="6" t="n">
        <x:v>16410</x:v>
      </x:c>
      <x:c r="H2809" s="6" t="n">
        <x:v>1500</x:v>
      </x:c>
    </x:row>
    <x:row r="2810" ht="21" customHeight="1">
      <x:c r="A2810" s="1" t="str">
        <x:v>C0006879</x:v>
      </x:c>
      <x:c r="B2810" s="1" t="n">
        <x:v>11</x:v>
      </x:c>
      <x:c r="C2810" s="1" t="n">
        <x:v>71</x:v>
      </x:c>
      <x:c r="D2810" s="6" t="n">
        <x:v>14550</x:v>
      </x:c>
      <x:c r="E2810" s="6" t="n">
        <x:v>16050</x:v>
      </x:c>
      <x:c r="F2810" s="6" t="n">
        <x:v>0</x:v>
      </x:c>
      <x:c r="G2810" s="6" t="n">
        <x:v>16050</x:v>
      </x:c>
      <x:c r="H2810" s="6" t="n">
        <x:v>1500</x:v>
      </x:c>
    </x:row>
    <x:row r="2811" ht="21" customHeight="1">
      <x:c r="A2811" s="1" t="str">
        <x:v>C0004750</x:v>
      </x:c>
      <x:c r="B2811" s="1" t="n">
        <x:v>18</x:v>
      </x:c>
      <x:c r="C2811" s="1" t="n">
        <x:v>18</x:v>
      </x:c>
      <x:c r="D2811" s="6" t="n">
        <x:v>12273</x:v>
      </x:c>
      <x:c r="E2811" s="6" t="n">
        <x:v>13773</x:v>
      </x:c>
      <x:c r="F2811" s="6" t="n">
        <x:v>0</x:v>
      </x:c>
      <x:c r="G2811" s="6" t="n">
        <x:v>13773</x:v>
      </x:c>
      <x:c r="H2811" s="6" t="n">
        <x:v>1500</x:v>
      </x:c>
    </x:row>
    <x:row r="2812" ht="21" customHeight="1">
      <x:c r="A2812" s="1" t="str">
        <x:v>C0017582</x:v>
      </x:c>
      <x:c r="B2812" s="1" t="n">
        <x:v>5</x:v>
      </x:c>
      <x:c r="C2812" s="1" t="n">
        <x:v>95</x:v>
      </x:c>
      <x:c r="D2812" s="6" t="n">
        <x:v>6204</x:v>
      </x:c>
      <x:c r="E2812" s="6" t="n">
        <x:v>7704</x:v>
      </x:c>
      <x:c r="F2812" s="6" t="n">
        <x:v>0</x:v>
      </x:c>
      <x:c r="G2812" s="6" t="n">
        <x:v>7704</x:v>
      </x:c>
      <x:c r="H2812" s="6" t="n">
        <x:v>1500</x:v>
      </x:c>
    </x:row>
    <x:row r="2813" ht="21" customHeight="1">
      <x:c r="A2813" s="1" t="str">
        <x:v>C0017600</x:v>
      </x:c>
      <x:c r="B2813" s="1" t="n">
        <x:v>6</x:v>
      </x:c>
      <x:c r="C2813" s="1" t="n">
        <x:v>36</x:v>
      </x:c>
      <x:c r="D2813" s="6" t="n">
        <x:v>11461</x:v>
      </x:c>
      <x:c r="E2813" s="6" t="n">
        <x:v>12961</x:v>
      </x:c>
      <x:c r="F2813" s="6" t="n">
        <x:v>0</x:v>
      </x:c>
      <x:c r="G2813" s="6" t="n">
        <x:v>12961</x:v>
      </x:c>
      <x:c r="H2813" s="6" t="n">
        <x:v>1500</x:v>
      </x:c>
    </x:row>
    <x:row r="2814" ht="21" customHeight="1">
      <x:c r="A2814" s="1" t="str">
        <x:v>C0000190</x:v>
      </x:c>
      <x:c r="B2814" s="1" t="n">
        <x:v>4</x:v>
      </x:c>
      <x:c r="C2814" s="1" t="n">
        <x:v>64</x:v>
      </x:c>
      <x:c r="D2814" s="6" t="n">
        <x:v>8318</x:v>
      </x:c>
      <x:c r="E2814" s="6" t="n">
        <x:v>9818</x:v>
      </x:c>
      <x:c r="F2814" s="6" t="n">
        <x:v>0</x:v>
      </x:c>
      <x:c r="G2814" s="6" t="n">
        <x:v>9818</x:v>
      </x:c>
      <x:c r="H2814" s="6" t="n">
        <x:v>1500</x:v>
      </x:c>
    </x:row>
    <x:row r="2815" ht="21" customHeight="1">
      <x:c r="A2815" s="1" t="str">
        <x:v>C0012111</x:v>
      </x:c>
      <x:c r="B2815" s="1" t="n">
        <x:v>13</x:v>
      </x:c>
      <x:c r="C2815" s="1" t="n">
        <x:v>13</x:v>
      </x:c>
      <x:c r="D2815" s="6" t="n">
        <x:v>10223</x:v>
      </x:c>
      <x:c r="E2815" s="6" t="n">
        <x:v>11723</x:v>
      </x:c>
      <x:c r="F2815" s="6" t="n">
        <x:v>0</x:v>
      </x:c>
      <x:c r="G2815" s="6" t="n">
        <x:v>11723</x:v>
      </x:c>
      <x:c r="H2815" s="6" t="n">
        <x:v>1500</x:v>
      </x:c>
    </x:row>
    <x:row r="2816" ht="21" customHeight="1">
      <x:c r="A2816" s="1" t="str">
        <x:v>C0012138</x:v>
      </x:c>
      <x:c r="B2816" s="1" t="n">
        <x:v>29</x:v>
      </x:c>
      <x:c r="C2816" s="1" t="n">
        <x:v>119</x:v>
      </x:c>
      <x:c r="D2816" s="6" t="n">
        <x:v>19524</x:v>
      </x:c>
      <x:c r="E2816" s="6" t="n">
        <x:v>21024</x:v>
      </x:c>
      <x:c r="F2816" s="6" t="n">
        <x:v>0</x:v>
      </x:c>
      <x:c r="G2816" s="6" t="n">
        <x:v>21024</x:v>
      </x:c>
      <x:c r="H2816" s="6" t="n">
        <x:v>1500</x:v>
      </x:c>
    </x:row>
    <x:row r="2817" ht="21" customHeight="1">
      <x:c r="A2817" s="1" t="str">
        <x:v>C0012193</x:v>
      </x:c>
      <x:c r="B2817" s="1" t="n">
        <x:v>3</x:v>
      </x:c>
      <x:c r="C2817" s="1" t="n">
        <x:v>3</x:v>
      </x:c>
      <x:c r="D2817" s="6" t="n">
        <x:v>24414</x:v>
      </x:c>
      <x:c r="E2817" s="6" t="n">
        <x:v>25914</x:v>
      </x:c>
      <x:c r="F2817" s="6" t="n">
        <x:v>0</x:v>
      </x:c>
      <x:c r="G2817" s="6" t="n">
        <x:v>25914</x:v>
      </x:c>
      <x:c r="H2817" s="6" t="n">
        <x:v>1500</x:v>
      </x:c>
    </x:row>
    <x:row r="2818" ht="21" customHeight="1">
      <x:c r="A2818" s="1" t="str">
        <x:v>C0012205</x:v>
      </x:c>
      <x:c r="B2818" s="1" t="n">
        <x:v>1</x:v>
      </x:c>
      <x:c r="C2818" s="1" t="n">
        <x:v>61</x:v>
      </x:c>
      <x:c r="D2818" s="6" t="n">
        <x:v>23056</x:v>
      </x:c>
      <x:c r="E2818" s="6" t="n">
        <x:v>24556</x:v>
      </x:c>
      <x:c r="F2818" s="6" t="n">
        <x:v>0</x:v>
      </x:c>
      <x:c r="G2818" s="6" t="n">
        <x:v>24556</x:v>
      </x:c>
      <x:c r="H2818" s="6" t="n">
        <x:v>1500</x:v>
      </x:c>
    </x:row>
    <x:row r="2819" ht="21" customHeight="1">
      <x:c r="A2819" s="1" t="str">
        <x:v>C0012208</x:v>
      </x:c>
      <x:c r="B2819" s="1" t="n">
        <x:v>12</x:v>
      </x:c>
      <x:c r="C2819" s="1" t="n">
        <x:v>72</x:v>
      </x:c>
      <x:c r="D2819" s="6" t="n">
        <x:v>21185</x:v>
      </x:c>
      <x:c r="E2819" s="6" t="n">
        <x:v>22685</x:v>
      </x:c>
      <x:c r="F2819" s="6" t="n">
        <x:v>0</x:v>
      </x:c>
      <x:c r="G2819" s="6" t="n">
        <x:v>22685</x:v>
      </x:c>
      <x:c r="H2819" s="6" t="n">
        <x:v>1500</x:v>
      </x:c>
    </x:row>
    <x:row r="2820" ht="21" customHeight="1">
      <x:c r="A2820" s="1" t="str">
        <x:v>C0012213</x:v>
      </x:c>
      <x:c r="B2820" s="1" t="n">
        <x:v>13</x:v>
      </x:c>
      <x:c r="C2820" s="1" t="n">
        <x:v>103</x:v>
      </x:c>
      <x:c r="D2820" s="6" t="n">
        <x:v>13620</x:v>
      </x:c>
      <x:c r="E2820" s="6" t="n">
        <x:v>15120</x:v>
      </x:c>
      <x:c r="F2820" s="6" t="n">
        <x:v>0</x:v>
      </x:c>
      <x:c r="G2820" s="6" t="n">
        <x:v>15120</x:v>
      </x:c>
      <x:c r="H2820" s="6" t="n">
        <x:v>1500</x:v>
      </x:c>
    </x:row>
    <x:row r="2821" ht="21" customHeight="1">
      <x:c r="A2821" s="1" t="str">
        <x:v>C0012215</x:v>
      </x:c>
      <x:c r="B2821" s="1" t="n">
        <x:v>21</x:v>
      </x:c>
      <x:c r="C2821" s="1" t="n">
        <x:v>111</x:v>
      </x:c>
      <x:c r="D2821" s="6" t="n">
        <x:v>10291</x:v>
      </x:c>
      <x:c r="E2821" s="6" t="n">
        <x:v>11791</x:v>
      </x:c>
      <x:c r="F2821" s="6" t="n">
        <x:v>0</x:v>
      </x:c>
      <x:c r="G2821" s="6" t="n">
        <x:v>11791</x:v>
      </x:c>
      <x:c r="H2821" s="6" t="n">
        <x:v>1500</x:v>
      </x:c>
    </x:row>
    <x:row r="2822" ht="21" customHeight="1">
      <x:c r="A2822" s="1" t="str">
        <x:v>C0012224</x:v>
      </x:c>
      <x:c r="B2822" s="1" t="n">
        <x:v>27</x:v>
      </x:c>
      <x:c r="C2822" s="1" t="n">
        <x:v>117</x:v>
      </x:c>
      <x:c r="D2822" s="6" t="n">
        <x:v>6142</x:v>
      </x:c>
      <x:c r="E2822" s="6" t="n">
        <x:v>7642</x:v>
      </x:c>
      <x:c r="F2822" s="6" t="n">
        <x:v>0</x:v>
      </x:c>
      <x:c r="G2822" s="6" t="n">
        <x:v>7642</x:v>
      </x:c>
      <x:c r="H2822" s="6" t="n">
        <x:v>1500</x:v>
      </x:c>
    </x:row>
    <x:row r="2823" ht="21" customHeight="1">
      <x:c r="A2823" s="1" t="str">
        <x:v>C0012258</x:v>
      </x:c>
      <x:c r="B2823" s="1" t="n">
        <x:v>12</x:v>
      </x:c>
      <x:c r="C2823" s="1" t="n">
        <x:v>72</x:v>
      </x:c>
      <x:c r="D2823" s="6" t="n">
        <x:v>18082</x:v>
      </x:c>
      <x:c r="E2823" s="6" t="n">
        <x:v>19582</x:v>
      </x:c>
      <x:c r="F2823" s="6" t="n">
        <x:v>0</x:v>
      </x:c>
      <x:c r="G2823" s="6" t="n">
        <x:v>19582</x:v>
      </x:c>
      <x:c r="H2823" s="6" t="n">
        <x:v>1500</x:v>
      </x:c>
    </x:row>
    <x:row r="2824" ht="21" customHeight="1">
      <x:c r="A2824" s="1" t="str">
        <x:v>C0012301</x:v>
      </x:c>
      <x:c r="B2824" s="1" t="n">
        <x:v>22</x:v>
      </x:c>
      <x:c r="C2824" s="1" t="n">
        <x:v>112</x:v>
      </x:c>
      <x:c r="D2824" s="6" t="n">
        <x:v>9968</x:v>
      </x:c>
      <x:c r="E2824" s="6" t="n">
        <x:v>11468</x:v>
      </x:c>
      <x:c r="F2824" s="6" t="n">
        <x:v>0</x:v>
      </x:c>
      <x:c r="G2824" s="6" t="n">
        <x:v>11468</x:v>
      </x:c>
      <x:c r="H2824" s="6" t="n">
        <x:v>1500</x:v>
      </x:c>
    </x:row>
    <x:row r="2825" ht="21" customHeight="1">
      <x:c r="A2825" s="1" t="str">
        <x:v>C0012755</x:v>
      </x:c>
      <x:c r="B2825" s="1" t="n">
        <x:v>18</x:v>
      </x:c>
      <x:c r="C2825" s="1" t="n">
        <x:v>108</x:v>
      </x:c>
      <x:c r="D2825" s="6" t="n">
        <x:v>7756</x:v>
      </x:c>
      <x:c r="E2825" s="6" t="n">
        <x:v>9256</x:v>
      </x:c>
      <x:c r="F2825" s="6" t="n">
        <x:v>0</x:v>
      </x:c>
      <x:c r="G2825" s="6" t="n">
        <x:v>9256</x:v>
      </x:c>
      <x:c r="H2825" s="6" t="n">
        <x:v>1500</x:v>
      </x:c>
    </x:row>
    <x:row r="2826" ht="21" customHeight="1">
      <x:c r="A2826" s="1" t="str">
        <x:v>C0005776</x:v>
      </x:c>
      <x:c r="B2826" s="1" t="n">
        <x:v>30</x:v>
      </x:c>
      <x:c r="C2826" s="1" t="n">
        <x:v>30</x:v>
      </x:c>
      <x:c r="D2826" s="6" t="n">
        <x:v>9733</x:v>
      </x:c>
      <x:c r="E2826" s="6" t="n">
        <x:v>11233</x:v>
      </x:c>
      <x:c r="F2826" s="6" t="n">
        <x:v>0</x:v>
      </x:c>
      <x:c r="G2826" s="6" t="n">
        <x:v>11233</x:v>
      </x:c>
      <x:c r="H2826" s="6" t="n">
        <x:v>1500</x:v>
      </x:c>
    </x:row>
    <x:row r="2827" ht="21" customHeight="1">
      <x:c r="A2827" s="1" t="str">
        <x:v>C0005793</x:v>
      </x:c>
      <x:c r="B2827" s="1" t="n">
        <x:v>27</x:v>
      </x:c>
      <x:c r="C2827" s="1" t="n">
        <x:v>27</x:v>
      </x:c>
      <x:c r="D2827" s="6" t="n">
        <x:v>10994</x:v>
      </x:c>
      <x:c r="E2827" s="6" t="n">
        <x:v>12494</x:v>
      </x:c>
      <x:c r="F2827" s="6" t="n">
        <x:v>0</x:v>
      </x:c>
      <x:c r="G2827" s="6" t="n">
        <x:v>12494</x:v>
      </x:c>
      <x:c r="H2827" s="6" t="n">
        <x:v>1500</x:v>
      </x:c>
    </x:row>
    <x:row r="2828" ht="21" customHeight="1">
      <x:c r="A2828" s="1" t="str">
        <x:v>C0005799</x:v>
      </x:c>
      <x:c r="B2828" s="1" t="n">
        <x:v>6</x:v>
      </x:c>
      <x:c r="C2828" s="1" t="n">
        <x:v>96</x:v>
      </x:c>
      <x:c r="D2828" s="6" t="n">
        <x:v>10160</x:v>
      </x:c>
      <x:c r="E2828" s="6" t="n">
        <x:v>11660</x:v>
      </x:c>
      <x:c r="F2828" s="6" t="n">
        <x:v>0</x:v>
      </x:c>
      <x:c r="G2828" s="6" t="n">
        <x:v>11660</x:v>
      </x:c>
      <x:c r="H2828" s="6" t="n">
        <x:v>1500</x:v>
      </x:c>
    </x:row>
    <x:row r="2829" ht="21" customHeight="1">
      <x:c r="A2829" s="1" t="str">
        <x:v>C0005806</x:v>
      </x:c>
      <x:c r="B2829" s="1" t="n">
        <x:v>13</x:v>
      </x:c>
      <x:c r="C2829" s="1" t="n">
        <x:v>103</x:v>
      </x:c>
      <x:c r="D2829" s="6" t="n">
        <x:v>23626</x:v>
      </x:c>
      <x:c r="E2829" s="6" t="n">
        <x:v>25126</x:v>
      </x:c>
      <x:c r="F2829" s="6" t="n">
        <x:v>0</x:v>
      </x:c>
      <x:c r="G2829" s="6" t="n">
        <x:v>25126</x:v>
      </x:c>
      <x:c r="H2829" s="6" t="n">
        <x:v>1500</x:v>
      </x:c>
    </x:row>
    <x:row r="2830" ht="21" customHeight="1">
      <x:c r="A2830" s="1" t="str">
        <x:v>C0005864</x:v>
      </x:c>
      <x:c r="B2830" s="1" t="n">
        <x:v>26</x:v>
      </x:c>
      <x:c r="C2830" s="1" t="n">
        <x:v>116</x:v>
      </x:c>
      <x:c r="D2830" s="6" t="n">
        <x:v>12417</x:v>
      </x:c>
      <x:c r="E2830" s="6" t="n">
        <x:v>13917</x:v>
      </x:c>
      <x:c r="F2830" s="6" t="n">
        <x:v>0</x:v>
      </x:c>
      <x:c r="G2830" s="6" t="n">
        <x:v>13917</x:v>
      </x:c>
      <x:c r="H2830" s="6" t="n">
        <x:v>1500</x:v>
      </x:c>
    </x:row>
    <x:row r="2831" ht="21" customHeight="1">
      <x:c r="A2831" s="1" t="str">
        <x:v>C0011844</x:v>
      </x:c>
      <x:c r="B2831" s="1" t="n">
        <x:v>11</x:v>
      </x:c>
      <x:c r="C2831" s="1" t="n">
        <x:v>71</x:v>
      </x:c>
      <x:c r="D2831" s="6" t="n">
        <x:v>30604</x:v>
      </x:c>
      <x:c r="E2831" s="6" t="n">
        <x:v>32104</x:v>
      </x:c>
      <x:c r="F2831" s="6" t="n">
        <x:v>0</x:v>
      </x:c>
      <x:c r="G2831" s="6" t="n">
        <x:v>32104</x:v>
      </x:c>
      <x:c r="H2831" s="6" t="n">
        <x:v>1500</x:v>
      </x:c>
    </x:row>
    <x:row r="2832" ht="21" customHeight="1">
      <x:c r="A2832" s="1" t="str">
        <x:v>C0011860</x:v>
      </x:c>
      <x:c r="B2832" s="1" t="n">
        <x:v>18</x:v>
      </x:c>
      <x:c r="C2832" s="1" t="n">
        <x:v>48</x:v>
      </x:c>
      <x:c r="D2832" s="6" t="n">
        <x:v>41252</x:v>
      </x:c>
      <x:c r="E2832" s="6" t="n">
        <x:v>42752</x:v>
      </x:c>
      <x:c r="F2832" s="6" t="n">
        <x:v>0</x:v>
      </x:c>
      <x:c r="G2832" s="6" t="n">
        <x:v>42752</x:v>
      </x:c>
      <x:c r="H2832" s="6" t="n">
        <x:v>1500</x:v>
      </x:c>
    </x:row>
    <x:row r="2833" ht="21" customHeight="1">
      <x:c r="A2833" s="1" t="str">
        <x:v>C0011883</x:v>
      </x:c>
      <x:c r="B2833" s="1" t="n">
        <x:v>9</x:v>
      </x:c>
      <x:c r="C2833" s="1" t="n">
        <x:v>9</x:v>
      </x:c>
      <x:c r="D2833" s="6" t="n">
        <x:v>10531</x:v>
      </x:c>
      <x:c r="E2833" s="6" t="n">
        <x:v>12031</x:v>
      </x:c>
      <x:c r="F2833" s="6" t="n">
        <x:v>0</x:v>
      </x:c>
      <x:c r="G2833" s="6" t="n">
        <x:v>12031</x:v>
      </x:c>
      <x:c r="H2833" s="6" t="n">
        <x:v>1500</x:v>
      </x:c>
    </x:row>
    <x:row r="2834" ht="21" customHeight="1">
      <x:c r="A2834" s="1" t="str">
        <x:v>C0006061</x:v>
      </x:c>
      <x:c r="B2834" s="1" t="n">
        <x:v>17</x:v>
      </x:c>
      <x:c r="C2834" s="1" t="n">
        <x:v>17</x:v>
      </x:c>
      <x:c r="D2834" s="6" t="n">
        <x:v>15845</x:v>
      </x:c>
      <x:c r="E2834" s="6" t="n">
        <x:v>17345</x:v>
      </x:c>
      <x:c r="F2834" s="6" t="n">
        <x:v>0</x:v>
      </x:c>
      <x:c r="G2834" s="6" t="n">
        <x:v>17345</x:v>
      </x:c>
      <x:c r="H2834" s="6" t="n">
        <x:v>1500</x:v>
      </x:c>
    </x:row>
    <x:row r="2835" ht="21" customHeight="1">
      <x:c r="A2835" s="1" t="str">
        <x:v>C0006093</x:v>
      </x:c>
      <x:c r="B2835" s="1" t="n">
        <x:v>10</x:v>
      </x:c>
      <x:c r="C2835" s="1" t="n">
        <x:v>70</x:v>
      </x:c>
      <x:c r="D2835" s="6" t="n">
        <x:v>13405</x:v>
      </x:c>
      <x:c r="E2835" s="6" t="n">
        <x:v>14905</x:v>
      </x:c>
      <x:c r="F2835" s="6" t="n">
        <x:v>0</x:v>
      </x:c>
      <x:c r="G2835" s="6" t="n">
        <x:v>14905</x:v>
      </x:c>
      <x:c r="H2835" s="6" t="n">
        <x:v>1500</x:v>
      </x:c>
    </x:row>
    <x:row r="2836" ht="21" customHeight="1">
      <x:c r="A2836" s="1" t="str">
        <x:v>C0006094</x:v>
      </x:c>
      <x:c r="B2836" s="1" t="n">
        <x:v>29</x:v>
      </x:c>
      <x:c r="C2836" s="1" t="n">
        <x:v>119</x:v>
      </x:c>
      <x:c r="D2836" s="6" t="n">
        <x:v>19524</x:v>
      </x:c>
      <x:c r="E2836" s="6" t="n">
        <x:v>21024</x:v>
      </x:c>
      <x:c r="F2836" s="6" t="n">
        <x:v>0</x:v>
      </x:c>
      <x:c r="G2836" s="6" t="n">
        <x:v>21024</x:v>
      </x:c>
      <x:c r="H2836" s="6" t="n">
        <x:v>1500</x:v>
      </x:c>
    </x:row>
    <x:row r="2837" ht="21" customHeight="1">
      <x:c r="A2837" s="1" t="str">
        <x:v>C0006129</x:v>
      </x:c>
      <x:c r="B2837" s="1" t="n">
        <x:v>13</x:v>
      </x:c>
      <x:c r="C2837" s="1" t="n">
        <x:v>13</x:v>
      </x:c>
      <x:c r="D2837" s="6" t="n">
        <x:v>10445</x:v>
      </x:c>
      <x:c r="E2837" s="6" t="n">
        <x:v>11945</x:v>
      </x:c>
      <x:c r="F2837" s="6" t="n">
        <x:v>0</x:v>
      </x:c>
      <x:c r="G2837" s="6" t="n">
        <x:v>11945</x:v>
      </x:c>
      <x:c r="H2837" s="6" t="n">
        <x:v>1500</x:v>
      </x:c>
    </x:row>
    <x:row r="2838" ht="21" customHeight="1">
      <x:c r="A2838" s="1" t="str">
        <x:v>C0006137</x:v>
      </x:c>
      <x:c r="B2838" s="1" t="n">
        <x:v>4</x:v>
      </x:c>
      <x:c r="C2838" s="1" t="n">
        <x:v>64</x:v>
      </x:c>
      <x:c r="D2838" s="6" t="n">
        <x:v>8318</x:v>
      </x:c>
      <x:c r="E2838" s="6" t="n">
        <x:v>9818</x:v>
      </x:c>
      <x:c r="F2838" s="6" t="n">
        <x:v>0</x:v>
      </x:c>
      <x:c r="G2838" s="6" t="n">
        <x:v>9818</x:v>
      </x:c>
      <x:c r="H2838" s="6" t="n">
        <x:v>1500</x:v>
      </x:c>
    </x:row>
    <x:row r="2839" ht="21" customHeight="1">
      <x:c r="A2839" s="1" t="str">
        <x:v>C0012364</x:v>
      </x:c>
      <x:c r="B2839" s="1" t="n">
        <x:v>28</x:v>
      </x:c>
      <x:c r="C2839" s="1" t="n">
        <x:v>118</x:v>
      </x:c>
      <x:c r="D2839" s="6" t="n">
        <x:v>22563</x:v>
      </x:c>
      <x:c r="E2839" s="6" t="n">
        <x:v>24063</x:v>
      </x:c>
      <x:c r="F2839" s="6" t="n">
        <x:v>0</x:v>
      </x:c>
      <x:c r="G2839" s="6" t="n">
        <x:v>24063</x:v>
      </x:c>
      <x:c r="H2839" s="6" t="n">
        <x:v>1500</x:v>
      </x:c>
    </x:row>
    <x:row r="2840" ht="21" customHeight="1">
      <x:c r="A2840" s="1" t="str">
        <x:v>C0000214</x:v>
      </x:c>
      <x:c r="B2840" s="1" t="n">
        <x:v>12</x:v>
      </x:c>
      <x:c r="C2840" s="1" t="n">
        <x:v>72</x:v>
      </x:c>
      <x:c r="D2840" s="6" t="n">
        <x:v>22336</x:v>
      </x:c>
      <x:c r="E2840" s="6" t="n">
        <x:v>23836</x:v>
      </x:c>
      <x:c r="F2840" s="6" t="n">
        <x:v>0</x:v>
      </x:c>
      <x:c r="G2840" s="6" t="n">
        <x:v>23836</x:v>
      </x:c>
      <x:c r="H2840" s="6" t="n">
        <x:v>1500</x:v>
      </x:c>
    </x:row>
    <x:row r="2841" ht="21" customHeight="1">
      <x:c r="A2841" s="1" t="str">
        <x:v>C0017847</x:v>
      </x:c>
      <x:c r="B2841" s="1" t="n">
        <x:v>22</x:v>
      </x:c>
      <x:c r="C2841" s="1" t="n">
        <x:v>112</x:v>
      </x:c>
      <x:c r="D2841" s="6" t="n">
        <x:v>9968</x:v>
      </x:c>
      <x:c r="E2841" s="6" t="n">
        <x:v>11468</x:v>
      </x:c>
      <x:c r="F2841" s="6" t="n">
        <x:v>0</x:v>
      </x:c>
      <x:c r="G2841" s="6" t="n">
        <x:v>11468</x:v>
      </x:c>
      <x:c r="H2841" s="6" t="n">
        <x:v>1500</x:v>
      </x:c>
    </x:row>
    <x:row r="2842" ht="21" customHeight="1">
      <x:c r="A2842" s="1" t="str">
        <x:v>C0017402</x:v>
      </x:c>
      <x:c r="B2842" s="1" t="n">
        <x:v>29</x:v>
      </x:c>
      <x:c r="C2842" s="1" t="n">
        <x:v>119</x:v>
      </x:c>
      <x:c r="D2842" s="6" t="n">
        <x:v>8063</x:v>
      </x:c>
      <x:c r="E2842" s="6" t="n">
        <x:v>9563</x:v>
      </x:c>
      <x:c r="F2842" s="6" t="n">
        <x:v>0</x:v>
      </x:c>
      <x:c r="G2842" s="6" t="n">
        <x:v>9563</x:v>
      </x:c>
      <x:c r="H2842" s="6" t="n">
        <x:v>1500</x:v>
      </x:c>
    </x:row>
    <x:row r="2843" ht="21" customHeight="1">
      <x:c r="A2843" s="1" t="str">
        <x:v>C0000395</x:v>
      </x:c>
      <x:c r="B2843" s="1" t="n">
        <x:v>24</x:v>
      </x:c>
      <x:c r="C2843" s="1" t="n">
        <x:v>84</x:v>
      </x:c>
      <x:c r="D2843" s="6" t="n">
        <x:v>33562</x:v>
      </x:c>
      <x:c r="E2843" s="6" t="n">
        <x:v>35062</x:v>
      </x:c>
      <x:c r="F2843" s="6" t="n">
        <x:v>0</x:v>
      </x:c>
      <x:c r="G2843" s="6" t="n">
        <x:v>35062</x:v>
      </x:c>
      <x:c r="H2843" s="6" t="n">
        <x:v>1500</x:v>
      </x:c>
    </x:row>
    <x:row r="2844" ht="21" customHeight="1">
      <x:c r="A2844" s="1" t="str">
        <x:v>C0000400</x:v>
      </x:c>
      <x:c r="B2844" s="1" t="n">
        <x:v>16</x:v>
      </x:c>
      <x:c r="C2844" s="1" t="n">
        <x:v>16</x:v>
      </x:c>
      <x:c r="D2844" s="6" t="n">
        <x:v>8412</x:v>
      </x:c>
      <x:c r="E2844" s="6" t="n">
        <x:v>9912</x:v>
      </x:c>
      <x:c r="F2844" s="6" t="n">
        <x:v>0</x:v>
      </x:c>
      <x:c r="G2844" s="6" t="n">
        <x:v>9912</x:v>
      </x:c>
      <x:c r="H2844" s="6" t="n">
        <x:v>1500</x:v>
      </x:c>
    </x:row>
    <x:row r="2845" ht="21" customHeight="1">
      <x:c r="A2845" s="1" t="str">
        <x:v>C0000447</x:v>
      </x:c>
      <x:c r="B2845" s="1" t="n">
        <x:v>7</x:v>
      </x:c>
      <x:c r="C2845" s="1" t="n">
        <x:v>37</x:v>
      </x:c>
      <x:c r="D2845" s="6" t="n">
        <x:v>15101</x:v>
      </x:c>
      <x:c r="E2845" s="6" t="n">
        <x:v>16601</x:v>
      </x:c>
      <x:c r="F2845" s="6" t="n">
        <x:v>0</x:v>
      </x:c>
      <x:c r="G2845" s="6" t="n">
        <x:v>16601</x:v>
      </x:c>
      <x:c r="H2845" s="6" t="n">
        <x:v>1500</x:v>
      </x:c>
    </x:row>
    <x:row r="2846" ht="21" customHeight="1">
      <x:c r="A2846" s="1" t="str">
        <x:v>C0000450</x:v>
      </x:c>
      <x:c r="B2846" s="1" t="n">
        <x:v>9</x:v>
      </x:c>
      <x:c r="C2846" s="1" t="n">
        <x:v>39</x:v>
      </x:c>
      <x:c r="D2846" s="6" t="n">
        <x:v>17658</x:v>
      </x:c>
      <x:c r="E2846" s="6" t="n">
        <x:v>19158</x:v>
      </x:c>
      <x:c r="F2846" s="6" t="n">
        <x:v>0</x:v>
      </x:c>
      <x:c r="G2846" s="6" t="n">
        <x:v>19158</x:v>
      </x:c>
      <x:c r="H2846" s="6" t="n">
        <x:v>1500</x:v>
      </x:c>
    </x:row>
    <x:row r="2847" ht="21" customHeight="1">
      <x:c r="A2847" s="1" t="str">
        <x:v>C0000534</x:v>
      </x:c>
      <x:c r="B2847" s="1" t="n">
        <x:v>14</x:v>
      </x:c>
      <x:c r="C2847" s="1" t="n">
        <x:v>14</x:v>
      </x:c>
      <x:c r="D2847" s="6" t="n">
        <x:v>13642</x:v>
      </x:c>
      <x:c r="E2847" s="6" t="n">
        <x:v>15142</x:v>
      </x:c>
      <x:c r="F2847" s="6" t="n">
        <x:v>0</x:v>
      </x:c>
      <x:c r="G2847" s="6" t="n">
        <x:v>15142</x:v>
      </x:c>
      <x:c r="H2847" s="6" t="n">
        <x:v>1500</x:v>
      </x:c>
    </x:row>
    <x:row r="2848" ht="21" customHeight="1">
      <x:c r="A2848" s="1" t="str">
        <x:v>C0000563</x:v>
      </x:c>
      <x:c r="B2848" s="1" t="n">
        <x:v>25</x:v>
      </x:c>
      <x:c r="C2848" s="1" t="n">
        <x:v>55</x:v>
      </x:c>
      <x:c r="D2848" s="6" t="n">
        <x:v>9966</x:v>
      </x:c>
      <x:c r="E2848" s="6" t="n">
        <x:v>11466</x:v>
      </x:c>
      <x:c r="F2848" s="6" t="n">
        <x:v>0</x:v>
      </x:c>
      <x:c r="G2848" s="6" t="n">
        <x:v>11466</x:v>
      </x:c>
      <x:c r="H2848" s="6" t="n">
        <x:v>1500</x:v>
      </x:c>
    </x:row>
    <x:row r="2849" ht="21" customHeight="1">
      <x:c r="A2849" s="1" t="str">
        <x:v>C0000570</x:v>
      </x:c>
      <x:c r="B2849" s="1" t="n">
        <x:v>21</x:v>
      </x:c>
      <x:c r="C2849" s="1" t="n">
        <x:v>51</x:v>
      </x:c>
      <x:c r="D2849" s="6" t="n">
        <x:v>21396</x:v>
      </x:c>
      <x:c r="E2849" s="6" t="n">
        <x:v>22896</x:v>
      </x:c>
      <x:c r="F2849" s="6" t="n">
        <x:v>0</x:v>
      </x:c>
      <x:c r="G2849" s="6" t="n">
        <x:v>22896</x:v>
      </x:c>
      <x:c r="H2849" s="6" t="n">
        <x:v>1500</x:v>
      </x:c>
    </x:row>
    <x:row r="2850" ht="21" customHeight="1">
      <x:c r="A2850" s="1" t="str">
        <x:v>C0017409</x:v>
      </x:c>
      <x:c r="B2850" s="1" t="n">
        <x:v>4</x:v>
      </x:c>
      <x:c r="C2850" s="1" t="n">
        <x:v>4</x:v>
      </x:c>
      <x:c r="D2850" s="6" t="n">
        <x:v>8085</x:v>
      </x:c>
      <x:c r="E2850" s="6" t="n">
        <x:v>9585</x:v>
      </x:c>
      <x:c r="F2850" s="6" t="n">
        <x:v>0</x:v>
      </x:c>
      <x:c r="G2850" s="6" t="n">
        <x:v>9585</x:v>
      </x:c>
      <x:c r="H2850" s="6" t="n">
        <x:v>1500</x:v>
      </x:c>
    </x:row>
    <x:row r="2851" ht="21" customHeight="1">
      <x:c r="A2851" s="1" t="str">
        <x:v>C0017417</x:v>
      </x:c>
      <x:c r="B2851" s="1" t="n">
        <x:v>23</x:v>
      </x:c>
      <x:c r="C2851" s="1" t="n">
        <x:v>53</x:v>
      </x:c>
      <x:c r="D2851" s="6" t="n">
        <x:v>6999</x:v>
      </x:c>
      <x:c r="E2851" s="6" t="n">
        <x:v>8499</x:v>
      </x:c>
      <x:c r="F2851" s="6" t="n">
        <x:v>0</x:v>
      </x:c>
      <x:c r="G2851" s="6" t="n">
        <x:v>8499</x:v>
      </x:c>
      <x:c r="H2851" s="6" t="n">
        <x:v>1500</x:v>
      </x:c>
    </x:row>
    <x:row r="2852" ht="21" customHeight="1">
      <x:c r="A2852" s="1" t="str">
        <x:v>C0017424</x:v>
      </x:c>
      <x:c r="B2852" s="1" t="n">
        <x:v>14</x:v>
      </x:c>
      <x:c r="C2852" s="1" t="n">
        <x:v>14</x:v>
      </x:c>
      <x:c r="D2852" s="6" t="n">
        <x:v>13642</x:v>
      </x:c>
      <x:c r="E2852" s="6" t="n">
        <x:v>15142</x:v>
      </x:c>
      <x:c r="F2852" s="6" t="n">
        <x:v>0</x:v>
      </x:c>
      <x:c r="G2852" s="6" t="n">
        <x:v>15142</x:v>
      </x:c>
      <x:c r="H2852" s="6" t="n">
        <x:v>1500</x:v>
      </x:c>
    </x:row>
    <x:row r="2853" ht="21" customHeight="1">
      <x:c r="A2853" s="1" t="str">
        <x:v>C0000379</x:v>
      </x:c>
      <x:c r="B2853" s="1" t="n">
        <x:v>18</x:v>
      </x:c>
      <x:c r="C2853" s="1" t="n">
        <x:v>48</x:v>
      </x:c>
      <x:c r="D2853" s="6" t="n">
        <x:v>41252</x:v>
      </x:c>
      <x:c r="E2853" s="6" t="n">
        <x:v>42752</x:v>
      </x:c>
      <x:c r="F2853" s="6" t="n">
        <x:v>0</x:v>
      </x:c>
      <x:c r="G2853" s="6" t="n">
        <x:v>42752</x:v>
      </x:c>
      <x:c r="H2853" s="6" t="n">
        <x:v>1500</x:v>
      </x:c>
    </x:row>
    <x:row r="2854" ht="21" customHeight="1">
      <x:c r="A2854" s="1" t="str">
        <x:v>C0017459</x:v>
      </x:c>
      <x:c r="B2854" s="1" t="n">
        <x:v>2</x:v>
      </x:c>
      <x:c r="C2854" s="1" t="n">
        <x:v>2</x:v>
      </x:c>
      <x:c r="D2854" s="6" t="n">
        <x:v>23536</x:v>
      </x:c>
      <x:c r="E2854" s="6" t="n">
        <x:v>25036</x:v>
      </x:c>
      <x:c r="F2854" s="6" t="n">
        <x:v>0</x:v>
      </x:c>
      <x:c r="G2854" s="6" t="n">
        <x:v>25036</x:v>
      </x:c>
      <x:c r="H2854" s="6" t="n">
        <x:v>1500</x:v>
      </x:c>
    </x:row>
    <x:row r="2855" ht="21" customHeight="1">
      <x:c r="A2855" s="1" t="str">
        <x:v>C0000180</x:v>
      </x:c>
      <x:c r="B2855" s="1" t="n">
        <x:v>30</x:v>
      </x:c>
      <x:c r="C2855" s="1" t="n">
        <x:v>60</x:v>
      </x:c>
      <x:c r="D2855" s="6" t="n">
        <x:v>7317</x:v>
      </x:c>
      <x:c r="E2855" s="6" t="n">
        <x:v>8817</x:v>
      </x:c>
      <x:c r="F2855" s="6" t="n">
        <x:v>0</x:v>
      </x:c>
      <x:c r="G2855" s="6" t="n">
        <x:v>8817</x:v>
      </x:c>
      <x:c r="H2855" s="6" t="n">
        <x:v>1500</x:v>
      </x:c>
    </x:row>
    <x:row r="2856" ht="21" customHeight="1">
      <x:c r="A2856" s="1" t="str">
        <x:v>C0017629</x:v>
      </x:c>
      <x:c r="B2856" s="1" t="n">
        <x:v>3</x:v>
      </x:c>
      <x:c r="C2856" s="1" t="n">
        <x:v>3</x:v>
      </x:c>
      <x:c r="D2856" s="6" t="n">
        <x:v>24414</x:v>
      </x:c>
      <x:c r="E2856" s="6" t="n">
        <x:v>25914</x:v>
      </x:c>
      <x:c r="F2856" s="6" t="n">
        <x:v>0</x:v>
      </x:c>
      <x:c r="G2856" s="6" t="n">
        <x:v>25914</x:v>
      </x:c>
      <x:c r="H2856" s="6" t="n">
        <x:v>1500</x:v>
      </x:c>
    </x:row>
    <x:row r="2857" ht="21" customHeight="1">
      <x:c r="A2857" s="1" t="str">
        <x:v>C0017635</x:v>
      </x:c>
      <x:c r="B2857" s="1" t="n">
        <x:v>25</x:v>
      </x:c>
      <x:c r="C2857" s="1" t="n">
        <x:v>55</x:v>
      </x:c>
      <x:c r="D2857" s="6" t="n">
        <x:v>13853</x:v>
      </x:c>
      <x:c r="E2857" s="6" t="n">
        <x:v>15353</x:v>
      </x:c>
      <x:c r="F2857" s="6" t="n">
        <x:v>0</x:v>
      </x:c>
      <x:c r="G2857" s="6" t="n">
        <x:v>15353</x:v>
      </x:c>
      <x:c r="H2857" s="6" t="n">
        <x:v>1500</x:v>
      </x:c>
    </x:row>
    <x:row r="2858" ht="21" customHeight="1">
      <x:c r="A2858" s="1" t="str">
        <x:v>C0017655</x:v>
      </x:c>
      <x:c r="B2858" s="1" t="n">
        <x:v>25</x:v>
      </x:c>
      <x:c r="C2858" s="1" t="n">
        <x:v>115</x:v>
      </x:c>
      <x:c r="D2858" s="6" t="n">
        <x:v>12603</x:v>
      </x:c>
      <x:c r="E2858" s="6" t="n">
        <x:v>14103</x:v>
      </x:c>
      <x:c r="F2858" s="6" t="n">
        <x:v>0</x:v>
      </x:c>
      <x:c r="G2858" s="6" t="n">
        <x:v>14103</x:v>
      </x:c>
      <x:c r="H2858" s="6" t="n">
        <x:v>1500</x:v>
      </x:c>
    </x:row>
    <x:row r="2859" ht="21" customHeight="1">
      <x:c r="A2859" s="1" t="str">
        <x:v>C0017693</x:v>
      </x:c>
      <x:c r="B2859" s="1" t="n">
        <x:v>27</x:v>
      </x:c>
      <x:c r="C2859" s="1" t="n">
        <x:v>57</x:v>
      </x:c>
      <x:c r="D2859" s="6" t="n">
        <x:v>9352</x:v>
      </x:c>
      <x:c r="E2859" s="6" t="n">
        <x:v>10852</x:v>
      </x:c>
      <x:c r="F2859" s="6" t="n">
        <x:v>0</x:v>
      </x:c>
      <x:c r="G2859" s="6" t="n">
        <x:v>10852</x:v>
      </x:c>
      <x:c r="H2859" s="6" t="n">
        <x:v>1500</x:v>
      </x:c>
    </x:row>
    <x:row r="2860" ht="21" customHeight="1">
      <x:c r="A2860" s="1" t="str">
        <x:v>C0017694</x:v>
      </x:c>
      <x:c r="B2860" s="1" t="n">
        <x:v>13</x:v>
      </x:c>
      <x:c r="C2860" s="1" t="n">
        <x:v>103</x:v>
      </x:c>
      <x:c r="D2860" s="6" t="n">
        <x:v>23626</x:v>
      </x:c>
      <x:c r="E2860" s="6" t="n">
        <x:v>25126</x:v>
      </x:c>
      <x:c r="F2860" s="6" t="n">
        <x:v>0</x:v>
      </x:c>
      <x:c r="G2860" s="6" t="n">
        <x:v>25126</x:v>
      </x:c>
      <x:c r="H2860" s="6" t="n">
        <x:v>1500</x:v>
      </x:c>
    </x:row>
    <x:row r="2861" ht="21" customHeight="1">
      <x:c r="A2861" s="1" t="str">
        <x:v>C0017750</x:v>
      </x:c>
      <x:c r="B2861" s="1" t="n">
        <x:v>1</x:v>
      </x:c>
      <x:c r="C2861" s="1" t="n">
        <x:v>1</x:v>
      </x:c>
      <x:c r="D2861" s="6" t="n">
        <x:v>13436</x:v>
      </x:c>
      <x:c r="E2861" s="6" t="n">
        <x:v>14936</x:v>
      </x:c>
      <x:c r="F2861" s="6" t="n">
        <x:v>0</x:v>
      </x:c>
      <x:c r="G2861" s="6" t="n">
        <x:v>14936</x:v>
      </x:c>
      <x:c r="H2861" s="6" t="n">
        <x:v>1500</x:v>
      </x:c>
    </x:row>
    <x:row r="2862" ht="21" customHeight="1">
      <x:c r="A2862" s="1" t="str">
        <x:v>C0000129</x:v>
      </x:c>
      <x:c r="B2862" s="1" t="n">
        <x:v>13</x:v>
      </x:c>
      <x:c r="C2862" s="1" t="n">
        <x:v>43</x:v>
      </x:c>
      <x:c r="D2862" s="6" t="n">
        <x:v>19576</x:v>
      </x:c>
      <x:c r="E2862" s="6" t="n">
        <x:v>21076</x:v>
      </x:c>
      <x:c r="F2862" s="6" t="n">
        <x:v>0</x:v>
      </x:c>
      <x:c r="G2862" s="6" t="n">
        <x:v>21076</x:v>
      </x:c>
      <x:c r="H2862" s="6" t="n">
        <x:v>1500</x:v>
      </x:c>
    </x:row>
    <x:row r="2863" ht="21" customHeight="1">
      <x:c r="A2863" s="1" t="str">
        <x:v>C0017967</x:v>
      </x:c>
      <x:c r="B2863" s="1" t="n">
        <x:v>24</x:v>
      </x:c>
      <x:c r="C2863" s="1" t="n">
        <x:v>84</x:v>
      </x:c>
      <x:c r="D2863" s="6" t="n">
        <x:v>33562</x:v>
      </x:c>
      <x:c r="E2863" s="6" t="n">
        <x:v>35062</x:v>
      </x:c>
      <x:c r="F2863" s="6" t="n">
        <x:v>0</x:v>
      </x:c>
      <x:c r="G2863" s="6" t="n">
        <x:v>35062</x:v>
      </x:c>
      <x:c r="H2863" s="6" t="n">
        <x:v>1500</x:v>
      </x:c>
    </x:row>
    <x:row r="2864" ht="21" customHeight="1">
      <x:c r="A2864" s="1" t="str">
        <x:v>C0017977</x:v>
      </x:c>
      <x:c r="B2864" s="1" t="n">
        <x:v>11</x:v>
      </x:c>
      <x:c r="C2864" s="1" t="n">
        <x:v>101</x:v>
      </x:c>
      <x:c r="D2864" s="6" t="n">
        <x:v>35836</x:v>
      </x:c>
      <x:c r="E2864" s="6" t="n">
        <x:v>37336</x:v>
      </x:c>
      <x:c r="F2864" s="6" t="n">
        <x:v>0</x:v>
      </x:c>
      <x:c r="G2864" s="6" t="n">
        <x:v>37336</x:v>
      </x:c>
      <x:c r="H2864" s="6" t="n">
        <x:v>1500</x:v>
      </x:c>
    </x:row>
    <x:row r="2865" ht="21" customHeight="1">
      <x:c r="A2865" s="1" t="str">
        <x:v>C0000356</x:v>
      </x:c>
      <x:c r="B2865" s="1" t="n">
        <x:v>29</x:v>
      </x:c>
      <x:c r="C2865" s="1" t="n">
        <x:v>119</x:v>
      </x:c>
      <x:c r="D2865" s="6" t="n">
        <x:v>19524</x:v>
      </x:c>
      <x:c r="E2865" s="6" t="n">
        <x:v>21024</x:v>
      </x:c>
      <x:c r="F2865" s="6" t="n">
        <x:v>0</x:v>
      </x:c>
      <x:c r="G2865" s="6" t="n">
        <x:v>21024</x:v>
      </x:c>
      <x:c r="H2865" s="6" t="n">
        <x:v>1500</x:v>
      </x:c>
    </x:row>
    <x:row r="2866" ht="21" customHeight="1">
      <x:c r="A2866" s="1" t="str">
        <x:v>C0000358</x:v>
      </x:c>
      <x:c r="B2866" s="1" t="n">
        <x:v>30</x:v>
      </x:c>
      <x:c r="C2866" s="1" t="n">
        <x:v>120</x:v>
      </x:c>
      <x:c r="D2866" s="6" t="n">
        <x:v>23708</x:v>
      </x:c>
      <x:c r="E2866" s="6" t="n">
        <x:v>25208</x:v>
      </x:c>
      <x:c r="F2866" s="6" t="n">
        <x:v>0</x:v>
      </x:c>
      <x:c r="G2866" s="6" t="n">
        <x:v>25208</x:v>
      </x:c>
      <x:c r="H2866" s="6" t="n">
        <x:v>1500</x:v>
      </x:c>
    </x:row>
    <x:row r="2867" ht="21" customHeight="1">
      <x:c r="A2867" s="1" t="str">
        <x:v>C0000378</x:v>
      </x:c>
      <x:c r="B2867" s="1" t="n">
        <x:v>29</x:v>
      </x:c>
      <x:c r="C2867" s="1" t="n">
        <x:v>89</x:v>
      </x:c>
      <x:c r="D2867" s="6" t="n">
        <x:v>14597</x:v>
      </x:c>
      <x:c r="E2867" s="6" t="n">
        <x:v>16097</x:v>
      </x:c>
      <x:c r="F2867" s="6" t="n">
        <x:v>0</x:v>
      </x:c>
      <x:c r="G2867" s="6" t="n">
        <x:v>16097</x:v>
      </x:c>
      <x:c r="H2867" s="6" t="n">
        <x:v>1500</x:v>
      </x:c>
    </x:row>
    <x:row r="2868" ht="21" customHeight="1">
      <x:c r="A2868" s="1" t="str">
        <x:v>C0017456</x:v>
      </x:c>
      <x:c r="B2868" s="1" t="n">
        <x:v>8</x:v>
      </x:c>
      <x:c r="C2868" s="1" t="n">
        <x:v>98</x:v>
      </x:c>
      <x:c r="D2868" s="6" t="n">
        <x:v>9625</x:v>
      </x:c>
      <x:c r="E2868" s="6" t="n">
        <x:v>11125</x:v>
      </x:c>
      <x:c r="F2868" s="6" t="n">
        <x:v>0</x:v>
      </x:c>
      <x:c r="G2868" s="6" t="n">
        <x:v>11125</x:v>
      </x:c>
      <x:c r="H2868" s="6" t="n">
        <x:v>1500</x:v>
      </x:c>
    </x:row>
    <x:row r="2869" ht="21" customHeight="1">
      <x:c r="A2869" s="1" t="str">
        <x:v>C0005492</x:v>
      </x:c>
      <x:c r="B2869" s="1" t="n">
        <x:v>7</x:v>
      </x:c>
      <x:c r="C2869" s="1" t="n">
        <x:v>97</x:v>
      </x:c>
      <x:c r="D2869" s="6" t="n">
        <x:v>8647</x:v>
      </x:c>
      <x:c r="E2869" s="6" t="n">
        <x:v>10147</x:v>
      </x:c>
      <x:c r="F2869" s="6" t="n">
        <x:v>0</x:v>
      </x:c>
      <x:c r="G2869" s="6" t="n">
        <x:v>10147</x:v>
      </x:c>
      <x:c r="H2869" s="6" t="n">
        <x:v>1500</x:v>
      </x:c>
    </x:row>
    <x:row r="2870" ht="21" customHeight="1">
      <x:c r="A2870" s="1" t="str">
        <x:v>C0005518</x:v>
      </x:c>
      <x:c r="B2870" s="1" t="n">
        <x:v>25</x:v>
      </x:c>
      <x:c r="C2870" s="1" t="n">
        <x:v>115</x:v>
      </x:c>
      <x:c r="D2870" s="6" t="n">
        <x:v>12603</x:v>
      </x:c>
      <x:c r="E2870" s="6" t="n">
        <x:v>14103</x:v>
      </x:c>
      <x:c r="F2870" s="6" t="n">
        <x:v>0</x:v>
      </x:c>
      <x:c r="G2870" s="6" t="n">
        <x:v>14103</x:v>
      </x:c>
      <x:c r="H2870" s="6" t="n">
        <x:v>1500</x:v>
      </x:c>
    </x:row>
    <x:row r="2871" ht="21" customHeight="1">
      <x:c r="A2871" s="1" t="str">
        <x:v>C0005522</x:v>
      </x:c>
      <x:c r="B2871" s="1" t="n">
        <x:v>5</x:v>
      </x:c>
      <x:c r="C2871" s="1" t="n">
        <x:v>35</x:v>
      </x:c>
      <x:c r="D2871" s="6" t="n">
        <x:v>21872</x:v>
      </x:c>
      <x:c r="E2871" s="6" t="n">
        <x:v>23372</x:v>
      </x:c>
      <x:c r="F2871" s="6" t="n">
        <x:v>0</x:v>
      </x:c>
      <x:c r="G2871" s="6" t="n">
        <x:v>23372</x:v>
      </x:c>
      <x:c r="H2871" s="6" t="n">
        <x:v>1500</x:v>
      </x:c>
    </x:row>
    <x:row r="2872" ht="21" customHeight="1">
      <x:c r="A2872" s="1" t="str">
        <x:v>C0005527</x:v>
      </x:c>
      <x:c r="B2872" s="1" t="n">
        <x:v>29</x:v>
      </x:c>
      <x:c r="C2872" s="1" t="n">
        <x:v>119</x:v>
      </x:c>
      <x:c r="D2872" s="6" t="n">
        <x:v>19524</x:v>
      </x:c>
      <x:c r="E2872" s="6" t="n">
        <x:v>21024</x:v>
      </x:c>
      <x:c r="F2872" s="6" t="n">
        <x:v>0</x:v>
      </x:c>
      <x:c r="G2872" s="6" t="n">
        <x:v>21024</x:v>
      </x:c>
      <x:c r="H2872" s="6" t="n">
        <x:v>1500</x:v>
      </x:c>
    </x:row>
    <x:row r="2873" ht="21" customHeight="1">
      <x:c r="A2873" s="1" t="str">
        <x:v>C0012573</x:v>
      </x:c>
      <x:c r="B2873" s="1" t="n">
        <x:v>16</x:v>
      </x:c>
      <x:c r="C2873" s="1" t="n">
        <x:v>106</x:v>
      </x:c>
      <x:c r="D2873" s="6" t="n">
        <x:v>22621</x:v>
      </x:c>
      <x:c r="E2873" s="6" t="n">
        <x:v>24121</x:v>
      </x:c>
      <x:c r="F2873" s="6" t="n">
        <x:v>0</x:v>
      </x:c>
      <x:c r="G2873" s="6" t="n">
        <x:v>24121</x:v>
      </x:c>
      <x:c r="H2873" s="6" t="n">
        <x:v>1500</x:v>
      </x:c>
    </x:row>
    <x:row r="2874" ht="21" customHeight="1">
      <x:c r="A2874" s="1" t="str">
        <x:v>C0012616</x:v>
      </x:c>
      <x:c r="B2874" s="1" t="n">
        <x:v>2</x:v>
      </x:c>
      <x:c r="C2874" s="1" t="n">
        <x:v>92</x:v>
      </x:c>
      <x:c r="D2874" s="6" t="n">
        <x:v>24904</x:v>
      </x:c>
      <x:c r="E2874" s="6" t="n">
        <x:v>26404</x:v>
      </x:c>
      <x:c r="F2874" s="6" t="n">
        <x:v>0</x:v>
      </x:c>
      <x:c r="G2874" s="6" t="n">
        <x:v>26404</x:v>
      </x:c>
      <x:c r="H2874" s="6" t="n">
        <x:v>1500</x:v>
      </x:c>
    </x:row>
    <x:row r="2875" ht="21" customHeight="1">
      <x:c r="A2875" s="1" t="str">
        <x:v>C0012619</x:v>
      </x:c>
      <x:c r="B2875" s="1" t="n">
        <x:v>7</x:v>
      </x:c>
      <x:c r="C2875" s="1" t="n">
        <x:v>37</x:v>
      </x:c>
      <x:c r="D2875" s="6" t="n">
        <x:v>15101</x:v>
      </x:c>
      <x:c r="E2875" s="6" t="n">
        <x:v>16601</x:v>
      </x:c>
      <x:c r="F2875" s="6" t="n">
        <x:v>0</x:v>
      </x:c>
      <x:c r="G2875" s="6" t="n">
        <x:v>16601</x:v>
      </x:c>
      <x:c r="H2875" s="6" t="n">
        <x:v>1500</x:v>
      </x:c>
    </x:row>
    <x:row r="2876" ht="21" customHeight="1">
      <x:c r="A2876" s="1" t="str">
        <x:v>C0012622</x:v>
      </x:c>
      <x:c r="B2876" s="1" t="n">
        <x:v>8</x:v>
      </x:c>
      <x:c r="C2876" s="1" t="n">
        <x:v>68</x:v>
      </x:c>
      <x:c r="D2876" s="6" t="n">
        <x:v>29302</x:v>
      </x:c>
      <x:c r="E2876" s="6" t="n">
        <x:v>30802</x:v>
      </x:c>
      <x:c r="F2876" s="6" t="n">
        <x:v>0</x:v>
      </x:c>
      <x:c r="G2876" s="6" t="n">
        <x:v>30802</x:v>
      </x:c>
      <x:c r="H2876" s="6" t="n">
        <x:v>1500</x:v>
      </x:c>
    </x:row>
    <x:row r="2877" ht="21" customHeight="1">
      <x:c r="A2877" s="1" t="str">
        <x:v>C0006431</x:v>
      </x:c>
      <x:c r="B2877" s="1" t="n">
        <x:v>9</x:v>
      </x:c>
      <x:c r="C2877" s="1" t="n">
        <x:v>39</x:v>
      </x:c>
      <x:c r="D2877" s="6" t="n">
        <x:v>9047</x:v>
      </x:c>
      <x:c r="E2877" s="6" t="n">
        <x:v>10547</x:v>
      </x:c>
      <x:c r="F2877" s="6" t="n">
        <x:v>0</x:v>
      </x:c>
      <x:c r="G2877" s="6" t="n">
        <x:v>10547</x:v>
      </x:c>
      <x:c r="H2877" s="6" t="n">
        <x:v>1500</x:v>
      </x:c>
    </x:row>
    <x:row r="2878" ht="21" customHeight="1">
      <x:c r="A2878" s="1" t="str">
        <x:v>C0006440</x:v>
      </x:c>
      <x:c r="B2878" s="1" t="n">
        <x:v>7</x:v>
      </x:c>
      <x:c r="C2878" s="1" t="n">
        <x:v>97</x:v>
      </x:c>
      <x:c r="D2878" s="6" t="n">
        <x:v>8647</x:v>
      </x:c>
      <x:c r="E2878" s="6" t="n">
        <x:v>10147</x:v>
      </x:c>
      <x:c r="F2878" s="6" t="n">
        <x:v>0</x:v>
      </x:c>
      <x:c r="G2878" s="6" t="n">
        <x:v>10147</x:v>
      </x:c>
      <x:c r="H2878" s="6" t="n">
        <x:v>1500</x:v>
      </x:c>
    </x:row>
    <x:row r="2879" ht="21" customHeight="1">
      <x:c r="A2879" s="1" t="str">
        <x:v>C0006537</x:v>
      </x:c>
      <x:c r="B2879" s="1" t="n">
        <x:v>11</x:v>
      </x:c>
      <x:c r="C2879" s="1" t="n">
        <x:v>71</x:v>
      </x:c>
      <x:c r="D2879" s="6" t="n">
        <x:v>30604</x:v>
      </x:c>
      <x:c r="E2879" s="6" t="n">
        <x:v>32104</x:v>
      </x:c>
      <x:c r="F2879" s="6" t="n">
        <x:v>0</x:v>
      </x:c>
      <x:c r="G2879" s="6" t="n">
        <x:v>32104</x:v>
      </x:c>
      <x:c r="H2879" s="6" t="n">
        <x:v>1500</x:v>
      </x:c>
    </x:row>
    <x:row r="2880" ht="21" customHeight="1">
      <x:c r="A2880" s="1" t="str">
        <x:v>C0006565</x:v>
      </x:c>
      <x:c r="B2880" s="1" t="n">
        <x:v>12</x:v>
      </x:c>
      <x:c r="C2880" s="1" t="n">
        <x:v>72</x:v>
      </x:c>
      <x:c r="D2880" s="6" t="n">
        <x:v>21185</x:v>
      </x:c>
      <x:c r="E2880" s="6" t="n">
        <x:v>22685</x:v>
      </x:c>
      <x:c r="F2880" s="6" t="n">
        <x:v>0</x:v>
      </x:c>
      <x:c r="G2880" s="6" t="n">
        <x:v>22685</x:v>
      </x:c>
      <x:c r="H2880" s="6" t="n">
        <x:v>1500</x:v>
      </x:c>
    </x:row>
    <x:row r="2881" ht="21" customHeight="1">
      <x:c r="A2881" s="1" t="str">
        <x:v>C0006570</x:v>
      </x:c>
      <x:c r="B2881" s="1" t="n">
        <x:v>30</x:v>
      </x:c>
      <x:c r="C2881" s="1" t="n">
        <x:v>120</x:v>
      </x:c>
      <x:c r="D2881" s="6" t="n">
        <x:v>24724</x:v>
      </x:c>
      <x:c r="E2881" s="6" t="n">
        <x:v>26224</x:v>
      </x:c>
      <x:c r="F2881" s="6" t="n">
        <x:v>0</x:v>
      </x:c>
      <x:c r="G2881" s="6" t="n">
        <x:v>26224</x:v>
      </x:c>
      <x:c r="H2881" s="6" t="n">
        <x:v>1500</x:v>
      </x:c>
    </x:row>
    <x:row r="2882" ht="21" customHeight="1">
      <x:c r="A2882" s="1" t="str">
        <x:v>C0006151</x:v>
      </x:c>
      <x:c r="B2882" s="1" t="n">
        <x:v>22</x:v>
      </x:c>
      <x:c r="C2882" s="1" t="n">
        <x:v>22</x:v>
      </x:c>
      <x:c r="D2882" s="6" t="n">
        <x:v>5442</x:v>
      </x:c>
      <x:c r="E2882" s="6" t="n">
        <x:v>6942</x:v>
      </x:c>
      <x:c r="F2882" s="6" t="n">
        <x:v>0</x:v>
      </x:c>
      <x:c r="G2882" s="6" t="n">
        <x:v>6942</x:v>
      </x:c>
      <x:c r="H2882" s="6" t="n">
        <x:v>1500</x:v>
      </x:c>
    </x:row>
    <x:row r="2883" ht="21" customHeight="1">
      <x:c r="A2883" s="1" t="str">
        <x:v>C0006240</x:v>
      </x:c>
      <x:c r="B2883" s="1" t="n">
        <x:v>18</x:v>
      </x:c>
      <x:c r="C2883" s="1" t="n">
        <x:v>48</x:v>
      </x:c>
      <x:c r="D2883" s="6" t="n">
        <x:v>11766</x:v>
      </x:c>
      <x:c r="E2883" s="6" t="n">
        <x:v>13266</x:v>
      </x:c>
      <x:c r="F2883" s="6" t="n">
        <x:v>0</x:v>
      </x:c>
      <x:c r="G2883" s="6" t="n">
        <x:v>13266</x:v>
      </x:c>
      <x:c r="H2883" s="6" t="n">
        <x:v>1500</x:v>
      </x:c>
    </x:row>
    <x:row r="2884" ht="21" customHeight="1">
      <x:c r="A2884" s="1" t="str">
        <x:v>C0006269</x:v>
      </x:c>
      <x:c r="B2884" s="1" t="n">
        <x:v>10</x:v>
      </x:c>
      <x:c r="C2884" s="1" t="n">
        <x:v>70</x:v>
      </x:c>
      <x:c r="D2884" s="6" t="n">
        <x:v>13405</x:v>
      </x:c>
      <x:c r="E2884" s="6" t="n">
        <x:v>14905</x:v>
      </x:c>
      <x:c r="F2884" s="6" t="n">
        <x:v>0</x:v>
      </x:c>
      <x:c r="G2884" s="6" t="n">
        <x:v>14905</x:v>
      </x:c>
      <x:c r="H2884" s="6" t="n">
        <x:v>1500</x:v>
      </x:c>
    </x:row>
    <x:row r="2885" ht="21" customHeight="1">
      <x:c r="A2885" s="1" t="str">
        <x:v>C0006317</x:v>
      </x:c>
      <x:c r="B2885" s="1" t="n">
        <x:v>27</x:v>
      </x:c>
      <x:c r="C2885" s="1" t="n">
        <x:v>87</x:v>
      </x:c>
      <x:c r="D2885" s="6" t="n">
        <x:v>20551</x:v>
      </x:c>
      <x:c r="E2885" s="6" t="n">
        <x:v>22051</x:v>
      </x:c>
      <x:c r="F2885" s="6" t="n">
        <x:v>0</x:v>
      </x:c>
      <x:c r="G2885" s="6" t="n">
        <x:v>22051</x:v>
      </x:c>
      <x:c r="H2885" s="6" t="n">
        <x:v>1500</x:v>
      </x:c>
    </x:row>
    <x:row r="2886" ht="21" customHeight="1">
      <x:c r="A2886" s="1" t="str">
        <x:v>C0006371</x:v>
      </x:c>
      <x:c r="B2886" s="1" t="n">
        <x:v>1</x:v>
      </x:c>
      <x:c r="C2886" s="1" t="n">
        <x:v>31</x:v>
      </x:c>
      <x:c r="D2886" s="6" t="n">
        <x:v>7923</x:v>
      </x:c>
      <x:c r="E2886" s="6" t="n">
        <x:v>9423</x:v>
      </x:c>
      <x:c r="F2886" s="6" t="n">
        <x:v>0</x:v>
      </x:c>
      <x:c r="G2886" s="6" t="n">
        <x:v>9423</x:v>
      </x:c>
      <x:c r="H2886" s="6" t="n">
        <x:v>1500</x:v>
      </x:c>
    </x:row>
    <x:row r="2887" ht="21" customHeight="1">
      <x:c r="A2887" s="1" t="str">
        <x:v>C0006391</x:v>
      </x:c>
      <x:c r="B2887" s="1" t="n">
        <x:v>8</x:v>
      </x:c>
      <x:c r="C2887" s="1" t="n">
        <x:v>8</x:v>
      </x:c>
      <x:c r="D2887" s="6" t="n">
        <x:v>16308</x:v>
      </x:c>
      <x:c r="E2887" s="6" t="n">
        <x:v>17808</x:v>
      </x:c>
      <x:c r="F2887" s="6" t="n">
        <x:v>0</x:v>
      </x:c>
      <x:c r="G2887" s="6" t="n">
        <x:v>17808</x:v>
      </x:c>
      <x:c r="H2887" s="6" t="n">
        <x:v>1500</x:v>
      </x:c>
    </x:row>
    <x:row r="2888" ht="21" customHeight="1">
      <x:c r="A2888" s="1" t="str">
        <x:v>C0006412</x:v>
      </x:c>
      <x:c r="B2888" s="1" t="n">
        <x:v>2</x:v>
      </x:c>
      <x:c r="C2888" s="1" t="n">
        <x:v>32</x:v>
      </x:c>
      <x:c r="D2888" s="6" t="n">
        <x:v>10694</x:v>
      </x:c>
      <x:c r="E2888" s="6" t="n">
        <x:v>12194</x:v>
      </x:c>
      <x:c r="F2888" s="6" t="n">
        <x:v>0</x:v>
      </x:c>
      <x:c r="G2888" s="6" t="n">
        <x:v>12194</x:v>
      </x:c>
      <x:c r="H2888" s="6" t="n">
        <x:v>1500</x:v>
      </x:c>
    </x:row>
    <x:row r="2889" ht="21" customHeight="1">
      <x:c r="A2889" s="1" t="str">
        <x:v>C0006413</x:v>
      </x:c>
      <x:c r="B2889" s="1" t="n">
        <x:v>20</x:v>
      </x:c>
      <x:c r="C2889" s="1" t="n">
        <x:v>80</x:v>
      </x:c>
      <x:c r="D2889" s="6" t="n">
        <x:v>16904</x:v>
      </x:c>
      <x:c r="E2889" s="6" t="n">
        <x:v>18404</x:v>
      </x:c>
      <x:c r="F2889" s="6" t="n">
        <x:v>0</x:v>
      </x:c>
      <x:c r="G2889" s="6" t="n">
        <x:v>18404</x:v>
      </x:c>
      <x:c r="H2889" s="6" t="n">
        <x:v>1500</x:v>
      </x:c>
    </x:row>
    <x:row r="2890" ht="21" customHeight="1">
      <x:c r="A2890" s="1" t="str">
        <x:v>C0011769</x:v>
      </x:c>
      <x:c r="B2890" s="1" t="n">
        <x:v>9</x:v>
      </x:c>
      <x:c r="C2890" s="1" t="n">
        <x:v>39</x:v>
      </x:c>
      <x:c r="D2890" s="6" t="n">
        <x:v>5702</x:v>
      </x:c>
      <x:c r="E2890" s="6" t="n">
        <x:v>7202</x:v>
      </x:c>
      <x:c r="F2890" s="6" t="n">
        <x:v>0</x:v>
      </x:c>
      <x:c r="G2890" s="6" t="n">
        <x:v>7202</x:v>
      </x:c>
      <x:c r="H2890" s="6" t="n">
        <x:v>1500</x:v>
      </x:c>
    </x:row>
    <x:row r="2891" ht="21" customHeight="1">
      <x:c r="A2891" s="1" t="str">
        <x:v>C0011772</x:v>
      </x:c>
      <x:c r="B2891" s="1" t="n">
        <x:v>17</x:v>
      </x:c>
      <x:c r="C2891" s="1" t="n">
        <x:v>47</x:v>
      </x:c>
      <x:c r="D2891" s="6" t="n">
        <x:v>11308</x:v>
      </x:c>
      <x:c r="E2891" s="6" t="n">
        <x:v>12808</x:v>
      </x:c>
      <x:c r="F2891" s="6" t="n">
        <x:v>0</x:v>
      </x:c>
      <x:c r="G2891" s="6" t="n">
        <x:v>12808</x:v>
      </x:c>
      <x:c r="H2891" s="6" t="n">
        <x:v>1500</x:v>
      </x:c>
    </x:row>
    <x:row r="2892" ht="21" customHeight="1">
      <x:c r="A2892" s="1" t="str">
        <x:v>C0012658</x:v>
      </x:c>
      <x:c r="B2892" s="1" t="n">
        <x:v>5</x:v>
      </x:c>
      <x:c r="C2892" s="1" t="n">
        <x:v>65</x:v>
      </x:c>
      <x:c r="D2892" s="6" t="n">
        <x:v>11572</x:v>
      </x:c>
      <x:c r="E2892" s="6" t="n">
        <x:v>13072</x:v>
      </x:c>
      <x:c r="F2892" s="6" t="n">
        <x:v>0</x:v>
      </x:c>
      <x:c r="G2892" s="6" t="n">
        <x:v>13072</x:v>
      </x:c>
      <x:c r="H2892" s="6" t="n">
        <x:v>1500</x:v>
      </x:c>
    </x:row>
    <x:row r="2893" ht="21" customHeight="1">
      <x:c r="A2893" s="1" t="str">
        <x:v>C0012713</x:v>
      </x:c>
      <x:c r="B2893" s="1" t="n">
        <x:v>14</x:v>
      </x:c>
      <x:c r="C2893" s="1" t="n">
        <x:v>74</x:v>
      </x:c>
      <x:c r="D2893" s="6" t="n">
        <x:v>16109</x:v>
      </x:c>
      <x:c r="E2893" s="6" t="n">
        <x:v>17609</x:v>
      </x:c>
      <x:c r="F2893" s="6" t="n">
        <x:v>0</x:v>
      </x:c>
      <x:c r="G2893" s="6" t="n">
        <x:v>17609</x:v>
      </x:c>
      <x:c r="H2893" s="6" t="n">
        <x:v>1500</x:v>
      </x:c>
    </x:row>
    <x:row r="2894" ht="21" customHeight="1">
      <x:c r="A2894" s="1" t="str">
        <x:v>C0012725</x:v>
      </x:c>
      <x:c r="B2894" s="1" t="n">
        <x:v>16</x:v>
      </x:c>
      <x:c r="C2894" s="1" t="n">
        <x:v>106</x:v>
      </x:c>
      <x:c r="D2894" s="6" t="n">
        <x:v>24513</x:v>
      </x:c>
      <x:c r="E2894" s="6" t="n">
        <x:v>26013</x:v>
      </x:c>
      <x:c r="F2894" s="6" t="n">
        <x:v>0</x:v>
      </x:c>
      <x:c r="G2894" s="6" t="n">
        <x:v>26013</x:v>
      </x:c>
      <x:c r="H2894" s="6" t="n">
        <x:v>1500</x:v>
      </x:c>
    </x:row>
    <x:row r="2895" ht="21" customHeight="1">
      <x:c r="A2895" s="1" t="str">
        <x:v>C0012728</x:v>
      </x:c>
      <x:c r="B2895" s="1" t="n">
        <x:v>28</x:v>
      </x:c>
      <x:c r="C2895" s="1" t="n">
        <x:v>118</x:v>
      </x:c>
      <x:c r="D2895" s="6" t="n">
        <x:v>7580</x:v>
      </x:c>
      <x:c r="E2895" s="6" t="n">
        <x:v>9080</x:v>
      </x:c>
      <x:c r="F2895" s="6" t="n">
        <x:v>0</x:v>
      </x:c>
      <x:c r="G2895" s="6" t="n">
        <x:v>9080</x:v>
      </x:c>
      <x:c r="H2895" s="6" t="n">
        <x:v>1500</x:v>
      </x:c>
    </x:row>
    <x:row r="2896" ht="21" customHeight="1">
      <x:c r="A2896" s="1" t="str">
        <x:v>C0006226</x:v>
      </x:c>
      <x:c r="B2896" s="1" t="n">
        <x:v>24</x:v>
      </x:c>
      <x:c r="C2896" s="1" t="n">
        <x:v>114</x:v>
      </x:c>
      <x:c r="D2896" s="6" t="n">
        <x:v>7513</x:v>
      </x:c>
      <x:c r="E2896" s="6" t="n">
        <x:v>9013</x:v>
      </x:c>
      <x:c r="F2896" s="6" t="n">
        <x:v>0</x:v>
      </x:c>
      <x:c r="G2896" s="6" t="n">
        <x:v>9013</x:v>
      </x:c>
      <x:c r="H2896" s="6" t="n">
        <x:v>1500</x:v>
      </x:c>
    </x:row>
    <x:row r="2897" ht="21" customHeight="1">
      <x:c r="A2897" s="1" t="str">
        <x:v>C0006203</x:v>
      </x:c>
      <x:c r="B2897" s="1" t="n">
        <x:v>22</x:v>
      </x:c>
      <x:c r="C2897" s="1" t="n">
        <x:v>112</x:v>
      </x:c>
      <x:c r="D2897" s="6" t="n">
        <x:v>19205</x:v>
      </x:c>
      <x:c r="E2897" s="6" t="n">
        <x:v>20705</x:v>
      </x:c>
      <x:c r="F2897" s="6" t="n">
        <x:v>0</x:v>
      </x:c>
      <x:c r="G2897" s="6" t="n">
        <x:v>20705</x:v>
      </x:c>
      <x:c r="H2897" s="6" t="n">
        <x:v>1500</x:v>
      </x:c>
    </x:row>
    <x:row r="2898" ht="21" customHeight="1">
      <x:c r="A2898" s="1" t="str">
        <x:v>C0011978</x:v>
      </x:c>
      <x:c r="B2898" s="1" t="n">
        <x:v>15</x:v>
      </x:c>
      <x:c r="C2898" s="1" t="n">
        <x:v>75</x:v>
      </x:c>
      <x:c r="D2898" s="6" t="n">
        <x:v>5974</x:v>
      </x:c>
      <x:c r="E2898" s="6" t="n">
        <x:v>7474</x:v>
      </x:c>
      <x:c r="F2898" s="6" t="n">
        <x:v>0</x:v>
      </x:c>
      <x:c r="G2898" s="6" t="n">
        <x:v>7474</x:v>
      </x:c>
      <x:c r="H2898" s="6" t="n">
        <x:v>1500</x:v>
      </x:c>
    </x:row>
    <x:row r="2899" ht="21" customHeight="1">
      <x:c r="A2899" s="1" t="str">
        <x:v>C0011998</x:v>
      </x:c>
      <x:c r="B2899" s="1" t="n">
        <x:v>29</x:v>
      </x:c>
      <x:c r="C2899" s="1" t="n">
        <x:v>119</x:v>
      </x:c>
      <x:c r="D2899" s="6" t="n">
        <x:v>8063</x:v>
      </x:c>
      <x:c r="E2899" s="6" t="n">
        <x:v>9563</x:v>
      </x:c>
      <x:c r="F2899" s="6" t="n">
        <x:v>0</x:v>
      </x:c>
      <x:c r="G2899" s="6" t="n">
        <x:v>9563</x:v>
      </x:c>
      <x:c r="H2899" s="6" t="n">
        <x:v>1500</x:v>
      </x:c>
    </x:row>
    <x:row r="2900" ht="21" customHeight="1">
      <x:c r="A2900" s="1" t="str">
        <x:v>C0012051</x:v>
      </x:c>
      <x:c r="B2900" s="1" t="n">
        <x:v>7</x:v>
      </x:c>
      <x:c r="C2900" s="1" t="n">
        <x:v>37</x:v>
      </x:c>
      <x:c r="D2900" s="6" t="n">
        <x:v>13338</x:v>
      </x:c>
      <x:c r="E2900" s="6" t="n">
        <x:v>14838</x:v>
      </x:c>
      <x:c r="F2900" s="6" t="n">
        <x:v>0</x:v>
      </x:c>
      <x:c r="G2900" s="6" t="n">
        <x:v>14838</x:v>
      </x:c>
      <x:c r="H2900" s="6" t="n">
        <x:v>1500</x:v>
      </x:c>
    </x:row>
    <x:row r="2901" ht="21" customHeight="1">
      <x:c r="A2901" s="1" t="str">
        <x:v>C0012065</x:v>
      </x:c>
      <x:c r="B2901" s="1" t="n">
        <x:v>9</x:v>
      </x:c>
      <x:c r="C2901" s="1" t="n">
        <x:v>39</x:v>
      </x:c>
      <x:c r="D2901" s="6" t="n">
        <x:v>17658</x:v>
      </x:c>
      <x:c r="E2901" s="6" t="n">
        <x:v>19158</x:v>
      </x:c>
      <x:c r="F2901" s="6" t="n">
        <x:v>0</x:v>
      </x:c>
      <x:c r="G2901" s="6" t="n">
        <x:v>19158</x:v>
      </x:c>
      <x:c r="H2901" s="6" t="n">
        <x:v>1500</x:v>
      </x:c>
    </x:row>
    <x:row r="2902" ht="21" customHeight="1">
      <x:c r="A2902" s="1" t="str">
        <x:v>C0012066</x:v>
      </x:c>
      <x:c r="B2902" s="1" t="n">
        <x:v>23</x:v>
      </x:c>
      <x:c r="C2902" s="1" t="n">
        <x:v>53</x:v>
      </x:c>
      <x:c r="D2902" s="6" t="n">
        <x:v>34462</x:v>
      </x:c>
      <x:c r="E2902" s="6" t="n">
        <x:v>35962</x:v>
      </x:c>
      <x:c r="F2902" s="6" t="n">
        <x:v>0</x:v>
      </x:c>
      <x:c r="G2902" s="6" t="n">
        <x:v>35962</x:v>
      </x:c>
      <x:c r="H2902" s="6" t="n">
        <x:v>1500</x:v>
      </x:c>
    </x:row>
    <x:row r="2903" ht="21" customHeight="1">
      <x:c r="A2903" s="1" t="str">
        <x:v>C0005868</x:v>
      </x:c>
      <x:c r="B2903" s="1" t="n">
        <x:v>9</x:v>
      </x:c>
      <x:c r="C2903" s="1" t="n">
        <x:v>99</x:v>
      </x:c>
      <x:c r="D2903" s="6" t="n">
        <x:v>10353</x:v>
      </x:c>
      <x:c r="E2903" s="6" t="n">
        <x:v>11853</x:v>
      </x:c>
      <x:c r="F2903" s="6" t="n">
        <x:v>0</x:v>
      </x:c>
      <x:c r="G2903" s="6" t="n">
        <x:v>11853</x:v>
      </x:c>
      <x:c r="H2903" s="6" t="n">
        <x:v>1500</x:v>
      </x:c>
    </x:row>
    <x:row r="2904" ht="21" customHeight="1">
      <x:c r="A2904" s="1" t="str">
        <x:v>C0005869</x:v>
      </x:c>
      <x:c r="B2904" s="1" t="n">
        <x:v>27</x:v>
      </x:c>
      <x:c r="C2904" s="1" t="n">
        <x:v>57</x:v>
      </x:c>
      <x:c r="D2904" s="6" t="n">
        <x:v>24430</x:v>
      </x:c>
      <x:c r="E2904" s="6" t="n">
        <x:v>25930</x:v>
      </x:c>
      <x:c r="F2904" s="6" t="n">
        <x:v>0</x:v>
      </x:c>
      <x:c r="G2904" s="6" t="n">
        <x:v>25930</x:v>
      </x:c>
      <x:c r="H2904" s="6" t="n">
        <x:v>1500</x:v>
      </x:c>
    </x:row>
    <x:row r="2905" ht="21" customHeight="1">
      <x:c r="A2905" s="1" t="str">
        <x:v>C0005922</x:v>
      </x:c>
      <x:c r="B2905" s="1" t="n">
        <x:v>2</x:v>
      </x:c>
      <x:c r="C2905" s="1" t="n">
        <x:v>2</x:v>
      </x:c>
      <x:c r="D2905" s="6" t="n">
        <x:v>16092</x:v>
      </x:c>
      <x:c r="E2905" s="6" t="n">
        <x:v>17592</x:v>
      </x:c>
      <x:c r="F2905" s="6" t="n">
        <x:v>0</x:v>
      </x:c>
      <x:c r="G2905" s="6" t="n">
        <x:v>17592</x:v>
      </x:c>
      <x:c r="H2905" s="6" t="n">
        <x:v>1500</x:v>
      </x:c>
    </x:row>
    <x:row r="2906" ht="21" customHeight="1">
      <x:c r="A2906" s="1" t="str">
        <x:v>C0005971</x:v>
      </x:c>
      <x:c r="B2906" s="1" t="n">
        <x:v>15</x:v>
      </x:c>
      <x:c r="C2906" s="1" t="n">
        <x:v>45</x:v>
      </x:c>
      <x:c r="D2906" s="6" t="n">
        <x:v>32200</x:v>
      </x:c>
      <x:c r="E2906" s="6" t="n">
        <x:v>33700</x:v>
      </x:c>
      <x:c r="F2906" s="6" t="n">
        <x:v>0</x:v>
      </x:c>
      <x:c r="G2906" s="6" t="n">
        <x:v>33700</x:v>
      </x:c>
      <x:c r="H2906" s="6" t="n">
        <x:v>1500</x:v>
      </x:c>
    </x:row>
    <x:row r="2907" ht="21" customHeight="1">
      <x:c r="A2907" s="1" t="str">
        <x:v>C0005973</x:v>
      </x:c>
      <x:c r="B2907" s="1" t="n">
        <x:v>5</x:v>
      </x:c>
      <x:c r="C2907" s="1" t="n">
        <x:v>35</x:v>
      </x:c>
      <x:c r="D2907" s="6" t="n">
        <x:v>13082</x:v>
      </x:c>
      <x:c r="E2907" s="6" t="n">
        <x:v>14582</x:v>
      </x:c>
      <x:c r="F2907" s="6" t="n">
        <x:v>0</x:v>
      </x:c>
      <x:c r="G2907" s="6" t="n">
        <x:v>14582</x:v>
      </x:c>
      <x:c r="H2907" s="6" t="n">
        <x:v>1500</x:v>
      </x:c>
    </x:row>
    <x:row r="2908" ht="21" customHeight="1">
      <x:c r="A2908" s="1" t="str">
        <x:v>C0005540</x:v>
      </x:c>
      <x:c r="B2908" s="1" t="n">
        <x:v>28</x:v>
      </x:c>
      <x:c r="C2908" s="1" t="n">
        <x:v>28</x:v>
      </x:c>
      <x:c r="D2908" s="6" t="n">
        <x:v>24325</x:v>
      </x:c>
      <x:c r="E2908" s="6" t="n">
        <x:v>25825</x:v>
      </x:c>
      <x:c r="F2908" s="6" t="n">
        <x:v>0</x:v>
      </x:c>
      <x:c r="G2908" s="6" t="n">
        <x:v>25825</x:v>
      </x:c>
      <x:c r="H2908" s="6" t="n">
        <x:v>1500</x:v>
      </x:c>
    </x:row>
    <x:row r="2909" ht="21" customHeight="1">
      <x:c r="A2909" s="1" t="str">
        <x:v>C0005565</x:v>
      </x:c>
      <x:c r="B2909" s="1" t="n">
        <x:v>28</x:v>
      </x:c>
      <x:c r="C2909" s="1" t="n">
        <x:v>88</x:v>
      </x:c>
      <x:c r="D2909" s="6" t="n">
        <x:v>10497</x:v>
      </x:c>
      <x:c r="E2909" s="6" t="n">
        <x:v>11997</x:v>
      </x:c>
      <x:c r="F2909" s="6" t="n">
        <x:v>0</x:v>
      </x:c>
      <x:c r="G2909" s="6" t="n">
        <x:v>11997</x:v>
      </x:c>
      <x:c r="H2909" s="6" t="n">
        <x:v>1500</x:v>
      </x:c>
    </x:row>
    <x:row r="2910" ht="21" customHeight="1">
      <x:c r="A2910" s="1" t="str">
        <x:v>C0005459</x:v>
      </x:c>
      <x:c r="B2910" s="1" t="n">
        <x:v>27</x:v>
      </x:c>
      <x:c r="C2910" s="1" t="n">
        <x:v>27</x:v>
      </x:c>
      <x:c r="D2910" s="6" t="n">
        <x:v>21816</x:v>
      </x:c>
      <x:c r="E2910" s="6" t="n">
        <x:v>23316</x:v>
      </x:c>
      <x:c r="F2910" s="6" t="n">
        <x:v>0</x:v>
      </x:c>
      <x:c r="G2910" s="6" t="n">
        <x:v>23316</x:v>
      </x:c>
      <x:c r="H2910" s="6" t="n">
        <x:v>1500</x:v>
      </x:c>
    </x:row>
    <x:row r="2911" ht="21" customHeight="1">
      <x:c r="A2911" s="1" t="str">
        <x:v>C0005606</x:v>
      </x:c>
      <x:c r="B2911" s="1" t="n">
        <x:v>8</x:v>
      </x:c>
      <x:c r="C2911" s="1" t="n">
        <x:v>98</x:v>
      </x:c>
      <x:c r="D2911" s="6" t="n">
        <x:v>12923</x:v>
      </x:c>
      <x:c r="E2911" s="6" t="n">
        <x:v>14423</x:v>
      </x:c>
      <x:c r="F2911" s="6" t="n">
        <x:v>0</x:v>
      </x:c>
      <x:c r="G2911" s="6" t="n">
        <x:v>14423</x:v>
      </x:c>
      <x:c r="H2911" s="6" t="n">
        <x:v>1500</x:v>
      </x:c>
    </x:row>
    <x:row r="2912" ht="21" customHeight="1">
      <x:c r="A2912" s="1" t="str">
        <x:v>C0005611</x:v>
      </x:c>
      <x:c r="B2912" s="1" t="n">
        <x:v>21</x:v>
      </x:c>
      <x:c r="C2912" s="1" t="n">
        <x:v>81</x:v>
      </x:c>
      <x:c r="D2912" s="6" t="n">
        <x:v>11866</x:v>
      </x:c>
      <x:c r="E2912" s="6" t="n">
        <x:v>13366</x:v>
      </x:c>
      <x:c r="F2912" s="6" t="n">
        <x:v>0</x:v>
      </x:c>
      <x:c r="G2912" s="6" t="n">
        <x:v>13366</x:v>
      </x:c>
      <x:c r="H2912" s="6" t="n">
        <x:v>1500</x:v>
      </x:c>
    </x:row>
    <x:row r="2913" ht="21" customHeight="1">
      <x:c r="A2913" s="1" t="str">
        <x:v>C0005668</x:v>
      </x:c>
      <x:c r="B2913" s="1" t="n">
        <x:v>12</x:v>
      </x:c>
      <x:c r="C2913" s="1" t="n">
        <x:v>42</x:v>
      </x:c>
      <x:c r="D2913" s="6" t="n">
        <x:v>14519</x:v>
      </x:c>
      <x:c r="E2913" s="6" t="n">
        <x:v>16019</x:v>
      </x:c>
      <x:c r="F2913" s="6" t="n">
        <x:v>0</x:v>
      </x:c>
      <x:c r="G2913" s="6" t="n">
        <x:v>16019</x:v>
      </x:c>
      <x:c r="H2913" s="6" t="n">
        <x:v>1500</x:v>
      </x:c>
    </x:row>
    <x:row r="2914" ht="21" customHeight="1">
      <x:c r="A2914" s="1" t="str">
        <x:v>C0005697</x:v>
      </x:c>
      <x:c r="B2914" s="1" t="n">
        <x:v>13</x:v>
      </x:c>
      <x:c r="C2914" s="1" t="n">
        <x:v>73</x:v>
      </x:c>
      <x:c r="D2914" s="6" t="n">
        <x:v>15164</x:v>
      </x:c>
      <x:c r="E2914" s="6" t="n">
        <x:v>16664</x:v>
      </x:c>
      <x:c r="F2914" s="6" t="n">
        <x:v>0</x:v>
      </x:c>
      <x:c r="G2914" s="6" t="n">
        <x:v>16664</x:v>
      </x:c>
      <x:c r="H2914" s="6" t="n">
        <x:v>1500</x:v>
      </x:c>
    </x:row>
    <x:row r="2915" ht="21" customHeight="1">
      <x:c r="A2915" s="1" t="str">
        <x:v>C0005767</x:v>
      </x:c>
      <x:c r="B2915" s="1" t="n">
        <x:v>18</x:v>
      </x:c>
      <x:c r="C2915" s="1" t="n">
        <x:v>18</x:v>
      </x:c>
      <x:c r="D2915" s="6" t="n">
        <x:v>15610</x:v>
      </x:c>
      <x:c r="E2915" s="6" t="n">
        <x:v>17110</x:v>
      </x:c>
      <x:c r="F2915" s="6" t="n">
        <x:v>0</x:v>
      </x:c>
      <x:c r="G2915" s="6" t="n">
        <x:v>17110</x:v>
      </x:c>
      <x:c r="H2915" s="6" t="n">
        <x:v>1500</x:v>
      </x:c>
    </x:row>
    <x:row r="2916" ht="21" customHeight="1">
      <x:c r="A2916" s="1" t="str">
        <x:v>C0012440</x:v>
      </x:c>
      <x:c r="B2916" s="1" t="n">
        <x:v>19</x:v>
      </x:c>
      <x:c r="C2916" s="1" t="n">
        <x:v>49</x:v>
      </x:c>
      <x:c r="D2916" s="6" t="n">
        <x:v>14066</x:v>
      </x:c>
      <x:c r="E2916" s="6" t="n">
        <x:v>15566</x:v>
      </x:c>
      <x:c r="F2916" s="6" t="n">
        <x:v>0</x:v>
      </x:c>
      <x:c r="G2916" s="6" t="n">
        <x:v>15566</x:v>
      </x:c>
      <x:c r="H2916" s="6" t="n">
        <x:v>1500</x:v>
      </x:c>
    </x:row>
    <x:row r="2917" ht="21" customHeight="1">
      <x:c r="A2917" s="1" t="str">
        <x:v>C0012462</x:v>
      </x:c>
      <x:c r="B2917" s="1" t="n">
        <x:v>20</x:v>
      </x:c>
      <x:c r="C2917" s="1" t="n">
        <x:v>80</x:v>
      </x:c>
      <x:c r="D2917" s="6" t="n">
        <x:v>12307</x:v>
      </x:c>
      <x:c r="E2917" s="6" t="n">
        <x:v>13807</x:v>
      </x:c>
      <x:c r="F2917" s="6" t="n">
        <x:v>0</x:v>
      </x:c>
      <x:c r="G2917" s="6" t="n">
        <x:v>13807</x:v>
      </x:c>
      <x:c r="H2917" s="6" t="n">
        <x:v>1500</x:v>
      </x:c>
    </x:row>
    <x:row r="2918" ht="21" customHeight="1">
      <x:c r="A2918" s="1" t="str">
        <x:v>C0012490</x:v>
      </x:c>
      <x:c r="B2918" s="1" t="n">
        <x:v>16</x:v>
      </x:c>
      <x:c r="C2918" s="1" t="n">
        <x:v>76</x:v>
      </x:c>
      <x:c r="D2918" s="6" t="n">
        <x:v>22163</x:v>
      </x:c>
      <x:c r="E2918" s="6" t="n">
        <x:v>23663</x:v>
      </x:c>
      <x:c r="F2918" s="6" t="n">
        <x:v>0</x:v>
      </x:c>
      <x:c r="G2918" s="6" t="n">
        <x:v>23663</x:v>
      </x:c>
      <x:c r="H2918" s="6" t="n">
        <x:v>1500</x:v>
      </x:c>
    </x:row>
    <x:row r="2919" ht="21" customHeight="1">
      <x:c r="A2919" s="1" t="str">
        <x:v>C0012491</x:v>
      </x:c>
      <x:c r="B2919" s="1" t="n">
        <x:v>28</x:v>
      </x:c>
      <x:c r="C2919" s="1" t="n">
        <x:v>88</x:v>
      </x:c>
      <x:c r="D2919" s="6" t="n">
        <x:v>13626</x:v>
      </x:c>
      <x:c r="E2919" s="6" t="n">
        <x:v>15126</x:v>
      </x:c>
      <x:c r="F2919" s="6" t="n">
        <x:v>0</x:v>
      </x:c>
      <x:c r="G2919" s="6" t="n">
        <x:v>15126</x:v>
      </x:c>
      <x:c r="H2919" s="6" t="n">
        <x:v>1500</x:v>
      </x:c>
    </x:row>
    <x:row r="2920" ht="21" customHeight="1">
      <x:c r="A2920" s="1" t="str">
        <x:v>C0012493</x:v>
      </x:c>
      <x:c r="B2920" s="1" t="n">
        <x:v>21</x:v>
      </x:c>
      <x:c r="C2920" s="1" t="n">
        <x:v>21</x:v>
      </x:c>
      <x:c r="D2920" s="6" t="n">
        <x:v>24828</x:v>
      </x:c>
      <x:c r="E2920" s="6" t="n">
        <x:v>26328</x:v>
      </x:c>
      <x:c r="F2920" s="6" t="n">
        <x:v>0</x:v>
      </x:c>
      <x:c r="G2920" s="6" t="n">
        <x:v>26328</x:v>
      </x:c>
      <x:c r="H2920" s="6" t="n">
        <x:v>1500</x:v>
      </x:c>
    </x:row>
    <x:row r="2921" ht="21" customHeight="1">
      <x:c r="A2921" s="1" t="str">
        <x:v>C0012534</x:v>
      </x:c>
      <x:c r="B2921" s="1" t="n">
        <x:v>17</x:v>
      </x:c>
      <x:c r="C2921" s="1" t="n">
        <x:v>77</x:v>
      </x:c>
      <x:c r="D2921" s="6" t="n">
        <x:v>13300</x:v>
      </x:c>
      <x:c r="E2921" s="6" t="n">
        <x:v>14800</x:v>
      </x:c>
      <x:c r="F2921" s="6" t="n">
        <x:v>0</x:v>
      </x:c>
      <x:c r="G2921" s="6" t="n">
        <x:v>14800</x:v>
      </x:c>
      <x:c r="H2921" s="6" t="n">
        <x:v>1500</x:v>
      </x:c>
    </x:row>
    <x:row r="2922" ht="21" customHeight="1">
      <x:c r="A2922" s="1" t="str">
        <x:v>C0012567</x:v>
      </x:c>
      <x:c r="B2922" s="1" t="n">
        <x:v>10</x:v>
      </x:c>
      <x:c r="C2922" s="1" t="n">
        <x:v>70</x:v>
      </x:c>
      <x:c r="D2922" s="6" t="n">
        <x:v>5496</x:v>
      </x:c>
      <x:c r="E2922" s="6" t="n">
        <x:v>6996</x:v>
      </x:c>
      <x:c r="F2922" s="6" t="n">
        <x:v>0</x:v>
      </x:c>
      <x:c r="G2922" s="6" t="n">
        <x:v>6996</x:v>
      </x:c>
      <x:c r="H2922" s="6" t="n">
        <x:v>1500</x:v>
      </x:c>
    </x:row>
    <x:row r="2923" ht="21" customHeight="1">
      <x:c r="A2923" s="1" t="str">
        <x:v>C0005356</x:v>
      </x:c>
      <x:c r="B2923" s="1" t="n">
        <x:v>21</x:v>
      </x:c>
      <x:c r="C2923" s="1" t="n">
        <x:v>21</x:v>
      </x:c>
      <x:c r="D2923" s="6" t="n">
        <x:v>5898</x:v>
      </x:c>
      <x:c r="E2923" s="6" t="n">
        <x:v>7398</x:v>
      </x:c>
      <x:c r="F2923" s="6" t="n">
        <x:v>0</x:v>
      </x:c>
      <x:c r="G2923" s="6" t="n">
        <x:v>7398</x:v>
      </x:c>
      <x:c r="H2923" s="6" t="n">
        <x:v>1500</x:v>
      </x:c>
    </x:row>
    <x:row r="2924" ht="21" customHeight="1">
      <x:c r="A2924" s="1" t="str">
        <x:v>C0005434</x:v>
      </x:c>
      <x:c r="B2924" s="1" t="n">
        <x:v>30</x:v>
      </x:c>
      <x:c r="C2924" s="1" t="n">
        <x:v>60</x:v>
      </x:c>
      <x:c r="D2924" s="6" t="n">
        <x:v>7317</x:v>
      </x:c>
      <x:c r="E2924" s="6" t="n">
        <x:v>8817</x:v>
      </x:c>
      <x:c r="F2924" s="6" t="n">
        <x:v>0</x:v>
      </x:c>
      <x:c r="G2924" s="6" t="n">
        <x:v>8817</x:v>
      </x:c>
      <x:c r="H2924" s="6" t="n">
        <x:v>1500</x:v>
      </x:c>
    </x:row>
    <x:row r="2925" ht="21" customHeight="1">
      <x:c r="A2925" s="1" t="str">
        <x:v>C0005593</x:v>
      </x:c>
      <x:c r="B2925" s="1" t="n">
        <x:v>9</x:v>
      </x:c>
      <x:c r="C2925" s="1" t="n">
        <x:v>69</x:v>
      </x:c>
      <x:c r="D2925" s="6" t="n">
        <x:v>21960</x:v>
      </x:c>
      <x:c r="E2925" s="6" t="n">
        <x:v>23460</x:v>
      </x:c>
      <x:c r="F2925" s="6" t="n">
        <x:v>0</x:v>
      </x:c>
      <x:c r="G2925" s="6" t="n">
        <x:v>23460</x:v>
      </x:c>
      <x:c r="H2925" s="6" t="n">
        <x:v>1500</x:v>
      </x:c>
    </x:row>
    <x:row r="2926" ht="21" customHeight="1">
      <x:c r="A2926" s="1" t="str">
        <x:v>C0010727</x:v>
      </x:c>
      <x:c r="B2926" s="1" t="n">
        <x:v>30</x:v>
      </x:c>
      <x:c r="C2926" s="1" t="n">
        <x:v>60</x:v>
      </x:c>
      <x:c r="D2926" s="6" t="n">
        <x:v>15406</x:v>
      </x:c>
      <x:c r="E2926" s="6" t="n">
        <x:v>16906</x:v>
      </x:c>
      <x:c r="F2926" s="6" t="n">
        <x:v>0</x:v>
      </x:c>
      <x:c r="G2926" s="6" t="n">
        <x:v>16906</x:v>
      </x:c>
      <x:c r="H2926" s="6" t="n">
        <x:v>1500</x:v>
      </x:c>
    </x:row>
    <x:row r="2927" ht="21" customHeight="1">
      <x:c r="A2927" s="1" t="str">
        <x:v>C0010728</x:v>
      </x:c>
      <x:c r="B2927" s="1" t="n">
        <x:v>23</x:v>
      </x:c>
      <x:c r="C2927" s="1" t="n">
        <x:v>23</x:v>
      </x:c>
      <x:c r="D2927" s="6" t="n">
        <x:v>5106</x:v>
      </x:c>
      <x:c r="E2927" s="6" t="n">
        <x:v>6606</x:v>
      </x:c>
      <x:c r="F2927" s="6" t="n">
        <x:v>0</x:v>
      </x:c>
      <x:c r="G2927" s="6" t="n">
        <x:v>6606</x:v>
      </x:c>
      <x:c r="H2927" s="6" t="n">
        <x:v>1500</x:v>
      </x:c>
    </x:row>
    <x:row r="2928" ht="21" customHeight="1">
      <x:c r="A2928" s="1" t="str">
        <x:v>C0010754</x:v>
      </x:c>
      <x:c r="B2928" s="1" t="n">
        <x:v>5</x:v>
      </x:c>
      <x:c r="C2928" s="1" t="n">
        <x:v>65</x:v>
      </x:c>
      <x:c r="D2928" s="6" t="n">
        <x:v>11572</x:v>
      </x:c>
      <x:c r="E2928" s="6" t="n">
        <x:v>13072</x:v>
      </x:c>
      <x:c r="F2928" s="6" t="n">
        <x:v>0</x:v>
      </x:c>
      <x:c r="G2928" s="6" t="n">
        <x:v>13072</x:v>
      </x:c>
      <x:c r="H2928" s="6" t="n">
        <x:v>1500</x:v>
      </x:c>
    </x:row>
    <x:row r="2929" ht="21" customHeight="1">
      <x:c r="A2929" s="1" t="str">
        <x:v>C0010771</x:v>
      </x:c>
      <x:c r="B2929" s="1" t="n">
        <x:v>19</x:v>
      </x:c>
      <x:c r="C2929" s="1" t="n">
        <x:v>79</x:v>
      </x:c>
      <x:c r="D2929" s="6" t="n">
        <x:v>21854</x:v>
      </x:c>
      <x:c r="E2929" s="6" t="n">
        <x:v>23354</x:v>
      </x:c>
      <x:c r="F2929" s="6" t="n">
        <x:v>0</x:v>
      </x:c>
      <x:c r="G2929" s="6" t="n">
        <x:v>23354</x:v>
      </x:c>
      <x:c r="H2929" s="6" t="n">
        <x:v>1500</x:v>
      </x:c>
    </x:row>
    <x:row r="2930" ht="21" customHeight="1">
      <x:c r="A2930" s="1" t="str">
        <x:v>C0010783</x:v>
      </x:c>
      <x:c r="B2930" s="1" t="n">
        <x:v>26</x:v>
      </x:c>
      <x:c r="C2930" s="1" t="n">
        <x:v>116</x:v>
      </x:c>
      <x:c r="D2930" s="6" t="n">
        <x:v>24773</x:v>
      </x:c>
      <x:c r="E2930" s="6" t="n">
        <x:v>26273</x:v>
      </x:c>
      <x:c r="F2930" s="6" t="n">
        <x:v>0</x:v>
      </x:c>
      <x:c r="G2930" s="6" t="n">
        <x:v>26273</x:v>
      </x:c>
      <x:c r="H2930" s="6" t="n">
        <x:v>1500</x:v>
      </x:c>
    </x:row>
    <x:row r="2931" ht="21" customHeight="1">
      <x:c r="A2931" s="1" t="str">
        <x:v>C0010801</x:v>
      </x:c>
      <x:c r="B2931" s="1" t="n">
        <x:v>26</x:v>
      </x:c>
      <x:c r="C2931" s="1" t="n">
        <x:v>116</x:v>
      </x:c>
      <x:c r="D2931" s="6" t="n">
        <x:v>23414</x:v>
      </x:c>
      <x:c r="E2931" s="6" t="n">
        <x:v>24914</x:v>
      </x:c>
      <x:c r="F2931" s="6" t="n">
        <x:v>0</x:v>
      </x:c>
      <x:c r="G2931" s="6" t="n">
        <x:v>24914</x:v>
      </x:c>
      <x:c r="H2931" s="6" t="n">
        <x:v>1500</x:v>
      </x:c>
    </x:row>
    <x:row r="2932" ht="21" customHeight="1">
      <x:c r="A2932" s="1" t="str">
        <x:v>C0010829</x:v>
      </x:c>
      <x:c r="B2932" s="1" t="n">
        <x:v>6</x:v>
      </x:c>
      <x:c r="C2932" s="1" t="n">
        <x:v>36</x:v>
      </x:c>
      <x:c r="D2932" s="6" t="n">
        <x:v>11461</x:v>
      </x:c>
      <x:c r="E2932" s="6" t="n">
        <x:v>12961</x:v>
      </x:c>
      <x:c r="F2932" s="6" t="n">
        <x:v>0</x:v>
      </x:c>
      <x:c r="G2932" s="6" t="n">
        <x:v>12961</x:v>
      </x:c>
      <x:c r="H2932" s="6" t="n">
        <x:v>1500</x:v>
      </x:c>
    </x:row>
    <x:row r="2933" ht="21" customHeight="1">
      <x:c r="A2933" s="1" t="str">
        <x:v>C0010846</x:v>
      </x:c>
      <x:c r="B2933" s="1" t="n">
        <x:v>7</x:v>
      </x:c>
      <x:c r="C2933" s="1" t="n">
        <x:v>7</x:v>
      </x:c>
      <x:c r="D2933" s="6" t="n">
        <x:v>14178</x:v>
      </x:c>
      <x:c r="E2933" s="6" t="n">
        <x:v>15678</x:v>
      </x:c>
      <x:c r="F2933" s="6" t="n">
        <x:v>0</x:v>
      </x:c>
      <x:c r="G2933" s="6" t="n">
        <x:v>15678</x:v>
      </x:c>
      <x:c r="H2933" s="6" t="n">
        <x:v>1500</x:v>
      </x:c>
    </x:row>
    <x:row r="2934" ht="21" customHeight="1">
      <x:c r="A2934" s="1" t="str">
        <x:v>C0014600</x:v>
      </x:c>
      <x:c r="B2934" s="1" t="n">
        <x:v>9</x:v>
      </x:c>
      <x:c r="C2934" s="1" t="n">
        <x:v>39</x:v>
      </x:c>
      <x:c r="D2934" s="6" t="n">
        <x:v>5702</x:v>
      </x:c>
      <x:c r="E2934" s="6" t="n">
        <x:v>7202</x:v>
      </x:c>
      <x:c r="F2934" s="6" t="n">
        <x:v>0</x:v>
      </x:c>
      <x:c r="G2934" s="6" t="n">
        <x:v>7202</x:v>
      </x:c>
      <x:c r="H2934" s="6" t="n">
        <x:v>1500</x:v>
      </x:c>
    </x:row>
    <x:row r="2935" ht="21" customHeight="1">
      <x:c r="A2935" s="1" t="str">
        <x:v>C0014655</x:v>
      </x:c>
      <x:c r="B2935" s="1" t="n">
        <x:v>7</x:v>
      </x:c>
      <x:c r="C2935" s="1" t="n">
        <x:v>67</x:v>
      </x:c>
      <x:c r="D2935" s="6" t="n">
        <x:v>16124</x:v>
      </x:c>
      <x:c r="E2935" s="6" t="n">
        <x:v>17624</x:v>
      </x:c>
      <x:c r="F2935" s="6" t="n">
        <x:v>0</x:v>
      </x:c>
      <x:c r="G2935" s="6" t="n">
        <x:v>17624</x:v>
      </x:c>
      <x:c r="H2935" s="6" t="n">
        <x:v>1500</x:v>
      </x:c>
    </x:row>
    <x:row r="2936" ht="21" customHeight="1">
      <x:c r="A2936" s="1" t="str">
        <x:v>C0014664</x:v>
      </x:c>
      <x:c r="B2936" s="1" t="n">
        <x:v>23</x:v>
      </x:c>
      <x:c r="C2936" s="1" t="n">
        <x:v>83</x:v>
      </x:c>
      <x:c r="D2936" s="6" t="n">
        <x:v>6212</x:v>
      </x:c>
      <x:c r="E2936" s="6" t="n">
        <x:v>7712</x:v>
      </x:c>
      <x:c r="F2936" s="6" t="n">
        <x:v>0</x:v>
      </x:c>
      <x:c r="G2936" s="6" t="n">
        <x:v>7712</x:v>
      </x:c>
      <x:c r="H2936" s="6" t="n">
        <x:v>1500</x:v>
      </x:c>
    </x:row>
    <x:row r="2937" ht="21" customHeight="1">
      <x:c r="A2937" s="1" t="str">
        <x:v>C0014666</x:v>
      </x:c>
      <x:c r="B2937" s="1" t="n">
        <x:v>12</x:v>
      </x:c>
      <x:c r="C2937" s="1" t="n">
        <x:v>72</x:v>
      </x:c>
      <x:c r="D2937" s="6" t="n">
        <x:v>22336</x:v>
      </x:c>
      <x:c r="E2937" s="6" t="n">
        <x:v>23836</x:v>
      </x:c>
      <x:c r="F2937" s="6" t="n">
        <x:v>0</x:v>
      </x:c>
      <x:c r="G2937" s="6" t="n">
        <x:v>23836</x:v>
      </x:c>
      <x:c r="H2937" s="6" t="n">
        <x:v>1500</x:v>
      </x:c>
    </x:row>
    <x:row r="2938" ht="21" customHeight="1">
      <x:c r="A2938" s="1" t="str">
        <x:v>C0014673</x:v>
      </x:c>
      <x:c r="B2938" s="1" t="n">
        <x:v>23</x:v>
      </x:c>
      <x:c r="C2938" s="1" t="n">
        <x:v>83</x:v>
      </x:c>
      <x:c r="D2938" s="6" t="n">
        <x:v>22093</x:v>
      </x:c>
      <x:c r="E2938" s="6" t="n">
        <x:v>23593</x:v>
      </x:c>
      <x:c r="F2938" s="6" t="n">
        <x:v>0</x:v>
      </x:c>
      <x:c r="G2938" s="6" t="n">
        <x:v>23593</x:v>
      </x:c>
      <x:c r="H2938" s="6" t="n">
        <x:v>1500</x:v>
      </x:c>
    </x:row>
    <x:row r="2939" ht="21" customHeight="1">
      <x:c r="A2939" s="1" t="str">
        <x:v>C0004325</x:v>
      </x:c>
      <x:c r="B2939" s="1" t="n">
        <x:v>27</x:v>
      </x:c>
      <x:c r="C2939" s="1" t="n">
        <x:v>57</x:v>
      </x:c>
      <x:c r="D2939" s="6" t="n">
        <x:v>24430</x:v>
      </x:c>
      <x:c r="E2939" s="6" t="n">
        <x:v>25930</x:v>
      </x:c>
      <x:c r="F2939" s="6" t="n">
        <x:v>0</x:v>
      </x:c>
      <x:c r="G2939" s="6" t="n">
        <x:v>25930</x:v>
      </x:c>
      <x:c r="H2939" s="6" t="n">
        <x:v>1500</x:v>
      </x:c>
    </x:row>
    <x:row r="2940" ht="21" customHeight="1">
      <x:c r="A2940" s="1" t="str">
        <x:v>C0003235</x:v>
      </x:c>
      <x:c r="B2940" s="1" t="n">
        <x:v>4</x:v>
      </x:c>
      <x:c r="C2940" s="1" t="n">
        <x:v>94</x:v>
      </x:c>
      <x:c r="D2940" s="6" t="n">
        <x:v>6562</x:v>
      </x:c>
      <x:c r="E2940" s="6" t="n">
        <x:v>8062</x:v>
      </x:c>
      <x:c r="F2940" s="6" t="n">
        <x:v>0</x:v>
      </x:c>
      <x:c r="G2940" s="6" t="n">
        <x:v>8062</x:v>
      </x:c>
      <x:c r="H2940" s="6" t="n">
        <x:v>1500</x:v>
      </x:c>
    </x:row>
    <x:row r="2941" ht="21" customHeight="1">
      <x:c r="A2941" s="1" t="str">
        <x:v>C0003270</x:v>
      </x:c>
      <x:c r="B2941" s="1" t="n">
        <x:v>15</x:v>
      </x:c>
      <x:c r="C2941" s="1" t="n">
        <x:v>45</x:v>
      </x:c>
      <x:c r="D2941" s="6" t="n">
        <x:v>32200</x:v>
      </x:c>
      <x:c r="E2941" s="6" t="n">
        <x:v>33700</x:v>
      </x:c>
      <x:c r="F2941" s="6" t="n">
        <x:v>0</x:v>
      </x:c>
      <x:c r="G2941" s="6" t="n">
        <x:v>33700</x:v>
      </x:c>
      <x:c r="H2941" s="6" t="n">
        <x:v>1500</x:v>
      </x:c>
    </x:row>
    <x:row r="2942" ht="21" customHeight="1">
      <x:c r="A2942" s="1" t="str">
        <x:v>C0003288</x:v>
      </x:c>
      <x:c r="B2942" s="1" t="n">
        <x:v>11</x:v>
      </x:c>
      <x:c r="C2942" s="1" t="n">
        <x:v>41</x:v>
      </x:c>
      <x:c r="D2942" s="6" t="n">
        <x:v>20903</x:v>
      </x:c>
      <x:c r="E2942" s="6" t="n">
        <x:v>22403</x:v>
      </x:c>
      <x:c r="F2942" s="6" t="n">
        <x:v>0</x:v>
      </x:c>
      <x:c r="G2942" s="6" t="n">
        <x:v>22403</x:v>
      </x:c>
      <x:c r="H2942" s="6" t="n">
        <x:v>1500</x:v>
      </x:c>
    </x:row>
    <x:row r="2943" ht="21" customHeight="1">
      <x:c r="A2943" s="1" t="str">
        <x:v>C0003302</x:v>
      </x:c>
      <x:c r="B2943" s="1" t="n">
        <x:v>26</x:v>
      </x:c>
      <x:c r="C2943" s="1" t="n">
        <x:v>116</x:v>
      </x:c>
      <x:c r="D2943" s="6" t="n">
        <x:v>24773</x:v>
      </x:c>
      <x:c r="E2943" s="6" t="n">
        <x:v>26273</x:v>
      </x:c>
      <x:c r="F2943" s="6" t="n">
        <x:v>0</x:v>
      </x:c>
      <x:c r="G2943" s="6" t="n">
        <x:v>26273</x:v>
      </x:c>
      <x:c r="H2943" s="6" t="n">
        <x:v>1500</x:v>
      </x:c>
    </x:row>
    <x:row r="2944" ht="21" customHeight="1">
      <x:c r="A2944" s="1" t="str">
        <x:v>C0003359</x:v>
      </x:c>
      <x:c r="B2944" s="1" t="n">
        <x:v>30</x:v>
      </x:c>
      <x:c r="C2944" s="1" t="n">
        <x:v>120</x:v>
      </x:c>
      <x:c r="D2944" s="6" t="n">
        <x:v>24724</x:v>
      </x:c>
      <x:c r="E2944" s="6" t="n">
        <x:v>26224</x:v>
      </x:c>
      <x:c r="F2944" s="6" t="n">
        <x:v>0</x:v>
      </x:c>
      <x:c r="G2944" s="6" t="n">
        <x:v>26224</x:v>
      </x:c>
      <x:c r="H2944" s="6" t="n">
        <x:v>1500</x:v>
      </x:c>
    </x:row>
    <x:row r="2945" ht="21" customHeight="1">
      <x:c r="A2945" s="1" t="str">
        <x:v>C0014743</x:v>
      </x:c>
      <x:c r="B2945" s="1" t="n">
        <x:v>17</x:v>
      </x:c>
      <x:c r="C2945" s="1" t="n">
        <x:v>17</x:v>
      </x:c>
      <x:c r="D2945" s="6" t="n">
        <x:v>6299</x:v>
      </x:c>
      <x:c r="E2945" s="6" t="n">
        <x:v>7799</x:v>
      </x:c>
      <x:c r="F2945" s="6" t="n">
        <x:v>0</x:v>
      </x:c>
      <x:c r="G2945" s="6" t="n">
        <x:v>7799</x:v>
      </x:c>
      <x:c r="H2945" s="6" t="n">
        <x:v>1500</x:v>
      </x:c>
    </x:row>
    <x:row r="2946" ht="21" customHeight="1">
      <x:c r="A2946" s="1" t="str">
        <x:v>C0014763</x:v>
      </x:c>
      <x:c r="B2946" s="1" t="n">
        <x:v>24</x:v>
      </x:c>
      <x:c r="C2946" s="1" t="n">
        <x:v>114</x:v>
      </x:c>
      <x:c r="D2946" s="6" t="n">
        <x:v>16088</x:v>
      </x:c>
      <x:c r="E2946" s="6" t="n">
        <x:v>17588</x:v>
      </x:c>
      <x:c r="F2946" s="6" t="n">
        <x:v>0</x:v>
      </x:c>
      <x:c r="G2946" s="6" t="n">
        <x:v>17588</x:v>
      </x:c>
      <x:c r="H2946" s="6" t="n">
        <x:v>1500</x:v>
      </x:c>
    </x:row>
    <x:row r="2947" ht="21" customHeight="1">
      <x:c r="A2947" s="1" t="str">
        <x:v>C0014764</x:v>
      </x:c>
      <x:c r="B2947" s="1" t="n">
        <x:v>5</x:v>
      </x:c>
      <x:c r="C2947" s="1" t="n">
        <x:v>95</x:v>
      </x:c>
      <x:c r="D2947" s="6" t="n">
        <x:v>7483</x:v>
      </x:c>
      <x:c r="E2947" s="6" t="n">
        <x:v>8983</x:v>
      </x:c>
      <x:c r="F2947" s="6" t="n">
        <x:v>0</x:v>
      </x:c>
      <x:c r="G2947" s="6" t="n">
        <x:v>8983</x:v>
      </x:c>
      <x:c r="H2947" s="6" t="n">
        <x:v>1500</x:v>
      </x:c>
    </x:row>
    <x:row r="2948" ht="21" customHeight="1">
      <x:c r="A2948" s="1" t="str">
        <x:v>C0014768</x:v>
      </x:c>
      <x:c r="B2948" s="1" t="n">
        <x:v>21</x:v>
      </x:c>
      <x:c r="C2948" s="1" t="n">
        <x:v>111</x:v>
      </x:c>
      <x:c r="D2948" s="6" t="n">
        <x:v>10291</x:v>
      </x:c>
      <x:c r="E2948" s="6" t="n">
        <x:v>11791</x:v>
      </x:c>
      <x:c r="F2948" s="6" t="n">
        <x:v>0</x:v>
      </x:c>
      <x:c r="G2948" s="6" t="n">
        <x:v>11791</x:v>
      </x:c>
      <x:c r="H2948" s="6" t="n">
        <x:v>1500</x:v>
      </x:c>
    </x:row>
    <x:row r="2949" ht="21" customHeight="1">
      <x:c r="A2949" s="1" t="str">
        <x:v>C0014770</x:v>
      </x:c>
      <x:c r="B2949" s="1" t="n">
        <x:v>3</x:v>
      </x:c>
      <x:c r="C2949" s="1" t="n">
        <x:v>33</x:v>
      </x:c>
      <x:c r="D2949" s="6" t="n">
        <x:v>21062</x:v>
      </x:c>
      <x:c r="E2949" s="6" t="n">
        <x:v>22562</x:v>
      </x:c>
      <x:c r="F2949" s="6" t="n">
        <x:v>0</x:v>
      </x:c>
      <x:c r="G2949" s="6" t="n">
        <x:v>22562</x:v>
      </x:c>
      <x:c r="H2949" s="6" t="n">
        <x:v>1500</x:v>
      </x:c>
    </x:row>
    <x:row r="2950" ht="21" customHeight="1">
      <x:c r="A2950" s="1" t="str">
        <x:v>C0014798</x:v>
      </x:c>
      <x:c r="B2950" s="1" t="n">
        <x:v>21</x:v>
      </x:c>
      <x:c r="C2950" s="1" t="n">
        <x:v>81</x:v>
      </x:c>
      <x:c r="D2950" s="6" t="n">
        <x:v>11036</x:v>
      </x:c>
      <x:c r="E2950" s="6" t="n">
        <x:v>12536</x:v>
      </x:c>
      <x:c r="F2950" s="6" t="n">
        <x:v>0</x:v>
      </x:c>
      <x:c r="G2950" s="6" t="n">
        <x:v>12536</x:v>
      </x:c>
      <x:c r="H2950" s="6" t="n">
        <x:v>1500</x:v>
      </x:c>
    </x:row>
    <x:row r="2951" ht="21" customHeight="1">
      <x:c r="A2951" s="1" t="str">
        <x:v>C0014806</x:v>
      </x:c>
      <x:c r="B2951" s="1" t="n">
        <x:v>30</x:v>
      </x:c>
      <x:c r="C2951" s="1" t="n">
        <x:v>120</x:v>
      </x:c>
      <x:c r="D2951" s="6" t="n">
        <x:v>24724</x:v>
      </x:c>
      <x:c r="E2951" s="6" t="n">
        <x:v>26224</x:v>
      </x:c>
      <x:c r="F2951" s="6" t="n">
        <x:v>0</x:v>
      </x:c>
      <x:c r="G2951" s="6" t="n">
        <x:v>26224</x:v>
      </x:c>
      <x:c r="H2951" s="6" t="n">
        <x:v>1500</x:v>
      </x:c>
    </x:row>
    <x:row r="2952" ht="21" customHeight="1">
      <x:c r="A2952" s="1" t="str">
        <x:v>C0000007</x:v>
      </x:c>
      <x:c r="B2952" s="1" t="n">
        <x:v>3</x:v>
      </x:c>
      <x:c r="C2952" s="1" t="n">
        <x:v>3</x:v>
      </x:c>
      <x:c r="D2952" s="6" t="n">
        <x:v>8304</x:v>
      </x:c>
      <x:c r="E2952" s="6" t="n">
        <x:v>9804</x:v>
      </x:c>
      <x:c r="F2952" s="6" t="n">
        <x:v>0</x:v>
      </x:c>
      <x:c r="G2952" s="6" t="n">
        <x:v>9804</x:v>
      </x:c>
      <x:c r="H2952" s="6" t="n">
        <x:v>1500</x:v>
      </x:c>
    </x:row>
    <x:row r="2953" ht="21" customHeight="1">
      <x:c r="A2953" s="1" t="str">
        <x:v>C0003226</x:v>
      </x:c>
      <x:c r="B2953" s="1" t="n">
        <x:v>17</x:v>
      </x:c>
      <x:c r="C2953" s="1" t="n">
        <x:v>77</x:v>
      </x:c>
      <x:c r="D2953" s="6" t="n">
        <x:v>13300</x:v>
      </x:c>
      <x:c r="E2953" s="6" t="n">
        <x:v>14800</x:v>
      </x:c>
      <x:c r="F2953" s="6" t="n">
        <x:v>0</x:v>
      </x:c>
      <x:c r="G2953" s="6" t="n">
        <x:v>14800</x:v>
      </x:c>
      <x:c r="H2953" s="6" t="n">
        <x:v>1500</x:v>
      </x:c>
    </x:row>
    <x:row r="2954" ht="21" customHeight="1">
      <x:c r="A2954" s="1" t="str">
        <x:v>C0014515</x:v>
      </x:c>
      <x:c r="B2954" s="1" t="n">
        <x:v>11</x:v>
      </x:c>
      <x:c r="C2954" s="1" t="n">
        <x:v>101</x:v>
      </x:c>
      <x:c r="D2954" s="6" t="n">
        <x:v>49342</x:v>
      </x:c>
      <x:c r="E2954" s="6" t="n">
        <x:v>50842</x:v>
      </x:c>
      <x:c r="F2954" s="6" t="n">
        <x:v>0</x:v>
      </x:c>
      <x:c r="G2954" s="6" t="n">
        <x:v>50842</x:v>
      </x:c>
      <x:c r="H2954" s="6" t="n">
        <x:v>1500</x:v>
      </x:c>
    </x:row>
    <x:row r="2955" ht="21" customHeight="1">
      <x:c r="A2955" s="1" t="str">
        <x:v>C0014516</x:v>
      </x:c>
      <x:c r="B2955" s="1" t="n">
        <x:v>4</x:v>
      </x:c>
      <x:c r="C2955" s="1" t="n">
        <x:v>64</x:v>
      </x:c>
      <x:c r="D2955" s="6" t="n">
        <x:v>48322</x:v>
      </x:c>
      <x:c r="E2955" s="6" t="n">
        <x:v>49822</x:v>
      </x:c>
      <x:c r="F2955" s="6" t="n">
        <x:v>0</x:v>
      </x:c>
      <x:c r="G2955" s="6" t="n">
        <x:v>49822</x:v>
      </x:c>
      <x:c r="H2955" s="6" t="n">
        <x:v>1500</x:v>
      </x:c>
    </x:row>
    <x:row r="2956" ht="21" customHeight="1">
      <x:c r="A2956" s="1" t="str">
        <x:v>C0014517</x:v>
      </x:c>
      <x:c r="B2956" s="1" t="n">
        <x:v>12</x:v>
      </x:c>
      <x:c r="C2956" s="1" t="n">
        <x:v>42</x:v>
      </x:c>
      <x:c r="D2956" s="6" t="n">
        <x:v>20279</x:v>
      </x:c>
      <x:c r="E2956" s="6" t="n">
        <x:v>21779</x:v>
      </x:c>
      <x:c r="F2956" s="6" t="n">
        <x:v>0</x:v>
      </x:c>
      <x:c r="G2956" s="6" t="n">
        <x:v>21779</x:v>
      </x:c>
      <x:c r="H2956" s="6" t="n">
        <x:v>1500</x:v>
      </x:c>
    </x:row>
    <x:row r="2957" ht="21" customHeight="1">
      <x:c r="A2957" s="1" t="str">
        <x:v>C0014540</x:v>
      </x:c>
      <x:c r="B2957" s="1" t="n">
        <x:v>13</x:v>
      </x:c>
      <x:c r="C2957" s="1" t="n">
        <x:v>73</x:v>
      </x:c>
      <x:c r="D2957" s="6" t="n">
        <x:v>21430</x:v>
      </x:c>
      <x:c r="E2957" s="6" t="n">
        <x:v>22930</x:v>
      </x:c>
      <x:c r="F2957" s="6" t="n">
        <x:v>0</x:v>
      </x:c>
      <x:c r="G2957" s="6" t="n">
        <x:v>22930</x:v>
      </x:c>
      <x:c r="H2957" s="6" t="n">
        <x:v>1500</x:v>
      </x:c>
    </x:row>
    <x:row r="2958" ht="21" customHeight="1">
      <x:c r="A2958" s="1" t="str">
        <x:v>C0003391</x:v>
      </x:c>
      <x:c r="B2958" s="1" t="n">
        <x:v>20</x:v>
      </x:c>
      <x:c r="C2958" s="1" t="n">
        <x:v>110</x:v>
      </x:c>
      <x:c r="D2958" s="6" t="n">
        <x:v>19703</x:v>
      </x:c>
      <x:c r="E2958" s="6" t="n">
        <x:v>21203</x:v>
      </x:c>
      <x:c r="F2958" s="6" t="n">
        <x:v>0</x:v>
      </x:c>
      <x:c r="G2958" s="6" t="n">
        <x:v>21203</x:v>
      </x:c>
      <x:c r="H2958" s="6" t="n">
        <x:v>1500</x:v>
      </x:c>
    </x:row>
    <x:row r="2959" ht="21" customHeight="1">
      <x:c r="A2959" s="1" t="str">
        <x:v>C0003447</x:v>
      </x:c>
      <x:c r="B2959" s="1" t="n">
        <x:v>30</x:v>
      </x:c>
      <x:c r="C2959" s="1" t="n">
        <x:v>30</x:v>
      </x:c>
      <x:c r="D2959" s="6" t="n">
        <x:v>9733</x:v>
      </x:c>
      <x:c r="E2959" s="6" t="n">
        <x:v>11233</x:v>
      </x:c>
      <x:c r="F2959" s="6" t="n">
        <x:v>0</x:v>
      </x:c>
      <x:c r="G2959" s="6" t="n">
        <x:v>11233</x:v>
      </x:c>
      <x:c r="H2959" s="6" t="n">
        <x:v>1500</x:v>
      </x:c>
    </x:row>
    <x:row r="2960" ht="21" customHeight="1">
      <x:c r="A2960" s="1" t="str">
        <x:v>C0003448</x:v>
      </x:c>
      <x:c r="B2960" s="1" t="n">
        <x:v>2</x:v>
      </x:c>
      <x:c r="C2960" s="1" t="n">
        <x:v>62</x:v>
      </x:c>
      <x:c r="D2960" s="6" t="n">
        <x:v>24169</x:v>
      </x:c>
      <x:c r="E2960" s="6" t="n">
        <x:v>25669</x:v>
      </x:c>
      <x:c r="F2960" s="6" t="n">
        <x:v>0</x:v>
      </x:c>
      <x:c r="G2960" s="6" t="n">
        <x:v>25669</x:v>
      </x:c>
      <x:c r="H2960" s="6" t="n">
        <x:v>1500</x:v>
      </x:c>
    </x:row>
    <x:row r="2961" ht="21" customHeight="1">
      <x:c r="A2961" s="1" t="str">
        <x:v>C0003467</x:v>
      </x:c>
      <x:c r="B2961" s="1" t="n">
        <x:v>28</x:v>
      </x:c>
      <x:c r="C2961" s="1" t="n">
        <x:v>58</x:v>
      </x:c>
      <x:c r="D2961" s="6" t="n">
        <x:v>9512</x:v>
      </x:c>
      <x:c r="E2961" s="6" t="n">
        <x:v>11012</x:v>
      </x:c>
      <x:c r="F2961" s="6" t="n">
        <x:v>0</x:v>
      </x:c>
      <x:c r="G2961" s="6" t="n">
        <x:v>11012</x:v>
      </x:c>
      <x:c r="H2961" s="6" t="n">
        <x:v>1500</x:v>
      </x:c>
    </x:row>
    <x:row r="2962" ht="21" customHeight="1">
      <x:c r="A2962" s="1" t="str">
        <x:v>C0003480</x:v>
      </x:c>
      <x:c r="B2962" s="1" t="n">
        <x:v>22</x:v>
      </x:c>
      <x:c r="C2962" s="1" t="n">
        <x:v>112</x:v>
      </x:c>
      <x:c r="D2962" s="6" t="n">
        <x:v>19205</x:v>
      </x:c>
      <x:c r="E2962" s="6" t="n">
        <x:v>20705</x:v>
      </x:c>
      <x:c r="F2962" s="6" t="n">
        <x:v>0</x:v>
      </x:c>
      <x:c r="G2962" s="6" t="n">
        <x:v>20705</x:v>
      </x:c>
      <x:c r="H2962" s="6" t="n">
        <x:v>1500</x:v>
      </x:c>
    </x:row>
    <x:row r="2963" ht="21" customHeight="1">
      <x:c r="A2963" s="1" t="str">
        <x:v>C0003485</x:v>
      </x:c>
      <x:c r="B2963" s="1" t="n">
        <x:v>13</x:v>
      </x:c>
      <x:c r="C2963" s="1" t="n">
        <x:v>43</x:v>
      </x:c>
      <x:c r="D2963" s="6" t="n">
        <x:v>7342</x:v>
      </x:c>
      <x:c r="E2963" s="6" t="n">
        <x:v>8842</x:v>
      </x:c>
      <x:c r="F2963" s="6" t="n">
        <x:v>0</x:v>
      </x:c>
      <x:c r="G2963" s="6" t="n">
        <x:v>8842</x:v>
      </x:c>
      <x:c r="H2963" s="6" t="n">
        <x:v>1500</x:v>
      </x:c>
    </x:row>
    <x:row r="2964" ht="21" customHeight="1">
      <x:c r="A2964" s="1" t="str">
        <x:v>C0003487</x:v>
      </x:c>
      <x:c r="B2964" s="1" t="n">
        <x:v>27</x:v>
      </x:c>
      <x:c r="C2964" s="1" t="n">
        <x:v>87</x:v>
      </x:c>
      <x:c r="D2964" s="6" t="n">
        <x:v>9140</x:v>
      </x:c>
      <x:c r="E2964" s="6" t="n">
        <x:v>10640</x:v>
      </x:c>
      <x:c r="F2964" s="6" t="n">
        <x:v>0</x:v>
      </x:c>
      <x:c r="G2964" s="6" t="n">
        <x:v>10640</x:v>
      </x:c>
      <x:c r="H2964" s="6" t="n">
        <x:v>1500</x:v>
      </x:c>
    </x:row>
    <x:row r="2965" ht="21" customHeight="1">
      <x:c r="A2965" s="1" t="str">
        <x:v>C0003505</x:v>
      </x:c>
      <x:c r="B2965" s="1" t="n">
        <x:v>4</x:v>
      </x:c>
      <x:c r="C2965" s="1" t="n">
        <x:v>94</x:v>
      </x:c>
      <x:c r="D2965" s="6" t="n">
        <x:v>12667</x:v>
      </x:c>
      <x:c r="E2965" s="6" t="n">
        <x:v>14167</x:v>
      </x:c>
      <x:c r="F2965" s="6" t="n">
        <x:v>0</x:v>
      </x:c>
      <x:c r="G2965" s="6" t="n">
        <x:v>14167</x:v>
      </x:c>
      <x:c r="H2965" s="6" t="n">
        <x:v>1500</x:v>
      </x:c>
    </x:row>
    <x:row r="2966" ht="21" customHeight="1">
      <x:c r="A2966" s="1" t="str">
        <x:v>C0003515</x:v>
      </x:c>
      <x:c r="B2966" s="1" t="n">
        <x:v>15</x:v>
      </x:c>
      <x:c r="C2966" s="1" t="n">
        <x:v>45</x:v>
      </x:c>
      <x:c r="D2966" s="6" t="n">
        <x:v>19594</x:v>
      </x:c>
      <x:c r="E2966" s="6" t="n">
        <x:v>21094</x:v>
      </x:c>
      <x:c r="F2966" s="6" t="n">
        <x:v>0</x:v>
      </x:c>
      <x:c r="G2966" s="6" t="n">
        <x:v>21094</x:v>
      </x:c>
      <x:c r="H2966" s="6" t="n">
        <x:v>1500</x:v>
      </x:c>
    </x:row>
    <x:row r="2967" ht="21" customHeight="1">
      <x:c r="A2967" s="1" t="str">
        <x:v>C0010703</x:v>
      </x:c>
      <x:c r="B2967" s="1" t="n">
        <x:v>26</x:v>
      </x:c>
      <x:c r="C2967" s="1" t="n">
        <x:v>26</x:v>
      </x:c>
      <x:c r="D2967" s="6" t="n">
        <x:v>11019</x:v>
      </x:c>
      <x:c r="E2967" s="6" t="n">
        <x:v>12519</x:v>
      </x:c>
      <x:c r="F2967" s="6" t="n">
        <x:v>0</x:v>
      </x:c>
      <x:c r="G2967" s="6" t="n">
        <x:v>12519</x:v>
      </x:c>
      <x:c r="H2967" s="6" t="n">
        <x:v>1500</x:v>
      </x:c>
    </x:row>
    <x:row r="2968" ht="21" customHeight="1">
      <x:c r="A2968" s="1" t="str">
        <x:v>C0014561</x:v>
      </x:c>
      <x:c r="B2968" s="1" t="n">
        <x:v>15</x:v>
      </x:c>
      <x:c r="C2968" s="1" t="n">
        <x:v>45</x:v>
      </x:c>
      <x:c r="D2968" s="6" t="n">
        <x:v>19594</x:v>
      </x:c>
      <x:c r="E2968" s="6" t="n">
        <x:v>21094</x:v>
      </x:c>
      <x:c r="F2968" s="6" t="n">
        <x:v>0</x:v>
      </x:c>
      <x:c r="G2968" s="6" t="n">
        <x:v>21094</x:v>
      </x:c>
      <x:c r="H2968" s="6" t="n">
        <x:v>1500</x:v>
      </x:c>
    </x:row>
    <x:row r="2969" ht="21" customHeight="1">
      <x:c r="A2969" s="1" t="str">
        <x:v>C0014565</x:v>
      </x:c>
      <x:c r="B2969" s="1" t="n">
        <x:v>22</x:v>
      </x:c>
      <x:c r="C2969" s="1" t="n">
        <x:v>112</x:v>
      </x:c>
      <x:c r="D2969" s="6" t="n">
        <x:v>39884</x:v>
      </x:c>
      <x:c r="E2969" s="6" t="n">
        <x:v>41384</x:v>
      </x:c>
      <x:c r="F2969" s="6" t="n">
        <x:v>0</x:v>
      </x:c>
      <x:c r="G2969" s="6" t="n">
        <x:v>41384</x:v>
      </x:c>
      <x:c r="H2969" s="6" t="n">
        <x:v>1500</x:v>
      </x:c>
    </x:row>
    <x:row r="2970" ht="21" customHeight="1">
      <x:c r="A2970" s="1" t="str">
        <x:v>C0014568</x:v>
      </x:c>
      <x:c r="B2970" s="1" t="n">
        <x:v>24</x:v>
      </x:c>
      <x:c r="C2970" s="1" t="n">
        <x:v>24</x:v>
      </x:c>
      <x:c r="D2970" s="6" t="n">
        <x:v>11408</x:v>
      </x:c>
      <x:c r="E2970" s="6" t="n">
        <x:v>12908</x:v>
      </x:c>
      <x:c r="F2970" s="6" t="n">
        <x:v>0</x:v>
      </x:c>
      <x:c r="G2970" s="6" t="n">
        <x:v>12908</x:v>
      </x:c>
      <x:c r="H2970" s="6" t="n">
        <x:v>1500</x:v>
      </x:c>
    </x:row>
    <x:row r="2971" ht="21" customHeight="1">
      <x:c r="A2971" s="1" t="str">
        <x:v>C0014592</x:v>
      </x:c>
      <x:c r="B2971" s="1" t="n">
        <x:v>21</x:v>
      </x:c>
      <x:c r="C2971" s="1" t="n">
        <x:v>51</x:v>
      </x:c>
      <x:c r="D2971" s="6" t="n">
        <x:v>19794</x:v>
      </x:c>
      <x:c r="E2971" s="6" t="n">
        <x:v>21294</x:v>
      </x:c>
      <x:c r="F2971" s="6" t="n">
        <x:v>0</x:v>
      </x:c>
      <x:c r="G2971" s="6" t="n">
        <x:v>21294</x:v>
      </x:c>
      <x:c r="H2971" s="6" t="n">
        <x:v>1500</x:v>
      </x:c>
    </x:row>
    <x:row r="2972" ht="21" customHeight="1">
      <x:c r="A2972" s="1" t="str">
        <x:v>C0007754</x:v>
      </x:c>
      <x:c r="B2972" s="1" t="n">
        <x:v>12</x:v>
      </x:c>
      <x:c r="C2972" s="1" t="n">
        <x:v>42</x:v>
      </x:c>
      <x:c r="D2972" s="6" t="n">
        <x:v>14519</x:v>
      </x:c>
      <x:c r="E2972" s="6" t="n">
        <x:v>16019</x:v>
      </x:c>
      <x:c r="F2972" s="6" t="n">
        <x:v>0</x:v>
      </x:c>
      <x:c r="G2972" s="6" t="n">
        <x:v>16019</x:v>
      </x:c>
      <x:c r="H2972" s="6" t="n">
        <x:v>1500</x:v>
      </x:c>
    </x:row>
    <x:row r="2973" ht="21" customHeight="1">
      <x:c r="A2973" s="1" t="str">
        <x:v>C0007763</x:v>
      </x:c>
      <x:c r="B2973" s="1" t="n">
        <x:v>23</x:v>
      </x:c>
      <x:c r="C2973" s="1" t="n">
        <x:v>23</x:v>
      </x:c>
      <x:c r="D2973" s="6" t="n">
        <x:v>7455</x:v>
      </x:c>
      <x:c r="E2973" s="6" t="n">
        <x:v>8955</x:v>
      </x:c>
      <x:c r="F2973" s="6" t="n">
        <x:v>0</x:v>
      </x:c>
      <x:c r="G2973" s="6" t="n">
        <x:v>8955</x:v>
      </x:c>
      <x:c r="H2973" s="6" t="n">
        <x:v>1500</x:v>
      </x:c>
    </x:row>
    <x:row r="2974" ht="21" customHeight="1">
      <x:c r="A2974" s="1" t="str">
        <x:v>C0007768</x:v>
      </x:c>
      <x:c r="B2974" s="1" t="n">
        <x:v>14</x:v>
      </x:c>
      <x:c r="C2974" s="1" t="n">
        <x:v>74</x:v>
      </x:c>
      <x:c r="D2974" s="6" t="n">
        <x:v>6480</x:v>
      </x:c>
      <x:c r="E2974" s="6" t="n">
        <x:v>7980</x:v>
      </x:c>
      <x:c r="F2974" s="6" t="n">
        <x:v>0</x:v>
      </x:c>
      <x:c r="G2974" s="6" t="n">
        <x:v>7980</x:v>
      </x:c>
      <x:c r="H2974" s="6" t="n">
        <x:v>1500</x:v>
      </x:c>
    </x:row>
    <x:row r="2975" ht="21" customHeight="1">
      <x:c r="A2975" s="1" t="str">
        <x:v>C0007777</x:v>
      </x:c>
      <x:c r="B2975" s="1" t="n">
        <x:v>8</x:v>
      </x:c>
      <x:c r="C2975" s="1" t="n">
        <x:v>8</x:v>
      </x:c>
      <x:c r="D2975" s="6" t="n">
        <x:v>16305</x:v>
      </x:c>
      <x:c r="E2975" s="6" t="n">
        <x:v>17805</x:v>
      </x:c>
      <x:c r="F2975" s="6" t="n">
        <x:v>0</x:v>
      </x:c>
      <x:c r="G2975" s="6" t="n">
        <x:v>17805</x:v>
      </x:c>
      <x:c r="H2975" s="6" t="n">
        <x:v>1500</x:v>
      </x:c>
    </x:row>
    <x:row r="2976" ht="21" customHeight="1">
      <x:c r="A2976" s="1" t="str">
        <x:v>C0007788</x:v>
      </x:c>
      <x:c r="B2976" s="1" t="n">
        <x:v>29</x:v>
      </x:c>
      <x:c r="C2976" s="1" t="n">
        <x:v>29</x:v>
      </x:c>
      <x:c r="D2976" s="6" t="n">
        <x:v>15615</x:v>
      </x:c>
      <x:c r="E2976" s="6" t="n">
        <x:v>17115</x:v>
      </x:c>
      <x:c r="F2976" s="6" t="n">
        <x:v>0</x:v>
      </x:c>
      <x:c r="G2976" s="6" t="n">
        <x:v>17115</x:v>
      </x:c>
      <x:c r="H2976" s="6" t="n">
        <x:v>1500</x:v>
      </x:c>
    </x:row>
    <x:row r="2977" ht="21" customHeight="1">
      <x:c r="A2977" s="1" t="str">
        <x:v>C0007866</x:v>
      </x:c>
      <x:c r="B2977" s="1" t="n">
        <x:v>1</x:v>
      </x:c>
      <x:c r="C2977" s="1" t="n">
        <x:v>1</x:v>
      </x:c>
      <x:c r="D2977" s="6" t="n">
        <x:v>24513</x:v>
      </x:c>
      <x:c r="E2977" s="6" t="n">
        <x:v>26013</x:v>
      </x:c>
      <x:c r="F2977" s="6" t="n">
        <x:v>0</x:v>
      </x:c>
      <x:c r="G2977" s="6" t="n">
        <x:v>26013</x:v>
      </x:c>
      <x:c r="H2977" s="6" t="n">
        <x:v>1500</x:v>
      </x:c>
    </x:row>
    <x:row r="2978" ht="21" customHeight="1">
      <x:c r="A2978" s="1" t="str">
        <x:v>C0007868</x:v>
      </x:c>
      <x:c r="B2978" s="1" t="n">
        <x:v>24</x:v>
      </x:c>
      <x:c r="C2978" s="1" t="n">
        <x:v>54</x:v>
      </x:c>
      <x:c r="D2978" s="6" t="n">
        <x:v>12527</x:v>
      </x:c>
      <x:c r="E2978" s="6" t="n">
        <x:v>14027</x:v>
      </x:c>
      <x:c r="F2978" s="6" t="n">
        <x:v>0</x:v>
      </x:c>
      <x:c r="G2978" s="6" t="n">
        <x:v>14027</x:v>
      </x:c>
      <x:c r="H2978" s="6" t="n">
        <x:v>1500</x:v>
      </x:c>
    </x:row>
    <x:row r="2979" ht="21" customHeight="1">
      <x:c r="A2979" s="1" t="str">
        <x:v>C0007903</x:v>
      </x:c>
      <x:c r="B2979" s="1" t="n">
        <x:v>8</x:v>
      </x:c>
      <x:c r="C2979" s="1" t="n">
        <x:v>98</x:v>
      </x:c>
      <x:c r="D2979" s="6" t="n">
        <x:v>12923</x:v>
      </x:c>
      <x:c r="E2979" s="6" t="n">
        <x:v>14423</x:v>
      </x:c>
      <x:c r="F2979" s="6" t="n">
        <x:v>0</x:v>
      </x:c>
      <x:c r="G2979" s="6" t="n">
        <x:v>14423</x:v>
      </x:c>
      <x:c r="H2979" s="6" t="n">
        <x:v>1500</x:v>
      </x:c>
    </x:row>
    <x:row r="2980" ht="21" customHeight="1">
      <x:c r="A2980" s="1" t="str">
        <x:v>C0007905</x:v>
      </x:c>
      <x:c r="B2980" s="1" t="n">
        <x:v>1</x:v>
      </x:c>
      <x:c r="C2980" s="1" t="n">
        <x:v>91</x:v>
      </x:c>
      <x:c r="D2980" s="6" t="n">
        <x:v>9833</x:v>
      </x:c>
      <x:c r="E2980" s="6" t="n">
        <x:v>11333</x:v>
      </x:c>
      <x:c r="F2980" s="6" t="n">
        <x:v>0</x:v>
      </x:c>
      <x:c r="G2980" s="6" t="n">
        <x:v>11333</x:v>
      </x:c>
      <x:c r="H2980" s="6" t="n">
        <x:v>1500</x:v>
      </x:c>
    </x:row>
    <x:row r="2981" ht="21" customHeight="1">
      <x:c r="A2981" s="1" t="str">
        <x:v>C0003520</x:v>
      </x:c>
      <x:c r="B2981" s="1" t="n">
        <x:v>25</x:v>
      </x:c>
      <x:c r="C2981" s="1" t="n">
        <x:v>115</x:v>
      </x:c>
      <x:c r="D2981" s="6" t="n">
        <x:v>12603</x:v>
      </x:c>
      <x:c r="E2981" s="6" t="n">
        <x:v>14103</x:v>
      </x:c>
      <x:c r="F2981" s="6" t="n">
        <x:v>0</x:v>
      </x:c>
      <x:c r="G2981" s="6" t="n">
        <x:v>14103</x:v>
      </x:c>
      <x:c r="H2981" s="6" t="n">
        <x:v>1500</x:v>
      </x:c>
    </x:row>
    <x:row r="2982" ht="21" customHeight="1">
      <x:c r="A2982" s="1" t="str">
        <x:v>C0010557</x:v>
      </x:c>
      <x:c r="B2982" s="1" t="n">
        <x:v>4</x:v>
      </x:c>
      <x:c r="C2982" s="1" t="n">
        <x:v>64</x:v>
      </x:c>
      <x:c r="D2982" s="6" t="n">
        <x:v>49614</x:v>
      </x:c>
      <x:c r="E2982" s="6" t="n">
        <x:v>51114</x:v>
      </x:c>
      <x:c r="F2982" s="6" t="n">
        <x:v>0</x:v>
      </x:c>
      <x:c r="G2982" s="6" t="n">
        <x:v>51114</x:v>
      </x:c>
      <x:c r="H2982" s="6" t="n">
        <x:v>1500</x:v>
      </x:c>
    </x:row>
    <x:row r="2983" ht="21" customHeight="1">
      <x:c r="A2983" s="1" t="str">
        <x:v>C0010582</x:v>
      </x:c>
      <x:c r="B2983" s="1" t="n">
        <x:v>5</x:v>
      </x:c>
      <x:c r="C2983" s="1" t="n">
        <x:v>35</x:v>
      </x:c>
      <x:c r="D2983" s="6" t="n">
        <x:v>21872</x:v>
      </x:c>
      <x:c r="E2983" s="6" t="n">
        <x:v>23372</x:v>
      </x:c>
      <x:c r="F2983" s="6" t="n">
        <x:v>0</x:v>
      </x:c>
      <x:c r="G2983" s="6" t="n">
        <x:v>23372</x:v>
      </x:c>
      <x:c r="H2983" s="6" t="n">
        <x:v>1500</x:v>
      </x:c>
    </x:row>
    <x:row r="2984" ht="21" customHeight="1">
      <x:c r="A2984" s="1" t="str">
        <x:v>C0010589</x:v>
      </x:c>
      <x:c r="B2984" s="1" t="n">
        <x:v>4</x:v>
      </x:c>
      <x:c r="C2984" s="1" t="n">
        <x:v>34</x:v>
      </x:c>
      <x:c r="D2984" s="6" t="n">
        <x:v>9988</x:v>
      </x:c>
      <x:c r="E2984" s="6" t="n">
        <x:v>11488</x:v>
      </x:c>
      <x:c r="F2984" s="6" t="n">
        <x:v>0</x:v>
      </x:c>
      <x:c r="G2984" s="6" t="n">
        <x:v>11488</x:v>
      </x:c>
      <x:c r="H2984" s="6" t="n">
        <x:v>1500</x:v>
      </x:c>
    </x:row>
    <x:row r="2985" ht="21" customHeight="1">
      <x:c r="A2985" s="1" t="str">
        <x:v>C0010622</x:v>
      </x:c>
      <x:c r="B2985" s="1" t="n">
        <x:v>7</x:v>
      </x:c>
      <x:c r="C2985" s="1" t="n">
        <x:v>97</x:v>
      </x:c>
      <x:c r="D2985" s="6" t="n">
        <x:v>16891</x:v>
      </x:c>
      <x:c r="E2985" s="6" t="n">
        <x:v>18391</x:v>
      </x:c>
      <x:c r="F2985" s="6" t="n">
        <x:v>0</x:v>
      </x:c>
      <x:c r="G2985" s="6" t="n">
        <x:v>18391</x:v>
      </x:c>
      <x:c r="H2985" s="6" t="n">
        <x:v>1500</x:v>
      </x:c>
    </x:row>
    <x:row r="2986" ht="21" customHeight="1">
      <x:c r="A2986" s="1" t="str">
        <x:v>C0015061</x:v>
      </x:c>
      <x:c r="B2986" s="1" t="n">
        <x:v>10</x:v>
      </x:c>
      <x:c r="C2986" s="1" t="n">
        <x:v>40</x:v>
      </x:c>
      <x:c r="D2986" s="6" t="n">
        <x:v>23719</x:v>
      </x:c>
      <x:c r="E2986" s="6" t="n">
        <x:v>25219</x:v>
      </x:c>
      <x:c r="F2986" s="6" t="n">
        <x:v>0</x:v>
      </x:c>
      <x:c r="G2986" s="6" t="n">
        <x:v>25219</x:v>
      </x:c>
      <x:c r="H2986" s="6" t="n">
        <x:v>1500</x:v>
      </x:c>
    </x:row>
    <x:row r="2987" ht="21" customHeight="1">
      <x:c r="A2987" s="1" t="str">
        <x:v>C0002803</x:v>
      </x:c>
      <x:c r="B2987" s="1" t="n">
        <x:v>11</x:v>
      </x:c>
      <x:c r="C2987" s="1" t="n">
        <x:v>101</x:v>
      </x:c>
      <x:c r="D2987" s="6" t="n">
        <x:v>49342</x:v>
      </x:c>
      <x:c r="E2987" s="6" t="n">
        <x:v>50842</x:v>
      </x:c>
      <x:c r="F2987" s="6" t="n">
        <x:v>0</x:v>
      </x:c>
      <x:c r="G2987" s="6" t="n">
        <x:v>50842</x:v>
      </x:c>
      <x:c r="H2987" s="6" t="n">
        <x:v>1500</x:v>
      </x:c>
    </x:row>
    <x:row r="2988" ht="21" customHeight="1">
      <x:c r="A2988" s="1" t="str">
        <x:v>C0002839</x:v>
      </x:c>
      <x:c r="B2988" s="1" t="n">
        <x:v>26</x:v>
      </x:c>
      <x:c r="C2988" s="1" t="n">
        <x:v>86</x:v>
      </x:c>
      <x:c r="D2988" s="6" t="n">
        <x:v>5821</x:v>
      </x:c>
      <x:c r="E2988" s="6" t="n">
        <x:v>7321</x:v>
      </x:c>
      <x:c r="F2988" s="6" t="n">
        <x:v>0</x:v>
      </x:c>
      <x:c r="G2988" s="6" t="n">
        <x:v>7321</x:v>
      </x:c>
      <x:c r="H2988" s="6" t="n">
        <x:v>1500</x:v>
      </x:c>
    </x:row>
    <x:row r="2989" ht="21" customHeight="1">
      <x:c r="A2989" s="1" t="str">
        <x:v>C0002843</x:v>
      </x:c>
      <x:c r="B2989" s="1" t="n">
        <x:v>5</x:v>
      </x:c>
      <x:c r="C2989" s="1" t="n">
        <x:v>65</x:v>
      </x:c>
      <x:c r="D2989" s="6" t="n">
        <x:v>13676</x:v>
      </x:c>
      <x:c r="E2989" s="6" t="n">
        <x:v>15176</x:v>
      </x:c>
      <x:c r="F2989" s="6" t="n">
        <x:v>0</x:v>
      </x:c>
      <x:c r="G2989" s="6" t="n">
        <x:v>15176</x:v>
      </x:c>
      <x:c r="H2989" s="6" t="n">
        <x:v>1500</x:v>
      </x:c>
    </x:row>
    <x:row r="2990" ht="21" customHeight="1">
      <x:c r="A2990" s="1" t="str">
        <x:v>C0002873</x:v>
      </x:c>
      <x:c r="B2990" s="1" t="n">
        <x:v>12</x:v>
      </x:c>
      <x:c r="C2990" s="1" t="n">
        <x:v>12</x:v>
      </x:c>
      <x:c r="D2990" s="6" t="n">
        <x:v>37988</x:v>
      </x:c>
      <x:c r="E2990" s="6" t="n">
        <x:v>39488</x:v>
      </x:c>
      <x:c r="F2990" s="6" t="n">
        <x:v>0</x:v>
      </x:c>
      <x:c r="G2990" s="6" t="n">
        <x:v>39488</x:v>
      </x:c>
      <x:c r="H2990" s="6" t="n">
        <x:v>1500</x:v>
      </x:c>
    </x:row>
    <x:row r="2991" ht="21" customHeight="1">
      <x:c r="A2991" s="1" t="str">
        <x:v>C0002883</x:v>
      </x:c>
      <x:c r="B2991" s="1" t="n">
        <x:v>3</x:v>
      </x:c>
      <x:c r="C2991" s="1" t="n">
        <x:v>3</x:v>
      </x:c>
      <x:c r="D2991" s="6" t="n">
        <x:v>24414</x:v>
      </x:c>
      <x:c r="E2991" s="6" t="n">
        <x:v>25914</x:v>
      </x:c>
      <x:c r="F2991" s="6" t="n">
        <x:v>0</x:v>
      </x:c>
      <x:c r="G2991" s="6" t="n">
        <x:v>25914</x:v>
      </x:c>
      <x:c r="H2991" s="6" t="n">
        <x:v>1500</x:v>
      </x:c>
    </x:row>
    <x:row r="2992" ht="21" customHeight="1">
      <x:c r="A2992" s="1" t="str">
        <x:v>C0002932</x:v>
      </x:c>
      <x:c r="B2992" s="1" t="n">
        <x:v>9</x:v>
      </x:c>
      <x:c r="C2992" s="1" t="n">
        <x:v>39</x:v>
      </x:c>
      <x:c r="D2992" s="6" t="n">
        <x:v>5702</x:v>
      </x:c>
      <x:c r="E2992" s="6" t="n">
        <x:v>7202</x:v>
      </x:c>
      <x:c r="F2992" s="6" t="n">
        <x:v>0</x:v>
      </x:c>
      <x:c r="G2992" s="6" t="n">
        <x:v>7202</x:v>
      </x:c>
      <x:c r="H2992" s="6" t="n">
        <x:v>1500</x:v>
      </x:c>
    </x:row>
    <x:row r="2993" ht="21" customHeight="1">
      <x:c r="A2993" s="1" t="str">
        <x:v>C0002934</x:v>
      </x:c>
      <x:c r="B2993" s="1" t="n">
        <x:v>3</x:v>
      </x:c>
      <x:c r="C2993" s="1" t="n">
        <x:v>63</x:v>
      </x:c>
      <x:c r="D2993" s="6" t="n">
        <x:v>12757</x:v>
      </x:c>
      <x:c r="E2993" s="6" t="n">
        <x:v>14257</x:v>
      </x:c>
      <x:c r="F2993" s="6" t="n">
        <x:v>0</x:v>
      </x:c>
      <x:c r="G2993" s="6" t="n">
        <x:v>14257</x:v>
      </x:c>
      <x:c r="H2993" s="6" t="n">
        <x:v>1500</x:v>
      </x:c>
    </x:row>
    <x:row r="2994" ht="21" customHeight="1">
      <x:c r="A2994" s="1" t="str">
        <x:v>C0002958</x:v>
      </x:c>
      <x:c r="B2994" s="1" t="n">
        <x:v>30</x:v>
      </x:c>
      <x:c r="C2994" s="1" t="n">
        <x:v>60</x:v>
      </x:c>
      <x:c r="D2994" s="6" t="n">
        <x:v>15386</x:v>
      </x:c>
      <x:c r="E2994" s="6" t="n">
        <x:v>16886</x:v>
      </x:c>
      <x:c r="F2994" s="6" t="n">
        <x:v>0</x:v>
      </x:c>
      <x:c r="G2994" s="6" t="n">
        <x:v>16886</x:v>
      </x:c>
      <x:c r="H2994" s="6" t="n">
        <x:v>1500</x:v>
      </x:c>
    </x:row>
    <x:row r="2995" ht="21" customHeight="1">
      <x:c r="A2995" s="1" t="str">
        <x:v>C0002971</x:v>
      </x:c>
      <x:c r="B2995" s="1" t="n">
        <x:v>18</x:v>
      </x:c>
      <x:c r="C2995" s="1" t="n">
        <x:v>48</x:v>
      </x:c>
      <x:c r="D2995" s="6" t="n">
        <x:v>21738</x:v>
      </x:c>
      <x:c r="E2995" s="6" t="n">
        <x:v>23238</x:v>
      </x:c>
      <x:c r="F2995" s="6" t="n">
        <x:v>0</x:v>
      </x:c>
      <x:c r="G2995" s="6" t="n">
        <x:v>23238</x:v>
      </x:c>
      <x:c r="H2995" s="6" t="n">
        <x:v>1500</x:v>
      </x:c>
    </x:row>
    <x:row r="2996" ht="21" customHeight="1">
      <x:c r="A2996" s="1" t="str">
        <x:v>C0015078</x:v>
      </x:c>
      <x:c r="B2996" s="1" t="n">
        <x:v>20</x:v>
      </x:c>
      <x:c r="C2996" s="1" t="n">
        <x:v>50</x:v>
      </x:c>
      <x:c r="D2996" s="6" t="n">
        <x:v>23213</x:v>
      </x:c>
      <x:c r="E2996" s="6" t="n">
        <x:v>24713</x:v>
      </x:c>
      <x:c r="F2996" s="6" t="n">
        <x:v>0</x:v>
      </x:c>
      <x:c r="G2996" s="6" t="n">
        <x:v>24713</x:v>
      </x:c>
      <x:c r="H2996" s="6" t="n">
        <x:v>1500</x:v>
      </x:c>
    </x:row>
    <x:row r="2997" ht="21" customHeight="1">
      <x:c r="A2997" s="1" t="str">
        <x:v>C0015108</x:v>
      </x:c>
      <x:c r="B2997" s="1" t="n">
        <x:v>25</x:v>
      </x:c>
      <x:c r="C2997" s="1" t="n">
        <x:v>85</x:v>
      </x:c>
      <x:c r="D2997" s="6" t="n">
        <x:v>11389</x:v>
      </x:c>
      <x:c r="E2997" s="6" t="n">
        <x:v>12889</x:v>
      </x:c>
      <x:c r="F2997" s="6" t="n">
        <x:v>0</x:v>
      </x:c>
      <x:c r="G2997" s="6" t="n">
        <x:v>12889</x:v>
      </x:c>
      <x:c r="H2997" s="6" t="n">
        <x:v>1500</x:v>
      </x:c>
    </x:row>
    <x:row r="2998" ht="21" customHeight="1">
      <x:c r="A2998" s="1" t="str">
        <x:v>C0015137</x:v>
      </x:c>
      <x:c r="B2998" s="1" t="n">
        <x:v>14</x:v>
      </x:c>
      <x:c r="C2998" s="1" t="n">
        <x:v>104</x:v>
      </x:c>
      <x:c r="D2998" s="6" t="n">
        <x:v>28706</x:v>
      </x:c>
      <x:c r="E2998" s="6" t="n">
        <x:v>30206</x:v>
      </x:c>
      <x:c r="F2998" s="6" t="n">
        <x:v>0</x:v>
      </x:c>
      <x:c r="G2998" s="6" t="n">
        <x:v>30206</x:v>
      </x:c>
      <x:c r="H2998" s="6" t="n">
        <x:v>1500</x:v>
      </x:c>
    </x:row>
    <x:row r="2999" ht="21" customHeight="1">
      <x:c r="A2999" s="1" t="str">
        <x:v>C0015143</x:v>
      </x:c>
      <x:c r="B2999" s="1" t="n">
        <x:v>17</x:v>
      </x:c>
      <x:c r="C2999" s="1" t="n">
        <x:v>17</x:v>
      </x:c>
      <x:c r="D2999" s="6" t="n">
        <x:v>15845</x:v>
      </x:c>
      <x:c r="E2999" s="6" t="n">
        <x:v>17345</x:v>
      </x:c>
      <x:c r="F2999" s="6" t="n">
        <x:v>0</x:v>
      </x:c>
      <x:c r="G2999" s="6" t="n">
        <x:v>17345</x:v>
      </x:c>
      <x:c r="H2999" s="6" t="n">
        <x:v>1500</x:v>
      </x:c>
    </x:row>
    <x:row r="3000" ht="21" customHeight="1">
      <x:c r="A3000" s="1" t="str">
        <x:v>C0015186</x:v>
      </x:c>
      <x:c r="B3000" s="1" t="n">
        <x:v>16</x:v>
      </x:c>
      <x:c r="C3000" s="1" t="n">
        <x:v>106</x:v>
      </x:c>
      <x:c r="D3000" s="6" t="n">
        <x:v>14368</x:v>
      </x:c>
      <x:c r="E3000" s="6" t="n">
        <x:v>15868</x:v>
      </x:c>
      <x:c r="F3000" s="6" t="n">
        <x:v>0</x:v>
      </x:c>
      <x:c r="G3000" s="6" t="n">
        <x:v>15868</x:v>
      </x:c>
      <x:c r="H3000" s="6" t="n">
        <x:v>1500</x:v>
      </x:c>
    </x:row>
    <x:row r="3001" ht="21" customHeight="1">
      <x:c r="A3001" s="1" t="str">
        <x:v>C0015189</x:v>
      </x:c>
      <x:c r="B3001" s="1" t="n">
        <x:v>13</x:v>
      </x:c>
      <x:c r="C3001" s="1" t="n">
        <x:v>103</x:v>
      </x:c>
      <x:c r="D3001" s="6" t="n">
        <x:v>23626</x:v>
      </x:c>
      <x:c r="E3001" s="6" t="n">
        <x:v>25126</x:v>
      </x:c>
      <x:c r="F3001" s="6" t="n">
        <x:v>0</x:v>
      </x:c>
      <x:c r="G3001" s="6" t="n">
        <x:v>25126</x:v>
      </x:c>
      <x:c r="H3001" s="6" t="n">
        <x:v>1500</x:v>
      </x:c>
    </x:row>
    <x:row r="3002" ht="21" customHeight="1">
      <x:c r="A3002" s="1" t="str">
        <x:v>C0015195</x:v>
      </x:c>
      <x:c r="B3002" s="1" t="n">
        <x:v>18</x:v>
      </x:c>
      <x:c r="C3002" s="1" t="n">
        <x:v>48</x:v>
      </x:c>
      <x:c r="D3002" s="6" t="n">
        <x:v>21738</x:v>
      </x:c>
      <x:c r="E3002" s="6" t="n">
        <x:v>23238</x:v>
      </x:c>
      <x:c r="F3002" s="6" t="n">
        <x:v>0</x:v>
      </x:c>
      <x:c r="G3002" s="6" t="n">
        <x:v>23238</x:v>
      </x:c>
      <x:c r="H3002" s="6" t="n">
        <x:v>1500</x:v>
      </x:c>
    </x:row>
    <x:row r="3003" ht="21" customHeight="1">
      <x:c r="A3003" s="1" t="str">
        <x:v>C0015246</x:v>
      </x:c>
      <x:c r="B3003" s="1" t="n">
        <x:v>20</x:v>
      </x:c>
      <x:c r="C3003" s="1" t="n">
        <x:v>80</x:v>
      </x:c>
      <x:c r="D3003" s="6" t="n">
        <x:v>16904</x:v>
      </x:c>
      <x:c r="E3003" s="6" t="n">
        <x:v>18404</x:v>
      </x:c>
      <x:c r="F3003" s="6" t="n">
        <x:v>0</x:v>
      </x:c>
      <x:c r="G3003" s="6" t="n">
        <x:v>18404</x:v>
      </x:c>
      <x:c r="H3003" s="6" t="n">
        <x:v>1500</x:v>
      </x:c>
    </x:row>
    <x:row r="3004" ht="21" customHeight="1">
      <x:c r="A3004" s="1" t="str">
        <x:v>C0015250</x:v>
      </x:c>
      <x:c r="B3004" s="1" t="n">
        <x:v>19</x:v>
      </x:c>
      <x:c r="C3004" s="1" t="n">
        <x:v>79</x:v>
      </x:c>
      <x:c r="D3004" s="6" t="n">
        <x:v>21854</x:v>
      </x:c>
      <x:c r="E3004" s="6" t="n">
        <x:v>23354</x:v>
      </x:c>
      <x:c r="F3004" s="6" t="n">
        <x:v>0</x:v>
      </x:c>
      <x:c r="G3004" s="6" t="n">
        <x:v>23354</x:v>
      </x:c>
      <x:c r="H3004" s="6" t="n">
        <x:v>1500</x:v>
      </x:c>
    </x:row>
    <x:row r="3005" ht="21" customHeight="1">
      <x:c r="A3005" s="1" t="str">
        <x:v>C0002585</x:v>
      </x:c>
      <x:c r="B3005" s="1" t="n">
        <x:v>12</x:v>
      </x:c>
      <x:c r="C3005" s="1" t="n">
        <x:v>72</x:v>
      </x:c>
      <x:c r="D3005" s="6" t="n">
        <x:v>18082</x:v>
      </x:c>
      <x:c r="E3005" s="6" t="n">
        <x:v>19582</x:v>
      </x:c>
      <x:c r="F3005" s="6" t="n">
        <x:v>0</x:v>
      </x:c>
      <x:c r="G3005" s="6" t="n">
        <x:v>19582</x:v>
      </x:c>
      <x:c r="H3005" s="6" t="n">
        <x:v>1500</x:v>
      </x:c>
    </x:row>
    <x:row r="3006" ht="21" customHeight="1">
      <x:c r="A3006" s="1" t="str">
        <x:v>C0002589</x:v>
      </x:c>
      <x:c r="B3006" s="1" t="n">
        <x:v>6</x:v>
      </x:c>
      <x:c r="C3006" s="1" t="n">
        <x:v>6</x:v>
      </x:c>
      <x:c r="D3006" s="6" t="n">
        <x:v>9791</x:v>
      </x:c>
      <x:c r="E3006" s="6" t="n">
        <x:v>11291</x:v>
      </x:c>
      <x:c r="F3006" s="6" t="n">
        <x:v>0</x:v>
      </x:c>
      <x:c r="G3006" s="6" t="n">
        <x:v>11291</x:v>
      </x:c>
      <x:c r="H3006" s="6" t="n">
        <x:v>1500</x:v>
      </x:c>
    </x:row>
    <x:row r="3007" ht="21" customHeight="1">
      <x:c r="A3007" s="1" t="str">
        <x:v>C0002653</x:v>
      </x:c>
      <x:c r="B3007" s="1" t="n">
        <x:v>14</x:v>
      </x:c>
      <x:c r="C3007" s="1" t="n">
        <x:v>104</x:v>
      </x:c>
      <x:c r="D3007" s="6" t="n">
        <x:v>17175</x:v>
      </x:c>
      <x:c r="E3007" s="6" t="n">
        <x:v>18675</x:v>
      </x:c>
      <x:c r="F3007" s="6" t="n">
        <x:v>0</x:v>
      </x:c>
      <x:c r="G3007" s="6" t="n">
        <x:v>18675</x:v>
      </x:c>
      <x:c r="H3007" s="6" t="n">
        <x:v>1500</x:v>
      </x:c>
    </x:row>
    <x:row r="3008" ht="21" customHeight="1">
      <x:c r="A3008" s="1" t="str">
        <x:v>C0002693</x:v>
      </x:c>
      <x:c r="B3008" s="1" t="n">
        <x:v>28</x:v>
      </x:c>
      <x:c r="C3008" s="1" t="n">
        <x:v>28</x:v>
      </x:c>
      <x:c r="D3008" s="6" t="n">
        <x:v>24325</x:v>
      </x:c>
      <x:c r="E3008" s="6" t="n">
        <x:v>25825</x:v>
      </x:c>
      <x:c r="F3008" s="6" t="n">
        <x:v>0</x:v>
      </x:c>
      <x:c r="G3008" s="6" t="n">
        <x:v>25825</x:v>
      </x:c>
      <x:c r="H3008" s="6" t="n">
        <x:v>1500</x:v>
      </x:c>
    </x:row>
    <x:row r="3009" ht="21" customHeight="1">
      <x:c r="A3009" s="1" t="str">
        <x:v>C0015068</x:v>
      </x:c>
      <x:c r="B3009" s="1" t="n">
        <x:v>19</x:v>
      </x:c>
      <x:c r="C3009" s="1" t="n">
        <x:v>49</x:v>
      </x:c>
      <x:c r="D3009" s="6" t="n">
        <x:v>22941</x:v>
      </x:c>
      <x:c r="E3009" s="6" t="n">
        <x:v>24441</x:v>
      </x:c>
      <x:c r="F3009" s="6" t="n">
        <x:v>0</x:v>
      </x:c>
      <x:c r="G3009" s="6" t="n">
        <x:v>24441</x:v>
      </x:c>
      <x:c r="H3009" s="6" t="n">
        <x:v>1500</x:v>
      </x:c>
    </x:row>
    <x:row r="3010" ht="21" customHeight="1">
      <x:c r="A3010" s="1" t="str">
        <x:v>C0002978</x:v>
      </x:c>
      <x:c r="B3010" s="1" t="n">
        <x:v>9</x:v>
      </x:c>
      <x:c r="C3010" s="1" t="n">
        <x:v>69</x:v>
      </x:c>
      <x:c r="D3010" s="6" t="n">
        <x:v>12830</x:v>
      </x:c>
      <x:c r="E3010" s="6" t="n">
        <x:v>14330</x:v>
      </x:c>
      <x:c r="F3010" s="6" t="n">
        <x:v>0</x:v>
      </x:c>
      <x:c r="G3010" s="6" t="n">
        <x:v>14330</x:v>
      </x:c>
      <x:c r="H3010" s="6" t="n">
        <x:v>1500</x:v>
      </x:c>
    </x:row>
    <x:row r="3011" ht="21" customHeight="1">
      <x:c r="A3011" s="1" t="str">
        <x:v>C0002986</x:v>
      </x:c>
      <x:c r="B3011" s="1" t="n">
        <x:v>10</x:v>
      </x:c>
      <x:c r="C3011" s="1" t="n">
        <x:v>100</x:v>
      </x:c>
      <x:c r="D3011" s="6" t="n">
        <x:v>6881</x:v>
      </x:c>
      <x:c r="E3011" s="6" t="n">
        <x:v>8381</x:v>
      </x:c>
      <x:c r="F3011" s="6" t="n">
        <x:v>0</x:v>
      </x:c>
      <x:c r="G3011" s="6" t="n">
        <x:v>8381</x:v>
      </x:c>
      <x:c r="H3011" s="6" t="n">
        <x:v>1500</x:v>
      </x:c>
    </x:row>
    <x:row r="3012" ht="21" customHeight="1">
      <x:c r="A3012" s="1" t="str">
        <x:v>C0002988</x:v>
      </x:c>
      <x:c r="B3012" s="1" t="n">
        <x:v>17</x:v>
      </x:c>
      <x:c r="C3012" s="1" t="n">
        <x:v>17</x:v>
      </x:c>
      <x:c r="D3012" s="6" t="n">
        <x:v>14814</x:v>
      </x:c>
      <x:c r="E3012" s="6" t="n">
        <x:v>16314</x:v>
      </x:c>
      <x:c r="F3012" s="6" t="n">
        <x:v>0</x:v>
      </x:c>
      <x:c r="G3012" s="6" t="n">
        <x:v>16314</x:v>
      </x:c>
      <x:c r="H3012" s="6" t="n">
        <x:v>1500</x:v>
      </x:c>
    </x:row>
    <x:row r="3013" ht="21" customHeight="1">
      <x:c r="A3013" s="1" t="str">
        <x:v>C0002996</x:v>
      </x:c>
      <x:c r="B3013" s="1" t="n">
        <x:v>15</x:v>
      </x:c>
      <x:c r="C3013" s="1" t="n">
        <x:v>45</x:v>
      </x:c>
      <x:c r="D3013" s="6" t="n">
        <x:v>19594</x:v>
      </x:c>
      <x:c r="E3013" s="6" t="n">
        <x:v>21094</x:v>
      </x:c>
      <x:c r="F3013" s="6" t="n">
        <x:v>0</x:v>
      </x:c>
      <x:c r="G3013" s="6" t="n">
        <x:v>21094</x:v>
      </x:c>
      <x:c r="H3013" s="6" t="n">
        <x:v>1500</x:v>
      </x:c>
    </x:row>
    <x:row r="3014" ht="21" customHeight="1">
      <x:c r="A3014" s="1" t="str">
        <x:v>C0002999</x:v>
      </x:c>
      <x:c r="B3014" s="1" t="n">
        <x:v>19</x:v>
      </x:c>
      <x:c r="C3014" s="1" t="n">
        <x:v>79</x:v>
      </x:c>
      <x:c r="D3014" s="6" t="n">
        <x:v>21854</x:v>
      </x:c>
      <x:c r="E3014" s="6" t="n">
        <x:v>23354</x:v>
      </x:c>
      <x:c r="F3014" s="6" t="n">
        <x:v>0</x:v>
      </x:c>
      <x:c r="G3014" s="6" t="n">
        <x:v>23354</x:v>
      </x:c>
      <x:c r="H3014" s="6" t="n">
        <x:v>1500</x:v>
      </x:c>
    </x:row>
    <x:row r="3015" ht="21" customHeight="1">
      <x:c r="A3015" s="1" t="str">
        <x:v>C0003012</x:v>
      </x:c>
      <x:c r="B3015" s="1" t="n">
        <x:v>8</x:v>
      </x:c>
      <x:c r="C3015" s="1" t="n">
        <x:v>8</x:v>
      </x:c>
      <x:c r="D3015" s="6" t="n">
        <x:v>11079</x:v>
      </x:c>
      <x:c r="E3015" s="6" t="n">
        <x:v>12579</x:v>
      </x:c>
      <x:c r="F3015" s="6" t="n">
        <x:v>0</x:v>
      </x:c>
      <x:c r="G3015" s="6" t="n">
        <x:v>12579</x:v>
      </x:c>
      <x:c r="H3015" s="6" t="n">
        <x:v>1500</x:v>
      </x:c>
    </x:row>
    <x:row r="3016" ht="21" customHeight="1">
      <x:c r="A3016" s="1" t="str">
        <x:v>C0003027</x:v>
      </x:c>
      <x:c r="B3016" s="1" t="n">
        <x:v>27</x:v>
      </x:c>
      <x:c r="C3016" s="1" t="n">
        <x:v>57</x:v>
      </x:c>
      <x:c r="D3016" s="6" t="n">
        <x:v>9352</x:v>
      </x:c>
      <x:c r="E3016" s="6" t="n">
        <x:v>10852</x:v>
      </x:c>
      <x:c r="F3016" s="6" t="n">
        <x:v>0</x:v>
      </x:c>
      <x:c r="G3016" s="6" t="n">
        <x:v>10852</x:v>
      </x:c>
      <x:c r="H3016" s="6" t="n">
        <x:v>1500</x:v>
      </x:c>
    </x:row>
    <x:row r="3017" ht="21" customHeight="1">
      <x:c r="A3017" s="1" t="str">
        <x:v>C0003051</x:v>
      </x:c>
      <x:c r="B3017" s="1" t="n">
        <x:v>21</x:v>
      </x:c>
      <x:c r="C3017" s="1" t="n">
        <x:v>111</x:v>
      </x:c>
      <x:c r="D3017" s="6" t="n">
        <x:v>9658</x:v>
      </x:c>
      <x:c r="E3017" s="6" t="n">
        <x:v>11158</x:v>
      </x:c>
      <x:c r="F3017" s="6" t="n">
        <x:v>0</x:v>
      </x:c>
      <x:c r="G3017" s="6" t="n">
        <x:v>11158</x:v>
      </x:c>
      <x:c r="H3017" s="6" t="n">
        <x:v>1500</x:v>
      </x:c>
    </x:row>
    <x:row r="3018" ht="21" customHeight="1">
      <x:c r="A3018" s="1" t="str">
        <x:v>C0003073</x:v>
      </x:c>
      <x:c r="B3018" s="1" t="n">
        <x:v>7</x:v>
      </x:c>
      <x:c r="C3018" s="1" t="n">
        <x:v>97</x:v>
      </x:c>
      <x:c r="D3018" s="6" t="n">
        <x:v>24535</x:v>
      </x:c>
      <x:c r="E3018" s="6" t="n">
        <x:v>26035</x:v>
      </x:c>
      <x:c r="F3018" s="6" t="n">
        <x:v>0</x:v>
      </x:c>
      <x:c r="G3018" s="6" t="n">
        <x:v>26035</x:v>
      </x:c>
      <x:c r="H3018" s="6" t="n">
        <x:v>1500</x:v>
      </x:c>
    </x:row>
    <x:row r="3019" ht="21" customHeight="1">
      <x:c r="A3019" s="1" t="str">
        <x:v>C0003089</x:v>
      </x:c>
      <x:c r="B3019" s="1" t="n">
        <x:v>14</x:v>
      </x:c>
      <x:c r="C3019" s="1" t="n">
        <x:v>14</x:v>
      </x:c>
      <x:c r="D3019" s="6" t="n">
        <x:v>10780</x:v>
      </x:c>
      <x:c r="E3019" s="6" t="n">
        <x:v>12280</x:v>
      </x:c>
      <x:c r="F3019" s="6" t="n">
        <x:v>0</x:v>
      </x:c>
      <x:c r="G3019" s="6" t="n">
        <x:v>12280</x:v>
      </x:c>
      <x:c r="H3019" s="6" t="n">
        <x:v>1500</x:v>
      </x:c>
    </x:row>
    <x:row r="3020" ht="21" customHeight="1">
      <x:c r="A3020" s="1" t="str">
        <x:v>C0003106</x:v>
      </x:c>
      <x:c r="B3020" s="1" t="n">
        <x:v>14</x:v>
      </x:c>
      <x:c r="C3020" s="1" t="n">
        <x:v>44</x:v>
      </x:c>
      <x:c r="D3020" s="6" t="n">
        <x:v>11673</x:v>
      </x:c>
      <x:c r="E3020" s="6" t="n">
        <x:v>13173</x:v>
      </x:c>
      <x:c r="F3020" s="6" t="n">
        <x:v>0</x:v>
      </x:c>
      <x:c r="G3020" s="6" t="n">
        <x:v>13173</x:v>
      </x:c>
      <x:c r="H3020" s="6" t="n">
        <x:v>1500</x:v>
      </x:c>
    </x:row>
    <x:row r="3021" ht="21" customHeight="1">
      <x:c r="A3021" s="1" t="str">
        <x:v>C0014885</x:v>
      </x:c>
      <x:c r="B3021" s="1" t="n">
        <x:v>23</x:v>
      </x:c>
      <x:c r="C3021" s="1" t="n">
        <x:v>53</x:v>
      </x:c>
      <x:c r="D3021" s="6" t="n">
        <x:v>34462</x:v>
      </x:c>
      <x:c r="E3021" s="6" t="n">
        <x:v>35962</x:v>
      </x:c>
      <x:c r="F3021" s="6" t="n">
        <x:v>0</x:v>
      </x:c>
      <x:c r="G3021" s="6" t="n">
        <x:v>35962</x:v>
      </x:c>
      <x:c r="H3021" s="6" t="n">
        <x:v>1500</x:v>
      </x:c>
    </x:row>
    <x:row r="3022" ht="21" customHeight="1">
      <x:c r="A3022" s="1" t="str">
        <x:v>C0014902</x:v>
      </x:c>
      <x:c r="B3022" s="1" t="n">
        <x:v>30</x:v>
      </x:c>
      <x:c r="C3022" s="1" t="n">
        <x:v>90</x:v>
      </x:c>
      <x:c r="D3022" s="6" t="n">
        <x:v>14215</x:v>
      </x:c>
      <x:c r="E3022" s="6" t="n">
        <x:v>15715</x:v>
      </x:c>
      <x:c r="F3022" s="6" t="n">
        <x:v>0</x:v>
      </x:c>
      <x:c r="G3022" s="6" t="n">
        <x:v>15715</x:v>
      </x:c>
      <x:c r="H3022" s="6" t="n">
        <x:v>1500</x:v>
      </x:c>
    </x:row>
    <x:row r="3023" ht="21" customHeight="1">
      <x:c r="A3023" s="1" t="str">
        <x:v>C0010553</x:v>
      </x:c>
      <x:c r="B3023" s="1" t="n">
        <x:v>27</x:v>
      </x:c>
      <x:c r="C3023" s="1" t="n">
        <x:v>57</x:v>
      </x:c>
      <x:c r="D3023" s="6" t="n">
        <x:v>23410</x:v>
      </x:c>
      <x:c r="E3023" s="6" t="n">
        <x:v>24910</x:v>
      </x:c>
      <x:c r="F3023" s="6" t="n">
        <x:v>0</x:v>
      </x:c>
      <x:c r="G3023" s="6" t="n">
        <x:v>24910</x:v>
      </x:c>
      <x:c r="H3023" s="6" t="n">
        <x:v>1500</x:v>
      </x:c>
    </x:row>
    <x:row r="3024" ht="21" customHeight="1">
      <x:c r="A3024" s="1" t="str">
        <x:v>C0014969</x:v>
      </x:c>
      <x:c r="B3024" s="1" t="n">
        <x:v>29</x:v>
      </x:c>
      <x:c r="C3024" s="1" t="n">
        <x:v>59</x:v>
      </x:c>
      <x:c r="D3024" s="6" t="n">
        <x:v>12213</x:v>
      </x:c>
      <x:c r="E3024" s="6" t="n">
        <x:v>13713</x:v>
      </x:c>
      <x:c r="F3024" s="6" t="n">
        <x:v>0</x:v>
      </x:c>
      <x:c r="G3024" s="6" t="n">
        <x:v>13713</x:v>
      </x:c>
      <x:c r="H3024" s="6" t="n">
        <x:v>1500</x:v>
      </x:c>
    </x:row>
    <x:row r="3025" ht="21" customHeight="1">
      <x:c r="A3025" s="1" t="str">
        <x:v>C0014976</x:v>
      </x:c>
      <x:c r="B3025" s="1" t="n">
        <x:v>9</x:v>
      </x:c>
      <x:c r="C3025" s="1" t="n">
        <x:v>69</x:v>
      </x:c>
      <x:c r="D3025" s="6" t="n">
        <x:v>21960</x:v>
      </x:c>
      <x:c r="E3025" s="6" t="n">
        <x:v>23460</x:v>
      </x:c>
      <x:c r="F3025" s="6" t="n">
        <x:v>0</x:v>
      </x:c>
      <x:c r="G3025" s="6" t="n">
        <x:v>23460</x:v>
      </x:c>
      <x:c r="H3025" s="6" t="n">
        <x:v>1500</x:v>
      </x:c>
    </x:row>
    <x:row r="3026" ht="21" customHeight="1">
      <x:c r="A3026" s="1" t="str">
        <x:v>C0015006</x:v>
      </x:c>
      <x:c r="B3026" s="1" t="n">
        <x:v>21</x:v>
      </x:c>
      <x:c r="C3026" s="1" t="n">
        <x:v>81</x:v>
      </x:c>
      <x:c r="D3026" s="6" t="n">
        <x:v>11866</x:v>
      </x:c>
      <x:c r="E3026" s="6" t="n">
        <x:v>13366</x:v>
      </x:c>
      <x:c r="F3026" s="6" t="n">
        <x:v>0</x:v>
      </x:c>
      <x:c r="G3026" s="6" t="n">
        <x:v>13366</x:v>
      </x:c>
      <x:c r="H3026" s="6" t="n">
        <x:v>1500</x:v>
      </x:c>
    </x:row>
    <x:row r="3027" ht="21" customHeight="1">
      <x:c r="A3027" s="1" t="str">
        <x:v>C0007919</x:v>
      </x:c>
      <x:c r="B3027" s="1" t="n">
        <x:v>7</x:v>
      </x:c>
      <x:c r="C3027" s="1" t="n">
        <x:v>67</x:v>
      </x:c>
      <x:c r="D3027" s="6" t="n">
        <x:v>19874</x:v>
      </x:c>
      <x:c r="E3027" s="6" t="n">
        <x:v>21374</x:v>
      </x:c>
      <x:c r="F3027" s="6" t="n">
        <x:v>0</x:v>
      </x:c>
      <x:c r="G3027" s="6" t="n">
        <x:v>21374</x:v>
      </x:c>
      <x:c r="H3027" s="6" t="n">
        <x:v>1500</x:v>
      </x:c>
    </x:row>
    <x:row r="3028" ht="21" customHeight="1">
      <x:c r="A3028" s="1" t="str">
        <x:v>C0007940</x:v>
      </x:c>
      <x:c r="B3028" s="1" t="n">
        <x:v>10</x:v>
      </x:c>
      <x:c r="C3028" s="1" t="n">
        <x:v>70</x:v>
      </x:c>
      <x:c r="D3028" s="6" t="n">
        <x:v>13405</x:v>
      </x:c>
      <x:c r="E3028" s="6" t="n">
        <x:v>14905</x:v>
      </x:c>
      <x:c r="F3028" s="6" t="n">
        <x:v>0</x:v>
      </x:c>
      <x:c r="G3028" s="6" t="n">
        <x:v>14905</x:v>
      </x:c>
      <x:c r="H3028" s="6" t="n">
        <x:v>1500</x:v>
      </x:c>
    </x:row>
    <x:row r="3029" ht="21" customHeight="1">
      <x:c r="A3029" s="1" t="str">
        <x:v>C0007972</x:v>
      </x:c>
      <x:c r="B3029" s="1" t="n">
        <x:v>19</x:v>
      </x:c>
      <x:c r="C3029" s="1" t="n">
        <x:v>49</x:v>
      </x:c>
      <x:c r="D3029" s="6" t="n">
        <x:v>7730</x:v>
      </x:c>
      <x:c r="E3029" s="6" t="n">
        <x:v>9230</x:v>
      </x:c>
      <x:c r="F3029" s="6" t="n">
        <x:v>0</x:v>
      </x:c>
      <x:c r="G3029" s="6" t="n">
        <x:v>9230</x:v>
      </x:c>
      <x:c r="H3029" s="6" t="n">
        <x:v>1500</x:v>
      </x:c>
    </x:row>
    <x:row r="3030" ht="21" customHeight="1">
      <x:c r="A3030" s="1" t="str">
        <x:v>C0008013</x:v>
      </x:c>
      <x:c r="B3030" s="1" t="n">
        <x:v>11</x:v>
      </x:c>
      <x:c r="C3030" s="1" t="n">
        <x:v>71</x:v>
      </x:c>
      <x:c r="D3030" s="6" t="n">
        <x:v>30604</x:v>
      </x:c>
      <x:c r="E3030" s="6" t="n">
        <x:v>32104</x:v>
      </x:c>
      <x:c r="F3030" s="6" t="n">
        <x:v>0</x:v>
      </x:c>
      <x:c r="G3030" s="6" t="n">
        <x:v>32104</x:v>
      </x:c>
      <x:c r="H3030" s="6" t="n">
        <x:v>1500</x:v>
      </x:c>
    </x:row>
    <x:row r="3031" ht="21" customHeight="1">
      <x:c r="A3031" s="1" t="str">
        <x:v>C0008014</x:v>
      </x:c>
      <x:c r="B3031" s="1" t="n">
        <x:v>17</x:v>
      </x:c>
      <x:c r="C3031" s="1" t="n">
        <x:v>17</x:v>
      </x:c>
      <x:c r="D3031" s="6" t="n">
        <x:v>14814</x:v>
      </x:c>
      <x:c r="E3031" s="6" t="n">
        <x:v>16314</x:v>
      </x:c>
      <x:c r="F3031" s="6" t="n">
        <x:v>0</x:v>
      </x:c>
      <x:c r="G3031" s="6" t="n">
        <x:v>16314</x:v>
      </x:c>
      <x:c r="H3031" s="6" t="n">
        <x:v>1500</x:v>
      </x:c>
    </x:row>
    <x:row r="3032" ht="21" customHeight="1">
      <x:c r="A3032" s="1" t="str">
        <x:v>C0008037</x:v>
      </x:c>
      <x:c r="B3032" s="1" t="n">
        <x:v>14</x:v>
      </x:c>
      <x:c r="C3032" s="1" t="n">
        <x:v>74</x:v>
      </x:c>
      <x:c r="D3032" s="6" t="n">
        <x:v>6480</x:v>
      </x:c>
      <x:c r="E3032" s="6" t="n">
        <x:v>7980</x:v>
      </x:c>
      <x:c r="F3032" s="6" t="n">
        <x:v>0</x:v>
      </x:c>
      <x:c r="G3032" s="6" t="n">
        <x:v>7980</x:v>
      </x:c>
      <x:c r="H3032" s="6" t="n">
        <x:v>1500</x:v>
      </x:c>
    </x:row>
    <x:row r="3033" ht="21" customHeight="1">
      <x:c r="A3033" s="1" t="str">
        <x:v>C0008067</x:v>
      </x:c>
      <x:c r="B3033" s="1" t="n">
        <x:v>30</x:v>
      </x:c>
      <x:c r="C3033" s="1" t="n">
        <x:v>30</x:v>
      </x:c>
      <x:c r="D3033" s="6" t="n">
        <x:v>13518</x:v>
      </x:c>
      <x:c r="E3033" s="6" t="n">
        <x:v>15018</x:v>
      </x:c>
      <x:c r="F3033" s="6" t="n">
        <x:v>0</x:v>
      </x:c>
      <x:c r="G3033" s="6" t="n">
        <x:v>15018</x:v>
      </x:c>
      <x:c r="H3033" s="6" t="n">
        <x:v>1500</x:v>
      </x:c>
    </x:row>
    <x:row r="3034" ht="21" customHeight="1">
      <x:c r="A3034" s="1" t="str">
        <x:v>C0008071</x:v>
      </x:c>
      <x:c r="B3034" s="1" t="n">
        <x:v>6</x:v>
      </x:c>
      <x:c r="C3034" s="1" t="n">
        <x:v>36</x:v>
      </x:c>
      <x:c r="D3034" s="6" t="n">
        <x:v>20580</x:v>
      </x:c>
      <x:c r="E3034" s="6" t="n">
        <x:v>22080</x:v>
      </x:c>
      <x:c r="F3034" s="6" t="n">
        <x:v>0</x:v>
      </x:c>
      <x:c r="G3034" s="6" t="n">
        <x:v>22080</x:v>
      </x:c>
      <x:c r="H3034" s="6" t="n">
        <x:v>1500</x:v>
      </x:c>
    </x:row>
    <x:row r="3035" ht="21" customHeight="1">
      <x:c r="A3035" s="1" t="str">
        <x:v>C0008084</x:v>
      </x:c>
      <x:c r="B3035" s="1" t="n">
        <x:v>12</x:v>
      </x:c>
      <x:c r="C3035" s="1" t="n">
        <x:v>72</x:v>
      </x:c>
      <x:c r="D3035" s="6" t="n">
        <x:v>21185</x:v>
      </x:c>
      <x:c r="E3035" s="6" t="n">
        <x:v>22685</x:v>
      </x:c>
      <x:c r="F3035" s="6" t="n">
        <x:v>0</x:v>
      </x:c>
      <x:c r="G3035" s="6" t="n">
        <x:v>22685</x:v>
      </x:c>
      <x:c r="H3035" s="6" t="n">
        <x:v>1500</x:v>
      </x:c>
    </x:row>
    <x:row r="3036" ht="21" customHeight="1">
      <x:c r="A3036" s="1" t="str">
        <x:v>C0010530</x:v>
      </x:c>
      <x:c r="B3036" s="1" t="n">
        <x:v>22</x:v>
      </x:c>
      <x:c r="C3036" s="1" t="n">
        <x:v>52</x:v>
      </x:c>
      <x:c r="D3036" s="6" t="n">
        <x:v>15965</x:v>
      </x:c>
      <x:c r="E3036" s="6" t="n">
        <x:v>17465</x:v>
      </x:c>
      <x:c r="F3036" s="6" t="n">
        <x:v>0</x:v>
      </x:c>
      <x:c r="G3036" s="6" t="n">
        <x:v>17465</x:v>
      </x:c>
      <x:c r="H3036" s="6" t="n">
        <x:v>1500</x:v>
      </x:c>
    </x:row>
    <x:row r="3037" ht="21" customHeight="1">
      <x:c r="A3037" s="1" t="str">
        <x:v>C0010550</x:v>
      </x:c>
      <x:c r="B3037" s="1" t="n">
        <x:v>20</x:v>
      </x:c>
      <x:c r="C3037" s="1" t="n">
        <x:v>50</x:v>
      </x:c>
      <x:c r="D3037" s="6" t="n">
        <x:v>5109</x:v>
      </x:c>
      <x:c r="E3037" s="6" t="n">
        <x:v>6609</x:v>
      </x:c>
      <x:c r="F3037" s="6" t="n">
        <x:v>0</x:v>
      </x:c>
      <x:c r="G3037" s="6" t="n">
        <x:v>6609</x:v>
      </x:c>
      <x:c r="H3037" s="6" t="n">
        <x:v>1500</x:v>
      </x:c>
    </x:row>
    <x:row r="3038" ht="21" customHeight="1">
      <x:c r="A3038" s="1" t="str">
        <x:v>C0014949</x:v>
      </x:c>
      <x:c r="B3038" s="1" t="n">
        <x:v>29</x:v>
      </x:c>
      <x:c r="C3038" s="1" t="n">
        <x:v>119</x:v>
      </x:c>
      <x:c r="D3038" s="6" t="n">
        <x:v>19524</x:v>
      </x:c>
      <x:c r="E3038" s="6" t="n">
        <x:v>21024</x:v>
      </x:c>
      <x:c r="F3038" s="6" t="n">
        <x:v>0</x:v>
      </x:c>
      <x:c r="G3038" s="6" t="n">
        <x:v>21024</x:v>
      </x:c>
      <x:c r="H3038" s="6" t="n">
        <x:v>1500</x:v>
      </x:c>
    </x:row>
    <x:row r="3039" ht="21" customHeight="1">
      <x:c r="A3039" s="1" t="str">
        <x:v>C0011003</x:v>
      </x:c>
      <x:c r="B3039" s="1" t="n">
        <x:v>30</x:v>
      </x:c>
      <x:c r="C3039" s="1" t="n">
        <x:v>120</x:v>
      </x:c>
      <x:c r="D3039" s="6" t="n">
        <x:v>24724</x:v>
      </x:c>
      <x:c r="E3039" s="6" t="n">
        <x:v>26224</x:v>
      </x:c>
      <x:c r="F3039" s="6" t="n">
        <x:v>0</x:v>
      </x:c>
      <x:c r="G3039" s="6" t="n">
        <x:v>26224</x:v>
      </x:c>
      <x:c r="H3039" s="6" t="n">
        <x:v>1500</x:v>
      </x:c>
    </x:row>
    <x:row r="3040" ht="21" customHeight="1">
      <x:c r="A3040" s="1" t="str">
        <x:v>C0011109</x:v>
      </x:c>
      <x:c r="B3040" s="1" t="n">
        <x:v>16</x:v>
      </x:c>
      <x:c r="C3040" s="1" t="n">
        <x:v>46</x:v>
      </x:c>
      <x:c r="D3040" s="6" t="n">
        <x:v>24733</x:v>
      </x:c>
      <x:c r="E3040" s="6" t="n">
        <x:v>26233</x:v>
      </x:c>
      <x:c r="F3040" s="6" t="n">
        <x:v>0</x:v>
      </x:c>
      <x:c r="G3040" s="6" t="n">
        <x:v>26233</x:v>
      </x:c>
      <x:c r="H3040" s="6" t="n">
        <x:v>1500</x:v>
      </x:c>
    </x:row>
    <x:row r="3041" ht="21" customHeight="1">
      <x:c r="A3041" s="1" t="str">
        <x:v>C0011122</x:v>
      </x:c>
      <x:c r="B3041" s="1" t="n">
        <x:v>20</x:v>
      </x:c>
      <x:c r="C3041" s="1" t="n">
        <x:v>20</x:v>
      </x:c>
      <x:c r="D3041" s="6" t="n">
        <x:v>16097</x:v>
      </x:c>
      <x:c r="E3041" s="6" t="n">
        <x:v>17597</x:v>
      </x:c>
      <x:c r="F3041" s="6" t="n">
        <x:v>0</x:v>
      </x:c>
      <x:c r="G3041" s="6" t="n">
        <x:v>17597</x:v>
      </x:c>
      <x:c r="H3041" s="6" t="n">
        <x:v>1500</x:v>
      </x:c>
    </x:row>
    <x:row r="3042" ht="21" customHeight="1">
      <x:c r="A3042" s="1" t="str">
        <x:v>C0011196</x:v>
      </x:c>
      <x:c r="B3042" s="1" t="n">
        <x:v>8</x:v>
      </x:c>
      <x:c r="C3042" s="1" t="n">
        <x:v>38</x:v>
      </x:c>
      <x:c r="D3042" s="6" t="n">
        <x:v>11567</x:v>
      </x:c>
      <x:c r="E3042" s="6" t="n">
        <x:v>13067</x:v>
      </x:c>
      <x:c r="F3042" s="6" t="n">
        <x:v>0</x:v>
      </x:c>
      <x:c r="G3042" s="6" t="n">
        <x:v>13067</x:v>
      </x:c>
      <x:c r="H3042" s="6" t="n">
        <x:v>1500</x:v>
      </x:c>
    </x:row>
    <x:row r="3043" ht="21" customHeight="1">
      <x:c r="A3043" s="1" t="str">
        <x:v>C0011218</x:v>
      </x:c>
      <x:c r="B3043" s="1" t="n">
        <x:v>23</x:v>
      </x:c>
      <x:c r="C3043" s="1" t="n">
        <x:v>83</x:v>
      </x:c>
      <x:c r="D3043" s="6" t="n">
        <x:v>22093</x:v>
      </x:c>
      <x:c r="E3043" s="6" t="n">
        <x:v>23593</x:v>
      </x:c>
      <x:c r="F3043" s="6" t="n">
        <x:v>0</x:v>
      </x:c>
      <x:c r="G3043" s="6" t="n">
        <x:v>23593</x:v>
      </x:c>
      <x:c r="H3043" s="6" t="n">
        <x:v>1500</x:v>
      </x:c>
    </x:row>
    <x:row r="3044" ht="21" customHeight="1">
      <x:c r="A3044" s="1" t="str">
        <x:v>C0007124</x:v>
      </x:c>
      <x:c r="B3044" s="1" t="n">
        <x:v>30</x:v>
      </x:c>
      <x:c r="C3044" s="1" t="n">
        <x:v>90</x:v>
      </x:c>
      <x:c r="D3044" s="6" t="n">
        <x:v>17072</x:v>
      </x:c>
      <x:c r="E3044" s="6" t="n">
        <x:v>18572</x:v>
      </x:c>
      <x:c r="F3044" s="6" t="n">
        <x:v>0</x:v>
      </x:c>
      <x:c r="G3044" s="6" t="n">
        <x:v>18572</x:v>
      </x:c>
      <x:c r="H3044" s="6" t="n">
        <x:v>1500</x:v>
      </x:c>
    </x:row>
    <x:row r="3045" ht="21" customHeight="1">
      <x:c r="A3045" s="1" t="str">
        <x:v>C0007173</x:v>
      </x:c>
      <x:c r="B3045" s="1" t="n">
        <x:v>6</x:v>
      </x:c>
      <x:c r="C3045" s="1" t="n">
        <x:v>66</x:v>
      </x:c>
      <x:c r="D3045" s="6" t="n">
        <x:v>9657</x:v>
      </x:c>
      <x:c r="E3045" s="6" t="n">
        <x:v>11157</x:v>
      </x:c>
      <x:c r="F3045" s="6" t="n">
        <x:v>0</x:v>
      </x:c>
      <x:c r="G3045" s="6" t="n">
        <x:v>11157</x:v>
      </x:c>
      <x:c r="H3045" s="6" t="n">
        <x:v>1500</x:v>
      </x:c>
    </x:row>
    <x:row r="3046" ht="21" customHeight="1">
      <x:c r="A3046" s="1" t="str">
        <x:v>C0004096</x:v>
      </x:c>
      <x:c r="B3046" s="1" t="n">
        <x:v>23</x:v>
      </x:c>
      <x:c r="C3046" s="1" t="n">
        <x:v>113</x:v>
      </x:c>
      <x:c r="D3046" s="6" t="n">
        <x:v>12866</x:v>
      </x:c>
      <x:c r="E3046" s="6" t="n">
        <x:v>14366</x:v>
      </x:c>
      <x:c r="F3046" s="6" t="n">
        <x:v>0</x:v>
      </x:c>
      <x:c r="G3046" s="6" t="n">
        <x:v>14366</x:v>
      </x:c>
      <x:c r="H3046" s="6" t="n">
        <x:v>1500</x:v>
      </x:c>
    </x:row>
    <x:row r="3047" ht="21" customHeight="1">
      <x:c r="A3047" s="1" t="str">
        <x:v>C0004125</x:v>
      </x:c>
      <x:c r="B3047" s="1" t="n">
        <x:v>7</x:v>
      </x:c>
      <x:c r="C3047" s="1" t="n">
        <x:v>37</x:v>
      </x:c>
      <x:c r="D3047" s="6" t="n">
        <x:v>15101</x:v>
      </x:c>
      <x:c r="E3047" s="6" t="n">
        <x:v>16601</x:v>
      </x:c>
      <x:c r="F3047" s="6" t="n">
        <x:v>0</x:v>
      </x:c>
      <x:c r="G3047" s="6" t="n">
        <x:v>16601</x:v>
      </x:c>
      <x:c r="H3047" s="6" t="n">
        <x:v>1500</x:v>
      </x:c>
    </x:row>
    <x:row r="3048" ht="21" customHeight="1">
      <x:c r="A3048" s="1" t="str">
        <x:v>C0004147</x:v>
      </x:c>
      <x:c r="B3048" s="1" t="n">
        <x:v>19</x:v>
      </x:c>
      <x:c r="C3048" s="1" t="n">
        <x:v>19</x:v>
      </x:c>
      <x:c r="D3048" s="6" t="n">
        <x:v>7377</x:v>
      </x:c>
      <x:c r="E3048" s="6" t="n">
        <x:v>8877</x:v>
      </x:c>
      <x:c r="F3048" s="6" t="n">
        <x:v>0</x:v>
      </x:c>
      <x:c r="G3048" s="6" t="n">
        <x:v>8877</x:v>
      </x:c>
      <x:c r="H3048" s="6" t="n">
        <x:v>1500</x:v>
      </x:c>
    </x:row>
    <x:row r="3049" ht="21" customHeight="1">
      <x:c r="A3049" s="1" t="str">
        <x:v>C0004188</x:v>
      </x:c>
      <x:c r="B3049" s="1" t="n">
        <x:v>16</x:v>
      </x:c>
      <x:c r="C3049" s="1" t="n">
        <x:v>106</x:v>
      </x:c>
      <x:c r="D3049" s="6" t="n">
        <x:v>14368</x:v>
      </x:c>
      <x:c r="E3049" s="6" t="n">
        <x:v>15868</x:v>
      </x:c>
      <x:c r="F3049" s="6" t="n">
        <x:v>0</x:v>
      </x:c>
      <x:c r="G3049" s="6" t="n">
        <x:v>15868</x:v>
      </x:c>
      <x:c r="H3049" s="6" t="n">
        <x:v>1500</x:v>
      </x:c>
    </x:row>
    <x:row r="3050" ht="21" customHeight="1">
      <x:c r="A3050" s="1" t="str">
        <x:v>C0004234</x:v>
      </x:c>
      <x:c r="B3050" s="1" t="n">
        <x:v>19</x:v>
      </x:c>
      <x:c r="C3050" s="1" t="n">
        <x:v>19</x:v>
      </x:c>
      <x:c r="D3050" s="6" t="n">
        <x:v>17293</x:v>
      </x:c>
      <x:c r="E3050" s="6" t="n">
        <x:v>18793</x:v>
      </x:c>
      <x:c r="F3050" s="6" t="n">
        <x:v>0</x:v>
      </x:c>
      <x:c r="G3050" s="6" t="n">
        <x:v>18793</x:v>
      </x:c>
      <x:c r="H3050" s="6" t="n">
        <x:v>1500</x:v>
      </x:c>
    </x:row>
    <x:row r="3051" ht="21" customHeight="1">
      <x:c r="A3051" s="1" t="str">
        <x:v>C0004250</x:v>
      </x:c>
      <x:c r="B3051" s="1" t="n">
        <x:v>1</x:v>
      </x:c>
      <x:c r="C3051" s="1" t="n">
        <x:v>31</x:v>
      </x:c>
      <x:c r="D3051" s="6" t="n">
        <x:v>23468</x:v>
      </x:c>
      <x:c r="E3051" s="6" t="n">
        <x:v>24968</x:v>
      </x:c>
      <x:c r="F3051" s="6" t="n">
        <x:v>0</x:v>
      </x:c>
      <x:c r="G3051" s="6" t="n">
        <x:v>24968</x:v>
      </x:c>
      <x:c r="H3051" s="6" t="n">
        <x:v>1500</x:v>
      </x:c>
    </x:row>
    <x:row r="3052" ht="21" customHeight="1">
      <x:c r="A3052" s="1" t="str">
        <x:v>C0014498</x:v>
      </x:c>
      <x:c r="B3052" s="1" t="n">
        <x:v>26</x:v>
      </x:c>
      <x:c r="C3052" s="1" t="n">
        <x:v>56</x:v>
      </x:c>
      <x:c r="D3052" s="6" t="n">
        <x:v>24469</x:v>
      </x:c>
      <x:c r="E3052" s="6" t="n">
        <x:v>25969</x:v>
      </x:c>
      <x:c r="F3052" s="6" t="n">
        <x:v>0</x:v>
      </x:c>
      <x:c r="G3052" s="6" t="n">
        <x:v>25969</x:v>
      </x:c>
      <x:c r="H3052" s="6" t="n">
        <x:v>1500</x:v>
      </x:c>
    </x:row>
    <x:row r="3053" ht="21" customHeight="1">
      <x:c r="A3053" s="1" t="str">
        <x:v>C0013783</x:v>
      </x:c>
      <x:c r="B3053" s="1" t="n">
        <x:v>13</x:v>
      </x:c>
      <x:c r="C3053" s="1" t="n">
        <x:v>103</x:v>
      </x:c>
      <x:c r="D3053" s="6" t="n">
        <x:v>24585</x:v>
      </x:c>
      <x:c r="E3053" s="6" t="n">
        <x:v>26085</x:v>
      </x:c>
      <x:c r="F3053" s="6" t="n">
        <x:v>0</x:v>
      </x:c>
      <x:c r="G3053" s="6" t="n">
        <x:v>26085</x:v>
      </x:c>
      <x:c r="H3053" s="6" t="n">
        <x:v>1500</x:v>
      </x:c>
    </x:row>
    <x:row r="3054" ht="21" customHeight="1">
      <x:c r="A3054" s="1" t="str">
        <x:v>C0013787</x:v>
      </x:c>
      <x:c r="B3054" s="1" t="n">
        <x:v>15</x:v>
      </x:c>
      <x:c r="C3054" s="1" t="n">
        <x:v>75</x:v>
      </x:c>
      <x:c r="D3054" s="6" t="n">
        <x:v>5974</x:v>
      </x:c>
      <x:c r="E3054" s="6" t="n">
        <x:v>7474</x:v>
      </x:c>
      <x:c r="F3054" s="6" t="n">
        <x:v>0</x:v>
      </x:c>
      <x:c r="G3054" s="6" t="n">
        <x:v>7474</x:v>
      </x:c>
      <x:c r="H3054" s="6" t="n">
        <x:v>1500</x:v>
      </x:c>
    </x:row>
    <x:row r="3055" ht="21" customHeight="1">
      <x:c r="A3055" s="1" t="str">
        <x:v>C0013811</x:v>
      </x:c>
      <x:c r="B3055" s="1" t="n">
        <x:v>24</x:v>
      </x:c>
      <x:c r="C3055" s="1" t="n">
        <x:v>84</x:v>
      </x:c>
      <x:c r="D3055" s="6" t="n">
        <x:v>33562</x:v>
      </x:c>
      <x:c r="E3055" s="6" t="n">
        <x:v>35062</x:v>
      </x:c>
      <x:c r="F3055" s="6" t="n">
        <x:v>0</x:v>
      </x:c>
      <x:c r="G3055" s="6" t="n">
        <x:v>35062</x:v>
      </x:c>
      <x:c r="H3055" s="6" t="n">
        <x:v>1500</x:v>
      </x:c>
    </x:row>
    <x:row r="3056" ht="21" customHeight="1">
      <x:c r="A3056" s="1" t="str">
        <x:v>C0013858</x:v>
      </x:c>
      <x:c r="B3056" s="1" t="n">
        <x:v>28</x:v>
      </x:c>
      <x:c r="C3056" s="1" t="n">
        <x:v>118</x:v>
      </x:c>
      <x:c r="D3056" s="6" t="n">
        <x:v>5046</x:v>
      </x:c>
      <x:c r="E3056" s="6" t="n">
        <x:v>6546</x:v>
      </x:c>
      <x:c r="F3056" s="6" t="n">
        <x:v>0</x:v>
      </x:c>
      <x:c r="G3056" s="6" t="n">
        <x:v>6546</x:v>
      </x:c>
      <x:c r="H3056" s="6" t="n">
        <x:v>1500</x:v>
      </x:c>
    </x:row>
    <x:row r="3057" ht="21" customHeight="1">
      <x:c r="A3057" s="1" t="str">
        <x:v>C0013903</x:v>
      </x:c>
      <x:c r="B3057" s="1" t="n">
        <x:v>3</x:v>
      </x:c>
      <x:c r="C3057" s="1" t="n">
        <x:v>3</x:v>
      </x:c>
      <x:c r="D3057" s="6" t="n">
        <x:v>24414</x:v>
      </x:c>
      <x:c r="E3057" s="6" t="n">
        <x:v>25914</x:v>
      </x:c>
      <x:c r="F3057" s="6" t="n">
        <x:v>0</x:v>
      </x:c>
      <x:c r="G3057" s="6" t="n">
        <x:v>25914</x:v>
      </x:c>
      <x:c r="H3057" s="6" t="n">
        <x:v>1500</x:v>
      </x:c>
    </x:row>
    <x:row r="3058" ht="21" customHeight="1">
      <x:c r="A3058" s="1" t="str">
        <x:v>C0013904</x:v>
      </x:c>
      <x:c r="B3058" s="1" t="n">
        <x:v>1</x:v>
      </x:c>
      <x:c r="C3058" s="1" t="n">
        <x:v>61</x:v>
      </x:c>
      <x:c r="D3058" s="6" t="n">
        <x:v>6552</x:v>
      </x:c>
      <x:c r="E3058" s="6" t="n">
        <x:v>8052</x:v>
      </x:c>
      <x:c r="F3058" s="6" t="n">
        <x:v>0</x:v>
      </x:c>
      <x:c r="G3058" s="6" t="n">
        <x:v>8052</x:v>
      </x:c>
      <x:c r="H3058" s="6" t="n">
        <x:v>1500</x:v>
      </x:c>
    </x:row>
    <x:row r="3059" ht="21" customHeight="1">
      <x:c r="A3059" s="1" t="str">
        <x:v>C0013911</x:v>
      </x:c>
      <x:c r="B3059" s="1" t="n">
        <x:v>19</x:v>
      </x:c>
      <x:c r="C3059" s="1" t="n">
        <x:v>19</x:v>
      </x:c>
      <x:c r="D3059" s="6" t="n">
        <x:v>17293</x:v>
      </x:c>
      <x:c r="E3059" s="6" t="n">
        <x:v>18793</x:v>
      </x:c>
      <x:c r="F3059" s="6" t="n">
        <x:v>0</x:v>
      </x:c>
      <x:c r="G3059" s="6" t="n">
        <x:v>18793</x:v>
      </x:c>
      <x:c r="H3059" s="6" t="n">
        <x:v>1500</x:v>
      </x:c>
    </x:row>
    <x:row r="3060" ht="21" customHeight="1">
      <x:c r="A3060" s="1" t="str">
        <x:v>C0003918</x:v>
      </x:c>
      <x:c r="B3060" s="1" t="n">
        <x:v>22</x:v>
      </x:c>
      <x:c r="C3060" s="1" t="n">
        <x:v>82</x:v>
      </x:c>
      <x:c r="D3060" s="6" t="n">
        <x:v>22818</x:v>
      </x:c>
      <x:c r="E3060" s="6" t="n">
        <x:v>24318</x:v>
      </x:c>
      <x:c r="F3060" s="6" t="n">
        <x:v>0</x:v>
      </x:c>
      <x:c r="G3060" s="6" t="n">
        <x:v>24318</x:v>
      </x:c>
      <x:c r="H3060" s="6" t="n">
        <x:v>1500</x:v>
      </x:c>
    </x:row>
    <x:row r="3061" ht="21" customHeight="1">
      <x:c r="A3061" s="1" t="str">
        <x:v>C0003919</x:v>
      </x:c>
      <x:c r="B3061" s="1" t="n">
        <x:v>1</x:v>
      </x:c>
      <x:c r="C3061" s="1" t="n">
        <x:v>91</x:v>
      </x:c>
      <x:c r="D3061" s="6" t="n">
        <x:v>9833</x:v>
      </x:c>
      <x:c r="E3061" s="6" t="n">
        <x:v>11333</x:v>
      </x:c>
      <x:c r="F3061" s="6" t="n">
        <x:v>0</x:v>
      </x:c>
      <x:c r="G3061" s="6" t="n">
        <x:v>11333</x:v>
      </x:c>
      <x:c r="H3061" s="6" t="n">
        <x:v>1500</x:v>
      </x:c>
    </x:row>
    <x:row r="3062" ht="21" customHeight="1">
      <x:c r="A3062" s="1" t="str">
        <x:v>C0003928</x:v>
      </x:c>
      <x:c r="B3062" s="1" t="n">
        <x:v>12</x:v>
      </x:c>
      <x:c r="C3062" s="1" t="n">
        <x:v>72</x:v>
      </x:c>
      <x:c r="D3062" s="6" t="n">
        <x:v>21185</x:v>
      </x:c>
      <x:c r="E3062" s="6" t="n">
        <x:v>22685</x:v>
      </x:c>
      <x:c r="F3062" s="6" t="n">
        <x:v>0</x:v>
      </x:c>
      <x:c r="G3062" s="6" t="n">
        <x:v>22685</x:v>
      </x:c>
      <x:c r="H3062" s="6" t="n">
        <x:v>1500</x:v>
      </x:c>
    </x:row>
    <x:row r="3063" ht="21" customHeight="1">
      <x:c r="A3063" s="1" t="str">
        <x:v>C0003933</x:v>
      </x:c>
      <x:c r="B3063" s="1" t="n">
        <x:v>17</x:v>
      </x:c>
      <x:c r="C3063" s="1" t="n">
        <x:v>77</x:v>
      </x:c>
      <x:c r="D3063" s="6" t="n">
        <x:v>13300</x:v>
      </x:c>
      <x:c r="E3063" s="6" t="n">
        <x:v>14800</x:v>
      </x:c>
      <x:c r="F3063" s="6" t="n">
        <x:v>0</x:v>
      </x:c>
      <x:c r="G3063" s="6" t="n">
        <x:v>14800</x:v>
      </x:c>
      <x:c r="H3063" s="6" t="n">
        <x:v>1500</x:v>
      </x:c>
    </x:row>
    <x:row r="3064" ht="21" customHeight="1">
      <x:c r="A3064" s="1" t="str">
        <x:v>C0003951</x:v>
      </x:c>
      <x:c r="B3064" s="1" t="n">
        <x:v>28</x:v>
      </x:c>
      <x:c r="C3064" s="1" t="n">
        <x:v>58</x:v>
      </x:c>
      <x:c r="D3064" s="6" t="n">
        <x:v>9512</x:v>
      </x:c>
      <x:c r="E3064" s="6" t="n">
        <x:v>11012</x:v>
      </x:c>
      <x:c r="F3064" s="6" t="n">
        <x:v>0</x:v>
      </x:c>
      <x:c r="G3064" s="6" t="n">
        <x:v>11012</x:v>
      </x:c>
      <x:c r="H3064" s="6" t="n">
        <x:v>1500</x:v>
      </x:c>
    </x:row>
    <x:row r="3065" ht="21" customHeight="1">
      <x:c r="A3065" s="1" t="str">
        <x:v>C0003983</x:v>
      </x:c>
      <x:c r="B3065" s="1" t="n">
        <x:v>14</x:v>
      </x:c>
      <x:c r="C3065" s="1" t="n">
        <x:v>104</x:v>
      </x:c>
      <x:c r="D3065" s="6" t="n">
        <x:v>17175</x:v>
      </x:c>
      <x:c r="E3065" s="6" t="n">
        <x:v>18675</x:v>
      </x:c>
      <x:c r="F3065" s="6" t="n">
        <x:v>0</x:v>
      </x:c>
      <x:c r="G3065" s="6" t="n">
        <x:v>18675</x:v>
      </x:c>
      <x:c r="H3065" s="6" t="n">
        <x:v>1500</x:v>
      </x:c>
    </x:row>
    <x:row r="3066" ht="21" customHeight="1">
      <x:c r="A3066" s="1" t="str">
        <x:v>C0013734</x:v>
      </x:c>
      <x:c r="B3066" s="1" t="n">
        <x:v>22</x:v>
      </x:c>
      <x:c r="C3066" s="1" t="n">
        <x:v>22</x:v>
      </x:c>
      <x:c r="D3066" s="6" t="n">
        <x:v>12473</x:v>
      </x:c>
      <x:c r="E3066" s="6" t="n">
        <x:v>13973</x:v>
      </x:c>
      <x:c r="F3066" s="6" t="n">
        <x:v>0</x:v>
      </x:c>
      <x:c r="G3066" s="6" t="n">
        <x:v>13973</x:v>
      </x:c>
      <x:c r="H3066" s="6" t="n">
        <x:v>1500</x:v>
      </x:c>
    </x:row>
    <x:row r="3067" ht="21" customHeight="1">
      <x:c r="A3067" s="1" t="str">
        <x:v>C0004366</x:v>
      </x:c>
      <x:c r="B3067" s="1" t="n">
        <x:v>27</x:v>
      </x:c>
      <x:c r="C3067" s="1" t="n">
        <x:v>57</x:v>
      </x:c>
      <x:c r="D3067" s="6" t="n">
        <x:v>23410</x:v>
      </x:c>
      <x:c r="E3067" s="6" t="n">
        <x:v>24910</x:v>
      </x:c>
      <x:c r="F3067" s="6" t="n">
        <x:v>0</x:v>
      </x:c>
      <x:c r="G3067" s="6" t="n">
        <x:v>24910</x:v>
      </x:c>
      <x:c r="H3067" s="6" t="n">
        <x:v>1500</x:v>
      </x:c>
    </x:row>
    <x:row r="3068" ht="21" customHeight="1">
      <x:c r="A3068" s="1" t="str">
        <x:v>C0004379</x:v>
      </x:c>
      <x:c r="B3068" s="1" t="n">
        <x:v>17</x:v>
      </x:c>
      <x:c r="C3068" s="1" t="n">
        <x:v>77</x:v>
      </x:c>
      <x:c r="D3068" s="6" t="n">
        <x:v>13300</x:v>
      </x:c>
      <x:c r="E3068" s="6" t="n">
        <x:v>14800</x:v>
      </x:c>
      <x:c r="F3068" s="6" t="n">
        <x:v>0</x:v>
      </x:c>
      <x:c r="G3068" s="6" t="n">
        <x:v>14800</x:v>
      </x:c>
      <x:c r="H3068" s="6" t="n">
        <x:v>1500</x:v>
      </x:c>
    </x:row>
    <x:row r="3069" ht="21" customHeight="1">
      <x:c r="A3069" s="1" t="str">
        <x:v>C0004426</x:v>
      </x:c>
      <x:c r="B3069" s="1" t="n">
        <x:v>18</x:v>
      </x:c>
      <x:c r="C3069" s="1" t="n">
        <x:v>78</x:v>
      </x:c>
      <x:c r="D3069" s="6" t="n">
        <x:v>17504</x:v>
      </x:c>
      <x:c r="E3069" s="6" t="n">
        <x:v>19004</x:v>
      </x:c>
      <x:c r="F3069" s="6" t="n">
        <x:v>0</x:v>
      </x:c>
      <x:c r="G3069" s="6" t="n">
        <x:v>19004</x:v>
      </x:c>
      <x:c r="H3069" s="6" t="n">
        <x:v>1500</x:v>
      </x:c>
    </x:row>
    <x:row r="3070" ht="21" customHeight="1">
      <x:c r="A3070" s="1" t="str">
        <x:v>C0004427</x:v>
      </x:c>
      <x:c r="B3070" s="1" t="n">
        <x:v>4</x:v>
      </x:c>
      <x:c r="C3070" s="1" t="n">
        <x:v>4</x:v>
      </x:c>
      <x:c r="D3070" s="6" t="n">
        <x:v>8085</x:v>
      </x:c>
      <x:c r="E3070" s="6" t="n">
        <x:v>9585</x:v>
      </x:c>
      <x:c r="F3070" s="6" t="n">
        <x:v>0</x:v>
      </x:c>
      <x:c r="G3070" s="6" t="n">
        <x:v>9585</x:v>
      </x:c>
      <x:c r="H3070" s="6" t="n">
        <x:v>1500</x:v>
      </x:c>
    </x:row>
    <x:row r="3071" ht="21" customHeight="1">
      <x:c r="A3071" s="1" t="str">
        <x:v>C0013621</x:v>
      </x:c>
      <x:c r="B3071" s="1" t="n">
        <x:v>24</x:v>
      </x:c>
      <x:c r="C3071" s="1" t="n">
        <x:v>84</x:v>
      </x:c>
      <x:c r="D3071" s="6" t="n">
        <x:v>13768</x:v>
      </x:c>
      <x:c r="E3071" s="6" t="n">
        <x:v>15268</x:v>
      </x:c>
      <x:c r="F3071" s="6" t="n">
        <x:v>0</x:v>
      </x:c>
      <x:c r="G3071" s="6" t="n">
        <x:v>15268</x:v>
      </x:c>
      <x:c r="H3071" s="6" t="n">
        <x:v>1500</x:v>
      </x:c>
    </x:row>
    <x:row r="3072" ht="21" customHeight="1">
      <x:c r="A3072" s="1" t="str">
        <x:v>C0013676</x:v>
      </x:c>
      <x:c r="B3072" s="1" t="n">
        <x:v>26</x:v>
      </x:c>
      <x:c r="C3072" s="1" t="n">
        <x:v>116</x:v>
      </x:c>
      <x:c r="D3072" s="6" t="n">
        <x:v>12417</x:v>
      </x:c>
      <x:c r="E3072" s="6" t="n">
        <x:v>13917</x:v>
      </x:c>
      <x:c r="F3072" s="6" t="n">
        <x:v>0</x:v>
      </x:c>
      <x:c r="G3072" s="6" t="n">
        <x:v>13917</x:v>
      </x:c>
      <x:c r="H3072" s="6" t="n">
        <x:v>1500</x:v>
      </x:c>
    </x:row>
    <x:row r="3073" ht="21" customHeight="1">
      <x:c r="A3073" s="1" t="str">
        <x:v>C0013679</x:v>
      </x:c>
      <x:c r="B3073" s="1" t="n">
        <x:v>3</x:v>
      </x:c>
      <x:c r="C3073" s="1" t="n">
        <x:v>63</x:v>
      </x:c>
      <x:c r="D3073" s="6" t="n">
        <x:v>20412</x:v>
      </x:c>
      <x:c r="E3073" s="6" t="n">
        <x:v>21912</x:v>
      </x:c>
      <x:c r="F3073" s="6" t="n">
        <x:v>0</x:v>
      </x:c>
      <x:c r="G3073" s="6" t="n">
        <x:v>21912</x:v>
      </x:c>
      <x:c r="H3073" s="6" t="n">
        <x:v>1500</x:v>
      </x:c>
    </x:row>
    <x:row r="3074" ht="21" customHeight="1">
      <x:c r="A3074" s="1" t="str">
        <x:v>C0007183</x:v>
      </x:c>
      <x:c r="B3074" s="1" t="n">
        <x:v>7</x:v>
      </x:c>
      <x:c r="C3074" s="1" t="n">
        <x:v>97</x:v>
      </x:c>
      <x:c r="D3074" s="6" t="n">
        <x:v>16891</x:v>
      </x:c>
      <x:c r="E3074" s="6" t="n">
        <x:v>18391</x:v>
      </x:c>
      <x:c r="F3074" s="6" t="n">
        <x:v>0</x:v>
      </x:c>
      <x:c r="G3074" s="6" t="n">
        <x:v>18391</x:v>
      </x:c>
      <x:c r="H3074" s="6" t="n">
        <x:v>1500</x:v>
      </x:c>
    </x:row>
    <x:row r="3075" ht="21" customHeight="1">
      <x:c r="A3075" s="1" t="str">
        <x:v>C0007184</x:v>
      </x:c>
      <x:c r="B3075" s="1" t="n">
        <x:v>19</x:v>
      </x:c>
      <x:c r="C3075" s="1" t="n">
        <x:v>109</x:v>
      </x:c>
      <x:c r="D3075" s="6" t="n">
        <x:v>21330</x:v>
      </x:c>
      <x:c r="E3075" s="6" t="n">
        <x:v>22830</x:v>
      </x:c>
      <x:c r="F3075" s="6" t="n">
        <x:v>0</x:v>
      </x:c>
      <x:c r="G3075" s="6" t="n">
        <x:v>22830</x:v>
      </x:c>
      <x:c r="H3075" s="6" t="n">
        <x:v>1500</x:v>
      </x:c>
    </x:row>
    <x:row r="3076" ht="21" customHeight="1">
      <x:c r="A3076" s="1" t="str">
        <x:v>C0007188</x:v>
      </x:c>
      <x:c r="B3076" s="1" t="n">
        <x:v>15</x:v>
      </x:c>
      <x:c r="C3076" s="1" t="n">
        <x:v>45</x:v>
      </x:c>
      <x:c r="D3076" s="6" t="n">
        <x:v>19594</x:v>
      </x:c>
      <x:c r="E3076" s="6" t="n">
        <x:v>21094</x:v>
      </x:c>
      <x:c r="F3076" s="6" t="n">
        <x:v>0</x:v>
      </x:c>
      <x:c r="G3076" s="6" t="n">
        <x:v>21094</x:v>
      </x:c>
      <x:c r="H3076" s="6" t="n">
        <x:v>1500</x:v>
      </x:c>
    </x:row>
    <x:row r="3077" ht="21" customHeight="1">
      <x:c r="A3077" s="1" t="str">
        <x:v>C0007207</x:v>
      </x:c>
      <x:c r="B3077" s="1" t="n">
        <x:v>22</x:v>
      </x:c>
      <x:c r="C3077" s="1" t="n">
        <x:v>82</x:v>
      </x:c>
      <x:c r="D3077" s="6" t="n">
        <x:v>22940</x:v>
      </x:c>
      <x:c r="E3077" s="6" t="n">
        <x:v>24440</x:v>
      </x:c>
      <x:c r="F3077" s="6" t="n">
        <x:v>0</x:v>
      </x:c>
      <x:c r="G3077" s="6" t="n">
        <x:v>24440</x:v>
      </x:c>
      <x:c r="H3077" s="6" t="n">
        <x:v>1500</x:v>
      </x:c>
    </x:row>
    <x:row r="3078" ht="21" customHeight="1">
      <x:c r="A3078" s="1" t="str">
        <x:v>C0007210</x:v>
      </x:c>
      <x:c r="B3078" s="1" t="n">
        <x:v>14</x:v>
      </x:c>
      <x:c r="C3078" s="1" t="n">
        <x:v>14</x:v>
      </x:c>
      <x:c r="D3078" s="6" t="n">
        <x:v>16584</x:v>
      </x:c>
      <x:c r="E3078" s="6" t="n">
        <x:v>18084</x:v>
      </x:c>
      <x:c r="F3078" s="6" t="n">
        <x:v>0</x:v>
      </x:c>
      <x:c r="G3078" s="6" t="n">
        <x:v>18084</x:v>
      </x:c>
      <x:c r="H3078" s="6" t="n">
        <x:v>1500</x:v>
      </x:c>
    </x:row>
    <x:row r="3079" ht="21" customHeight="1">
      <x:c r="A3079" s="1" t="str">
        <x:v>C0007217</x:v>
      </x:c>
      <x:c r="B3079" s="1" t="n">
        <x:v>5</x:v>
      </x:c>
      <x:c r="C3079" s="1" t="n">
        <x:v>35</x:v>
      </x:c>
      <x:c r="D3079" s="6" t="n">
        <x:v>13082</x:v>
      </x:c>
      <x:c r="E3079" s="6" t="n">
        <x:v>14582</x:v>
      </x:c>
      <x:c r="F3079" s="6" t="n">
        <x:v>0</x:v>
      </x:c>
      <x:c r="G3079" s="6" t="n">
        <x:v>14582</x:v>
      </x:c>
      <x:c r="H3079" s="6" t="n">
        <x:v>1500</x:v>
      </x:c>
    </x:row>
    <x:row r="3080" ht="21" customHeight="1">
      <x:c r="A3080" s="1" t="str">
        <x:v>C0010983</x:v>
      </x:c>
      <x:c r="B3080" s="1" t="n">
        <x:v>10</x:v>
      </x:c>
      <x:c r="C3080" s="1" t="n">
        <x:v>10</x:v>
      </x:c>
      <x:c r="D3080" s="6" t="n">
        <x:v>13359</x:v>
      </x:c>
      <x:c r="E3080" s="6" t="n">
        <x:v>14859</x:v>
      </x:c>
      <x:c r="F3080" s="6" t="n">
        <x:v>0</x:v>
      </x:c>
      <x:c r="G3080" s="6" t="n">
        <x:v>14859</x:v>
      </x:c>
      <x:c r="H3080" s="6" t="n">
        <x:v>1500</x:v>
      </x:c>
    </x:row>
    <x:row r="3081" ht="21" customHeight="1">
      <x:c r="A3081" s="1" t="str">
        <x:v>C0007235</x:v>
      </x:c>
      <x:c r="B3081" s="1" t="n">
        <x:v>21</x:v>
      </x:c>
      <x:c r="C3081" s="1" t="n">
        <x:v>81</x:v>
      </x:c>
      <x:c r="D3081" s="6" t="n">
        <x:v>11866</x:v>
      </x:c>
      <x:c r="E3081" s="6" t="n">
        <x:v>13366</x:v>
      </x:c>
      <x:c r="F3081" s="6" t="n">
        <x:v>0</x:v>
      </x:c>
      <x:c r="G3081" s="6" t="n">
        <x:v>13366</x:v>
      </x:c>
      <x:c r="H3081" s="6" t="n">
        <x:v>1500</x:v>
      </x:c>
    </x:row>
    <x:row r="3082" ht="21" customHeight="1">
      <x:c r="A3082" s="1" t="str">
        <x:v>C0007275</x:v>
      </x:c>
      <x:c r="B3082" s="1" t="n">
        <x:v>18</x:v>
      </x:c>
      <x:c r="C3082" s="1" t="n">
        <x:v>108</x:v>
      </x:c>
      <x:c r="D3082" s="6" t="n">
        <x:v>7756</x:v>
      </x:c>
      <x:c r="E3082" s="6" t="n">
        <x:v>9256</x:v>
      </x:c>
      <x:c r="F3082" s="6" t="n">
        <x:v>0</x:v>
      </x:c>
      <x:c r="G3082" s="6" t="n">
        <x:v>9256</x:v>
      </x:c>
      <x:c r="H3082" s="6" t="n">
        <x:v>1500</x:v>
      </x:c>
    </x:row>
    <x:row r="3083" ht="21" customHeight="1">
      <x:c r="A3083" s="1" t="str">
        <x:v>C0007304</x:v>
      </x:c>
      <x:c r="B3083" s="1" t="n">
        <x:v>13</x:v>
      </x:c>
      <x:c r="C3083" s="1" t="n">
        <x:v>103</x:v>
      </x:c>
      <x:c r="D3083" s="6" t="n">
        <x:v>13620</x:v>
      </x:c>
      <x:c r="E3083" s="6" t="n">
        <x:v>15120</x:v>
      </x:c>
      <x:c r="F3083" s="6" t="n">
        <x:v>0</x:v>
      </x:c>
      <x:c r="G3083" s="6" t="n">
        <x:v>15120</x:v>
      </x:c>
      <x:c r="H3083" s="6" t="n">
        <x:v>1500</x:v>
      </x:c>
    </x:row>
    <x:row r="3084" ht="21" customHeight="1">
      <x:c r="A3084" s="1" t="str">
        <x:v>C0007313</x:v>
      </x:c>
      <x:c r="B3084" s="1" t="n">
        <x:v>30</x:v>
      </x:c>
      <x:c r="C3084" s="1" t="n">
        <x:v>120</x:v>
      </x:c>
      <x:c r="D3084" s="6" t="n">
        <x:v>24724</x:v>
      </x:c>
      <x:c r="E3084" s="6" t="n">
        <x:v>26224</x:v>
      </x:c>
      <x:c r="F3084" s="6" t="n">
        <x:v>0</x:v>
      </x:c>
      <x:c r="G3084" s="6" t="n">
        <x:v>26224</x:v>
      </x:c>
      <x:c r="H3084" s="6" t="n">
        <x:v>1500</x:v>
      </x:c>
    </x:row>
    <x:row r="3085" ht="21" customHeight="1">
      <x:c r="A3085" s="1" t="str">
        <x:v>C0011233</x:v>
      </x:c>
      <x:c r="B3085" s="1" t="n">
        <x:v>29</x:v>
      </x:c>
      <x:c r="C3085" s="1" t="n">
        <x:v>89</x:v>
      </x:c>
      <x:c r="D3085" s="6" t="n">
        <x:v>14597</x:v>
      </x:c>
      <x:c r="E3085" s="6" t="n">
        <x:v>16097</x:v>
      </x:c>
      <x:c r="F3085" s="6" t="n">
        <x:v>0</x:v>
      </x:c>
      <x:c r="G3085" s="6" t="n">
        <x:v>16097</x:v>
      </x:c>
      <x:c r="H3085" s="6" t="n">
        <x:v>1500</x:v>
      </x:c>
    </x:row>
    <x:row r="3086" ht="21" customHeight="1">
      <x:c r="A3086" s="1" t="str">
        <x:v>C0011234</x:v>
      </x:c>
      <x:c r="B3086" s="1" t="n">
        <x:v>27</x:v>
      </x:c>
      <x:c r="C3086" s="1" t="n">
        <x:v>57</x:v>
      </x:c>
      <x:c r="D3086" s="6" t="n">
        <x:v>9352</x:v>
      </x:c>
      <x:c r="E3086" s="6" t="n">
        <x:v>10852</x:v>
      </x:c>
      <x:c r="F3086" s="6" t="n">
        <x:v>0</x:v>
      </x:c>
      <x:c r="G3086" s="6" t="n">
        <x:v>10852</x:v>
      </x:c>
      <x:c r="H3086" s="6" t="n">
        <x:v>1500</x:v>
      </x:c>
    </x:row>
    <x:row r="3087" ht="21" customHeight="1">
      <x:c r="A3087" s="1" t="str">
        <x:v>C0011247</x:v>
      </x:c>
      <x:c r="B3087" s="1" t="n">
        <x:v>25</x:v>
      </x:c>
      <x:c r="C3087" s="1" t="n">
        <x:v>85</x:v>
      </x:c>
      <x:c r="D3087" s="6" t="n">
        <x:v>24107</x:v>
      </x:c>
      <x:c r="E3087" s="6" t="n">
        <x:v>25607</x:v>
      </x:c>
      <x:c r="F3087" s="6" t="n">
        <x:v>0</x:v>
      </x:c>
      <x:c r="G3087" s="6" t="n">
        <x:v>25607</x:v>
      </x:c>
      <x:c r="H3087" s="6" t="n">
        <x:v>1500</x:v>
      </x:c>
    </x:row>
    <x:row r="3088" ht="21" customHeight="1">
      <x:c r="A3088" s="1" t="str">
        <x:v>C0011255</x:v>
      </x:c>
      <x:c r="B3088" s="1" t="n">
        <x:v>14</x:v>
      </x:c>
      <x:c r="C3088" s="1" t="n">
        <x:v>104</x:v>
      </x:c>
      <x:c r="D3088" s="6" t="n">
        <x:v>17175</x:v>
      </x:c>
      <x:c r="E3088" s="6" t="n">
        <x:v>18675</x:v>
      </x:c>
      <x:c r="F3088" s="6" t="n">
        <x:v>0</x:v>
      </x:c>
      <x:c r="G3088" s="6" t="n">
        <x:v>18675</x:v>
      </x:c>
      <x:c r="H3088" s="6" t="n">
        <x:v>1500</x:v>
      </x:c>
    </x:row>
    <x:row r="3089" ht="21" customHeight="1">
      <x:c r="A3089" s="1" t="str">
        <x:v>C0011282</x:v>
      </x:c>
      <x:c r="B3089" s="1" t="n">
        <x:v>1</x:v>
      </x:c>
      <x:c r="C3089" s="1" t="n">
        <x:v>91</x:v>
      </x:c>
      <x:c r="D3089" s="6" t="n">
        <x:v>18750</x:v>
      </x:c>
      <x:c r="E3089" s="6" t="n">
        <x:v>20250</x:v>
      </x:c>
      <x:c r="F3089" s="6" t="n">
        <x:v>0</x:v>
      </x:c>
      <x:c r="G3089" s="6" t="n">
        <x:v>20250</x:v>
      </x:c>
      <x:c r="H3089" s="6" t="n">
        <x:v>1500</x:v>
      </x:c>
    </x:row>
    <x:row r="3090" ht="21" customHeight="1">
      <x:c r="A3090" s="1" t="str">
        <x:v>C0011366</x:v>
      </x:c>
      <x:c r="B3090" s="1" t="n">
        <x:v>6</x:v>
      </x:c>
      <x:c r="C3090" s="1" t="n">
        <x:v>6</x:v>
      </x:c>
      <x:c r="D3090" s="6" t="n">
        <x:v>9791</x:v>
      </x:c>
      <x:c r="E3090" s="6" t="n">
        <x:v>11291</x:v>
      </x:c>
      <x:c r="F3090" s="6" t="n">
        <x:v>0</x:v>
      </x:c>
      <x:c r="G3090" s="6" t="n">
        <x:v>11291</x:v>
      </x:c>
      <x:c r="H3090" s="6" t="n">
        <x:v>1500</x:v>
      </x:c>
    </x:row>
    <x:row r="3091" ht="21" customHeight="1">
      <x:c r="A3091" s="1" t="str">
        <x:v>C0011411</x:v>
      </x:c>
      <x:c r="B3091" s="1" t="n">
        <x:v>9</x:v>
      </x:c>
      <x:c r="C3091" s="1" t="n">
        <x:v>9</x:v>
      </x:c>
      <x:c r="D3091" s="6" t="n">
        <x:v>19358</x:v>
      </x:c>
      <x:c r="E3091" s="6" t="n">
        <x:v>20858</x:v>
      </x:c>
      <x:c r="F3091" s="6" t="n">
        <x:v>0</x:v>
      </x:c>
      <x:c r="G3091" s="6" t="n">
        <x:v>20858</x:v>
      </x:c>
      <x:c r="H3091" s="6" t="n">
        <x:v>1500</x:v>
      </x:c>
    </x:row>
    <x:row r="3092" ht="21" customHeight="1">
      <x:c r="A3092" s="1" t="str">
        <x:v>C0011414</x:v>
      </x:c>
      <x:c r="B3092" s="1" t="n">
        <x:v>5</x:v>
      </x:c>
      <x:c r="C3092" s="1" t="n">
        <x:v>5</x:v>
      </x:c>
      <x:c r="D3092" s="6" t="n">
        <x:v>18730</x:v>
      </x:c>
      <x:c r="E3092" s="6" t="n">
        <x:v>20230</x:v>
      </x:c>
      <x:c r="F3092" s="6" t="n">
        <x:v>0</x:v>
      </x:c>
      <x:c r="G3092" s="6" t="n">
        <x:v>20230</x:v>
      </x:c>
      <x:c r="H3092" s="6" t="n">
        <x:v>1500</x:v>
      </x:c>
    </x:row>
    <x:row r="3093" ht="21" customHeight="1">
      <x:c r="A3093" s="1" t="str">
        <x:v>C0010919</x:v>
      </x:c>
      <x:c r="B3093" s="1" t="n">
        <x:v>23</x:v>
      </x:c>
      <x:c r="C3093" s="1" t="n">
        <x:v>53</x:v>
      </x:c>
      <x:c r="D3093" s="6" t="n">
        <x:v>6999</x:v>
      </x:c>
      <x:c r="E3093" s="6" t="n">
        <x:v>8499</x:v>
      </x:c>
      <x:c r="F3093" s="6" t="n">
        <x:v>0</x:v>
      </x:c>
      <x:c r="G3093" s="6" t="n">
        <x:v>8499</x:v>
      </x:c>
      <x:c r="H3093" s="6" t="n">
        <x:v>1500</x:v>
      </x:c>
    </x:row>
    <x:row r="3094" ht="21" customHeight="1">
      <x:c r="A3094" s="1" t="str">
        <x:v>C0010940</x:v>
      </x:c>
      <x:c r="B3094" s="1" t="n">
        <x:v>26</x:v>
      </x:c>
      <x:c r="C3094" s="1" t="n">
        <x:v>86</x:v>
      </x:c>
      <x:c r="D3094" s="6" t="n">
        <x:v>5821</x:v>
      </x:c>
      <x:c r="E3094" s="6" t="n">
        <x:v>7321</x:v>
      </x:c>
      <x:c r="F3094" s="6" t="n">
        <x:v>0</x:v>
      </x:c>
      <x:c r="G3094" s="6" t="n">
        <x:v>7321</x:v>
      </x:c>
      <x:c r="H3094" s="6" t="n">
        <x:v>1500</x:v>
      </x:c>
    </x:row>
    <x:row r="3095" ht="21" customHeight="1">
      <x:c r="A3095" s="1" t="str">
        <x:v>C0007232</x:v>
      </x:c>
      <x:c r="B3095" s="1" t="n">
        <x:v>11</x:v>
      </x:c>
      <x:c r="C3095" s="1" t="n">
        <x:v>41</x:v>
      </x:c>
      <x:c r="D3095" s="6" t="n">
        <x:v>26268</x:v>
      </x:c>
      <x:c r="E3095" s="6" t="n">
        <x:v>27768</x:v>
      </x:c>
      <x:c r="F3095" s="6" t="n">
        <x:v>0</x:v>
      </x:c>
      <x:c r="G3095" s="6" t="n">
        <x:v>27768</x:v>
      </x:c>
      <x:c r="H3095" s="6" t="n">
        <x:v>1500</x:v>
      </x:c>
    </x:row>
    <x:row r="3096" ht="21" customHeight="1">
      <x:c r="A3096" s="1" t="str">
        <x:v>C0014265</x:v>
      </x:c>
      <x:c r="B3096" s="1" t="n">
        <x:v>29</x:v>
      </x:c>
      <x:c r="C3096" s="1" t="n">
        <x:v>59</x:v>
      </x:c>
      <x:c r="D3096" s="6" t="n">
        <x:v>16166</x:v>
      </x:c>
      <x:c r="E3096" s="6" t="n">
        <x:v>17666</x:v>
      </x:c>
      <x:c r="F3096" s="6" t="n">
        <x:v>0</x:v>
      </x:c>
      <x:c r="G3096" s="6" t="n">
        <x:v>17666</x:v>
      </x:c>
      <x:c r="H3096" s="6" t="n">
        <x:v>1500</x:v>
      </x:c>
    </x:row>
    <x:row r="3097" ht="21" customHeight="1">
      <x:c r="A3097" s="1" t="str">
        <x:v>C0007595</x:v>
      </x:c>
      <x:c r="B3097" s="1" t="n">
        <x:v>8</x:v>
      </x:c>
      <x:c r="C3097" s="1" t="n">
        <x:v>8</x:v>
      </x:c>
      <x:c r="D3097" s="6" t="n">
        <x:v>11079</x:v>
      </x:c>
      <x:c r="E3097" s="6" t="n">
        <x:v>12579</x:v>
      </x:c>
      <x:c r="F3097" s="6" t="n">
        <x:v>0</x:v>
      </x:c>
      <x:c r="G3097" s="6" t="n">
        <x:v>12579</x:v>
      </x:c>
      <x:c r="H3097" s="6" t="n">
        <x:v>1500</x:v>
      </x:c>
    </x:row>
    <x:row r="3098" ht="21" customHeight="1">
      <x:c r="A3098" s="1" t="str">
        <x:v>C0007607</x:v>
      </x:c>
      <x:c r="B3098" s="1" t="n">
        <x:v>23</x:v>
      </x:c>
      <x:c r="C3098" s="1" t="n">
        <x:v>53</x:v>
      </x:c>
      <x:c r="D3098" s="6" t="n">
        <x:v>6999</x:v>
      </x:c>
      <x:c r="E3098" s="6" t="n">
        <x:v>8499</x:v>
      </x:c>
      <x:c r="F3098" s="6" t="n">
        <x:v>0</x:v>
      </x:c>
      <x:c r="G3098" s="6" t="n">
        <x:v>8499</x:v>
      </x:c>
      <x:c r="H3098" s="6" t="n">
        <x:v>1500</x:v>
      </x:c>
    </x:row>
    <x:row r="3099" ht="21" customHeight="1">
      <x:c r="A3099" s="1" t="str">
        <x:v>C0007635</x:v>
      </x:c>
      <x:c r="B3099" s="1" t="n">
        <x:v>14</x:v>
      </x:c>
      <x:c r="C3099" s="1" t="n">
        <x:v>14</x:v>
      </x:c>
      <x:c r="D3099" s="6" t="n">
        <x:v>16584</x:v>
      </x:c>
      <x:c r="E3099" s="6" t="n">
        <x:v>18084</x:v>
      </x:c>
      <x:c r="F3099" s="6" t="n">
        <x:v>0</x:v>
      </x:c>
      <x:c r="G3099" s="6" t="n">
        <x:v>18084</x:v>
      </x:c>
      <x:c r="H3099" s="6" t="n">
        <x:v>1500</x:v>
      </x:c>
    </x:row>
    <x:row r="3100" ht="21" customHeight="1">
      <x:c r="A3100" s="1" t="str">
        <x:v>C0007641</x:v>
      </x:c>
      <x:c r="B3100" s="1" t="n">
        <x:v>5</x:v>
      </x:c>
      <x:c r="C3100" s="1" t="n">
        <x:v>35</x:v>
      </x:c>
      <x:c r="D3100" s="6" t="n">
        <x:v>22828</x:v>
      </x:c>
      <x:c r="E3100" s="6" t="n">
        <x:v>24328</x:v>
      </x:c>
      <x:c r="F3100" s="6" t="n">
        <x:v>0</x:v>
      </x:c>
      <x:c r="G3100" s="6" t="n">
        <x:v>24328</x:v>
      </x:c>
      <x:c r="H3100" s="6" t="n">
        <x:v>1500</x:v>
      </x:c>
    </x:row>
    <x:row r="3101" ht="21" customHeight="1">
      <x:c r="A3101" s="1" t="str">
        <x:v>C0007380</x:v>
      </x:c>
      <x:c r="B3101" s="1" t="n">
        <x:v>7</x:v>
      </x:c>
      <x:c r="C3101" s="1" t="n">
        <x:v>67</x:v>
      </x:c>
      <x:c r="D3101" s="6" t="n">
        <x:v>16124</x:v>
      </x:c>
      <x:c r="E3101" s="6" t="n">
        <x:v>17624</x:v>
      </x:c>
      <x:c r="F3101" s="6" t="n">
        <x:v>0</x:v>
      </x:c>
      <x:c r="G3101" s="6" t="n">
        <x:v>17624</x:v>
      </x:c>
      <x:c r="H3101" s="6" t="n">
        <x:v>1500</x:v>
      </x:c>
    </x:row>
    <x:row r="3102" ht="21" customHeight="1">
      <x:c r="A3102" s="1" t="str">
        <x:v>C0007400</x:v>
      </x:c>
      <x:c r="B3102" s="1" t="n">
        <x:v>14</x:v>
      </x:c>
      <x:c r="C3102" s="1" t="n">
        <x:v>44</x:v>
      </x:c>
      <x:c r="D3102" s="6" t="n">
        <x:v>11289</x:v>
      </x:c>
      <x:c r="E3102" s="6" t="n">
        <x:v>12789</x:v>
      </x:c>
      <x:c r="F3102" s="6" t="n">
        <x:v>0</x:v>
      </x:c>
      <x:c r="G3102" s="6" t="n">
        <x:v>12789</x:v>
      </x:c>
      <x:c r="H3102" s="6" t="n">
        <x:v>1500</x:v>
      </x:c>
    </x:row>
    <x:row r="3103" ht="21" customHeight="1">
      <x:c r="A3103" s="1" t="str">
        <x:v>C0007415</x:v>
      </x:c>
      <x:c r="B3103" s="1" t="n">
        <x:v>25</x:v>
      </x:c>
      <x:c r="C3103" s="1" t="n">
        <x:v>25</x:v>
      </x:c>
      <x:c r="D3103" s="6" t="n">
        <x:v>13341</x:v>
      </x:c>
      <x:c r="E3103" s="6" t="n">
        <x:v>14841</x:v>
      </x:c>
      <x:c r="F3103" s="6" t="n">
        <x:v>0</x:v>
      </x:c>
      <x:c r="G3103" s="6" t="n">
        <x:v>14841</x:v>
      </x:c>
      <x:c r="H3103" s="6" t="n">
        <x:v>1500</x:v>
      </x:c>
    </x:row>
    <x:row r="3104" ht="21" customHeight="1">
      <x:c r="A3104" s="1" t="str">
        <x:v>C0007422</x:v>
      </x:c>
      <x:c r="B3104" s="1" t="n">
        <x:v>9</x:v>
      </x:c>
      <x:c r="C3104" s="1" t="n">
        <x:v>9</x:v>
      </x:c>
      <x:c r="D3104" s="6" t="n">
        <x:v>19358</x:v>
      </x:c>
      <x:c r="E3104" s="6" t="n">
        <x:v>20858</x:v>
      </x:c>
      <x:c r="F3104" s="6" t="n">
        <x:v>0</x:v>
      </x:c>
      <x:c r="G3104" s="6" t="n">
        <x:v>20858</x:v>
      </x:c>
      <x:c r="H3104" s="6" t="n">
        <x:v>1500</x:v>
      </x:c>
    </x:row>
    <x:row r="3105" ht="21" customHeight="1">
      <x:c r="A3105" s="1" t="str">
        <x:v>C0007427</x:v>
      </x:c>
      <x:c r="B3105" s="1" t="n">
        <x:v>27</x:v>
      </x:c>
      <x:c r="C3105" s="1" t="n">
        <x:v>57</x:v>
      </x:c>
      <x:c r="D3105" s="6" t="n">
        <x:v>23410</x:v>
      </x:c>
      <x:c r="E3105" s="6" t="n">
        <x:v>24910</x:v>
      </x:c>
      <x:c r="F3105" s="6" t="n">
        <x:v>0</x:v>
      </x:c>
      <x:c r="G3105" s="6" t="n">
        <x:v>24910</x:v>
      </x:c>
      <x:c r="H3105" s="6" t="n">
        <x:v>1500</x:v>
      </x:c>
    </x:row>
    <x:row r="3106" ht="21" customHeight="1">
      <x:c r="A3106" s="1" t="str">
        <x:v>C0007494</x:v>
      </x:c>
      <x:c r="B3106" s="1" t="n">
        <x:v>1</x:v>
      </x:c>
      <x:c r="C3106" s="1" t="n">
        <x:v>61</x:v>
      </x:c>
      <x:c r="D3106" s="6" t="n">
        <x:v>23056</x:v>
      </x:c>
      <x:c r="E3106" s="6" t="n">
        <x:v>24556</x:v>
      </x:c>
      <x:c r="F3106" s="6" t="n">
        <x:v>0</x:v>
      </x:c>
      <x:c r="G3106" s="6" t="n">
        <x:v>24556</x:v>
      </x:c>
      <x:c r="H3106" s="6" t="n">
        <x:v>1500</x:v>
      </x:c>
    </x:row>
    <x:row r="3107" ht="21" customHeight="1">
      <x:c r="A3107" s="1" t="str">
        <x:v>C0010869</x:v>
      </x:c>
      <x:c r="B3107" s="1" t="n">
        <x:v>9</x:v>
      </x:c>
      <x:c r="C3107" s="1" t="n">
        <x:v>9</x:v>
      </x:c>
      <x:c r="D3107" s="6" t="n">
        <x:v>10531</x:v>
      </x:c>
      <x:c r="E3107" s="6" t="n">
        <x:v>12031</x:v>
      </x:c>
      <x:c r="F3107" s="6" t="n">
        <x:v>0</x:v>
      </x:c>
      <x:c r="G3107" s="6" t="n">
        <x:v>12031</x:v>
      </x:c>
      <x:c r="H3107" s="6" t="n">
        <x:v>1500</x:v>
      </x:c>
    </x:row>
    <x:row r="3108" ht="21" customHeight="1">
      <x:c r="A3108" s="1" t="str">
        <x:v>C0010892</x:v>
      </x:c>
      <x:c r="B3108" s="1" t="n">
        <x:v>8</x:v>
      </x:c>
      <x:c r="C3108" s="1" t="n">
        <x:v>68</x:v>
      </x:c>
      <x:c r="D3108" s="6" t="n">
        <x:v>29302</x:v>
      </x:c>
      <x:c r="E3108" s="6" t="n">
        <x:v>30802</x:v>
      </x:c>
      <x:c r="F3108" s="6" t="n">
        <x:v>0</x:v>
      </x:c>
      <x:c r="G3108" s="6" t="n">
        <x:v>30802</x:v>
      </x:c>
      <x:c r="H3108" s="6" t="n">
        <x:v>1500</x:v>
      </x:c>
    </x:row>
    <x:row r="3109" ht="21" customHeight="1">
      <x:c r="A3109" s="1" t="str">
        <x:v>C0004001</x:v>
      </x:c>
      <x:c r="B3109" s="1" t="n">
        <x:v>23</x:v>
      </x:c>
      <x:c r="C3109" s="1" t="n">
        <x:v>23</x:v>
      </x:c>
      <x:c r="D3109" s="6" t="n">
        <x:v>19935</x:v>
      </x:c>
      <x:c r="E3109" s="6" t="n">
        <x:v>21435</x:v>
      </x:c>
      <x:c r="F3109" s="6" t="n">
        <x:v>0</x:v>
      </x:c>
      <x:c r="G3109" s="6" t="n">
        <x:v>21435</x:v>
      </x:c>
      <x:c r="H3109" s="6" t="n">
        <x:v>1500</x:v>
      </x:c>
    </x:row>
    <x:row r="3110" ht="21" customHeight="1">
      <x:c r="A3110" s="1" t="str">
        <x:v>C0014316</x:v>
      </x:c>
      <x:c r="B3110" s="1" t="n">
        <x:v>28</x:v>
      </x:c>
      <x:c r="C3110" s="1" t="n">
        <x:v>58</x:v>
      </x:c>
      <x:c r="D3110" s="6" t="n">
        <x:v>16794</x:v>
      </x:c>
      <x:c r="E3110" s="6" t="n">
        <x:v>18294</x:v>
      </x:c>
      <x:c r="F3110" s="6" t="n">
        <x:v>0</x:v>
      </x:c>
      <x:c r="G3110" s="6" t="n">
        <x:v>18294</x:v>
      </x:c>
      <x:c r="H3110" s="6" t="n">
        <x:v>1500</x:v>
      </x:c>
    </x:row>
    <x:row r="3111" ht="21" customHeight="1">
      <x:c r="A3111" s="1" t="str">
        <x:v>C0014322</x:v>
      </x:c>
      <x:c r="B3111" s="1" t="n">
        <x:v>8</x:v>
      </x:c>
      <x:c r="C3111" s="1" t="n">
        <x:v>68</x:v>
      </x:c>
      <x:c r="D3111" s="6" t="n">
        <x:v>29302</x:v>
      </x:c>
      <x:c r="E3111" s="6" t="n">
        <x:v>30802</x:v>
      </x:c>
      <x:c r="F3111" s="6" t="n">
        <x:v>0</x:v>
      </x:c>
      <x:c r="G3111" s="6" t="n">
        <x:v>30802</x:v>
      </x:c>
      <x:c r="H3111" s="6" t="n">
        <x:v>1500</x:v>
      </x:c>
    </x:row>
    <x:row r="3112" ht="21" customHeight="1">
      <x:c r="A3112" s="1" t="str">
        <x:v>C0014326</x:v>
      </x:c>
      <x:c r="B3112" s="1" t="n">
        <x:v>4</x:v>
      </x:c>
      <x:c r="C3112" s="1" t="n">
        <x:v>34</x:v>
      </x:c>
      <x:c r="D3112" s="6" t="n">
        <x:v>10645</x:v>
      </x:c>
      <x:c r="E3112" s="6" t="n">
        <x:v>12145</x:v>
      </x:c>
      <x:c r="F3112" s="6" t="n">
        <x:v>0</x:v>
      </x:c>
      <x:c r="G3112" s="6" t="n">
        <x:v>12145</x:v>
      </x:c>
      <x:c r="H3112" s="6" t="n">
        <x:v>1500</x:v>
      </x:c>
    </x:row>
    <x:row r="3113" ht="21" customHeight="1">
      <x:c r="A3113" s="1" t="str">
        <x:v>C0014346</x:v>
      </x:c>
      <x:c r="B3113" s="1" t="n">
        <x:v>22</x:v>
      </x:c>
      <x:c r="C3113" s="1" t="n">
        <x:v>82</x:v>
      </x:c>
      <x:c r="D3113" s="6" t="n">
        <x:v>22940</x:v>
      </x:c>
      <x:c r="E3113" s="6" t="n">
        <x:v>24440</x:v>
      </x:c>
      <x:c r="F3113" s="6" t="n">
        <x:v>0</x:v>
      </x:c>
      <x:c r="G3113" s="6" t="n">
        <x:v>24440</x:v>
      </x:c>
      <x:c r="H3113" s="6" t="n">
        <x:v>1500</x:v>
      </x:c>
    </x:row>
    <x:row r="3114" ht="21" customHeight="1">
      <x:c r="A3114" s="1" t="str">
        <x:v>C0003567</x:v>
      </x:c>
      <x:c r="B3114" s="1" t="n">
        <x:v>11</x:v>
      </x:c>
      <x:c r="C3114" s="1" t="n">
        <x:v>71</x:v>
      </x:c>
      <x:c r="D3114" s="6" t="n">
        <x:v>19270</x:v>
      </x:c>
      <x:c r="E3114" s="6" t="n">
        <x:v>20770</x:v>
      </x:c>
      <x:c r="F3114" s="6" t="n">
        <x:v>0</x:v>
      </x:c>
      <x:c r="G3114" s="6" t="n">
        <x:v>20770</x:v>
      </x:c>
      <x:c r="H3114" s="6" t="n">
        <x:v>1500</x:v>
      </x:c>
    </x:row>
    <x:row r="3115" ht="21" customHeight="1">
      <x:c r="A3115" s="1" t="str">
        <x:v>C0003617</x:v>
      </x:c>
      <x:c r="B3115" s="1" t="n">
        <x:v>1</x:v>
      </x:c>
      <x:c r="C3115" s="1" t="n">
        <x:v>1</x:v>
      </x:c>
      <x:c r="D3115" s="6" t="n">
        <x:v>24513</x:v>
      </x:c>
      <x:c r="E3115" s="6" t="n">
        <x:v>26013</x:v>
      </x:c>
      <x:c r="F3115" s="6" t="n">
        <x:v>0</x:v>
      </x:c>
      <x:c r="G3115" s="6" t="n">
        <x:v>26013</x:v>
      </x:c>
      <x:c r="H3115" s="6" t="n">
        <x:v>1500</x:v>
      </x:c>
    </x:row>
    <x:row r="3116" ht="21" customHeight="1">
      <x:c r="A3116" s="1" t="str">
        <x:v>C0003649</x:v>
      </x:c>
      <x:c r="B3116" s="1" t="n">
        <x:v>22</x:v>
      </x:c>
      <x:c r="C3116" s="1" t="n">
        <x:v>22</x:v>
      </x:c>
      <x:c r="D3116" s="6" t="n">
        <x:v>12473</x:v>
      </x:c>
      <x:c r="E3116" s="6" t="n">
        <x:v>13973</x:v>
      </x:c>
      <x:c r="F3116" s="6" t="n">
        <x:v>0</x:v>
      </x:c>
      <x:c r="G3116" s="6" t="n">
        <x:v>13973</x:v>
      </x:c>
      <x:c r="H3116" s="6" t="n">
        <x:v>1500</x:v>
      </x:c>
    </x:row>
    <x:row r="3117" ht="21" customHeight="1">
      <x:c r="A3117" s="1" t="str">
        <x:v>C0003698</x:v>
      </x:c>
      <x:c r="B3117" s="1" t="n">
        <x:v>1</x:v>
      </x:c>
      <x:c r="C3117" s="1" t="n">
        <x:v>31</x:v>
      </x:c>
      <x:c r="D3117" s="6" t="n">
        <x:v>7923</x:v>
      </x:c>
      <x:c r="E3117" s="6" t="n">
        <x:v>9423</x:v>
      </x:c>
      <x:c r="F3117" s="6" t="n">
        <x:v>0</x:v>
      </x:c>
      <x:c r="G3117" s="6" t="n">
        <x:v>9423</x:v>
      </x:c>
      <x:c r="H3117" s="6" t="n">
        <x:v>1500</x:v>
      </x:c>
    </x:row>
    <x:row r="3118" ht="21" customHeight="1">
      <x:c r="A3118" s="1" t="str">
        <x:v>C0003701</x:v>
      </x:c>
      <x:c r="B3118" s="1" t="n">
        <x:v>20</x:v>
      </x:c>
      <x:c r="C3118" s="1" t="n">
        <x:v>20</x:v>
      </x:c>
      <x:c r="D3118" s="6" t="n">
        <x:v>24058</x:v>
      </x:c>
      <x:c r="E3118" s="6" t="n">
        <x:v>25558</x:v>
      </x:c>
      <x:c r="F3118" s="6" t="n">
        <x:v>0</x:v>
      </x:c>
      <x:c r="G3118" s="6" t="n">
        <x:v>25558</x:v>
      </x:c>
      <x:c r="H3118" s="6" t="n">
        <x:v>1500</x:v>
      </x:c>
    </x:row>
    <x:row r="3119" ht="21" customHeight="1">
      <x:c r="A3119" s="1" t="str">
        <x:v>C0014385</x:v>
      </x:c>
      <x:c r="B3119" s="1" t="n">
        <x:v>18</x:v>
      </x:c>
      <x:c r="C3119" s="1" t="n">
        <x:v>18</x:v>
      </x:c>
      <x:c r="D3119" s="6" t="n">
        <x:v>15413</x:v>
      </x:c>
      <x:c r="E3119" s="6" t="n">
        <x:v>16913</x:v>
      </x:c>
      <x:c r="F3119" s="6" t="n">
        <x:v>0</x:v>
      </x:c>
      <x:c r="G3119" s="6" t="n">
        <x:v>16913</x:v>
      </x:c>
      <x:c r="H3119" s="6" t="n">
        <x:v>1500</x:v>
      </x:c>
    </x:row>
    <x:row r="3120" ht="21" customHeight="1">
      <x:c r="A3120" s="1" t="str">
        <x:v>C0014390</x:v>
      </x:c>
      <x:c r="B3120" s="1" t="n">
        <x:v>1</x:v>
      </x:c>
      <x:c r="C3120" s="1" t="n">
        <x:v>1</x:v>
      </x:c>
      <x:c r="D3120" s="6" t="n">
        <x:v>13436</x:v>
      </x:c>
      <x:c r="E3120" s="6" t="n">
        <x:v>14936</x:v>
      </x:c>
      <x:c r="F3120" s="6" t="n">
        <x:v>0</x:v>
      </x:c>
      <x:c r="G3120" s="6" t="n">
        <x:v>14936</x:v>
      </x:c>
      <x:c r="H3120" s="6" t="n">
        <x:v>1500</x:v>
      </x:c>
    </x:row>
    <x:row r="3121" ht="21" customHeight="1">
      <x:c r="A3121" s="1" t="str">
        <x:v>C0014419</x:v>
      </x:c>
      <x:c r="B3121" s="1" t="n">
        <x:v>30</x:v>
      </x:c>
      <x:c r="C3121" s="1" t="n">
        <x:v>60</x:v>
      </x:c>
      <x:c r="D3121" s="6" t="n">
        <x:v>15406</x:v>
      </x:c>
      <x:c r="E3121" s="6" t="n">
        <x:v>16906</x:v>
      </x:c>
      <x:c r="F3121" s="6" t="n">
        <x:v>0</x:v>
      </x:c>
      <x:c r="G3121" s="6" t="n">
        <x:v>16906</x:v>
      </x:c>
      <x:c r="H3121" s="6" t="n">
        <x:v>1500</x:v>
      </x:c>
    </x:row>
    <x:row r="3122" ht="21" customHeight="1">
      <x:c r="A3122" s="1" t="str">
        <x:v>C0014459</x:v>
      </x:c>
      <x:c r="B3122" s="1" t="n">
        <x:v>2</x:v>
      </x:c>
      <x:c r="C3122" s="1" t="n">
        <x:v>32</x:v>
      </x:c>
      <x:c r="D3122" s="6" t="n">
        <x:v>15806</x:v>
      </x:c>
      <x:c r="E3122" s="6" t="n">
        <x:v>17306</x:v>
      </x:c>
      <x:c r="F3122" s="6" t="n">
        <x:v>0</x:v>
      </x:c>
      <x:c r="G3122" s="6" t="n">
        <x:v>17306</x:v>
      </x:c>
      <x:c r="H3122" s="6" t="n">
        <x:v>1500</x:v>
      </x:c>
    </x:row>
    <x:row r="3123" ht="21" customHeight="1">
      <x:c r="A3123" s="1" t="str">
        <x:v>C0014304</x:v>
      </x:c>
      <x:c r="B3123" s="1" t="n">
        <x:v>24</x:v>
      </x:c>
      <x:c r="C3123" s="1" t="n">
        <x:v>114</x:v>
      </x:c>
      <x:c r="D3123" s="6" t="n">
        <x:v>7513</x:v>
      </x:c>
      <x:c r="E3123" s="6" t="n">
        <x:v>9013</x:v>
      </x:c>
      <x:c r="F3123" s="6" t="n">
        <x:v>0</x:v>
      </x:c>
      <x:c r="G3123" s="6" t="n">
        <x:v>9013</x:v>
      </x:c>
      <x:c r="H3123" s="6" t="n">
        <x:v>1500</x:v>
      </x:c>
    </x:row>
    <x:row r="3124" ht="21" customHeight="1">
      <x:c r="A3124" s="1" t="str">
        <x:v>C0004007</x:v>
      </x:c>
      <x:c r="B3124" s="1" t="n">
        <x:v>2</x:v>
      </x:c>
      <x:c r="C3124" s="1" t="n">
        <x:v>92</x:v>
      </x:c>
      <x:c r="D3124" s="6" t="n">
        <x:v>34766</x:v>
      </x:c>
      <x:c r="E3124" s="6" t="n">
        <x:v>36266</x:v>
      </x:c>
      <x:c r="F3124" s="6" t="n">
        <x:v>0</x:v>
      </x:c>
      <x:c r="G3124" s="6" t="n">
        <x:v>36266</x:v>
      </x:c>
      <x:c r="H3124" s="6" t="n">
        <x:v>1500</x:v>
      </x:c>
    </x:row>
    <x:row r="3125" ht="21" customHeight="1">
      <x:c r="A3125" s="1" t="str">
        <x:v>C0004039</x:v>
      </x:c>
      <x:c r="B3125" s="1" t="n">
        <x:v>1</x:v>
      </x:c>
      <x:c r="C3125" s="1" t="n">
        <x:v>1</x:v>
      </x:c>
      <x:c r="D3125" s="6" t="n">
        <x:v>15265</x:v>
      </x:c>
      <x:c r="E3125" s="6" t="n">
        <x:v>16765</x:v>
      </x:c>
      <x:c r="F3125" s="6" t="n">
        <x:v>0</x:v>
      </x:c>
      <x:c r="G3125" s="6" t="n">
        <x:v>16765</x:v>
      </x:c>
      <x:c r="H3125" s="6" t="n">
        <x:v>1500</x:v>
      </x:c>
    </x:row>
    <x:row r="3126" ht="21" customHeight="1">
      <x:c r="A3126" s="1" t="str">
        <x:v>C0004055</x:v>
      </x:c>
      <x:c r="B3126" s="1" t="n">
        <x:v>19</x:v>
      </x:c>
      <x:c r="C3126" s="1" t="n">
        <x:v>79</x:v>
      </x:c>
      <x:c r="D3126" s="6" t="n">
        <x:v>13498</x:v>
      </x:c>
      <x:c r="E3126" s="6" t="n">
        <x:v>14998</x:v>
      </x:c>
      <x:c r="F3126" s="6" t="n">
        <x:v>0</x:v>
      </x:c>
      <x:c r="G3126" s="6" t="n">
        <x:v>14998</x:v>
      </x:c>
      <x:c r="H3126" s="6" t="n">
        <x:v>1500</x:v>
      </x:c>
    </x:row>
    <x:row r="3127" ht="21" customHeight="1">
      <x:c r="A3127" s="1" t="str">
        <x:v>C0004074</x:v>
      </x:c>
      <x:c r="B3127" s="1" t="n">
        <x:v>3</x:v>
      </x:c>
      <x:c r="C3127" s="1" t="n">
        <x:v>33</x:v>
      </x:c>
      <x:c r="D3127" s="6" t="n">
        <x:v>31460</x:v>
      </x:c>
      <x:c r="E3127" s="6" t="n">
        <x:v>32960</x:v>
      </x:c>
      <x:c r="F3127" s="6" t="n">
        <x:v>0</x:v>
      </x:c>
      <x:c r="G3127" s="6" t="n">
        <x:v>32960</x:v>
      </x:c>
      <x:c r="H3127" s="6" t="n">
        <x:v>1500</x:v>
      </x:c>
    </x:row>
    <x:row r="3128" ht="21" customHeight="1">
      <x:c r="A3128" s="1" t="str">
        <x:v>C0004078</x:v>
      </x:c>
      <x:c r="B3128" s="1" t="n">
        <x:v>4</x:v>
      </x:c>
      <x:c r="C3128" s="1" t="n">
        <x:v>64</x:v>
      </x:c>
      <x:c r="D3128" s="6" t="n">
        <x:v>48322</x:v>
      </x:c>
      <x:c r="E3128" s="6" t="n">
        <x:v>49822</x:v>
      </x:c>
      <x:c r="F3128" s="6" t="n">
        <x:v>0</x:v>
      </x:c>
      <x:c r="G3128" s="6" t="n">
        <x:v>49822</x:v>
      </x:c>
      <x:c r="H3128" s="6" t="n">
        <x:v>1500</x:v>
      </x:c>
    </x:row>
    <x:row r="3129" ht="21" customHeight="1">
      <x:c r="A3129" s="1" t="str">
        <x:v>C0013947</x:v>
      </x:c>
      <x:c r="B3129" s="1" t="n">
        <x:v>13</x:v>
      </x:c>
      <x:c r="C3129" s="1" t="n">
        <x:v>73</x:v>
      </x:c>
      <x:c r="D3129" s="6" t="n">
        <x:v>11930</x:v>
      </x:c>
      <x:c r="E3129" s="6" t="n">
        <x:v>13430</x:v>
      </x:c>
      <x:c r="F3129" s="6" t="n">
        <x:v>0</x:v>
      </x:c>
      <x:c r="G3129" s="6" t="n">
        <x:v>13430</x:v>
      </x:c>
      <x:c r="H3129" s="6" t="n">
        <x:v>1500</x:v>
      </x:c>
    </x:row>
    <x:row r="3130" ht="21" customHeight="1">
      <x:c r="A3130" s="1" t="str">
        <x:v>C0013964</x:v>
      </x:c>
      <x:c r="B3130" s="1" t="n">
        <x:v>10</x:v>
      </x:c>
      <x:c r="C3130" s="1" t="n">
        <x:v>70</x:v>
      </x:c>
      <x:c r="D3130" s="6" t="n">
        <x:v>13405</x:v>
      </x:c>
      <x:c r="E3130" s="6" t="n">
        <x:v>14905</x:v>
      </x:c>
      <x:c r="F3130" s="6" t="n">
        <x:v>0</x:v>
      </x:c>
      <x:c r="G3130" s="6" t="n">
        <x:v>14905</x:v>
      </x:c>
      <x:c r="H3130" s="6" t="n">
        <x:v>1500</x:v>
      </x:c>
    </x:row>
    <x:row r="3131" ht="21" customHeight="1">
      <x:c r="A3131" s="1" t="str">
        <x:v>C0013974</x:v>
      </x:c>
      <x:c r="B3131" s="1" t="n">
        <x:v>5</x:v>
      </x:c>
      <x:c r="C3131" s="1" t="n">
        <x:v>95</x:v>
      </x:c>
      <x:c r="D3131" s="6" t="n">
        <x:v>6204</x:v>
      </x:c>
      <x:c r="E3131" s="6" t="n">
        <x:v>7704</x:v>
      </x:c>
      <x:c r="F3131" s="6" t="n">
        <x:v>0</x:v>
      </x:c>
      <x:c r="G3131" s="6" t="n">
        <x:v>7704</x:v>
      </x:c>
      <x:c r="H3131" s="6" t="n">
        <x:v>1500</x:v>
      </x:c>
    </x:row>
    <x:row r="3132" ht="21" customHeight="1">
      <x:c r="A3132" s="1" t="str">
        <x:v>C0013975</x:v>
      </x:c>
      <x:c r="B3132" s="1" t="n">
        <x:v>23</x:v>
      </x:c>
      <x:c r="C3132" s="1" t="n">
        <x:v>53</x:v>
      </x:c>
      <x:c r="D3132" s="6" t="n">
        <x:v>5087</x:v>
      </x:c>
      <x:c r="E3132" s="6" t="n">
        <x:v>6587</x:v>
      </x:c>
      <x:c r="F3132" s="6" t="n">
        <x:v>0</x:v>
      </x:c>
      <x:c r="G3132" s="6" t="n">
        <x:v>6587</x:v>
      </x:c>
      <x:c r="H3132" s="6" t="n">
        <x:v>1500</x:v>
      </x:c>
    </x:row>
    <x:row r="3133" ht="21" customHeight="1">
      <x:c r="A3133" s="1" t="str">
        <x:v>C0014032</x:v>
      </x:c>
      <x:c r="B3133" s="1" t="n">
        <x:v>6</x:v>
      </x:c>
      <x:c r="C3133" s="1" t="n">
        <x:v>96</x:v>
      </x:c>
      <x:c r="D3133" s="6" t="n">
        <x:v>10160</x:v>
      </x:c>
      <x:c r="E3133" s="6" t="n">
        <x:v>11660</x:v>
      </x:c>
      <x:c r="F3133" s="6" t="n">
        <x:v>0</x:v>
      </x:c>
      <x:c r="G3133" s="6" t="n">
        <x:v>11660</x:v>
      </x:c>
      <x:c r="H3133" s="6" t="n">
        <x:v>1500</x:v>
      </x:c>
    </x:row>
    <x:row r="3134" ht="21" customHeight="1">
      <x:c r="A3134" s="1" t="str">
        <x:v>C0014043</x:v>
      </x:c>
      <x:c r="B3134" s="1" t="n">
        <x:v>15</x:v>
      </x:c>
      <x:c r="C3134" s="1" t="n">
        <x:v>105</x:v>
      </x:c>
      <x:c r="D3134" s="6" t="n">
        <x:v>18691</x:v>
      </x:c>
      <x:c r="E3134" s="6" t="n">
        <x:v>20191</x:v>
      </x:c>
      <x:c r="F3134" s="6" t="n">
        <x:v>0</x:v>
      </x:c>
      <x:c r="G3134" s="6" t="n">
        <x:v>20191</x:v>
      </x:c>
      <x:c r="H3134" s="6" t="n">
        <x:v>1500</x:v>
      </x:c>
    </x:row>
    <x:row r="3135" ht="21" customHeight="1">
      <x:c r="A3135" s="1" t="str">
        <x:v>C0014092</x:v>
      </x:c>
      <x:c r="B3135" s="1" t="n">
        <x:v>14</x:v>
      </x:c>
      <x:c r="C3135" s="1" t="n">
        <x:v>44</x:v>
      </x:c>
      <x:c r="D3135" s="6" t="n">
        <x:v>11673</x:v>
      </x:c>
      <x:c r="E3135" s="6" t="n">
        <x:v>13173</x:v>
      </x:c>
      <x:c r="F3135" s="6" t="n">
        <x:v>0</x:v>
      </x:c>
      <x:c r="G3135" s="6" t="n">
        <x:v>13173</x:v>
      </x:c>
      <x:c r="H3135" s="6" t="n">
        <x:v>1500</x:v>
      </x:c>
    </x:row>
    <x:row r="3136" ht="21" customHeight="1">
      <x:c r="A3136" s="1" t="str">
        <x:v>C0014103</x:v>
      </x:c>
      <x:c r="B3136" s="1" t="n">
        <x:v>26</x:v>
      </x:c>
      <x:c r="C3136" s="1" t="n">
        <x:v>56</x:v>
      </x:c>
      <x:c r="D3136" s="6" t="n">
        <x:v>13081</x:v>
      </x:c>
      <x:c r="E3136" s="6" t="n">
        <x:v>14581</x:v>
      </x:c>
      <x:c r="F3136" s="6" t="n">
        <x:v>0</x:v>
      </x:c>
      <x:c r="G3136" s="6" t="n">
        <x:v>14581</x:v>
      </x:c>
      <x:c r="H3136" s="6" t="n">
        <x:v>1500</x:v>
      </x:c>
    </x:row>
    <x:row r="3137" ht="21" customHeight="1">
      <x:c r="A3137" s="1" t="str">
        <x:v>C0014257</x:v>
      </x:c>
      <x:c r="B3137" s="1" t="n">
        <x:v>8</x:v>
      </x:c>
      <x:c r="C3137" s="1" t="n">
        <x:v>98</x:v>
      </x:c>
      <x:c r="D3137" s="6" t="n">
        <x:v>17394</x:v>
      </x:c>
      <x:c r="E3137" s="6" t="n">
        <x:v>18894</x:v>
      </x:c>
      <x:c r="F3137" s="6" t="n">
        <x:v>0</x:v>
      </x:c>
      <x:c r="G3137" s="6" t="n">
        <x:v>18894</x:v>
      </x:c>
      <x:c r="H3137" s="6" t="n">
        <x:v>1500</x:v>
      </x:c>
    </x:row>
    <x:row r="3138" ht="21" customHeight="1">
      <x:c r="A3138" s="1" t="str">
        <x:v>C0014140</x:v>
      </x:c>
      <x:c r="B3138" s="1" t="n">
        <x:v>14</x:v>
      </x:c>
      <x:c r="C3138" s="1" t="n">
        <x:v>44</x:v>
      </x:c>
      <x:c r="D3138" s="6" t="n">
        <x:v>17690</x:v>
      </x:c>
      <x:c r="E3138" s="6" t="n">
        <x:v>19190</x:v>
      </x:c>
      <x:c r="F3138" s="6" t="n">
        <x:v>0</x:v>
      </x:c>
      <x:c r="G3138" s="6" t="n">
        <x:v>19190</x:v>
      </x:c>
      <x:c r="H3138" s="6" t="n">
        <x:v>1500</x:v>
      </x:c>
    </x:row>
    <x:row r="3139" ht="21" customHeight="1">
      <x:c r="A3139" s="1" t="str">
        <x:v>C0003757</x:v>
      </x:c>
      <x:c r="B3139" s="1" t="n">
        <x:v>19</x:v>
      </x:c>
      <x:c r="C3139" s="1" t="n">
        <x:v>49</x:v>
      </x:c>
      <x:c r="D3139" s="6" t="n">
        <x:v>22941</x:v>
      </x:c>
      <x:c r="E3139" s="6" t="n">
        <x:v>24441</x:v>
      </x:c>
      <x:c r="F3139" s="6" t="n">
        <x:v>0</x:v>
      </x:c>
      <x:c r="G3139" s="6" t="n">
        <x:v>24441</x:v>
      </x:c>
      <x:c r="H3139" s="6" t="n">
        <x:v>1500</x:v>
      </x:c>
    </x:row>
    <x:row r="3140" ht="21" customHeight="1">
      <x:c r="A3140" s="1" t="str">
        <x:v>C0003758</x:v>
      </x:c>
      <x:c r="B3140" s="1" t="n">
        <x:v>2</x:v>
      </x:c>
      <x:c r="C3140" s="1" t="n">
        <x:v>2</x:v>
      </x:c>
      <x:c r="D3140" s="6" t="n">
        <x:v>31818</x:v>
      </x:c>
      <x:c r="E3140" s="6" t="n">
        <x:v>33318</x:v>
      </x:c>
      <x:c r="F3140" s="6" t="n">
        <x:v>0</x:v>
      </x:c>
      <x:c r="G3140" s="6" t="n">
        <x:v>33318</x:v>
      </x:c>
      <x:c r="H3140" s="6" t="n">
        <x:v>1500</x:v>
      </x:c>
    </x:row>
    <x:row r="3141" ht="21" customHeight="1">
      <x:c r="A3141" s="1" t="str">
        <x:v>C0003775</x:v>
      </x:c>
      <x:c r="B3141" s="1" t="n">
        <x:v>7</x:v>
      </x:c>
      <x:c r="C3141" s="1" t="n">
        <x:v>37</x:v>
      </x:c>
      <x:c r="D3141" s="6" t="n">
        <x:v>15101</x:v>
      </x:c>
      <x:c r="E3141" s="6" t="n">
        <x:v>16601</x:v>
      </x:c>
      <x:c r="F3141" s="6" t="n">
        <x:v>0</x:v>
      </x:c>
      <x:c r="G3141" s="6" t="n">
        <x:v>16601</x:v>
      </x:c>
      <x:c r="H3141" s="6" t="n">
        <x:v>1500</x:v>
      </x:c>
    </x:row>
    <x:row r="3142" ht="21" customHeight="1">
      <x:c r="A3142" s="1" t="str">
        <x:v>C0003834</x:v>
      </x:c>
      <x:c r="B3142" s="1" t="n">
        <x:v>15</x:v>
      </x:c>
      <x:c r="C3142" s="1" t="n">
        <x:v>105</x:v>
      </x:c>
      <x:c r="D3142" s="6" t="n">
        <x:v>18691</x:v>
      </x:c>
      <x:c r="E3142" s="6" t="n">
        <x:v>20191</x:v>
      </x:c>
      <x:c r="F3142" s="6" t="n">
        <x:v>0</x:v>
      </x:c>
      <x:c r="G3142" s="6" t="n">
        <x:v>20191</x:v>
      </x:c>
      <x:c r="H3142" s="6" t="n">
        <x:v>1500</x:v>
      </x:c>
    </x:row>
    <x:row r="3143" ht="21" customHeight="1">
      <x:c r="A3143" s="1" t="str">
        <x:v>C0003835</x:v>
      </x:c>
      <x:c r="B3143" s="1" t="n">
        <x:v>2</x:v>
      </x:c>
      <x:c r="C3143" s="1" t="n">
        <x:v>62</x:v>
      </x:c>
      <x:c r="D3143" s="6" t="n">
        <x:v>24890</x:v>
      </x:c>
      <x:c r="E3143" s="6" t="n">
        <x:v>26390</x:v>
      </x:c>
      <x:c r="F3143" s="6" t="n">
        <x:v>0</x:v>
      </x:c>
      <x:c r="G3143" s="6" t="n">
        <x:v>26390</x:v>
      </x:c>
      <x:c r="H3143" s="6" t="n">
        <x:v>1500</x:v>
      </x:c>
    </x:row>
    <x:row r="3144" ht="21" customHeight="1">
      <x:c r="A3144" s="1" t="str">
        <x:v>C0003849</x:v>
      </x:c>
      <x:c r="B3144" s="1" t="n">
        <x:v>4</x:v>
      </x:c>
      <x:c r="C3144" s="1" t="n">
        <x:v>4</x:v>
      </x:c>
      <x:c r="D3144" s="6" t="n">
        <x:v>8085</x:v>
      </x:c>
      <x:c r="E3144" s="6" t="n">
        <x:v>9585</x:v>
      </x:c>
      <x:c r="F3144" s="6" t="n">
        <x:v>0</x:v>
      </x:c>
      <x:c r="G3144" s="6" t="n">
        <x:v>9585</x:v>
      </x:c>
      <x:c r="H3144" s="6" t="n">
        <x:v>1500</x:v>
      </x:c>
    </x:row>
    <x:row r="3145" ht="21" customHeight="1">
      <x:c r="A3145" s="1" t="str">
        <x:v>C0003852</x:v>
      </x:c>
      <x:c r="B3145" s="1" t="n">
        <x:v>24</x:v>
      </x:c>
      <x:c r="C3145" s="1" t="n">
        <x:v>114</x:v>
      </x:c>
      <x:c r="D3145" s="6" t="n">
        <x:v>21686</x:v>
      </x:c>
      <x:c r="E3145" s="6" t="n">
        <x:v>23186</x:v>
      </x:c>
      <x:c r="F3145" s="6" t="n">
        <x:v>0</x:v>
      </x:c>
      <x:c r="G3145" s="6" t="n">
        <x:v>23186</x:v>
      </x:c>
      <x:c r="H3145" s="6" t="n">
        <x:v>1500</x:v>
      </x:c>
    </x:row>
    <x:row r="3146" ht="21" customHeight="1">
      <x:c r="A3146" s="1" t="str">
        <x:v>C0003897</x:v>
      </x:c>
      <x:c r="B3146" s="1" t="n">
        <x:v>10</x:v>
      </x:c>
      <x:c r="C3146" s="1" t="n">
        <x:v>70</x:v>
      </x:c>
      <x:c r="D3146" s="6" t="n">
        <x:v>13405</x:v>
      </x:c>
      <x:c r="E3146" s="6" t="n">
        <x:v>14905</x:v>
      </x:c>
      <x:c r="F3146" s="6" t="n">
        <x:v>0</x:v>
      </x:c>
      <x:c r="G3146" s="6" t="n">
        <x:v>14905</x:v>
      </x:c>
      <x:c r="H3146" s="6" t="n">
        <x:v>1500</x:v>
      </x:c>
    </x:row>
    <x:row r="3147" ht="21" customHeight="1">
      <x:c r="A3147" s="1" t="str">
        <x:v>C0014188</x:v>
      </x:c>
      <x:c r="B3147" s="1" t="n">
        <x:v>21</x:v>
      </x:c>
      <x:c r="C3147" s="1" t="n">
        <x:v>21</x:v>
      </x:c>
      <x:c r="D3147" s="6" t="n">
        <x:v>5898</x:v>
      </x:c>
      <x:c r="E3147" s="6" t="n">
        <x:v>7398</x:v>
      </x:c>
      <x:c r="F3147" s="6" t="n">
        <x:v>0</x:v>
      </x:c>
      <x:c r="G3147" s="6" t="n">
        <x:v>7398</x:v>
      </x:c>
      <x:c r="H3147" s="6" t="n">
        <x:v>1500</x:v>
      </x:c>
    </x:row>
    <x:row r="3148" ht="21" customHeight="1">
      <x:c r="A3148" s="1" t="str">
        <x:v>C0014195</x:v>
      </x:c>
      <x:c r="B3148" s="1" t="n">
        <x:v>3</x:v>
      </x:c>
      <x:c r="C3148" s="1" t="n">
        <x:v>93</x:v>
      </x:c>
      <x:c r="D3148" s="6" t="n">
        <x:v>10929</x:v>
      </x:c>
      <x:c r="E3148" s="6" t="n">
        <x:v>12429</x:v>
      </x:c>
      <x:c r="F3148" s="6" t="n">
        <x:v>0</x:v>
      </x:c>
      <x:c r="G3148" s="6" t="n">
        <x:v>12429</x:v>
      </x:c>
      <x:c r="H3148" s="6" t="n">
        <x:v>1500</x:v>
      </x:c>
    </x:row>
    <x:row r="3149" ht="21" customHeight="1">
      <x:c r="A3149" s="1" t="str">
        <x:v>C0014200</x:v>
      </x:c>
      <x:c r="B3149" s="1" t="n">
        <x:v>15</x:v>
      </x:c>
      <x:c r="C3149" s="1" t="n">
        <x:v>75</x:v>
      </x:c>
      <x:c r="D3149" s="6" t="n">
        <x:v>20254</x:v>
      </x:c>
      <x:c r="E3149" s="6" t="n">
        <x:v>21754</x:v>
      </x:c>
      <x:c r="F3149" s="6" t="n">
        <x:v>0</x:v>
      </x:c>
      <x:c r="G3149" s="6" t="n">
        <x:v>21754</x:v>
      </x:c>
      <x:c r="H3149" s="6" t="n">
        <x:v>1500</x:v>
      </x:c>
    </x:row>
    <x:row r="3150" ht="21" customHeight="1">
      <x:c r="A3150" s="1" t="str">
        <x:v>C0014220</x:v>
      </x:c>
      <x:c r="B3150" s="1" t="n">
        <x:v>19</x:v>
      </x:c>
      <x:c r="C3150" s="1" t="n">
        <x:v>109</x:v>
      </x:c>
      <x:c r="D3150" s="6" t="n">
        <x:v>15847</x:v>
      </x:c>
      <x:c r="E3150" s="6" t="n">
        <x:v>17347</x:v>
      </x:c>
      <x:c r="F3150" s="6" t="n">
        <x:v>0</x:v>
      </x:c>
      <x:c r="G3150" s="6" t="n">
        <x:v>17347</x:v>
      </x:c>
      <x:c r="H3150" s="6" t="n">
        <x:v>1500</x:v>
      </x:c>
    </x:row>
    <x:row r="3151" ht="21" customHeight="1">
      <x:c r="A3151" s="1" t="str">
        <x:v>C0014254</x:v>
      </x:c>
      <x:c r="B3151" s="1" t="n">
        <x:v>2</x:v>
      </x:c>
      <x:c r="C3151" s="1" t="n">
        <x:v>62</x:v>
      </x:c>
      <x:c r="D3151" s="6" t="n">
        <x:v>24890</x:v>
      </x:c>
      <x:c r="E3151" s="6" t="n">
        <x:v>26390</x:v>
      </x:c>
      <x:c r="F3151" s="6" t="n">
        <x:v>0</x:v>
      </x:c>
      <x:c r="G3151" s="6" t="n">
        <x:v>26390</x:v>
      </x:c>
      <x:c r="H3151" s="6" t="n">
        <x:v>1500</x:v>
      </x:c>
    </x:row>
    <x:row r="3152" ht="21" customHeight="1">
      <x:c r="A3152" s="1" t="str">
        <x:v>C0014109</x:v>
      </x:c>
      <x:c r="B3152" s="1" t="n">
        <x:v>20</x:v>
      </x:c>
      <x:c r="C3152" s="1" t="n">
        <x:v>110</x:v>
      </x:c>
      <x:c r="D3152" s="6" t="n">
        <x:v>19703</x:v>
      </x:c>
      <x:c r="E3152" s="6" t="n">
        <x:v>21203</x:v>
      </x:c>
      <x:c r="F3152" s="6" t="n">
        <x:v>0</x:v>
      </x:c>
      <x:c r="G3152" s="6" t="n">
        <x:v>21203</x:v>
      </x:c>
      <x:c r="H3152" s="6" t="n">
        <x:v>1500</x:v>
      </x:c>
    </x:row>
  </x:sheetData>
  <x:pageMargins left="0.7" right="0.7" top="0.75" bottom="0.75" header="0.3" footer="0.3"/>
  <x:tableParts count="1">
    <x:tablePart xmlns:r="http://schemas.openxmlformats.org/officeDocument/2006/relationships" r:id="R6816df7be0ca47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</x:cols>
  <x:sheetData>
    <x:row r="1" ht="21" customHeight="1">
      <x:c r="A1" s="1"/>
      <x:c r="B1" s="1"/>
      <x:c r="C1" s="1"/>
      <x:c r="D1" s="1"/>
    </x:row>
    <x:row r="2" ht="21" customHeight="1">
      <x:c r="A2" s="2" t="str">
        <x:v>Advertiser lookup</x:v>
      </x:c>
      <x:c r="B2" s="1"/>
      <x:c r="C2" s="1"/>
      <x:c r="D2" s="1"/>
    </x:row>
    <x:row r="3" ht="21" customHeight="1">
      <x:c r="A3" s="1" t="str">
        <x:v>Source: synthetic advertiser dimension.</x:v>
      </x:c>
      <x:c r="B3" s="1"/>
      <x:c r="C3" s="1"/>
      <x:c r="D3" s="1"/>
    </x:row>
    <x:row r="4" ht="25" customHeight="1">
      <x:c r="A4" s="5" t="str">
        <x:v>Advertiser ID</x:v>
      </x:c>
      <x:c r="B4" s="5" t="str">
        <x:v>Advertiser</x:v>
      </x:c>
      <x:c r="C4" s="1"/>
      <x:c r="D4" s="1"/>
    </x:row>
    <x:row r="5" ht="21" customHeight="1">
      <x:c r="A5" s="1" t="n">
        <x:v>1</x:v>
      </x:c>
      <x:c r="B5" s="1" t="str">
        <x:v>Synthetic advertiser 1</x:v>
      </x:c>
      <x:c r="C5" s="1"/>
      <x:c r="D5" s="1"/>
    </x:row>
    <x:row r="6" ht="21" customHeight="1">
      <x:c r="A6" s="1" t="n">
        <x:v>2</x:v>
      </x:c>
      <x:c r="B6" s="1" t="str">
        <x:v>Synthetic advertiser 2</x:v>
      </x:c>
      <x:c r="C6" s="1"/>
      <x:c r="D6" s="1"/>
    </x:row>
    <x:row r="7" ht="21" customHeight="1">
      <x:c r="A7" s="1" t="n">
        <x:v>3</x:v>
      </x:c>
      <x:c r="B7" s="1" t="str">
        <x:v>Synthetic advertiser 3</x:v>
      </x:c>
      <x:c r="C7" s="1"/>
      <x:c r="D7" s="1"/>
    </x:row>
    <x:row r="8" ht="21" customHeight="1">
      <x:c r="A8" s="1" t="n">
        <x:v>4</x:v>
      </x:c>
      <x:c r="B8" s="1" t="str">
        <x:v>Synthetic advertiser 4</x:v>
      </x:c>
      <x:c r="C8" s="1"/>
      <x:c r="D8" s="1"/>
    </x:row>
    <x:row r="9" ht="21" customHeight="1">
      <x:c r="A9" s="1" t="n">
        <x:v>5</x:v>
      </x:c>
      <x:c r="B9" s="1" t="str">
        <x:v>Synthetic advertiser 5</x:v>
      </x:c>
      <x:c r="C9" s="1"/>
      <x:c r="D9" s="1"/>
    </x:row>
    <x:row r="10" ht="21" customHeight="1">
      <x:c r="A10" s="1" t="n">
        <x:v>6</x:v>
      </x:c>
      <x:c r="B10" s="1" t="str">
        <x:v>Synthetic advertiser 6</x:v>
      </x:c>
      <x:c r="C10" s="1"/>
      <x:c r="D10" s="1"/>
    </x:row>
    <x:row r="11" ht="21" customHeight="1">
      <x:c r="A11" s="1" t="n">
        <x:v>7</x:v>
      </x:c>
      <x:c r="B11" s="1" t="str">
        <x:v>Synthetic advertiser 7</x:v>
      </x:c>
      <x:c r="C11" s="1"/>
      <x:c r="D11" s="1"/>
    </x:row>
    <x:row r="12" ht="21" customHeight="1">
      <x:c r="A12" s="1" t="n">
        <x:v>8</x:v>
      </x:c>
      <x:c r="B12" s="1" t="str">
        <x:v>Synthetic advertiser 8</x:v>
      </x:c>
      <x:c r="C12" s="1"/>
      <x:c r="D12" s="1"/>
    </x:row>
    <x:row r="13" ht="21" customHeight="1">
      <x:c r="A13" s="1" t="n">
        <x:v>9</x:v>
      </x:c>
      <x:c r="B13" s="1" t="str">
        <x:v>Synthetic advertiser 9</x:v>
      </x:c>
      <x:c r="C13" s="1"/>
      <x:c r="D13" s="1"/>
    </x:row>
    <x:row r="14" ht="21" customHeight="1">
      <x:c r="A14" s="1" t="n">
        <x:v>10</x:v>
      </x:c>
      <x:c r="B14" s="1" t="str">
        <x:v>Synthetic advertiser 10</x:v>
      </x:c>
      <x:c r="C14" s="1"/>
      <x:c r="D14" s="1"/>
    </x:row>
    <x:row r="15" ht="21" customHeight="1">
      <x:c r="A15" s="1" t="n">
        <x:v>11</x:v>
      </x:c>
      <x:c r="B15" s="1" t="str">
        <x:v>Synthetic advertiser 11</x:v>
      </x:c>
      <x:c r="C15" s="1"/>
      <x:c r="D15" s="1"/>
    </x:row>
    <x:row r="16" ht="21" customHeight="1">
      <x:c r="A16" s="1" t="n">
        <x:v>12</x:v>
      </x:c>
      <x:c r="B16" s="1" t="str">
        <x:v>Synthetic advertiser 12</x:v>
      </x:c>
      <x:c r="C16" s="1"/>
      <x:c r="D16" s="1"/>
    </x:row>
    <x:row r="17" ht="21" customHeight="1">
      <x:c r="A17" s="1" t="n">
        <x:v>13</x:v>
      </x:c>
      <x:c r="B17" s="1" t="str">
        <x:v>Synthetic advertiser 13</x:v>
      </x:c>
      <x:c r="C17" s="1"/>
      <x:c r="D17" s="1"/>
    </x:row>
    <x:row r="18" ht="21" customHeight="1">
      <x:c r="A18" s="1" t="n">
        <x:v>14</x:v>
      </x:c>
      <x:c r="B18" s="1" t="str">
        <x:v>Synthetic advertiser 14</x:v>
      </x:c>
      <x:c r="C18" s="1"/>
      <x:c r="D18" s="1"/>
    </x:row>
    <x:row r="19" ht="21" customHeight="1">
      <x:c r="A19" s="1" t="n">
        <x:v>15</x:v>
      </x:c>
      <x:c r="B19" s="1" t="str">
        <x:v>Synthetic advertiser 15</x:v>
      </x:c>
      <x:c r="C19" s="1"/>
      <x:c r="D19" s="1"/>
    </x:row>
    <x:row r="20" ht="21" customHeight="1">
      <x:c r="A20" s="1" t="n">
        <x:v>16</x:v>
      </x:c>
      <x:c r="B20" s="1" t="str">
        <x:v>Synthetic advertiser 16</x:v>
      </x:c>
      <x:c r="C20" s="1"/>
      <x:c r="D20" s="1"/>
    </x:row>
    <x:row r="21" ht="21" customHeight="1">
      <x:c r="A21" s="1" t="n">
        <x:v>17</x:v>
      </x:c>
      <x:c r="B21" s="1" t="str">
        <x:v>Synthetic advertiser 17</x:v>
      </x:c>
      <x:c r="C21" s="1"/>
      <x:c r="D21" s="1"/>
    </x:row>
    <x:row r="22" ht="21" customHeight="1">
      <x:c r="A22" s="1" t="n">
        <x:v>18</x:v>
      </x:c>
      <x:c r="B22" s="1" t="str">
        <x:v>Synthetic advertiser 18</x:v>
      </x:c>
      <x:c r="C22" s="1"/>
      <x:c r="D22" s="1"/>
    </x:row>
    <x:row r="23" ht="21" customHeight="1">
      <x:c r="A23" s="1" t="n">
        <x:v>19</x:v>
      </x:c>
      <x:c r="B23" s="1" t="str">
        <x:v>Synthetic advertiser 19</x:v>
      </x:c>
      <x:c r="C23" s="1"/>
      <x:c r="D23" s="1"/>
    </x:row>
    <x:row r="24" ht="21" customHeight="1">
      <x:c r="A24" s="1" t="n">
        <x:v>20</x:v>
      </x:c>
      <x:c r="B24" s="1" t="str">
        <x:v>Synthetic advertiser 20</x:v>
      </x:c>
      <x:c r="C24" s="1"/>
      <x:c r="D24" s="1"/>
    </x:row>
    <x:row r="25" ht="21" customHeight="1">
      <x:c r="A25" s="1" t="n">
        <x:v>21</x:v>
      </x:c>
      <x:c r="B25" s="1" t="str">
        <x:v>Synthetic advertiser 21</x:v>
      </x:c>
      <x:c r="C25" s="1"/>
      <x:c r="D25" s="1"/>
    </x:row>
    <x:row r="26" ht="21" customHeight="1">
      <x:c r="A26" s="1" t="n">
        <x:v>22</x:v>
      </x:c>
      <x:c r="B26" s="1" t="str">
        <x:v>Synthetic advertiser 22</x:v>
      </x:c>
      <x:c r="C26" s="1"/>
      <x:c r="D26" s="1"/>
    </x:row>
    <x:row r="27" ht="21" customHeight="1">
      <x:c r="A27" s="1" t="n">
        <x:v>23</x:v>
      </x:c>
      <x:c r="B27" s="1" t="str">
        <x:v>Synthetic advertiser 23</x:v>
      </x:c>
      <x:c r="C27" s="1"/>
      <x:c r="D27" s="1"/>
    </x:row>
    <x:row r="28" ht="21" customHeight="1">
      <x:c r="A28" s="1" t="n">
        <x:v>24</x:v>
      </x:c>
      <x:c r="B28" s="1" t="str">
        <x:v>Synthetic advertiser 24</x:v>
      </x:c>
      <x:c r="C28" s="1"/>
      <x:c r="D28" s="1"/>
    </x:row>
    <x:row r="29" ht="21" customHeight="1">
      <x:c r="A29" s="1" t="n">
        <x:v>25</x:v>
      </x:c>
      <x:c r="B29" s="1" t="str">
        <x:v>Synthetic advertiser 25</x:v>
      </x:c>
      <x:c r="C29" s="1"/>
      <x:c r="D29" s="1"/>
    </x:row>
    <x:row r="30" ht="21" customHeight="1">
      <x:c r="A30" s="1" t="n">
        <x:v>26</x:v>
      </x:c>
      <x:c r="B30" s="1" t="str">
        <x:v>Synthetic advertiser 26</x:v>
      </x:c>
      <x:c r="C30" s="1"/>
      <x:c r="D30" s="1"/>
    </x:row>
    <x:row r="31" ht="21" customHeight="1">
      <x:c r="A31" s="1" t="n">
        <x:v>27</x:v>
      </x:c>
      <x:c r="B31" s="1" t="str">
        <x:v>Synthetic advertiser 27</x:v>
      </x:c>
      <x:c r="C31" s="1"/>
      <x:c r="D31" s="1"/>
    </x:row>
    <x:row r="32" ht="21" customHeight="1">
      <x:c r="A32" s="1" t="n">
        <x:v>28</x:v>
      </x:c>
      <x:c r="B32" s="1" t="str">
        <x:v>Synthetic advertiser 28</x:v>
      </x:c>
      <x:c r="C32" s="1"/>
      <x:c r="D32" s="1"/>
    </x:row>
    <x:row r="33" ht="21" customHeight="1">
      <x:c r="A33" s="1" t="n">
        <x:v>29</x:v>
      </x:c>
      <x:c r="B33" s="1" t="str">
        <x:v>Synthetic advertiser 29</x:v>
      </x:c>
      <x:c r="C33" s="1"/>
      <x:c r="D33" s="1"/>
    </x:row>
    <x:row r="34" ht="21" customHeight="1">
      <x:c r="A34" s="1" t="n">
        <x:v>30</x:v>
      </x:c>
      <x:c r="B34" s="1" t="str">
        <x:v>Synthetic advertiser 30</x:v>
      </x:c>
      <x:c r="C34" s="1"/>
      <x:c r="D34" s="1"/>
    </x:row>
  </x:sheetData>
  <x:pageMargins left="0.7" right="0.7" top="0.75" bottom="0.75" header="0.3" footer="0.3"/>
</x:worksheet>
</file>